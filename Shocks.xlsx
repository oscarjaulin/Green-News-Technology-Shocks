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Green News Tech shocks/Macroeconomic Shocks Ramey 2016/"/>
    </mc:Choice>
  </mc:AlternateContent>
  <xr:revisionPtr revIDLastSave="46" documentId="13_ncr:1_{86495D80-8DA2-4BCE-9B65-56CC7E6512DB}" xr6:coauthVersionLast="47" xr6:coauthVersionMax="47" xr10:uidLastSave="{19F45A39-39FE-4A16-939F-8BA384C79929}"/>
  <bookViews>
    <workbookView xWindow="19090" yWindow="-1270" windowWidth="19420" windowHeight="11500" xr2:uid="{06DA3F2E-0CE9-4007-938A-89886CDBA11A}"/>
  </bookViews>
  <sheets>
    <sheet name="Hoja1" sheetId="1" r:id="rId1"/>
    <sheet name="Tech" sheetId="2" r:id="rId2"/>
    <sheet name="Tax" sheetId="3" r:id="rId3"/>
    <sheet name="TD MP" sheetId="5" r:id="rId4"/>
    <sheet name="MP " sheetId="4" r:id="rId5"/>
  </sheets>
  <externalReferences>
    <externalReference r:id="rId6"/>
  </externalReferences>
  <calcPr calcId="191029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E3" i="4"/>
  <c r="C4" i="4"/>
  <c r="D4" i="4"/>
  <c r="E4" i="4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C20" i="4"/>
  <c r="D20" i="4"/>
  <c r="E20" i="4"/>
  <c r="C21" i="4"/>
  <c r="D21" i="4"/>
  <c r="E21" i="4"/>
  <c r="C22" i="4"/>
  <c r="D22" i="4"/>
  <c r="E22" i="4"/>
  <c r="C23" i="4"/>
  <c r="D23" i="4"/>
  <c r="E23" i="4"/>
  <c r="C24" i="4"/>
  <c r="D24" i="4"/>
  <c r="E24" i="4"/>
  <c r="C25" i="4"/>
  <c r="D25" i="4"/>
  <c r="E25" i="4"/>
  <c r="C26" i="4"/>
  <c r="D26" i="4"/>
  <c r="E26" i="4"/>
  <c r="C27" i="4"/>
  <c r="D27" i="4"/>
  <c r="E27" i="4"/>
  <c r="C28" i="4"/>
  <c r="D28" i="4"/>
  <c r="E28" i="4"/>
  <c r="C29" i="4"/>
  <c r="D29" i="4"/>
  <c r="E29" i="4"/>
  <c r="C30" i="4"/>
  <c r="D30" i="4"/>
  <c r="E30" i="4"/>
  <c r="C31" i="4"/>
  <c r="D31" i="4"/>
  <c r="E31" i="4"/>
  <c r="C32" i="4"/>
  <c r="D32" i="4"/>
  <c r="E32" i="4"/>
  <c r="C33" i="4"/>
  <c r="D33" i="4"/>
  <c r="E33" i="4"/>
  <c r="C34" i="4"/>
  <c r="D34" i="4"/>
  <c r="E34" i="4"/>
  <c r="C35" i="4"/>
  <c r="D35" i="4"/>
  <c r="E35" i="4"/>
  <c r="C36" i="4"/>
  <c r="D36" i="4"/>
  <c r="E36" i="4"/>
  <c r="C37" i="4"/>
  <c r="D37" i="4"/>
  <c r="E37" i="4"/>
  <c r="C38" i="4"/>
  <c r="D38" i="4"/>
  <c r="E38" i="4"/>
  <c r="C39" i="4"/>
  <c r="D39" i="4"/>
  <c r="E39" i="4"/>
  <c r="C40" i="4"/>
  <c r="D40" i="4"/>
  <c r="E40" i="4"/>
  <c r="C41" i="4"/>
  <c r="D41" i="4"/>
  <c r="E41" i="4"/>
  <c r="C42" i="4"/>
  <c r="D42" i="4"/>
  <c r="E42" i="4"/>
  <c r="C43" i="4"/>
  <c r="D43" i="4"/>
  <c r="E43" i="4"/>
  <c r="C44" i="4"/>
  <c r="D44" i="4"/>
  <c r="E44" i="4"/>
  <c r="C45" i="4"/>
  <c r="D45" i="4"/>
  <c r="E45" i="4"/>
  <c r="C46" i="4"/>
  <c r="D46" i="4"/>
  <c r="E46" i="4"/>
  <c r="C47" i="4"/>
  <c r="D47" i="4"/>
  <c r="E47" i="4"/>
  <c r="C48" i="4"/>
  <c r="D48" i="4"/>
  <c r="E48" i="4"/>
  <c r="C49" i="4"/>
  <c r="D49" i="4"/>
  <c r="E49" i="4"/>
  <c r="C50" i="4"/>
  <c r="D50" i="4"/>
  <c r="E50" i="4"/>
  <c r="C51" i="4"/>
  <c r="D51" i="4"/>
  <c r="E51" i="4"/>
  <c r="C52" i="4"/>
  <c r="D52" i="4"/>
  <c r="E52" i="4"/>
  <c r="C53" i="4"/>
  <c r="D53" i="4"/>
  <c r="E53" i="4"/>
  <c r="C54" i="4"/>
  <c r="D54" i="4"/>
  <c r="E54" i="4"/>
  <c r="C55" i="4"/>
  <c r="D55" i="4"/>
  <c r="E55" i="4"/>
  <c r="C56" i="4"/>
  <c r="D56" i="4"/>
  <c r="E56" i="4"/>
  <c r="C57" i="4"/>
  <c r="D57" i="4"/>
  <c r="E57" i="4"/>
  <c r="C58" i="4"/>
  <c r="D58" i="4"/>
  <c r="E58" i="4"/>
  <c r="C59" i="4"/>
  <c r="D59" i="4"/>
  <c r="E59" i="4"/>
  <c r="C60" i="4"/>
  <c r="D60" i="4"/>
  <c r="E60" i="4"/>
  <c r="C61" i="4"/>
  <c r="D61" i="4"/>
  <c r="E61" i="4"/>
  <c r="C62" i="4"/>
  <c r="D62" i="4"/>
  <c r="E62" i="4"/>
  <c r="C63" i="4"/>
  <c r="D63" i="4"/>
  <c r="E63" i="4"/>
  <c r="C64" i="4"/>
  <c r="D64" i="4"/>
  <c r="E64" i="4"/>
  <c r="C65" i="4"/>
  <c r="D65" i="4"/>
  <c r="E65" i="4"/>
  <c r="C66" i="4"/>
  <c r="D66" i="4"/>
  <c r="E66" i="4"/>
  <c r="C67" i="4"/>
  <c r="D67" i="4"/>
  <c r="E67" i="4"/>
  <c r="C68" i="4"/>
  <c r="D68" i="4"/>
  <c r="E68" i="4"/>
  <c r="C69" i="4"/>
  <c r="D69" i="4"/>
  <c r="E69" i="4"/>
  <c r="C70" i="4"/>
  <c r="D70" i="4"/>
  <c r="E70" i="4"/>
  <c r="C71" i="4"/>
  <c r="D71" i="4"/>
  <c r="E71" i="4"/>
  <c r="C72" i="4"/>
  <c r="D72" i="4"/>
  <c r="E72" i="4"/>
  <c r="C73" i="4"/>
  <c r="D73" i="4"/>
  <c r="E73" i="4"/>
  <c r="C74" i="4"/>
  <c r="D74" i="4"/>
  <c r="E74" i="4"/>
  <c r="C75" i="4"/>
  <c r="D75" i="4"/>
  <c r="E75" i="4"/>
  <c r="C76" i="4"/>
  <c r="D76" i="4"/>
  <c r="E76" i="4"/>
  <c r="C77" i="4"/>
  <c r="D77" i="4"/>
  <c r="E77" i="4"/>
  <c r="C78" i="4"/>
  <c r="D78" i="4"/>
  <c r="E78" i="4"/>
  <c r="C79" i="4"/>
  <c r="D79" i="4"/>
  <c r="E79" i="4"/>
  <c r="C80" i="4"/>
  <c r="D80" i="4"/>
  <c r="E80" i="4"/>
  <c r="C81" i="4"/>
  <c r="D81" i="4"/>
  <c r="E81" i="4"/>
  <c r="C82" i="4"/>
  <c r="D82" i="4"/>
  <c r="E82" i="4"/>
  <c r="C83" i="4"/>
  <c r="D83" i="4"/>
  <c r="E83" i="4"/>
  <c r="C84" i="4"/>
  <c r="D84" i="4"/>
  <c r="E84" i="4"/>
  <c r="C85" i="4"/>
  <c r="D85" i="4"/>
  <c r="E85" i="4"/>
  <c r="C86" i="4"/>
  <c r="D86" i="4"/>
  <c r="E86" i="4"/>
  <c r="C87" i="4"/>
  <c r="D87" i="4"/>
  <c r="E87" i="4"/>
  <c r="C88" i="4"/>
  <c r="D88" i="4"/>
  <c r="E88" i="4"/>
  <c r="C89" i="4"/>
  <c r="D89" i="4"/>
  <c r="E89" i="4"/>
  <c r="C90" i="4"/>
  <c r="D90" i="4"/>
  <c r="E90" i="4"/>
  <c r="C91" i="4"/>
  <c r="D91" i="4"/>
  <c r="E91" i="4"/>
  <c r="C92" i="4"/>
  <c r="D92" i="4"/>
  <c r="E92" i="4"/>
  <c r="C93" i="4"/>
  <c r="D93" i="4"/>
  <c r="E93" i="4"/>
  <c r="C94" i="4"/>
  <c r="D94" i="4"/>
  <c r="E94" i="4"/>
  <c r="C95" i="4"/>
  <c r="D95" i="4"/>
  <c r="E95" i="4"/>
  <c r="C96" i="4"/>
  <c r="D96" i="4"/>
  <c r="E96" i="4"/>
  <c r="C97" i="4"/>
  <c r="D97" i="4"/>
  <c r="E97" i="4"/>
  <c r="C98" i="4"/>
  <c r="D98" i="4"/>
  <c r="E98" i="4"/>
  <c r="C99" i="4"/>
  <c r="D99" i="4"/>
  <c r="E99" i="4"/>
  <c r="C100" i="4"/>
  <c r="D100" i="4"/>
  <c r="E100" i="4"/>
  <c r="C101" i="4"/>
  <c r="D101" i="4"/>
  <c r="E101" i="4"/>
  <c r="C102" i="4"/>
  <c r="D102" i="4"/>
  <c r="E102" i="4"/>
  <c r="C103" i="4"/>
  <c r="D103" i="4"/>
  <c r="E103" i="4"/>
  <c r="C104" i="4"/>
  <c r="D104" i="4"/>
  <c r="E104" i="4"/>
  <c r="C105" i="4"/>
  <c r="D105" i="4"/>
  <c r="E105" i="4"/>
  <c r="C106" i="4"/>
  <c r="D106" i="4"/>
  <c r="E106" i="4"/>
  <c r="C107" i="4"/>
  <c r="D107" i="4"/>
  <c r="E107" i="4"/>
  <c r="C108" i="4"/>
  <c r="D108" i="4"/>
  <c r="E108" i="4"/>
  <c r="C109" i="4"/>
  <c r="D109" i="4"/>
  <c r="E109" i="4"/>
  <c r="C110" i="4"/>
  <c r="D110" i="4"/>
  <c r="E110" i="4"/>
  <c r="C111" i="4"/>
  <c r="D111" i="4"/>
  <c r="E111" i="4"/>
  <c r="C112" i="4"/>
  <c r="D112" i="4"/>
  <c r="E112" i="4"/>
  <c r="C113" i="4"/>
  <c r="D113" i="4"/>
  <c r="E113" i="4"/>
  <c r="C114" i="4"/>
  <c r="D114" i="4"/>
  <c r="E114" i="4"/>
  <c r="C115" i="4"/>
  <c r="D115" i="4"/>
  <c r="E115" i="4"/>
  <c r="C116" i="4"/>
  <c r="D116" i="4"/>
  <c r="E116" i="4"/>
  <c r="C117" i="4"/>
  <c r="D117" i="4"/>
  <c r="E117" i="4"/>
  <c r="C118" i="4"/>
  <c r="D118" i="4"/>
  <c r="E118" i="4"/>
  <c r="C119" i="4"/>
  <c r="D119" i="4"/>
  <c r="E119" i="4"/>
  <c r="C120" i="4"/>
  <c r="D120" i="4"/>
  <c r="E120" i="4"/>
  <c r="C121" i="4"/>
  <c r="D121" i="4"/>
  <c r="E121" i="4"/>
  <c r="C122" i="4"/>
  <c r="D122" i="4"/>
  <c r="E122" i="4"/>
  <c r="C123" i="4"/>
  <c r="D123" i="4"/>
  <c r="E123" i="4"/>
  <c r="C124" i="4"/>
  <c r="D124" i="4"/>
  <c r="E124" i="4"/>
  <c r="C125" i="4"/>
  <c r="D125" i="4"/>
  <c r="E125" i="4"/>
  <c r="C126" i="4"/>
  <c r="D126" i="4"/>
  <c r="E126" i="4"/>
  <c r="C127" i="4"/>
  <c r="D127" i="4"/>
  <c r="E127" i="4"/>
  <c r="C128" i="4"/>
  <c r="D128" i="4"/>
  <c r="E128" i="4"/>
  <c r="C129" i="4"/>
  <c r="D129" i="4"/>
  <c r="E129" i="4"/>
  <c r="C130" i="4"/>
  <c r="D130" i="4"/>
  <c r="E130" i="4"/>
  <c r="C131" i="4"/>
  <c r="D131" i="4"/>
  <c r="E131" i="4"/>
  <c r="C132" i="4"/>
  <c r="D132" i="4"/>
  <c r="E132" i="4"/>
  <c r="C133" i="4"/>
  <c r="D133" i="4"/>
  <c r="E133" i="4"/>
  <c r="C134" i="4"/>
  <c r="D134" i="4"/>
  <c r="E134" i="4"/>
  <c r="C135" i="4"/>
  <c r="D135" i="4"/>
  <c r="E135" i="4"/>
  <c r="C136" i="4"/>
  <c r="D136" i="4"/>
  <c r="E136" i="4"/>
  <c r="C137" i="4"/>
  <c r="D137" i="4"/>
  <c r="E137" i="4"/>
  <c r="C138" i="4"/>
  <c r="D138" i="4"/>
  <c r="E138" i="4"/>
  <c r="C139" i="4"/>
  <c r="D139" i="4"/>
  <c r="E139" i="4"/>
  <c r="C140" i="4"/>
  <c r="D140" i="4"/>
  <c r="E140" i="4"/>
  <c r="C141" i="4"/>
  <c r="D141" i="4"/>
  <c r="E141" i="4"/>
  <c r="C142" i="4"/>
  <c r="D142" i="4"/>
  <c r="E142" i="4"/>
  <c r="C143" i="4"/>
  <c r="D143" i="4"/>
  <c r="E143" i="4"/>
  <c r="C144" i="4"/>
  <c r="D144" i="4"/>
  <c r="E144" i="4"/>
  <c r="C145" i="4"/>
  <c r="D145" i="4"/>
  <c r="E145" i="4"/>
  <c r="C146" i="4"/>
  <c r="D146" i="4"/>
  <c r="E146" i="4"/>
  <c r="C147" i="4"/>
  <c r="D147" i="4"/>
  <c r="E147" i="4"/>
  <c r="C148" i="4"/>
  <c r="D148" i="4"/>
  <c r="E148" i="4"/>
  <c r="C149" i="4"/>
  <c r="D149" i="4"/>
  <c r="E149" i="4"/>
  <c r="C150" i="4"/>
  <c r="D150" i="4"/>
  <c r="E150" i="4"/>
  <c r="C151" i="4"/>
  <c r="D151" i="4"/>
  <c r="E151" i="4"/>
  <c r="C152" i="4"/>
  <c r="D152" i="4"/>
  <c r="E152" i="4"/>
  <c r="C153" i="4"/>
  <c r="D153" i="4"/>
  <c r="E153" i="4"/>
  <c r="C154" i="4"/>
  <c r="D154" i="4"/>
  <c r="E154" i="4"/>
  <c r="C155" i="4"/>
  <c r="D155" i="4"/>
  <c r="E155" i="4"/>
  <c r="C156" i="4"/>
  <c r="D156" i="4"/>
  <c r="E156" i="4"/>
  <c r="C157" i="4"/>
  <c r="D157" i="4"/>
  <c r="E157" i="4"/>
  <c r="C158" i="4"/>
  <c r="D158" i="4"/>
  <c r="E158" i="4"/>
  <c r="C159" i="4"/>
  <c r="D159" i="4"/>
  <c r="E159" i="4"/>
  <c r="C160" i="4"/>
  <c r="D160" i="4"/>
  <c r="E160" i="4"/>
  <c r="C161" i="4"/>
  <c r="D161" i="4"/>
  <c r="E161" i="4"/>
  <c r="C162" i="4"/>
  <c r="D162" i="4"/>
  <c r="E162" i="4"/>
  <c r="C163" i="4"/>
  <c r="D163" i="4"/>
  <c r="E163" i="4"/>
  <c r="C164" i="4"/>
  <c r="D164" i="4"/>
  <c r="E164" i="4"/>
  <c r="C165" i="4"/>
  <c r="D165" i="4"/>
  <c r="E165" i="4"/>
  <c r="C166" i="4"/>
  <c r="D166" i="4"/>
  <c r="E166" i="4"/>
  <c r="C167" i="4"/>
  <c r="D167" i="4"/>
  <c r="E167" i="4"/>
  <c r="C168" i="4"/>
  <c r="D168" i="4"/>
  <c r="E168" i="4"/>
  <c r="C169" i="4"/>
  <c r="D169" i="4"/>
  <c r="E169" i="4"/>
  <c r="C170" i="4"/>
  <c r="D170" i="4"/>
  <c r="E170" i="4"/>
  <c r="C171" i="4"/>
  <c r="D171" i="4"/>
  <c r="E171" i="4"/>
  <c r="C172" i="4"/>
  <c r="D172" i="4"/>
  <c r="E172" i="4"/>
  <c r="C173" i="4"/>
  <c r="D173" i="4"/>
  <c r="E173" i="4"/>
  <c r="C174" i="4"/>
  <c r="D174" i="4"/>
  <c r="E174" i="4"/>
  <c r="C175" i="4"/>
  <c r="D175" i="4"/>
  <c r="E175" i="4"/>
  <c r="C176" i="4"/>
  <c r="D176" i="4"/>
  <c r="E176" i="4"/>
  <c r="C177" i="4"/>
  <c r="D177" i="4"/>
  <c r="E177" i="4"/>
  <c r="C178" i="4"/>
  <c r="D178" i="4"/>
  <c r="E178" i="4"/>
  <c r="C179" i="4"/>
  <c r="D179" i="4"/>
  <c r="E179" i="4"/>
  <c r="C180" i="4"/>
  <c r="D180" i="4"/>
  <c r="E180" i="4"/>
  <c r="C181" i="4"/>
  <c r="D181" i="4"/>
  <c r="E181" i="4"/>
  <c r="C182" i="4"/>
  <c r="D182" i="4"/>
  <c r="E182" i="4"/>
  <c r="C183" i="4"/>
  <c r="D183" i="4"/>
  <c r="E183" i="4"/>
  <c r="C184" i="4"/>
  <c r="D184" i="4"/>
  <c r="E184" i="4"/>
  <c r="C185" i="4"/>
  <c r="D185" i="4"/>
  <c r="E185" i="4"/>
  <c r="C186" i="4"/>
  <c r="D186" i="4"/>
  <c r="E186" i="4"/>
  <c r="C187" i="4"/>
  <c r="D187" i="4"/>
  <c r="E187" i="4"/>
  <c r="C188" i="4"/>
  <c r="D188" i="4"/>
  <c r="E188" i="4"/>
  <c r="C189" i="4"/>
  <c r="D189" i="4"/>
  <c r="E189" i="4"/>
  <c r="C190" i="4"/>
  <c r="D190" i="4"/>
  <c r="E190" i="4"/>
  <c r="C191" i="4"/>
  <c r="D191" i="4"/>
  <c r="E191" i="4"/>
  <c r="C192" i="4"/>
  <c r="D192" i="4"/>
  <c r="E192" i="4"/>
  <c r="C193" i="4"/>
  <c r="D193" i="4"/>
  <c r="E193" i="4"/>
  <c r="C194" i="4"/>
  <c r="D194" i="4"/>
  <c r="E194" i="4"/>
  <c r="C195" i="4"/>
  <c r="D195" i="4"/>
  <c r="E195" i="4"/>
  <c r="C196" i="4"/>
  <c r="D196" i="4"/>
  <c r="E196" i="4"/>
  <c r="C197" i="4"/>
  <c r="D197" i="4"/>
  <c r="E197" i="4"/>
  <c r="C198" i="4"/>
  <c r="D198" i="4"/>
  <c r="E198" i="4"/>
  <c r="C199" i="4"/>
  <c r="D199" i="4"/>
  <c r="E199" i="4"/>
  <c r="C200" i="4"/>
  <c r="D200" i="4"/>
  <c r="E200" i="4"/>
  <c r="C201" i="4"/>
  <c r="D201" i="4"/>
  <c r="E201" i="4"/>
  <c r="C202" i="4"/>
  <c r="D202" i="4"/>
  <c r="E202" i="4"/>
  <c r="C203" i="4"/>
  <c r="D203" i="4"/>
  <c r="E203" i="4"/>
  <c r="C204" i="4"/>
  <c r="D204" i="4"/>
  <c r="E204" i="4"/>
  <c r="C205" i="4"/>
  <c r="D205" i="4"/>
  <c r="E205" i="4"/>
  <c r="C206" i="4"/>
  <c r="D206" i="4"/>
  <c r="E206" i="4"/>
  <c r="C207" i="4"/>
  <c r="D207" i="4"/>
  <c r="E207" i="4"/>
  <c r="C208" i="4"/>
  <c r="D208" i="4"/>
  <c r="E208" i="4"/>
  <c r="C209" i="4"/>
  <c r="D209" i="4"/>
  <c r="E209" i="4"/>
  <c r="C210" i="4"/>
  <c r="D210" i="4"/>
  <c r="E210" i="4"/>
  <c r="C211" i="4"/>
  <c r="D211" i="4"/>
  <c r="E211" i="4"/>
  <c r="C212" i="4"/>
  <c r="D212" i="4"/>
  <c r="E212" i="4"/>
  <c r="C213" i="4"/>
  <c r="D213" i="4"/>
  <c r="E213" i="4"/>
  <c r="C214" i="4"/>
  <c r="D214" i="4"/>
  <c r="E214" i="4"/>
  <c r="C215" i="4"/>
  <c r="D215" i="4"/>
  <c r="E215" i="4"/>
  <c r="C216" i="4"/>
  <c r="D216" i="4"/>
  <c r="E216" i="4"/>
  <c r="C217" i="4"/>
  <c r="D217" i="4"/>
  <c r="E217" i="4"/>
  <c r="C218" i="4"/>
  <c r="D218" i="4"/>
  <c r="E218" i="4"/>
  <c r="C219" i="4"/>
  <c r="D219" i="4"/>
  <c r="E219" i="4"/>
  <c r="C220" i="4"/>
  <c r="D220" i="4"/>
  <c r="E220" i="4"/>
  <c r="C221" i="4"/>
  <c r="D221" i="4"/>
  <c r="E221" i="4"/>
  <c r="C222" i="4"/>
  <c r="D222" i="4"/>
  <c r="E222" i="4"/>
  <c r="C223" i="4"/>
  <c r="D223" i="4"/>
  <c r="E223" i="4"/>
  <c r="C224" i="4"/>
  <c r="D224" i="4"/>
  <c r="E224" i="4"/>
  <c r="C225" i="4"/>
  <c r="D225" i="4"/>
  <c r="E225" i="4"/>
  <c r="C226" i="4"/>
  <c r="D226" i="4"/>
  <c r="E226" i="4"/>
  <c r="C227" i="4"/>
  <c r="D227" i="4"/>
  <c r="E227" i="4"/>
  <c r="C228" i="4"/>
  <c r="D228" i="4"/>
  <c r="E228" i="4"/>
  <c r="C229" i="4"/>
  <c r="D229" i="4"/>
  <c r="E229" i="4"/>
  <c r="C230" i="4"/>
  <c r="D230" i="4"/>
  <c r="E230" i="4"/>
  <c r="C231" i="4"/>
  <c r="D231" i="4"/>
  <c r="E231" i="4"/>
  <c r="C232" i="4"/>
  <c r="D232" i="4"/>
  <c r="E232" i="4"/>
  <c r="C233" i="4"/>
  <c r="D233" i="4"/>
  <c r="E233" i="4"/>
  <c r="C234" i="4"/>
  <c r="D234" i="4"/>
  <c r="E234" i="4"/>
  <c r="C235" i="4"/>
  <c r="D235" i="4"/>
  <c r="E235" i="4"/>
  <c r="C236" i="4"/>
  <c r="D236" i="4"/>
  <c r="E236" i="4"/>
  <c r="C237" i="4"/>
  <c r="D237" i="4"/>
  <c r="E237" i="4"/>
  <c r="C238" i="4"/>
  <c r="D238" i="4"/>
  <c r="E238" i="4"/>
  <c r="C239" i="4"/>
  <c r="D239" i="4"/>
  <c r="E239" i="4"/>
  <c r="C240" i="4"/>
  <c r="D240" i="4"/>
  <c r="E240" i="4"/>
  <c r="C241" i="4"/>
  <c r="D241" i="4"/>
  <c r="E241" i="4"/>
  <c r="C242" i="4"/>
  <c r="D242" i="4"/>
  <c r="E242" i="4"/>
  <c r="C243" i="4"/>
  <c r="D243" i="4"/>
  <c r="E243" i="4"/>
  <c r="C244" i="4"/>
  <c r="D244" i="4"/>
  <c r="E244" i="4"/>
  <c r="C245" i="4"/>
  <c r="D245" i="4"/>
  <c r="E245" i="4"/>
  <c r="C246" i="4"/>
  <c r="D246" i="4"/>
  <c r="E246" i="4"/>
  <c r="C247" i="4"/>
  <c r="D247" i="4"/>
  <c r="E247" i="4"/>
  <c r="C248" i="4"/>
  <c r="D248" i="4"/>
  <c r="E248" i="4"/>
  <c r="C249" i="4"/>
  <c r="D249" i="4"/>
  <c r="E249" i="4"/>
  <c r="C250" i="4"/>
  <c r="D250" i="4"/>
  <c r="E250" i="4"/>
  <c r="C251" i="4"/>
  <c r="D251" i="4"/>
  <c r="E251" i="4"/>
  <c r="C252" i="4"/>
  <c r="D252" i="4"/>
  <c r="E252" i="4"/>
  <c r="C253" i="4"/>
  <c r="D253" i="4"/>
  <c r="E253" i="4"/>
  <c r="C254" i="4"/>
  <c r="D254" i="4"/>
  <c r="E254" i="4"/>
  <c r="C255" i="4"/>
  <c r="D255" i="4"/>
  <c r="E255" i="4"/>
  <c r="C256" i="4"/>
  <c r="D256" i="4"/>
  <c r="E256" i="4"/>
  <c r="C257" i="4"/>
  <c r="D257" i="4"/>
  <c r="E257" i="4"/>
  <c r="C258" i="4"/>
  <c r="D258" i="4"/>
  <c r="E258" i="4"/>
  <c r="C259" i="4"/>
  <c r="D259" i="4"/>
  <c r="E259" i="4"/>
  <c r="C260" i="4"/>
  <c r="D260" i="4"/>
  <c r="E260" i="4"/>
  <c r="C261" i="4"/>
  <c r="D261" i="4"/>
  <c r="E261" i="4"/>
  <c r="C262" i="4"/>
  <c r="D262" i="4"/>
  <c r="E262" i="4"/>
  <c r="C263" i="4"/>
  <c r="D263" i="4"/>
  <c r="E263" i="4"/>
  <c r="C264" i="4"/>
  <c r="D264" i="4"/>
  <c r="E264" i="4"/>
  <c r="C265" i="4"/>
  <c r="D265" i="4"/>
  <c r="E265" i="4"/>
  <c r="C266" i="4"/>
  <c r="D266" i="4"/>
  <c r="E266" i="4"/>
  <c r="C267" i="4"/>
  <c r="D267" i="4"/>
  <c r="E267" i="4"/>
  <c r="C268" i="4"/>
  <c r="D268" i="4"/>
  <c r="E268" i="4"/>
  <c r="C269" i="4"/>
  <c r="D269" i="4"/>
  <c r="E269" i="4"/>
  <c r="C270" i="4"/>
  <c r="D270" i="4"/>
  <c r="E270" i="4"/>
  <c r="C271" i="4"/>
  <c r="D271" i="4"/>
  <c r="E271" i="4"/>
  <c r="C272" i="4"/>
  <c r="D272" i="4"/>
  <c r="E272" i="4"/>
  <c r="C273" i="4"/>
  <c r="D273" i="4"/>
  <c r="E273" i="4"/>
  <c r="C274" i="4"/>
  <c r="D274" i="4"/>
  <c r="E274" i="4"/>
  <c r="C275" i="4"/>
  <c r="D275" i="4"/>
  <c r="E275" i="4"/>
  <c r="C276" i="4"/>
  <c r="D276" i="4"/>
  <c r="E276" i="4"/>
  <c r="C277" i="4"/>
  <c r="D277" i="4"/>
  <c r="E277" i="4"/>
  <c r="C278" i="4"/>
  <c r="D278" i="4"/>
  <c r="E278" i="4"/>
  <c r="C279" i="4"/>
  <c r="D279" i="4"/>
  <c r="E279" i="4"/>
  <c r="C280" i="4"/>
  <c r="D280" i="4"/>
  <c r="E280" i="4"/>
  <c r="C281" i="4"/>
  <c r="D281" i="4"/>
  <c r="E281" i="4"/>
  <c r="C282" i="4"/>
  <c r="D282" i="4"/>
  <c r="E282" i="4"/>
  <c r="C283" i="4"/>
  <c r="D283" i="4"/>
  <c r="E283" i="4"/>
  <c r="C284" i="4"/>
  <c r="D284" i="4"/>
  <c r="E284" i="4"/>
  <c r="C285" i="4"/>
  <c r="D285" i="4"/>
  <c r="E285" i="4"/>
  <c r="C286" i="4"/>
  <c r="D286" i="4"/>
  <c r="E286" i="4"/>
  <c r="C287" i="4"/>
  <c r="D287" i="4"/>
  <c r="E287" i="4"/>
  <c r="C288" i="4"/>
  <c r="D288" i="4"/>
  <c r="E288" i="4"/>
  <c r="C289" i="4"/>
  <c r="D289" i="4"/>
  <c r="E289" i="4"/>
  <c r="C290" i="4"/>
  <c r="D290" i="4"/>
  <c r="E290" i="4"/>
  <c r="C291" i="4"/>
  <c r="D291" i="4"/>
  <c r="E291" i="4"/>
  <c r="C292" i="4"/>
  <c r="D292" i="4"/>
  <c r="E292" i="4"/>
  <c r="C293" i="4"/>
  <c r="D293" i="4"/>
  <c r="E293" i="4"/>
  <c r="C294" i="4"/>
  <c r="D294" i="4"/>
  <c r="E294" i="4"/>
  <c r="C295" i="4"/>
  <c r="D295" i="4"/>
  <c r="E295" i="4"/>
  <c r="C296" i="4"/>
  <c r="D296" i="4"/>
  <c r="E296" i="4"/>
  <c r="C297" i="4"/>
  <c r="D297" i="4"/>
  <c r="E297" i="4"/>
  <c r="C298" i="4"/>
  <c r="D298" i="4"/>
  <c r="E298" i="4"/>
  <c r="C299" i="4"/>
  <c r="D299" i="4"/>
  <c r="E299" i="4"/>
  <c r="C300" i="4"/>
  <c r="D300" i="4"/>
  <c r="E300" i="4"/>
  <c r="C301" i="4"/>
  <c r="D301" i="4"/>
  <c r="E301" i="4"/>
  <c r="C302" i="4"/>
  <c r="D302" i="4"/>
  <c r="E302" i="4"/>
  <c r="C303" i="4"/>
  <c r="D303" i="4"/>
  <c r="E303" i="4"/>
  <c r="C304" i="4"/>
  <c r="D304" i="4"/>
  <c r="E304" i="4"/>
  <c r="C305" i="4"/>
  <c r="D305" i="4"/>
  <c r="E305" i="4"/>
  <c r="C306" i="4"/>
  <c r="D306" i="4"/>
  <c r="E306" i="4"/>
  <c r="C307" i="4"/>
  <c r="D307" i="4"/>
  <c r="E307" i="4"/>
  <c r="C308" i="4"/>
  <c r="D308" i="4"/>
  <c r="E308" i="4"/>
  <c r="C309" i="4"/>
  <c r="D309" i="4"/>
  <c r="E309" i="4"/>
  <c r="C310" i="4"/>
  <c r="D310" i="4"/>
  <c r="E310" i="4"/>
  <c r="C311" i="4"/>
  <c r="D311" i="4"/>
  <c r="E311" i="4"/>
  <c r="C312" i="4"/>
  <c r="D312" i="4"/>
  <c r="E312" i="4"/>
  <c r="C313" i="4"/>
  <c r="D313" i="4"/>
  <c r="E313" i="4"/>
  <c r="C314" i="4"/>
  <c r="D314" i="4"/>
  <c r="E314" i="4"/>
  <c r="C315" i="4"/>
  <c r="D315" i="4"/>
  <c r="E315" i="4"/>
  <c r="C316" i="4"/>
  <c r="D316" i="4"/>
  <c r="E316" i="4"/>
  <c r="C317" i="4"/>
  <c r="D317" i="4"/>
  <c r="E317" i="4"/>
  <c r="C318" i="4"/>
  <c r="D318" i="4"/>
  <c r="E318" i="4"/>
  <c r="C319" i="4"/>
  <c r="D319" i="4"/>
  <c r="E319" i="4"/>
  <c r="C320" i="4"/>
  <c r="D320" i="4"/>
  <c r="E320" i="4"/>
  <c r="C321" i="4"/>
  <c r="D321" i="4"/>
  <c r="E321" i="4"/>
  <c r="C322" i="4"/>
  <c r="D322" i="4"/>
  <c r="E322" i="4"/>
  <c r="C323" i="4"/>
  <c r="D323" i="4"/>
  <c r="E323" i="4"/>
  <c r="C324" i="4"/>
  <c r="D324" i="4"/>
  <c r="E324" i="4"/>
  <c r="C325" i="4"/>
  <c r="D325" i="4"/>
  <c r="E325" i="4"/>
  <c r="C326" i="4"/>
  <c r="D326" i="4"/>
  <c r="E326" i="4"/>
  <c r="C327" i="4"/>
  <c r="D327" i="4"/>
  <c r="E327" i="4"/>
  <c r="C328" i="4"/>
  <c r="D328" i="4"/>
  <c r="E328" i="4"/>
  <c r="C329" i="4"/>
  <c r="D329" i="4"/>
  <c r="E329" i="4"/>
  <c r="C330" i="4"/>
  <c r="D330" i="4"/>
  <c r="E330" i="4"/>
  <c r="C331" i="4"/>
  <c r="D331" i="4"/>
  <c r="E331" i="4"/>
  <c r="C332" i="4"/>
  <c r="D332" i="4"/>
  <c r="E332" i="4"/>
  <c r="C333" i="4"/>
  <c r="D333" i="4"/>
  <c r="E333" i="4"/>
  <c r="C334" i="4"/>
  <c r="D334" i="4"/>
  <c r="E334" i="4"/>
  <c r="C335" i="4"/>
  <c r="D335" i="4"/>
  <c r="E335" i="4"/>
  <c r="C336" i="4"/>
  <c r="D336" i="4"/>
  <c r="E336" i="4"/>
  <c r="C337" i="4"/>
  <c r="D337" i="4"/>
  <c r="E337" i="4"/>
  <c r="C338" i="4"/>
  <c r="D338" i="4"/>
  <c r="E338" i="4"/>
  <c r="C339" i="4"/>
  <c r="D339" i="4"/>
  <c r="E339" i="4"/>
  <c r="C340" i="4"/>
  <c r="D340" i="4"/>
  <c r="E340" i="4"/>
  <c r="C341" i="4"/>
  <c r="D341" i="4"/>
  <c r="E341" i="4"/>
  <c r="C342" i="4"/>
  <c r="D342" i="4"/>
  <c r="E342" i="4"/>
  <c r="C343" i="4"/>
  <c r="D343" i="4"/>
  <c r="E343" i="4"/>
  <c r="C344" i="4"/>
  <c r="D344" i="4"/>
  <c r="E344" i="4"/>
  <c r="C345" i="4"/>
  <c r="D345" i="4"/>
  <c r="E345" i="4"/>
  <c r="C346" i="4"/>
  <c r="D346" i="4"/>
  <c r="E346" i="4"/>
  <c r="C347" i="4"/>
  <c r="D347" i="4"/>
  <c r="E347" i="4"/>
  <c r="C348" i="4"/>
  <c r="D348" i="4"/>
  <c r="E348" i="4"/>
  <c r="C349" i="4"/>
  <c r="D349" i="4"/>
  <c r="E349" i="4"/>
  <c r="C350" i="4"/>
  <c r="D350" i="4"/>
  <c r="E350" i="4"/>
  <c r="C351" i="4"/>
  <c r="D351" i="4"/>
  <c r="E351" i="4"/>
  <c r="C352" i="4"/>
  <c r="D352" i="4"/>
  <c r="E352" i="4"/>
  <c r="C353" i="4"/>
  <c r="D353" i="4"/>
  <c r="E353" i="4"/>
  <c r="C354" i="4"/>
  <c r="D354" i="4"/>
  <c r="E354" i="4"/>
  <c r="C355" i="4"/>
  <c r="D355" i="4"/>
  <c r="E355" i="4"/>
  <c r="C356" i="4"/>
  <c r="D356" i="4"/>
  <c r="E356" i="4"/>
  <c r="C357" i="4"/>
  <c r="D357" i="4"/>
  <c r="E357" i="4"/>
  <c r="C358" i="4"/>
  <c r="D358" i="4"/>
  <c r="E358" i="4"/>
  <c r="C359" i="4"/>
  <c r="D359" i="4"/>
  <c r="E359" i="4"/>
  <c r="C360" i="4"/>
  <c r="D360" i="4"/>
  <c r="E360" i="4"/>
  <c r="C361" i="4"/>
  <c r="D361" i="4"/>
  <c r="E361" i="4"/>
  <c r="C362" i="4"/>
  <c r="D362" i="4"/>
  <c r="E362" i="4"/>
  <c r="C363" i="4"/>
  <c r="D363" i="4"/>
  <c r="E363" i="4"/>
  <c r="C364" i="4"/>
  <c r="D364" i="4"/>
  <c r="E364" i="4"/>
  <c r="C365" i="4"/>
  <c r="D365" i="4"/>
  <c r="E365" i="4"/>
  <c r="C366" i="4"/>
  <c r="D366" i="4"/>
  <c r="E366" i="4"/>
  <c r="C367" i="4"/>
  <c r="D367" i="4"/>
  <c r="E367" i="4"/>
  <c r="C368" i="4"/>
  <c r="D368" i="4"/>
  <c r="E368" i="4"/>
  <c r="C369" i="4"/>
  <c r="D369" i="4"/>
  <c r="E369" i="4"/>
  <c r="C370" i="4"/>
  <c r="D370" i="4"/>
  <c r="E370" i="4"/>
  <c r="C371" i="4"/>
  <c r="D371" i="4"/>
  <c r="E371" i="4"/>
  <c r="C372" i="4"/>
  <c r="D372" i="4"/>
  <c r="E372" i="4"/>
  <c r="C373" i="4"/>
  <c r="D373" i="4"/>
  <c r="E373" i="4"/>
  <c r="C374" i="4"/>
  <c r="D374" i="4"/>
  <c r="E374" i="4"/>
  <c r="C375" i="4"/>
  <c r="D375" i="4"/>
  <c r="E375" i="4"/>
  <c r="C376" i="4"/>
  <c r="D376" i="4"/>
  <c r="E376" i="4"/>
  <c r="C377" i="4"/>
  <c r="D377" i="4"/>
  <c r="E377" i="4"/>
  <c r="C378" i="4"/>
  <c r="D378" i="4"/>
  <c r="E378" i="4"/>
  <c r="C379" i="4"/>
  <c r="D379" i="4"/>
  <c r="E379" i="4"/>
  <c r="C380" i="4"/>
  <c r="D380" i="4"/>
  <c r="E380" i="4"/>
  <c r="C381" i="4"/>
  <c r="D381" i="4"/>
  <c r="E381" i="4"/>
  <c r="C382" i="4"/>
  <c r="D382" i="4"/>
  <c r="E382" i="4"/>
  <c r="C383" i="4"/>
  <c r="D383" i="4"/>
  <c r="E383" i="4"/>
  <c r="C384" i="4"/>
  <c r="D384" i="4"/>
  <c r="E384" i="4"/>
  <c r="C385" i="4"/>
  <c r="D385" i="4"/>
  <c r="E385" i="4"/>
  <c r="C386" i="4"/>
  <c r="D386" i="4"/>
  <c r="E386" i="4"/>
  <c r="C387" i="4"/>
  <c r="D387" i="4"/>
  <c r="E387" i="4"/>
  <c r="C388" i="4"/>
  <c r="D388" i="4"/>
  <c r="E388" i="4"/>
  <c r="C389" i="4"/>
  <c r="D389" i="4"/>
  <c r="E389" i="4"/>
  <c r="C390" i="4"/>
  <c r="D390" i="4"/>
  <c r="E390" i="4"/>
  <c r="C391" i="4"/>
  <c r="D391" i="4"/>
  <c r="E391" i="4"/>
  <c r="C392" i="4"/>
  <c r="D392" i="4"/>
  <c r="E392" i="4"/>
  <c r="C393" i="4"/>
  <c r="D393" i="4"/>
  <c r="E393" i="4"/>
  <c r="C394" i="4"/>
  <c r="D394" i="4"/>
  <c r="E394" i="4"/>
  <c r="C395" i="4"/>
  <c r="D395" i="4"/>
  <c r="E395" i="4"/>
  <c r="C396" i="4"/>
  <c r="D396" i="4"/>
  <c r="E396" i="4"/>
  <c r="C397" i="4"/>
  <c r="D397" i="4"/>
  <c r="E397" i="4"/>
  <c r="C398" i="4"/>
  <c r="D398" i="4"/>
  <c r="E398" i="4"/>
  <c r="C399" i="4"/>
  <c r="D399" i="4"/>
  <c r="E399" i="4"/>
  <c r="C400" i="4"/>
  <c r="D400" i="4"/>
  <c r="E400" i="4"/>
  <c r="C401" i="4"/>
  <c r="D401" i="4"/>
  <c r="E401" i="4"/>
  <c r="C402" i="4"/>
  <c r="D402" i="4"/>
  <c r="E402" i="4"/>
  <c r="C403" i="4"/>
  <c r="D403" i="4"/>
  <c r="E403" i="4"/>
  <c r="C404" i="4"/>
  <c r="D404" i="4"/>
  <c r="E404" i="4"/>
  <c r="C405" i="4"/>
  <c r="D405" i="4"/>
  <c r="E405" i="4"/>
  <c r="C406" i="4"/>
  <c r="D406" i="4"/>
  <c r="E406" i="4"/>
  <c r="C407" i="4"/>
  <c r="D407" i="4"/>
  <c r="E407" i="4"/>
  <c r="C408" i="4"/>
  <c r="D408" i="4"/>
  <c r="E408" i="4"/>
  <c r="C409" i="4"/>
  <c r="D409" i="4"/>
  <c r="E409" i="4"/>
  <c r="C410" i="4"/>
  <c r="D410" i="4"/>
  <c r="E410" i="4"/>
  <c r="C411" i="4"/>
  <c r="D411" i="4"/>
  <c r="E411" i="4"/>
  <c r="C412" i="4"/>
  <c r="D412" i="4"/>
  <c r="E412" i="4"/>
  <c r="C413" i="4"/>
  <c r="D413" i="4"/>
  <c r="E413" i="4"/>
  <c r="C414" i="4"/>
  <c r="D414" i="4"/>
  <c r="E414" i="4"/>
  <c r="C415" i="4"/>
  <c r="D415" i="4"/>
  <c r="E415" i="4"/>
  <c r="C416" i="4"/>
  <c r="D416" i="4"/>
  <c r="E416" i="4"/>
  <c r="C417" i="4"/>
  <c r="D417" i="4"/>
  <c r="E417" i="4"/>
  <c r="C418" i="4"/>
  <c r="D418" i="4"/>
  <c r="E418" i="4"/>
  <c r="C419" i="4"/>
  <c r="D419" i="4"/>
  <c r="E419" i="4"/>
  <c r="C420" i="4"/>
  <c r="D420" i="4"/>
  <c r="E420" i="4"/>
  <c r="C421" i="4"/>
  <c r="D421" i="4"/>
  <c r="E421" i="4"/>
  <c r="C422" i="4"/>
  <c r="D422" i="4"/>
  <c r="E422" i="4"/>
  <c r="C423" i="4"/>
  <c r="D423" i="4"/>
  <c r="E423" i="4"/>
  <c r="C424" i="4"/>
  <c r="D424" i="4"/>
  <c r="E424" i="4"/>
  <c r="C425" i="4"/>
  <c r="D425" i="4"/>
  <c r="E425" i="4"/>
  <c r="C426" i="4"/>
  <c r="D426" i="4"/>
  <c r="E426" i="4"/>
  <c r="C427" i="4"/>
  <c r="D427" i="4"/>
  <c r="E427" i="4"/>
  <c r="C428" i="4"/>
  <c r="D428" i="4"/>
  <c r="E428" i="4"/>
  <c r="C429" i="4"/>
  <c r="D429" i="4"/>
  <c r="E429" i="4"/>
  <c r="C430" i="4"/>
  <c r="D430" i="4"/>
  <c r="E430" i="4"/>
  <c r="C431" i="4"/>
  <c r="D431" i="4"/>
  <c r="E431" i="4"/>
  <c r="C432" i="4"/>
  <c r="D432" i="4"/>
  <c r="E432" i="4"/>
  <c r="C433" i="4"/>
  <c r="D433" i="4"/>
  <c r="E433" i="4"/>
  <c r="C434" i="4"/>
  <c r="D434" i="4"/>
  <c r="E434" i="4"/>
  <c r="C435" i="4"/>
  <c r="D435" i="4"/>
  <c r="E435" i="4"/>
  <c r="C436" i="4"/>
  <c r="D436" i="4"/>
  <c r="E436" i="4"/>
  <c r="C437" i="4"/>
  <c r="D437" i="4"/>
  <c r="E437" i="4"/>
  <c r="C438" i="4"/>
  <c r="D438" i="4"/>
  <c r="E438" i="4"/>
  <c r="C439" i="4"/>
  <c r="D439" i="4"/>
  <c r="E439" i="4"/>
  <c r="C440" i="4"/>
  <c r="D440" i="4"/>
  <c r="E440" i="4"/>
  <c r="C441" i="4"/>
  <c r="D441" i="4"/>
  <c r="E441" i="4"/>
  <c r="C442" i="4"/>
  <c r="D442" i="4"/>
  <c r="E442" i="4"/>
  <c r="C443" i="4"/>
  <c r="D443" i="4"/>
  <c r="E443" i="4"/>
  <c r="C444" i="4"/>
  <c r="D444" i="4"/>
  <c r="E444" i="4"/>
  <c r="C445" i="4"/>
  <c r="D445" i="4"/>
  <c r="E445" i="4"/>
  <c r="C446" i="4"/>
  <c r="D446" i="4"/>
  <c r="E446" i="4"/>
  <c r="C447" i="4"/>
  <c r="D447" i="4"/>
  <c r="E447" i="4"/>
  <c r="C448" i="4"/>
  <c r="D448" i="4"/>
  <c r="E448" i="4"/>
  <c r="C449" i="4"/>
  <c r="D449" i="4"/>
  <c r="E449" i="4"/>
  <c r="C450" i="4"/>
  <c r="D450" i="4"/>
  <c r="E450" i="4"/>
  <c r="C451" i="4"/>
  <c r="D451" i="4"/>
  <c r="E451" i="4"/>
  <c r="C452" i="4"/>
  <c r="D452" i="4"/>
  <c r="E452" i="4"/>
  <c r="C453" i="4"/>
  <c r="D453" i="4"/>
  <c r="E453" i="4"/>
  <c r="C454" i="4"/>
  <c r="D454" i="4"/>
  <c r="E454" i="4"/>
  <c r="C455" i="4"/>
  <c r="D455" i="4"/>
  <c r="E455" i="4"/>
  <c r="C456" i="4"/>
  <c r="D456" i="4"/>
  <c r="E456" i="4"/>
  <c r="C457" i="4"/>
  <c r="D457" i="4"/>
  <c r="E457" i="4"/>
  <c r="C458" i="4"/>
  <c r="D458" i="4"/>
  <c r="E458" i="4"/>
  <c r="C459" i="4"/>
  <c r="D459" i="4"/>
  <c r="E459" i="4"/>
  <c r="C460" i="4"/>
  <c r="D460" i="4"/>
  <c r="E460" i="4"/>
  <c r="C461" i="4"/>
  <c r="D461" i="4"/>
  <c r="E461" i="4"/>
  <c r="C462" i="4"/>
  <c r="D462" i="4"/>
  <c r="E462" i="4"/>
  <c r="C463" i="4"/>
  <c r="D463" i="4"/>
  <c r="E463" i="4"/>
  <c r="C464" i="4"/>
  <c r="D464" i="4"/>
  <c r="E464" i="4"/>
  <c r="C465" i="4"/>
  <c r="D465" i="4"/>
  <c r="E465" i="4"/>
  <c r="C466" i="4"/>
  <c r="D466" i="4"/>
  <c r="E466" i="4"/>
  <c r="C467" i="4"/>
  <c r="D467" i="4"/>
  <c r="E467" i="4"/>
  <c r="C468" i="4"/>
  <c r="D468" i="4"/>
  <c r="E468" i="4"/>
  <c r="C469" i="4"/>
  <c r="D469" i="4"/>
  <c r="E469" i="4"/>
  <c r="C470" i="4"/>
  <c r="D470" i="4"/>
  <c r="E470" i="4"/>
  <c r="C471" i="4"/>
  <c r="D471" i="4"/>
  <c r="E471" i="4"/>
  <c r="C472" i="4"/>
  <c r="D472" i="4"/>
  <c r="E472" i="4"/>
  <c r="C473" i="4"/>
  <c r="D473" i="4"/>
  <c r="E473" i="4"/>
  <c r="C474" i="4"/>
  <c r="D474" i="4"/>
  <c r="E474" i="4"/>
  <c r="C475" i="4"/>
  <c r="D475" i="4"/>
  <c r="E475" i="4"/>
  <c r="C476" i="4"/>
  <c r="D476" i="4"/>
  <c r="E476" i="4"/>
  <c r="C477" i="4"/>
  <c r="D477" i="4"/>
  <c r="E477" i="4"/>
  <c r="C478" i="4"/>
  <c r="D478" i="4"/>
  <c r="E478" i="4"/>
  <c r="C479" i="4"/>
  <c r="D479" i="4"/>
  <c r="E479" i="4"/>
  <c r="C480" i="4"/>
  <c r="D480" i="4"/>
  <c r="E480" i="4"/>
  <c r="C481" i="4"/>
  <c r="D481" i="4"/>
  <c r="E481" i="4"/>
  <c r="C482" i="4"/>
  <c r="D482" i="4"/>
  <c r="E482" i="4"/>
  <c r="C483" i="4"/>
  <c r="D483" i="4"/>
  <c r="E483" i="4"/>
  <c r="C484" i="4"/>
  <c r="D484" i="4"/>
  <c r="E484" i="4"/>
  <c r="C485" i="4"/>
  <c r="D485" i="4"/>
  <c r="E485" i="4"/>
  <c r="C486" i="4"/>
  <c r="D486" i="4"/>
  <c r="E486" i="4"/>
  <c r="C487" i="4"/>
  <c r="D487" i="4"/>
  <c r="E487" i="4"/>
  <c r="C488" i="4"/>
  <c r="D488" i="4"/>
  <c r="E488" i="4"/>
  <c r="C489" i="4"/>
  <c r="D489" i="4"/>
  <c r="E489" i="4"/>
  <c r="C490" i="4"/>
  <c r="D490" i="4"/>
  <c r="E490" i="4"/>
  <c r="C491" i="4"/>
  <c r="D491" i="4"/>
  <c r="E491" i="4"/>
  <c r="C492" i="4"/>
  <c r="D492" i="4"/>
  <c r="E492" i="4"/>
  <c r="C493" i="4"/>
  <c r="D493" i="4"/>
  <c r="E493" i="4"/>
  <c r="C494" i="4"/>
  <c r="D494" i="4"/>
  <c r="E494" i="4"/>
  <c r="C495" i="4"/>
  <c r="D495" i="4"/>
  <c r="E495" i="4"/>
  <c r="C496" i="4"/>
  <c r="D496" i="4"/>
  <c r="E496" i="4"/>
  <c r="C497" i="4"/>
  <c r="D497" i="4"/>
  <c r="E497" i="4"/>
  <c r="C498" i="4"/>
  <c r="D498" i="4"/>
  <c r="E498" i="4"/>
  <c r="C499" i="4"/>
  <c r="D499" i="4"/>
  <c r="E499" i="4"/>
  <c r="C500" i="4"/>
  <c r="D500" i="4"/>
  <c r="E500" i="4"/>
  <c r="C501" i="4"/>
  <c r="D501" i="4"/>
  <c r="E501" i="4"/>
  <c r="C502" i="4"/>
  <c r="D502" i="4"/>
  <c r="E502" i="4"/>
  <c r="C503" i="4"/>
  <c r="D503" i="4"/>
  <c r="E503" i="4"/>
  <c r="C504" i="4"/>
  <c r="D504" i="4"/>
  <c r="E504" i="4"/>
  <c r="C505" i="4"/>
  <c r="D505" i="4"/>
  <c r="E505" i="4"/>
  <c r="C506" i="4"/>
  <c r="D506" i="4"/>
  <c r="E506" i="4"/>
  <c r="C507" i="4"/>
  <c r="D507" i="4"/>
  <c r="E507" i="4"/>
  <c r="C508" i="4"/>
  <c r="D508" i="4"/>
  <c r="E508" i="4"/>
  <c r="C509" i="4"/>
  <c r="D509" i="4"/>
  <c r="E509" i="4"/>
  <c r="C510" i="4"/>
  <c r="D510" i="4"/>
  <c r="E510" i="4"/>
  <c r="C511" i="4"/>
  <c r="D511" i="4"/>
  <c r="E511" i="4"/>
  <c r="C512" i="4"/>
  <c r="D512" i="4"/>
  <c r="E512" i="4"/>
  <c r="C513" i="4"/>
  <c r="D513" i="4"/>
  <c r="E513" i="4"/>
  <c r="C514" i="4"/>
  <c r="D514" i="4"/>
  <c r="E514" i="4"/>
  <c r="C515" i="4"/>
  <c r="D515" i="4"/>
  <c r="E515" i="4"/>
  <c r="C516" i="4"/>
  <c r="D516" i="4"/>
  <c r="E516" i="4"/>
  <c r="C517" i="4"/>
  <c r="D517" i="4"/>
  <c r="E517" i="4"/>
  <c r="C518" i="4"/>
  <c r="D518" i="4"/>
  <c r="E518" i="4"/>
  <c r="C519" i="4"/>
  <c r="D519" i="4"/>
  <c r="E519" i="4"/>
  <c r="C520" i="4"/>
  <c r="D520" i="4"/>
  <c r="E520" i="4"/>
  <c r="C521" i="4"/>
  <c r="D521" i="4"/>
  <c r="E521" i="4"/>
  <c r="C522" i="4"/>
  <c r="D522" i="4"/>
  <c r="E522" i="4"/>
  <c r="C523" i="4"/>
  <c r="D523" i="4"/>
  <c r="E523" i="4"/>
  <c r="C524" i="4"/>
  <c r="D524" i="4"/>
  <c r="E524" i="4"/>
  <c r="C525" i="4"/>
  <c r="D525" i="4"/>
  <c r="E525" i="4"/>
  <c r="C526" i="4"/>
  <c r="D526" i="4"/>
  <c r="E526" i="4"/>
  <c r="C527" i="4"/>
  <c r="D527" i="4"/>
  <c r="E527" i="4"/>
  <c r="C528" i="4"/>
  <c r="D528" i="4"/>
  <c r="E528" i="4"/>
  <c r="C529" i="4"/>
  <c r="D529" i="4"/>
  <c r="E529" i="4"/>
  <c r="C530" i="4"/>
  <c r="D530" i="4"/>
  <c r="E530" i="4"/>
  <c r="C531" i="4"/>
  <c r="D531" i="4"/>
  <c r="E531" i="4"/>
  <c r="C532" i="4"/>
  <c r="D532" i="4"/>
  <c r="E532" i="4"/>
  <c r="C533" i="4"/>
  <c r="D533" i="4"/>
  <c r="E533" i="4"/>
  <c r="C534" i="4"/>
  <c r="D534" i="4"/>
  <c r="E534" i="4"/>
  <c r="C535" i="4"/>
  <c r="D535" i="4"/>
  <c r="E535" i="4"/>
  <c r="C536" i="4"/>
  <c r="D536" i="4"/>
  <c r="E536" i="4"/>
  <c r="C537" i="4"/>
  <c r="D537" i="4"/>
  <c r="E537" i="4"/>
  <c r="C538" i="4"/>
  <c r="D538" i="4"/>
  <c r="E538" i="4"/>
  <c r="C539" i="4"/>
  <c r="D539" i="4"/>
  <c r="E539" i="4"/>
  <c r="C540" i="4"/>
  <c r="D540" i="4"/>
  <c r="E540" i="4"/>
  <c r="C541" i="4"/>
  <c r="D541" i="4"/>
  <c r="E541" i="4"/>
  <c r="C542" i="4"/>
  <c r="D542" i="4"/>
  <c r="E542" i="4"/>
  <c r="C543" i="4"/>
  <c r="D543" i="4"/>
  <c r="E543" i="4"/>
  <c r="C544" i="4"/>
  <c r="D544" i="4"/>
  <c r="E544" i="4"/>
  <c r="C545" i="4"/>
  <c r="D545" i="4"/>
  <c r="E545" i="4"/>
  <c r="C546" i="4"/>
  <c r="D546" i="4"/>
  <c r="E546" i="4"/>
  <c r="C547" i="4"/>
  <c r="D547" i="4"/>
  <c r="E547" i="4"/>
  <c r="C548" i="4"/>
  <c r="D548" i="4"/>
  <c r="E548" i="4"/>
  <c r="C549" i="4"/>
  <c r="D549" i="4"/>
  <c r="E549" i="4"/>
  <c r="C550" i="4"/>
  <c r="D550" i="4"/>
  <c r="E550" i="4"/>
  <c r="C551" i="4"/>
  <c r="D551" i="4"/>
  <c r="E551" i="4"/>
  <c r="C552" i="4"/>
  <c r="D552" i="4"/>
  <c r="E552" i="4"/>
  <c r="C553" i="4"/>
  <c r="D553" i="4"/>
  <c r="E553" i="4"/>
  <c r="C554" i="4"/>
  <c r="D554" i="4"/>
  <c r="E554" i="4"/>
  <c r="C555" i="4"/>
  <c r="D555" i="4"/>
  <c r="E555" i="4"/>
  <c r="C556" i="4"/>
  <c r="D556" i="4"/>
  <c r="E556" i="4"/>
  <c r="C557" i="4"/>
  <c r="D557" i="4"/>
  <c r="E557" i="4"/>
  <c r="C558" i="4"/>
  <c r="D558" i="4"/>
  <c r="E558" i="4"/>
  <c r="C559" i="4"/>
  <c r="D559" i="4"/>
  <c r="E559" i="4"/>
  <c r="C560" i="4"/>
  <c r="D560" i="4"/>
  <c r="E560" i="4"/>
  <c r="C561" i="4"/>
  <c r="D561" i="4"/>
  <c r="E561" i="4"/>
  <c r="C562" i="4"/>
  <c r="D562" i="4"/>
  <c r="E562" i="4"/>
  <c r="C563" i="4"/>
  <c r="D563" i="4"/>
  <c r="E563" i="4"/>
  <c r="C564" i="4"/>
  <c r="D564" i="4"/>
  <c r="E564" i="4"/>
  <c r="C565" i="4"/>
  <c r="D565" i="4"/>
  <c r="E565" i="4"/>
  <c r="C566" i="4"/>
  <c r="D566" i="4"/>
  <c r="E566" i="4"/>
  <c r="C567" i="4"/>
  <c r="D567" i="4"/>
  <c r="E567" i="4"/>
  <c r="C568" i="4"/>
  <c r="D568" i="4"/>
  <c r="E568" i="4"/>
  <c r="C569" i="4"/>
  <c r="D569" i="4"/>
  <c r="E569" i="4"/>
  <c r="C570" i="4"/>
  <c r="D570" i="4"/>
  <c r="E570" i="4"/>
  <c r="C571" i="4"/>
  <c r="D571" i="4"/>
  <c r="E571" i="4"/>
  <c r="C572" i="4"/>
  <c r="D572" i="4"/>
  <c r="E572" i="4"/>
  <c r="C573" i="4"/>
  <c r="D573" i="4"/>
  <c r="E573" i="4"/>
  <c r="C574" i="4"/>
  <c r="D574" i="4"/>
  <c r="E574" i="4"/>
  <c r="C575" i="4"/>
  <c r="D575" i="4"/>
  <c r="E575" i="4"/>
  <c r="C576" i="4"/>
  <c r="D576" i="4"/>
  <c r="E576" i="4"/>
  <c r="C577" i="4"/>
  <c r="D577" i="4"/>
  <c r="E577" i="4"/>
  <c r="C578" i="4"/>
  <c r="D578" i="4"/>
  <c r="E578" i="4"/>
  <c r="C579" i="4"/>
  <c r="D579" i="4"/>
  <c r="E579" i="4"/>
  <c r="C580" i="4"/>
  <c r="D580" i="4"/>
  <c r="E580" i="4"/>
  <c r="C581" i="4"/>
  <c r="D581" i="4"/>
  <c r="E581" i="4"/>
  <c r="C582" i="4"/>
  <c r="D582" i="4"/>
  <c r="E582" i="4"/>
  <c r="C583" i="4"/>
  <c r="D583" i="4"/>
  <c r="E583" i="4"/>
  <c r="C584" i="4"/>
  <c r="D584" i="4"/>
  <c r="E584" i="4"/>
  <c r="C585" i="4"/>
  <c r="D585" i="4"/>
  <c r="E585" i="4"/>
  <c r="C586" i="4"/>
  <c r="D586" i="4"/>
  <c r="E586" i="4"/>
  <c r="C587" i="4"/>
  <c r="D587" i="4"/>
  <c r="E587" i="4"/>
  <c r="C588" i="4"/>
  <c r="D588" i="4"/>
  <c r="E588" i="4"/>
  <c r="C589" i="4"/>
  <c r="D589" i="4"/>
  <c r="E589" i="4"/>
  <c r="C590" i="4"/>
  <c r="D590" i="4"/>
  <c r="E590" i="4"/>
  <c r="C591" i="4"/>
  <c r="D591" i="4"/>
  <c r="E591" i="4"/>
  <c r="C592" i="4"/>
  <c r="D592" i="4"/>
  <c r="E592" i="4"/>
  <c r="C593" i="4"/>
  <c r="D593" i="4"/>
  <c r="E593" i="4"/>
  <c r="C594" i="4"/>
  <c r="D594" i="4"/>
  <c r="E594" i="4"/>
  <c r="C595" i="4"/>
  <c r="D595" i="4"/>
  <c r="E595" i="4"/>
  <c r="C596" i="4"/>
  <c r="D596" i="4"/>
  <c r="E596" i="4"/>
  <c r="C597" i="4"/>
  <c r="D597" i="4"/>
  <c r="E597" i="4"/>
  <c r="C598" i="4"/>
  <c r="D598" i="4"/>
  <c r="E598" i="4"/>
  <c r="C599" i="4"/>
  <c r="D599" i="4"/>
  <c r="E599" i="4"/>
  <c r="C600" i="4"/>
  <c r="D600" i="4"/>
  <c r="E600" i="4"/>
  <c r="C601" i="4"/>
  <c r="D601" i="4"/>
  <c r="E601" i="4"/>
  <c r="C602" i="4"/>
  <c r="D602" i="4"/>
  <c r="E602" i="4"/>
  <c r="C603" i="4"/>
  <c r="D603" i="4"/>
  <c r="E603" i="4"/>
  <c r="C604" i="4"/>
  <c r="D604" i="4"/>
  <c r="E604" i="4"/>
  <c r="C605" i="4"/>
  <c r="D605" i="4"/>
  <c r="E605" i="4"/>
  <c r="C606" i="4"/>
  <c r="D606" i="4"/>
  <c r="E606" i="4"/>
  <c r="C607" i="4"/>
  <c r="D607" i="4"/>
  <c r="E607" i="4"/>
  <c r="C608" i="4"/>
  <c r="D608" i="4"/>
  <c r="E608" i="4"/>
  <c r="C609" i="4"/>
  <c r="D609" i="4"/>
  <c r="E609" i="4"/>
  <c r="C610" i="4"/>
  <c r="D610" i="4"/>
  <c r="E610" i="4"/>
  <c r="C611" i="4"/>
  <c r="D611" i="4"/>
  <c r="E611" i="4"/>
  <c r="C612" i="4"/>
  <c r="D612" i="4"/>
  <c r="E612" i="4"/>
  <c r="C613" i="4"/>
  <c r="D613" i="4"/>
  <c r="E613" i="4"/>
  <c r="C614" i="4"/>
  <c r="D614" i="4"/>
  <c r="E614" i="4"/>
  <c r="C615" i="4"/>
  <c r="D615" i="4"/>
  <c r="E615" i="4"/>
  <c r="C616" i="4"/>
  <c r="D616" i="4"/>
  <c r="E616" i="4"/>
  <c r="C617" i="4"/>
  <c r="D617" i="4"/>
  <c r="E617" i="4"/>
  <c r="C618" i="4"/>
  <c r="D618" i="4"/>
  <c r="E618" i="4"/>
  <c r="C619" i="4"/>
  <c r="D619" i="4"/>
  <c r="E619" i="4"/>
  <c r="C620" i="4"/>
  <c r="D620" i="4"/>
  <c r="E620" i="4"/>
  <c r="C621" i="4"/>
  <c r="D621" i="4"/>
  <c r="E621" i="4"/>
  <c r="C622" i="4"/>
  <c r="D622" i="4"/>
  <c r="E622" i="4"/>
  <c r="C623" i="4"/>
  <c r="D623" i="4"/>
  <c r="E623" i="4"/>
  <c r="C624" i="4"/>
  <c r="D624" i="4"/>
  <c r="E624" i="4"/>
  <c r="C625" i="4"/>
  <c r="D625" i="4"/>
  <c r="E625" i="4"/>
  <c r="C626" i="4"/>
  <c r="D626" i="4"/>
  <c r="E626" i="4"/>
  <c r="C627" i="4"/>
  <c r="D627" i="4"/>
  <c r="E627" i="4"/>
  <c r="C628" i="4"/>
  <c r="D628" i="4"/>
  <c r="E628" i="4"/>
  <c r="C629" i="4"/>
  <c r="D629" i="4"/>
  <c r="E629" i="4"/>
  <c r="C630" i="4"/>
  <c r="D630" i="4"/>
  <c r="E630" i="4"/>
  <c r="C631" i="4"/>
  <c r="D631" i="4"/>
  <c r="E631" i="4"/>
  <c r="C632" i="4"/>
  <c r="D632" i="4"/>
  <c r="E632" i="4"/>
  <c r="C633" i="4"/>
  <c r="D633" i="4"/>
  <c r="E633" i="4"/>
  <c r="C634" i="4"/>
  <c r="D634" i="4"/>
  <c r="E634" i="4"/>
  <c r="C635" i="4"/>
  <c r="D635" i="4"/>
  <c r="E635" i="4"/>
  <c r="C636" i="4"/>
  <c r="D636" i="4"/>
  <c r="E636" i="4"/>
  <c r="C637" i="4"/>
  <c r="D637" i="4"/>
  <c r="E637" i="4"/>
  <c r="C638" i="4"/>
  <c r="D638" i="4"/>
  <c r="E638" i="4"/>
  <c r="C639" i="4"/>
  <c r="D639" i="4"/>
  <c r="E639" i="4"/>
  <c r="C640" i="4"/>
  <c r="D640" i="4"/>
  <c r="E640" i="4"/>
  <c r="C641" i="4"/>
  <c r="D641" i="4"/>
  <c r="E641" i="4"/>
  <c r="C642" i="4"/>
  <c r="D642" i="4"/>
  <c r="E642" i="4"/>
  <c r="C643" i="4"/>
  <c r="D643" i="4"/>
  <c r="E643" i="4"/>
  <c r="C644" i="4"/>
  <c r="D644" i="4"/>
  <c r="E644" i="4"/>
  <c r="C645" i="4"/>
  <c r="D645" i="4"/>
  <c r="E645" i="4"/>
  <c r="C646" i="4"/>
  <c r="D646" i="4"/>
  <c r="E646" i="4"/>
  <c r="C647" i="4"/>
  <c r="D647" i="4"/>
  <c r="E647" i="4"/>
  <c r="C648" i="4"/>
  <c r="D648" i="4"/>
  <c r="E648" i="4"/>
  <c r="C649" i="4"/>
  <c r="D649" i="4"/>
  <c r="E649" i="4"/>
  <c r="C650" i="4"/>
  <c r="D650" i="4"/>
  <c r="E650" i="4"/>
  <c r="C651" i="4"/>
  <c r="D651" i="4"/>
  <c r="E651" i="4"/>
  <c r="C652" i="4"/>
  <c r="D652" i="4"/>
  <c r="E652" i="4"/>
  <c r="C653" i="4"/>
  <c r="D653" i="4"/>
  <c r="E653" i="4"/>
  <c r="C654" i="4"/>
  <c r="D654" i="4"/>
  <c r="E654" i="4"/>
  <c r="C655" i="4"/>
  <c r="D655" i="4"/>
  <c r="E655" i="4"/>
  <c r="C656" i="4"/>
  <c r="D656" i="4"/>
  <c r="E656" i="4"/>
  <c r="C657" i="4"/>
  <c r="D657" i="4"/>
  <c r="E657" i="4"/>
  <c r="C658" i="4"/>
  <c r="D658" i="4"/>
  <c r="E658" i="4"/>
  <c r="C659" i="4"/>
  <c r="D659" i="4"/>
  <c r="E659" i="4"/>
  <c r="C660" i="4"/>
  <c r="D660" i="4"/>
  <c r="E660" i="4"/>
  <c r="C661" i="4"/>
  <c r="D661" i="4"/>
  <c r="E661" i="4"/>
  <c r="C662" i="4"/>
  <c r="D662" i="4"/>
  <c r="E662" i="4"/>
  <c r="C663" i="4"/>
  <c r="D663" i="4"/>
  <c r="E663" i="4"/>
  <c r="C664" i="4"/>
  <c r="D664" i="4"/>
  <c r="E664" i="4"/>
  <c r="C665" i="4"/>
  <c r="D665" i="4"/>
  <c r="E665" i="4"/>
  <c r="C666" i="4"/>
  <c r="D666" i="4"/>
  <c r="E666" i="4"/>
  <c r="C667" i="4"/>
  <c r="D667" i="4"/>
  <c r="E667" i="4"/>
  <c r="C668" i="4"/>
  <c r="D668" i="4"/>
  <c r="E668" i="4"/>
  <c r="C669" i="4"/>
  <c r="D669" i="4"/>
  <c r="E669" i="4"/>
  <c r="C670" i="4"/>
  <c r="D670" i="4"/>
  <c r="E670" i="4"/>
  <c r="C671" i="4"/>
  <c r="D671" i="4"/>
  <c r="E671" i="4"/>
  <c r="C672" i="4"/>
  <c r="D672" i="4"/>
  <c r="E672" i="4"/>
  <c r="C673" i="4"/>
  <c r="D673" i="4"/>
  <c r="E673" i="4"/>
  <c r="C674" i="4"/>
  <c r="D674" i="4"/>
  <c r="E674" i="4"/>
  <c r="C675" i="4"/>
  <c r="D675" i="4"/>
  <c r="E675" i="4"/>
  <c r="C676" i="4"/>
  <c r="D676" i="4"/>
  <c r="E676" i="4"/>
  <c r="C677" i="4"/>
  <c r="D677" i="4"/>
  <c r="E677" i="4"/>
  <c r="C678" i="4"/>
  <c r="D678" i="4"/>
  <c r="E678" i="4"/>
  <c r="C679" i="4"/>
  <c r="D679" i="4"/>
  <c r="E679" i="4"/>
  <c r="C680" i="4"/>
  <c r="D680" i="4"/>
  <c r="E680" i="4"/>
  <c r="C681" i="4"/>
  <c r="D681" i="4"/>
  <c r="E681" i="4"/>
  <c r="C682" i="4"/>
  <c r="D682" i="4"/>
  <c r="E682" i="4"/>
  <c r="C683" i="4"/>
  <c r="D683" i="4"/>
  <c r="E683" i="4"/>
  <c r="C684" i="4"/>
  <c r="D684" i="4"/>
  <c r="E684" i="4"/>
  <c r="C685" i="4"/>
  <c r="D685" i="4"/>
  <c r="E685" i="4"/>
  <c r="E2" i="4"/>
  <c r="D2" i="4"/>
  <c r="C2" i="4"/>
  <c r="X685" i="4"/>
  <c r="X684" i="4"/>
  <c r="AN683" i="4"/>
  <c r="AM683" i="4"/>
  <c r="AL683" i="4"/>
  <c r="X683" i="4"/>
  <c r="AN682" i="4"/>
  <c r="AM682" i="4"/>
  <c r="AL682" i="4"/>
  <c r="X682" i="4"/>
  <c r="M682" i="4"/>
  <c r="L682" i="4"/>
  <c r="K682" i="4"/>
  <c r="I682" i="4"/>
  <c r="H682" i="4"/>
  <c r="G682" i="4"/>
  <c r="F682" i="4"/>
  <c r="AN681" i="4"/>
  <c r="AM681" i="4"/>
  <c r="AL681" i="4"/>
  <c r="X681" i="4"/>
  <c r="M681" i="4"/>
  <c r="L681" i="4"/>
  <c r="K681" i="4"/>
  <c r="I681" i="4"/>
  <c r="H681" i="4"/>
  <c r="G681" i="4"/>
  <c r="F681" i="4"/>
  <c r="AN680" i="4"/>
  <c r="AM680" i="4"/>
  <c r="AL680" i="4"/>
  <c r="X680" i="4"/>
  <c r="M680" i="4"/>
  <c r="L680" i="4"/>
  <c r="K680" i="4"/>
  <c r="I680" i="4"/>
  <c r="H680" i="4"/>
  <c r="G680" i="4"/>
  <c r="F680" i="4"/>
  <c r="AN679" i="4"/>
  <c r="AM679" i="4"/>
  <c r="AL679" i="4"/>
  <c r="X679" i="4"/>
  <c r="M679" i="4"/>
  <c r="L679" i="4"/>
  <c r="K679" i="4"/>
  <c r="I679" i="4"/>
  <c r="H679" i="4"/>
  <c r="G679" i="4"/>
  <c r="F679" i="4"/>
  <c r="AN678" i="4"/>
  <c r="AM678" i="4"/>
  <c r="AL678" i="4"/>
  <c r="X678" i="4"/>
  <c r="M678" i="4"/>
  <c r="L678" i="4"/>
  <c r="K678" i="4"/>
  <c r="I678" i="4"/>
  <c r="H678" i="4"/>
  <c r="G678" i="4"/>
  <c r="F678" i="4"/>
  <c r="AN677" i="4"/>
  <c r="AM677" i="4"/>
  <c r="AL677" i="4"/>
  <c r="X677" i="4"/>
  <c r="M677" i="4"/>
  <c r="L677" i="4"/>
  <c r="K677" i="4"/>
  <c r="I677" i="4"/>
  <c r="H677" i="4"/>
  <c r="G677" i="4"/>
  <c r="F677" i="4"/>
  <c r="AN676" i="4"/>
  <c r="AM676" i="4"/>
  <c r="AL676" i="4"/>
  <c r="X676" i="4"/>
  <c r="M676" i="4"/>
  <c r="L676" i="4"/>
  <c r="K676" i="4"/>
  <c r="I676" i="4"/>
  <c r="H676" i="4"/>
  <c r="G676" i="4"/>
  <c r="F676" i="4"/>
  <c r="AN675" i="4"/>
  <c r="AM675" i="4"/>
  <c r="AL675" i="4"/>
  <c r="X675" i="4"/>
  <c r="M675" i="4"/>
  <c r="L675" i="4"/>
  <c r="K675" i="4"/>
  <c r="I675" i="4"/>
  <c r="H675" i="4"/>
  <c r="G675" i="4"/>
  <c r="F675" i="4"/>
  <c r="AN674" i="4"/>
  <c r="AM674" i="4"/>
  <c r="AL674" i="4"/>
  <c r="X674" i="4"/>
  <c r="M674" i="4"/>
  <c r="L674" i="4"/>
  <c r="K674" i="4"/>
  <c r="I674" i="4"/>
  <c r="H674" i="4"/>
  <c r="G674" i="4"/>
  <c r="F674" i="4"/>
  <c r="AN673" i="4"/>
  <c r="AM673" i="4"/>
  <c r="AL673" i="4"/>
  <c r="X673" i="4"/>
  <c r="M673" i="4"/>
  <c r="L673" i="4"/>
  <c r="K673" i="4"/>
  <c r="I673" i="4"/>
  <c r="H673" i="4"/>
  <c r="G673" i="4"/>
  <c r="F673" i="4"/>
  <c r="AN672" i="4"/>
  <c r="AM672" i="4"/>
  <c r="AL672" i="4"/>
  <c r="X672" i="4"/>
  <c r="M672" i="4"/>
  <c r="L672" i="4"/>
  <c r="K672" i="4"/>
  <c r="I672" i="4"/>
  <c r="H672" i="4"/>
  <c r="G672" i="4"/>
  <c r="F672" i="4"/>
  <c r="AN671" i="4"/>
  <c r="AM671" i="4"/>
  <c r="AL671" i="4"/>
  <c r="X671" i="4"/>
  <c r="M671" i="4"/>
  <c r="L671" i="4"/>
  <c r="K671" i="4"/>
  <c r="I671" i="4"/>
  <c r="H671" i="4"/>
  <c r="G671" i="4"/>
  <c r="F671" i="4"/>
  <c r="AN670" i="4"/>
  <c r="AM670" i="4"/>
  <c r="AL670" i="4"/>
  <c r="X670" i="4"/>
  <c r="M670" i="4"/>
  <c r="L670" i="4"/>
  <c r="K670" i="4"/>
  <c r="I670" i="4"/>
  <c r="H670" i="4"/>
  <c r="G670" i="4"/>
  <c r="F670" i="4"/>
  <c r="AN669" i="4"/>
  <c r="AM669" i="4"/>
  <c r="AL669" i="4"/>
  <c r="X669" i="4"/>
  <c r="M669" i="4"/>
  <c r="L669" i="4"/>
  <c r="K669" i="4"/>
  <c r="I669" i="4"/>
  <c r="H669" i="4"/>
  <c r="G669" i="4"/>
  <c r="F669" i="4"/>
  <c r="AN668" i="4"/>
  <c r="AM668" i="4"/>
  <c r="AL668" i="4"/>
  <c r="X668" i="4"/>
  <c r="M668" i="4"/>
  <c r="L668" i="4"/>
  <c r="K668" i="4"/>
  <c r="I668" i="4"/>
  <c r="H668" i="4"/>
  <c r="G668" i="4"/>
  <c r="F668" i="4"/>
  <c r="AN667" i="4"/>
  <c r="AM667" i="4"/>
  <c r="AL667" i="4"/>
  <c r="X667" i="4"/>
  <c r="M667" i="4"/>
  <c r="L667" i="4"/>
  <c r="K667" i="4"/>
  <c r="I667" i="4"/>
  <c r="H667" i="4"/>
  <c r="G667" i="4"/>
  <c r="F667" i="4"/>
  <c r="AN666" i="4"/>
  <c r="AM666" i="4"/>
  <c r="AL666" i="4"/>
  <c r="X666" i="4"/>
  <c r="M666" i="4"/>
  <c r="L666" i="4"/>
  <c r="K666" i="4"/>
  <c r="I666" i="4"/>
  <c r="H666" i="4"/>
  <c r="G666" i="4"/>
  <c r="F666" i="4"/>
  <c r="AN665" i="4"/>
  <c r="AM665" i="4"/>
  <c r="AL665" i="4"/>
  <c r="X665" i="4"/>
  <c r="M665" i="4"/>
  <c r="L665" i="4"/>
  <c r="K665" i="4"/>
  <c r="I665" i="4"/>
  <c r="H665" i="4"/>
  <c r="G665" i="4"/>
  <c r="F665" i="4"/>
  <c r="AN664" i="4"/>
  <c r="AM664" i="4"/>
  <c r="AL664" i="4"/>
  <c r="X664" i="4"/>
  <c r="M664" i="4"/>
  <c r="L664" i="4"/>
  <c r="K664" i="4"/>
  <c r="I664" i="4"/>
  <c r="H664" i="4"/>
  <c r="G664" i="4"/>
  <c r="F664" i="4"/>
  <c r="AN663" i="4"/>
  <c r="AM663" i="4"/>
  <c r="AL663" i="4"/>
  <c r="X663" i="4"/>
  <c r="M663" i="4"/>
  <c r="L663" i="4"/>
  <c r="K663" i="4"/>
  <c r="I663" i="4"/>
  <c r="H663" i="4"/>
  <c r="G663" i="4"/>
  <c r="F663" i="4"/>
  <c r="AN662" i="4"/>
  <c r="AM662" i="4"/>
  <c r="AL662" i="4"/>
  <c r="X662" i="4"/>
  <c r="M662" i="4"/>
  <c r="L662" i="4"/>
  <c r="K662" i="4"/>
  <c r="I662" i="4"/>
  <c r="H662" i="4"/>
  <c r="G662" i="4"/>
  <c r="F662" i="4"/>
  <c r="AN661" i="4"/>
  <c r="AM661" i="4"/>
  <c r="AL661" i="4"/>
  <c r="X661" i="4"/>
  <c r="M661" i="4"/>
  <c r="L661" i="4"/>
  <c r="K661" i="4"/>
  <c r="I661" i="4"/>
  <c r="H661" i="4"/>
  <c r="G661" i="4"/>
  <c r="F661" i="4"/>
  <c r="AN660" i="4"/>
  <c r="AM660" i="4"/>
  <c r="AL660" i="4"/>
  <c r="X660" i="4"/>
  <c r="M660" i="4"/>
  <c r="L660" i="4"/>
  <c r="K660" i="4"/>
  <c r="I660" i="4"/>
  <c r="H660" i="4"/>
  <c r="G660" i="4"/>
  <c r="F660" i="4"/>
  <c r="AN659" i="4"/>
  <c r="AM659" i="4"/>
  <c r="AL659" i="4"/>
  <c r="X659" i="4"/>
  <c r="M659" i="4"/>
  <c r="L659" i="4"/>
  <c r="K659" i="4"/>
  <c r="I659" i="4"/>
  <c r="H659" i="4"/>
  <c r="G659" i="4"/>
  <c r="F659" i="4"/>
  <c r="AN658" i="4"/>
  <c r="AM658" i="4"/>
  <c r="AL658" i="4"/>
  <c r="X658" i="4"/>
  <c r="M658" i="4"/>
  <c r="L658" i="4"/>
  <c r="K658" i="4"/>
  <c r="I658" i="4"/>
  <c r="H658" i="4"/>
  <c r="G658" i="4"/>
  <c r="F658" i="4"/>
  <c r="AN657" i="4"/>
  <c r="AM657" i="4"/>
  <c r="AL657" i="4"/>
  <c r="X657" i="4"/>
  <c r="M657" i="4"/>
  <c r="L657" i="4"/>
  <c r="K657" i="4"/>
  <c r="I657" i="4"/>
  <c r="H657" i="4"/>
  <c r="G657" i="4"/>
  <c r="F657" i="4"/>
  <c r="AN656" i="4"/>
  <c r="AM656" i="4"/>
  <c r="AL656" i="4"/>
  <c r="X656" i="4"/>
  <c r="M656" i="4"/>
  <c r="L656" i="4"/>
  <c r="K656" i="4"/>
  <c r="I656" i="4"/>
  <c r="H656" i="4"/>
  <c r="G656" i="4"/>
  <c r="F656" i="4"/>
  <c r="AN655" i="4"/>
  <c r="AM655" i="4"/>
  <c r="AL655" i="4"/>
  <c r="X655" i="4"/>
  <c r="M655" i="4"/>
  <c r="L655" i="4"/>
  <c r="K655" i="4"/>
  <c r="I655" i="4"/>
  <c r="H655" i="4"/>
  <c r="G655" i="4"/>
  <c r="F655" i="4"/>
  <c r="AO654" i="4"/>
  <c r="AN654" i="4"/>
  <c r="AM654" i="4"/>
  <c r="AL654" i="4"/>
  <c r="X654" i="4"/>
  <c r="M654" i="4"/>
  <c r="L654" i="4"/>
  <c r="K654" i="4"/>
  <c r="I654" i="4"/>
  <c r="H654" i="4"/>
  <c r="G654" i="4"/>
  <c r="F654" i="4"/>
  <c r="AO653" i="4"/>
  <c r="AN653" i="4"/>
  <c r="AM653" i="4"/>
  <c r="AL653" i="4"/>
  <c r="X653" i="4"/>
  <c r="M653" i="4"/>
  <c r="L653" i="4"/>
  <c r="K653" i="4"/>
  <c r="I653" i="4"/>
  <c r="H653" i="4"/>
  <c r="G653" i="4"/>
  <c r="F653" i="4"/>
  <c r="AO652" i="4"/>
  <c r="AN652" i="4"/>
  <c r="AM652" i="4"/>
  <c r="AL652" i="4"/>
  <c r="X652" i="4"/>
  <c r="M652" i="4"/>
  <c r="L652" i="4"/>
  <c r="K652" i="4"/>
  <c r="I652" i="4"/>
  <c r="H652" i="4"/>
  <c r="G652" i="4"/>
  <c r="F652" i="4"/>
  <c r="AO651" i="4"/>
  <c r="AN651" i="4"/>
  <c r="AM651" i="4"/>
  <c r="AL651" i="4"/>
  <c r="X651" i="4"/>
  <c r="M651" i="4"/>
  <c r="L651" i="4"/>
  <c r="K651" i="4"/>
  <c r="I651" i="4"/>
  <c r="H651" i="4"/>
  <c r="G651" i="4"/>
  <c r="F651" i="4"/>
  <c r="AO650" i="4"/>
  <c r="AN650" i="4"/>
  <c r="AM650" i="4"/>
  <c r="AL650" i="4"/>
  <c r="X650" i="4"/>
  <c r="M650" i="4"/>
  <c r="L650" i="4"/>
  <c r="K650" i="4"/>
  <c r="J650" i="4"/>
  <c r="I650" i="4"/>
  <c r="H650" i="4"/>
  <c r="G650" i="4"/>
  <c r="F650" i="4"/>
  <c r="AO649" i="4"/>
  <c r="AN649" i="4"/>
  <c r="AM649" i="4"/>
  <c r="AL649" i="4"/>
  <c r="Y649" i="4"/>
  <c r="X649" i="4"/>
  <c r="M649" i="4"/>
  <c r="L649" i="4"/>
  <c r="K649" i="4"/>
  <c r="J649" i="4"/>
  <c r="I649" i="4"/>
  <c r="H649" i="4"/>
  <c r="G649" i="4"/>
  <c r="F649" i="4"/>
  <c r="AO648" i="4"/>
  <c r="AN648" i="4"/>
  <c r="AM648" i="4"/>
  <c r="AL648" i="4"/>
  <c r="Y648" i="4"/>
  <c r="X648" i="4"/>
  <c r="M648" i="4"/>
  <c r="L648" i="4"/>
  <c r="K648" i="4"/>
  <c r="J648" i="4"/>
  <c r="I648" i="4"/>
  <c r="H648" i="4"/>
  <c r="G648" i="4"/>
  <c r="F648" i="4"/>
  <c r="AO647" i="4"/>
  <c r="AN647" i="4"/>
  <c r="AM647" i="4"/>
  <c r="AL647" i="4"/>
  <c r="Y647" i="4"/>
  <c r="X647" i="4"/>
  <c r="M647" i="4"/>
  <c r="L647" i="4"/>
  <c r="K647" i="4"/>
  <c r="J647" i="4"/>
  <c r="I647" i="4"/>
  <c r="H647" i="4"/>
  <c r="G647" i="4"/>
  <c r="F647" i="4"/>
  <c r="AO646" i="4"/>
  <c r="AN646" i="4"/>
  <c r="AM646" i="4"/>
  <c r="AL646" i="4"/>
  <c r="Y646" i="4"/>
  <c r="X646" i="4"/>
  <c r="M646" i="4"/>
  <c r="L646" i="4"/>
  <c r="K646" i="4"/>
  <c r="J646" i="4"/>
  <c r="I646" i="4"/>
  <c r="H646" i="4"/>
  <c r="G646" i="4"/>
  <c r="F646" i="4"/>
  <c r="AO645" i="4"/>
  <c r="AN645" i="4"/>
  <c r="AM645" i="4"/>
  <c r="AL645" i="4"/>
  <c r="Y645" i="4"/>
  <c r="X645" i="4"/>
  <c r="M645" i="4"/>
  <c r="L645" i="4"/>
  <c r="K645" i="4"/>
  <c r="J645" i="4"/>
  <c r="I645" i="4"/>
  <c r="H645" i="4"/>
  <c r="G645" i="4"/>
  <c r="F645" i="4"/>
  <c r="AO644" i="4"/>
  <c r="AN644" i="4"/>
  <c r="AM644" i="4"/>
  <c r="AL644" i="4"/>
  <c r="Y644" i="4"/>
  <c r="X644" i="4"/>
  <c r="M644" i="4"/>
  <c r="L644" i="4"/>
  <c r="K644" i="4"/>
  <c r="J644" i="4"/>
  <c r="I644" i="4"/>
  <c r="H644" i="4"/>
  <c r="G644" i="4"/>
  <c r="F644" i="4"/>
  <c r="AO643" i="4"/>
  <c r="AN643" i="4"/>
  <c r="AM643" i="4"/>
  <c r="AL643" i="4"/>
  <c r="Y643" i="4"/>
  <c r="X643" i="4"/>
  <c r="W643" i="4"/>
  <c r="V643" i="4"/>
  <c r="U643" i="4"/>
  <c r="T643" i="4"/>
  <c r="S643" i="4"/>
  <c r="M643" i="4"/>
  <c r="L643" i="4"/>
  <c r="K643" i="4"/>
  <c r="J643" i="4"/>
  <c r="I643" i="4"/>
  <c r="H643" i="4"/>
  <c r="G643" i="4"/>
  <c r="F643" i="4"/>
  <c r="AO642" i="4"/>
  <c r="AN642" i="4"/>
  <c r="AM642" i="4"/>
  <c r="AL642" i="4"/>
  <c r="Y642" i="4"/>
  <c r="X642" i="4"/>
  <c r="W642" i="4"/>
  <c r="V642" i="4"/>
  <c r="U642" i="4"/>
  <c r="T642" i="4"/>
  <c r="S642" i="4"/>
  <c r="M642" i="4"/>
  <c r="L642" i="4"/>
  <c r="K642" i="4"/>
  <c r="J642" i="4"/>
  <c r="I642" i="4"/>
  <c r="H642" i="4"/>
  <c r="G642" i="4"/>
  <c r="F642" i="4"/>
  <c r="AO641" i="4"/>
  <c r="AN641" i="4"/>
  <c r="AM641" i="4"/>
  <c r="AL641" i="4"/>
  <c r="Y641" i="4"/>
  <c r="X641" i="4"/>
  <c r="W641" i="4"/>
  <c r="V641" i="4"/>
  <c r="U641" i="4"/>
  <c r="T641" i="4"/>
  <c r="S641" i="4"/>
  <c r="M641" i="4"/>
  <c r="L641" i="4"/>
  <c r="K641" i="4"/>
  <c r="J641" i="4"/>
  <c r="I641" i="4"/>
  <c r="H641" i="4"/>
  <c r="G641" i="4"/>
  <c r="F641" i="4"/>
  <c r="AO640" i="4"/>
  <c r="AN640" i="4"/>
  <c r="AM640" i="4"/>
  <c r="AL640" i="4"/>
  <c r="Y640" i="4"/>
  <c r="X640" i="4"/>
  <c r="W640" i="4"/>
  <c r="V640" i="4"/>
  <c r="U640" i="4"/>
  <c r="T640" i="4"/>
  <c r="S640" i="4"/>
  <c r="M640" i="4"/>
  <c r="L640" i="4"/>
  <c r="K640" i="4"/>
  <c r="J640" i="4"/>
  <c r="I640" i="4"/>
  <c r="H640" i="4"/>
  <c r="G640" i="4"/>
  <c r="F640" i="4"/>
  <c r="AO639" i="4"/>
  <c r="AN639" i="4"/>
  <c r="AM639" i="4"/>
  <c r="AL639" i="4"/>
  <c r="Y639" i="4"/>
  <c r="X639" i="4"/>
  <c r="W639" i="4"/>
  <c r="V639" i="4"/>
  <c r="U639" i="4"/>
  <c r="T639" i="4"/>
  <c r="S639" i="4"/>
  <c r="M639" i="4"/>
  <c r="L639" i="4"/>
  <c r="K639" i="4"/>
  <c r="J639" i="4"/>
  <c r="I639" i="4"/>
  <c r="H639" i="4"/>
  <c r="G639" i="4"/>
  <c r="F639" i="4"/>
  <c r="AO638" i="4"/>
  <c r="AN638" i="4"/>
  <c r="AM638" i="4"/>
  <c r="AL638" i="4"/>
  <c r="Y638" i="4"/>
  <c r="X638" i="4"/>
  <c r="W638" i="4"/>
  <c r="V638" i="4"/>
  <c r="U638" i="4"/>
  <c r="T638" i="4"/>
  <c r="S638" i="4"/>
  <c r="M638" i="4"/>
  <c r="L638" i="4"/>
  <c r="K638" i="4"/>
  <c r="J638" i="4"/>
  <c r="I638" i="4"/>
  <c r="H638" i="4"/>
  <c r="G638" i="4"/>
  <c r="F638" i="4"/>
  <c r="AO637" i="4"/>
  <c r="AN637" i="4"/>
  <c r="AM637" i="4"/>
  <c r="AL637" i="4"/>
  <c r="Y637" i="4"/>
  <c r="X637" i="4"/>
  <c r="W637" i="4"/>
  <c r="V637" i="4"/>
  <c r="U637" i="4"/>
  <c r="T637" i="4"/>
  <c r="S637" i="4"/>
  <c r="M637" i="4"/>
  <c r="L637" i="4"/>
  <c r="K637" i="4"/>
  <c r="J637" i="4"/>
  <c r="I637" i="4"/>
  <c r="H637" i="4"/>
  <c r="G637" i="4"/>
  <c r="F637" i="4"/>
  <c r="AO636" i="4"/>
  <c r="AN636" i="4"/>
  <c r="AM636" i="4"/>
  <c r="AL636" i="4"/>
  <c r="Y636" i="4"/>
  <c r="X636" i="4"/>
  <c r="W636" i="4"/>
  <c r="V636" i="4"/>
  <c r="U636" i="4"/>
  <c r="T636" i="4"/>
  <c r="S636" i="4"/>
  <c r="M636" i="4"/>
  <c r="L636" i="4"/>
  <c r="K636" i="4"/>
  <c r="J636" i="4"/>
  <c r="I636" i="4"/>
  <c r="H636" i="4"/>
  <c r="G636" i="4"/>
  <c r="F636" i="4"/>
  <c r="AO635" i="4"/>
  <c r="AN635" i="4"/>
  <c r="AM635" i="4"/>
  <c r="AL635" i="4"/>
  <c r="Y635" i="4"/>
  <c r="X635" i="4"/>
  <c r="W635" i="4"/>
  <c r="V635" i="4"/>
  <c r="U635" i="4"/>
  <c r="T635" i="4"/>
  <c r="S635" i="4"/>
  <c r="M635" i="4"/>
  <c r="L635" i="4"/>
  <c r="K635" i="4"/>
  <c r="J635" i="4"/>
  <c r="I635" i="4"/>
  <c r="H635" i="4"/>
  <c r="G635" i="4"/>
  <c r="F635" i="4"/>
  <c r="AO634" i="4"/>
  <c r="AN634" i="4"/>
  <c r="AM634" i="4"/>
  <c r="AL634" i="4"/>
  <c r="Y634" i="4"/>
  <c r="X634" i="4"/>
  <c r="W634" i="4"/>
  <c r="V634" i="4"/>
  <c r="U634" i="4"/>
  <c r="T634" i="4"/>
  <c r="S634" i="4"/>
  <c r="M634" i="4"/>
  <c r="L634" i="4"/>
  <c r="K634" i="4"/>
  <c r="J634" i="4"/>
  <c r="I634" i="4"/>
  <c r="H634" i="4"/>
  <c r="G634" i="4"/>
  <c r="F634" i="4"/>
  <c r="AO633" i="4"/>
  <c r="AN633" i="4"/>
  <c r="AM633" i="4"/>
  <c r="AL633" i="4"/>
  <c r="Y633" i="4"/>
  <c r="X633" i="4"/>
  <c r="W633" i="4"/>
  <c r="V633" i="4"/>
  <c r="U633" i="4"/>
  <c r="T633" i="4"/>
  <c r="S633" i="4"/>
  <c r="M633" i="4"/>
  <c r="L633" i="4"/>
  <c r="K633" i="4"/>
  <c r="J633" i="4"/>
  <c r="I633" i="4"/>
  <c r="H633" i="4"/>
  <c r="G633" i="4"/>
  <c r="F633" i="4"/>
  <c r="AO632" i="4"/>
  <c r="AN632" i="4"/>
  <c r="AM632" i="4"/>
  <c r="AL632" i="4"/>
  <c r="Y632" i="4"/>
  <c r="X632" i="4"/>
  <c r="W632" i="4"/>
  <c r="V632" i="4"/>
  <c r="U632" i="4"/>
  <c r="T632" i="4"/>
  <c r="S632" i="4"/>
  <c r="M632" i="4"/>
  <c r="L632" i="4"/>
  <c r="K632" i="4"/>
  <c r="J632" i="4"/>
  <c r="I632" i="4"/>
  <c r="H632" i="4"/>
  <c r="G632" i="4"/>
  <c r="F632" i="4"/>
  <c r="AO631" i="4"/>
  <c r="AN631" i="4"/>
  <c r="AM631" i="4"/>
  <c r="AL631" i="4"/>
  <c r="Y631" i="4"/>
  <c r="X631" i="4"/>
  <c r="W631" i="4"/>
  <c r="V631" i="4"/>
  <c r="U631" i="4"/>
  <c r="T631" i="4"/>
  <c r="S631" i="4"/>
  <c r="M631" i="4"/>
  <c r="L631" i="4"/>
  <c r="K631" i="4"/>
  <c r="J631" i="4"/>
  <c r="I631" i="4"/>
  <c r="H631" i="4"/>
  <c r="G631" i="4"/>
  <c r="F631" i="4"/>
  <c r="AO630" i="4"/>
  <c r="AN630" i="4"/>
  <c r="AM630" i="4"/>
  <c r="AL630" i="4"/>
  <c r="Y630" i="4"/>
  <c r="X630" i="4"/>
  <c r="W630" i="4"/>
  <c r="V630" i="4"/>
  <c r="U630" i="4"/>
  <c r="T630" i="4"/>
  <c r="S630" i="4"/>
  <c r="M630" i="4"/>
  <c r="L630" i="4"/>
  <c r="K630" i="4"/>
  <c r="J630" i="4"/>
  <c r="I630" i="4"/>
  <c r="H630" i="4"/>
  <c r="G630" i="4"/>
  <c r="F630" i="4"/>
  <c r="AO629" i="4"/>
  <c r="AN629" i="4"/>
  <c r="AM629" i="4"/>
  <c r="AL629" i="4"/>
  <c r="Y629" i="4"/>
  <c r="X629" i="4"/>
  <c r="W629" i="4"/>
  <c r="V629" i="4"/>
  <c r="U629" i="4"/>
  <c r="T629" i="4"/>
  <c r="S629" i="4"/>
  <c r="M629" i="4"/>
  <c r="L629" i="4"/>
  <c r="K629" i="4"/>
  <c r="J629" i="4"/>
  <c r="I629" i="4"/>
  <c r="H629" i="4"/>
  <c r="G629" i="4"/>
  <c r="F629" i="4"/>
  <c r="AO628" i="4"/>
  <c r="AN628" i="4"/>
  <c r="AM628" i="4"/>
  <c r="AL628" i="4"/>
  <c r="Y628" i="4"/>
  <c r="X628" i="4"/>
  <c r="W628" i="4"/>
  <c r="V628" i="4"/>
  <c r="U628" i="4"/>
  <c r="T628" i="4"/>
  <c r="S628" i="4"/>
  <c r="M628" i="4"/>
  <c r="L628" i="4"/>
  <c r="K628" i="4"/>
  <c r="J628" i="4"/>
  <c r="I628" i="4"/>
  <c r="H628" i="4"/>
  <c r="G628" i="4"/>
  <c r="F628" i="4"/>
  <c r="AO627" i="4"/>
  <c r="AN627" i="4"/>
  <c r="AM627" i="4"/>
  <c r="AL627" i="4"/>
  <c r="Y627" i="4"/>
  <c r="X627" i="4"/>
  <c r="W627" i="4"/>
  <c r="V627" i="4"/>
  <c r="U627" i="4"/>
  <c r="T627" i="4"/>
  <c r="S627" i="4"/>
  <c r="M627" i="4"/>
  <c r="L627" i="4"/>
  <c r="K627" i="4"/>
  <c r="J627" i="4"/>
  <c r="I627" i="4"/>
  <c r="H627" i="4"/>
  <c r="G627" i="4"/>
  <c r="F627" i="4"/>
  <c r="AO626" i="4"/>
  <c r="AN626" i="4"/>
  <c r="AM626" i="4"/>
  <c r="AL626" i="4"/>
  <c r="Y626" i="4"/>
  <c r="X626" i="4"/>
  <c r="W626" i="4"/>
  <c r="V626" i="4"/>
  <c r="U626" i="4"/>
  <c r="T626" i="4"/>
  <c r="S626" i="4"/>
  <c r="M626" i="4"/>
  <c r="L626" i="4"/>
  <c r="K626" i="4"/>
  <c r="J626" i="4"/>
  <c r="I626" i="4"/>
  <c r="H626" i="4"/>
  <c r="G626" i="4"/>
  <c r="F626" i="4"/>
  <c r="AO625" i="4"/>
  <c r="AN625" i="4"/>
  <c r="AM625" i="4"/>
  <c r="AL625" i="4"/>
  <c r="Y625" i="4"/>
  <c r="X625" i="4"/>
  <c r="W625" i="4"/>
  <c r="V625" i="4"/>
  <c r="U625" i="4"/>
  <c r="T625" i="4"/>
  <c r="S625" i="4"/>
  <c r="M625" i="4"/>
  <c r="L625" i="4"/>
  <c r="K625" i="4"/>
  <c r="J625" i="4"/>
  <c r="I625" i="4"/>
  <c r="H625" i="4"/>
  <c r="G625" i="4"/>
  <c r="F625" i="4"/>
  <c r="AO624" i="4"/>
  <c r="AN624" i="4"/>
  <c r="AM624" i="4"/>
  <c r="AL624" i="4"/>
  <c r="Y624" i="4"/>
  <c r="X624" i="4"/>
  <c r="W624" i="4"/>
  <c r="V624" i="4"/>
  <c r="U624" i="4"/>
  <c r="T624" i="4"/>
  <c r="S624" i="4"/>
  <c r="M624" i="4"/>
  <c r="L624" i="4"/>
  <c r="K624" i="4"/>
  <c r="J624" i="4"/>
  <c r="I624" i="4"/>
  <c r="H624" i="4"/>
  <c r="G624" i="4"/>
  <c r="F624" i="4"/>
  <c r="AO623" i="4"/>
  <c r="AN623" i="4"/>
  <c r="AM623" i="4"/>
  <c r="AL623" i="4"/>
  <c r="Y623" i="4"/>
  <c r="X623" i="4"/>
  <c r="W623" i="4"/>
  <c r="V623" i="4"/>
  <c r="U623" i="4"/>
  <c r="T623" i="4"/>
  <c r="S623" i="4"/>
  <c r="M623" i="4"/>
  <c r="L623" i="4"/>
  <c r="K623" i="4"/>
  <c r="J623" i="4"/>
  <c r="I623" i="4"/>
  <c r="H623" i="4"/>
  <c r="G623" i="4"/>
  <c r="F623" i="4"/>
  <c r="AO622" i="4"/>
  <c r="AN622" i="4"/>
  <c r="AM622" i="4"/>
  <c r="AL622" i="4"/>
  <c r="Y622" i="4"/>
  <c r="X622" i="4"/>
  <c r="W622" i="4"/>
  <c r="V622" i="4"/>
  <c r="U622" i="4"/>
  <c r="T622" i="4"/>
  <c r="S622" i="4"/>
  <c r="M622" i="4"/>
  <c r="L622" i="4"/>
  <c r="K622" i="4"/>
  <c r="J622" i="4"/>
  <c r="I622" i="4"/>
  <c r="H622" i="4"/>
  <c r="G622" i="4"/>
  <c r="F622" i="4"/>
  <c r="AO621" i="4"/>
  <c r="AN621" i="4"/>
  <c r="AM621" i="4"/>
  <c r="AL621" i="4"/>
  <c r="Y621" i="4"/>
  <c r="X621" i="4"/>
  <c r="W621" i="4"/>
  <c r="V621" i="4"/>
  <c r="U621" i="4"/>
  <c r="T621" i="4"/>
  <c r="S621" i="4"/>
  <c r="M621" i="4"/>
  <c r="L621" i="4"/>
  <c r="K621" i="4"/>
  <c r="J621" i="4"/>
  <c r="I621" i="4"/>
  <c r="H621" i="4"/>
  <c r="G621" i="4"/>
  <c r="F621" i="4"/>
  <c r="AO620" i="4"/>
  <c r="AN620" i="4"/>
  <c r="AM620" i="4"/>
  <c r="AL620" i="4"/>
  <c r="Y620" i="4"/>
  <c r="X620" i="4"/>
  <c r="W620" i="4"/>
  <c r="V620" i="4"/>
  <c r="U620" i="4"/>
  <c r="T620" i="4"/>
  <c r="S620" i="4"/>
  <c r="M620" i="4"/>
  <c r="L620" i="4"/>
  <c r="K620" i="4"/>
  <c r="J620" i="4"/>
  <c r="I620" i="4"/>
  <c r="H620" i="4"/>
  <c r="G620" i="4"/>
  <c r="F620" i="4"/>
  <c r="AO619" i="4"/>
  <c r="AN619" i="4"/>
  <c r="AM619" i="4"/>
  <c r="AL619" i="4"/>
  <c r="Y619" i="4"/>
  <c r="X619" i="4"/>
  <c r="W619" i="4"/>
  <c r="V619" i="4"/>
  <c r="U619" i="4"/>
  <c r="T619" i="4"/>
  <c r="S619" i="4"/>
  <c r="M619" i="4"/>
  <c r="L619" i="4"/>
  <c r="K619" i="4"/>
  <c r="J619" i="4"/>
  <c r="I619" i="4"/>
  <c r="H619" i="4"/>
  <c r="G619" i="4"/>
  <c r="F619" i="4"/>
  <c r="AO618" i="4"/>
  <c r="AN618" i="4"/>
  <c r="AM618" i="4"/>
  <c r="AL618" i="4"/>
  <c r="Y618" i="4"/>
  <c r="X618" i="4"/>
  <c r="W618" i="4"/>
  <c r="V618" i="4"/>
  <c r="U618" i="4"/>
  <c r="T618" i="4"/>
  <c r="S618" i="4"/>
  <c r="M618" i="4"/>
  <c r="L618" i="4"/>
  <c r="K618" i="4"/>
  <c r="J618" i="4"/>
  <c r="I618" i="4"/>
  <c r="H618" i="4"/>
  <c r="G618" i="4"/>
  <c r="F618" i="4"/>
  <c r="AO617" i="4"/>
  <c r="AN617" i="4"/>
  <c r="AM617" i="4"/>
  <c r="AL617" i="4"/>
  <c r="Y617" i="4"/>
  <c r="X617" i="4"/>
  <c r="W617" i="4"/>
  <c r="V617" i="4"/>
  <c r="U617" i="4"/>
  <c r="T617" i="4"/>
  <c r="S617" i="4"/>
  <c r="M617" i="4"/>
  <c r="L617" i="4"/>
  <c r="K617" i="4"/>
  <c r="J617" i="4"/>
  <c r="I617" i="4"/>
  <c r="H617" i="4"/>
  <c r="G617" i="4"/>
  <c r="F617" i="4"/>
  <c r="AO616" i="4"/>
  <c r="AN616" i="4"/>
  <c r="AM616" i="4"/>
  <c r="AL616" i="4"/>
  <c r="Y616" i="4"/>
  <c r="X616" i="4"/>
  <c r="W616" i="4"/>
  <c r="V616" i="4"/>
  <c r="U616" i="4"/>
  <c r="T616" i="4"/>
  <c r="S616" i="4"/>
  <c r="M616" i="4"/>
  <c r="L616" i="4"/>
  <c r="K616" i="4"/>
  <c r="J616" i="4"/>
  <c r="I616" i="4"/>
  <c r="H616" i="4"/>
  <c r="G616" i="4"/>
  <c r="F616" i="4"/>
  <c r="AO615" i="4"/>
  <c r="AN615" i="4"/>
  <c r="AM615" i="4"/>
  <c r="AL615" i="4"/>
  <c r="Y615" i="4"/>
  <c r="X615" i="4"/>
  <c r="W615" i="4"/>
  <c r="V615" i="4"/>
  <c r="U615" i="4"/>
  <c r="T615" i="4"/>
  <c r="S615" i="4"/>
  <c r="M615" i="4"/>
  <c r="L615" i="4"/>
  <c r="K615" i="4"/>
  <c r="J615" i="4"/>
  <c r="I615" i="4"/>
  <c r="H615" i="4"/>
  <c r="G615" i="4"/>
  <c r="F615" i="4"/>
  <c r="AO614" i="4"/>
  <c r="AN614" i="4"/>
  <c r="AM614" i="4"/>
  <c r="AL614" i="4"/>
  <c r="Y614" i="4"/>
  <c r="X614" i="4"/>
  <c r="W614" i="4"/>
  <c r="V614" i="4"/>
  <c r="U614" i="4"/>
  <c r="T614" i="4"/>
  <c r="S614" i="4"/>
  <c r="M614" i="4"/>
  <c r="L614" i="4"/>
  <c r="K614" i="4"/>
  <c r="J614" i="4"/>
  <c r="I614" i="4"/>
  <c r="H614" i="4"/>
  <c r="G614" i="4"/>
  <c r="F614" i="4"/>
  <c r="AO613" i="4"/>
  <c r="AN613" i="4"/>
  <c r="AM613" i="4"/>
  <c r="AL613" i="4"/>
  <c r="Y613" i="4"/>
  <c r="X613" i="4"/>
  <c r="W613" i="4"/>
  <c r="V613" i="4"/>
  <c r="U613" i="4"/>
  <c r="T613" i="4"/>
  <c r="S613" i="4"/>
  <c r="M613" i="4"/>
  <c r="L613" i="4"/>
  <c r="K613" i="4"/>
  <c r="J613" i="4"/>
  <c r="I613" i="4"/>
  <c r="H613" i="4"/>
  <c r="G613" i="4"/>
  <c r="F613" i="4"/>
  <c r="AO612" i="4"/>
  <c r="AN612" i="4"/>
  <c r="AM612" i="4"/>
  <c r="AL612" i="4"/>
  <c r="Y612" i="4"/>
  <c r="X612" i="4"/>
  <c r="W612" i="4"/>
  <c r="V612" i="4"/>
  <c r="U612" i="4"/>
  <c r="T612" i="4"/>
  <c r="S612" i="4"/>
  <c r="M612" i="4"/>
  <c r="L612" i="4"/>
  <c r="K612" i="4"/>
  <c r="J612" i="4"/>
  <c r="I612" i="4"/>
  <c r="H612" i="4"/>
  <c r="G612" i="4"/>
  <c r="F612" i="4"/>
  <c r="AO611" i="4"/>
  <c r="AN611" i="4"/>
  <c r="AM611" i="4"/>
  <c r="AL611" i="4"/>
  <c r="Y611" i="4"/>
  <c r="X611" i="4"/>
  <c r="W611" i="4"/>
  <c r="V611" i="4"/>
  <c r="U611" i="4"/>
  <c r="T611" i="4"/>
  <c r="S611" i="4"/>
  <c r="M611" i="4"/>
  <c r="L611" i="4"/>
  <c r="K611" i="4"/>
  <c r="J611" i="4"/>
  <c r="I611" i="4"/>
  <c r="H611" i="4"/>
  <c r="G611" i="4"/>
  <c r="F611" i="4"/>
  <c r="AO610" i="4"/>
  <c r="AN610" i="4"/>
  <c r="AM610" i="4"/>
  <c r="AL610" i="4"/>
  <c r="Y610" i="4"/>
  <c r="X610" i="4"/>
  <c r="W610" i="4"/>
  <c r="V610" i="4"/>
  <c r="U610" i="4"/>
  <c r="T610" i="4"/>
  <c r="S610" i="4"/>
  <c r="M610" i="4"/>
  <c r="L610" i="4"/>
  <c r="K610" i="4"/>
  <c r="J610" i="4"/>
  <c r="I610" i="4"/>
  <c r="H610" i="4"/>
  <c r="G610" i="4"/>
  <c r="F610" i="4"/>
  <c r="AO609" i="4"/>
  <c r="AN609" i="4"/>
  <c r="AM609" i="4"/>
  <c r="AL609" i="4"/>
  <c r="Y609" i="4"/>
  <c r="X609" i="4"/>
  <c r="W609" i="4"/>
  <c r="V609" i="4"/>
  <c r="U609" i="4"/>
  <c r="T609" i="4"/>
  <c r="S609" i="4"/>
  <c r="M609" i="4"/>
  <c r="L609" i="4"/>
  <c r="K609" i="4"/>
  <c r="J609" i="4"/>
  <c r="I609" i="4"/>
  <c r="H609" i="4"/>
  <c r="G609" i="4"/>
  <c r="F609" i="4"/>
  <c r="AO608" i="4"/>
  <c r="AN608" i="4"/>
  <c r="AM608" i="4"/>
  <c r="AL608" i="4"/>
  <c r="Y608" i="4"/>
  <c r="X608" i="4"/>
  <c r="W608" i="4"/>
  <c r="V608" i="4"/>
  <c r="U608" i="4"/>
  <c r="T608" i="4"/>
  <c r="S608" i="4"/>
  <c r="M608" i="4"/>
  <c r="L608" i="4"/>
  <c r="K608" i="4"/>
  <c r="J608" i="4"/>
  <c r="I608" i="4"/>
  <c r="H608" i="4"/>
  <c r="G608" i="4"/>
  <c r="F608" i="4"/>
  <c r="AO607" i="4"/>
  <c r="AN607" i="4"/>
  <c r="AM607" i="4"/>
  <c r="AL607" i="4"/>
  <c r="Y607" i="4"/>
  <c r="X607" i="4"/>
  <c r="W607" i="4"/>
  <c r="V607" i="4"/>
  <c r="U607" i="4"/>
  <c r="T607" i="4"/>
  <c r="S607" i="4"/>
  <c r="M607" i="4"/>
  <c r="L607" i="4"/>
  <c r="K607" i="4"/>
  <c r="J607" i="4"/>
  <c r="I607" i="4"/>
  <c r="H607" i="4"/>
  <c r="G607" i="4"/>
  <c r="F607" i="4"/>
  <c r="AO606" i="4"/>
  <c r="AN606" i="4"/>
  <c r="AM606" i="4"/>
  <c r="AL606" i="4"/>
  <c r="Y606" i="4"/>
  <c r="X606" i="4"/>
  <c r="W606" i="4"/>
  <c r="V606" i="4"/>
  <c r="U606" i="4"/>
  <c r="T606" i="4"/>
  <c r="S606" i="4"/>
  <c r="M606" i="4"/>
  <c r="L606" i="4"/>
  <c r="K606" i="4"/>
  <c r="J606" i="4"/>
  <c r="I606" i="4"/>
  <c r="H606" i="4"/>
  <c r="G606" i="4"/>
  <c r="F606" i="4"/>
  <c r="AO605" i="4"/>
  <c r="AN605" i="4"/>
  <c r="AM605" i="4"/>
  <c r="AL605" i="4"/>
  <c r="Y605" i="4"/>
  <c r="X605" i="4"/>
  <c r="W605" i="4"/>
  <c r="V605" i="4"/>
  <c r="U605" i="4"/>
  <c r="T605" i="4"/>
  <c r="S605" i="4"/>
  <c r="M605" i="4"/>
  <c r="L605" i="4"/>
  <c r="K605" i="4"/>
  <c r="J605" i="4"/>
  <c r="I605" i="4"/>
  <c r="H605" i="4"/>
  <c r="G605" i="4"/>
  <c r="F605" i="4"/>
  <c r="AO604" i="4"/>
  <c r="AN604" i="4"/>
  <c r="AM604" i="4"/>
  <c r="AL604" i="4"/>
  <c r="Y604" i="4"/>
  <c r="X604" i="4"/>
  <c r="W604" i="4"/>
  <c r="V604" i="4"/>
  <c r="U604" i="4"/>
  <c r="T604" i="4"/>
  <c r="S604" i="4"/>
  <c r="M604" i="4"/>
  <c r="L604" i="4"/>
  <c r="K604" i="4"/>
  <c r="J604" i="4"/>
  <c r="I604" i="4"/>
  <c r="H604" i="4"/>
  <c r="G604" i="4"/>
  <c r="F604" i="4"/>
  <c r="AO603" i="4"/>
  <c r="AN603" i="4"/>
  <c r="AM603" i="4"/>
  <c r="AL603" i="4"/>
  <c r="Y603" i="4"/>
  <c r="X603" i="4"/>
  <c r="W603" i="4"/>
  <c r="V603" i="4"/>
  <c r="U603" i="4"/>
  <c r="T603" i="4"/>
  <c r="S603" i="4"/>
  <c r="M603" i="4"/>
  <c r="L603" i="4"/>
  <c r="K603" i="4"/>
  <c r="J603" i="4"/>
  <c r="I603" i="4"/>
  <c r="H603" i="4"/>
  <c r="G603" i="4"/>
  <c r="F603" i="4"/>
  <c r="AO602" i="4"/>
  <c r="AN602" i="4"/>
  <c r="AM602" i="4"/>
  <c r="AL602" i="4"/>
  <c r="Y602" i="4"/>
  <c r="X602" i="4"/>
  <c r="W602" i="4"/>
  <c r="V602" i="4"/>
  <c r="U602" i="4"/>
  <c r="T602" i="4"/>
  <c r="S602" i="4"/>
  <c r="M602" i="4"/>
  <c r="L602" i="4"/>
  <c r="K602" i="4"/>
  <c r="J602" i="4"/>
  <c r="I602" i="4"/>
  <c r="H602" i="4"/>
  <c r="G602" i="4"/>
  <c r="F602" i="4"/>
  <c r="AO601" i="4"/>
  <c r="AN601" i="4"/>
  <c r="AM601" i="4"/>
  <c r="AL601" i="4"/>
  <c r="Y601" i="4"/>
  <c r="X601" i="4"/>
  <c r="W601" i="4"/>
  <c r="V601" i="4"/>
  <c r="U601" i="4"/>
  <c r="T601" i="4"/>
  <c r="S601" i="4"/>
  <c r="M601" i="4"/>
  <c r="L601" i="4"/>
  <c r="K601" i="4"/>
  <c r="J601" i="4"/>
  <c r="I601" i="4"/>
  <c r="H601" i="4"/>
  <c r="G601" i="4"/>
  <c r="F601" i="4"/>
  <c r="AN600" i="4"/>
  <c r="AM600" i="4"/>
  <c r="AL600" i="4"/>
  <c r="Y600" i="4"/>
  <c r="X600" i="4"/>
  <c r="W600" i="4"/>
  <c r="V600" i="4"/>
  <c r="U600" i="4"/>
  <c r="T600" i="4"/>
  <c r="S600" i="4"/>
  <c r="M600" i="4"/>
  <c r="L600" i="4"/>
  <c r="K600" i="4"/>
  <c r="J600" i="4"/>
  <c r="I600" i="4"/>
  <c r="H600" i="4"/>
  <c r="G600" i="4"/>
  <c r="F600" i="4"/>
  <c r="AN599" i="4"/>
  <c r="AM599" i="4"/>
  <c r="AL599" i="4"/>
  <c r="Y599" i="4"/>
  <c r="X599" i="4"/>
  <c r="W599" i="4"/>
  <c r="V599" i="4"/>
  <c r="U599" i="4"/>
  <c r="T599" i="4"/>
  <c r="S599" i="4"/>
  <c r="M599" i="4"/>
  <c r="L599" i="4"/>
  <c r="K599" i="4"/>
  <c r="J599" i="4"/>
  <c r="I599" i="4"/>
  <c r="H599" i="4"/>
  <c r="G599" i="4"/>
  <c r="F599" i="4"/>
  <c r="AN598" i="4"/>
  <c r="AM598" i="4"/>
  <c r="AL598" i="4"/>
  <c r="Y598" i="4"/>
  <c r="X598" i="4"/>
  <c r="W598" i="4"/>
  <c r="V598" i="4"/>
  <c r="U598" i="4"/>
  <c r="T598" i="4"/>
  <c r="S598" i="4"/>
  <c r="M598" i="4"/>
  <c r="L598" i="4"/>
  <c r="K598" i="4"/>
  <c r="J598" i="4"/>
  <c r="I598" i="4"/>
  <c r="H598" i="4"/>
  <c r="G598" i="4"/>
  <c r="F598" i="4"/>
  <c r="AN597" i="4"/>
  <c r="AM597" i="4"/>
  <c r="AL597" i="4"/>
  <c r="Y597" i="4"/>
  <c r="X597" i="4"/>
  <c r="W597" i="4"/>
  <c r="V597" i="4"/>
  <c r="U597" i="4"/>
  <c r="T597" i="4"/>
  <c r="S597" i="4"/>
  <c r="M597" i="4"/>
  <c r="L597" i="4"/>
  <c r="K597" i="4"/>
  <c r="J597" i="4"/>
  <c r="I597" i="4"/>
  <c r="H597" i="4"/>
  <c r="G597" i="4"/>
  <c r="F597" i="4"/>
  <c r="AN596" i="4"/>
  <c r="AM596" i="4"/>
  <c r="AL596" i="4"/>
  <c r="Y596" i="4"/>
  <c r="X596" i="4"/>
  <c r="W596" i="4"/>
  <c r="V596" i="4"/>
  <c r="U596" i="4"/>
  <c r="T596" i="4"/>
  <c r="S596" i="4"/>
  <c r="M596" i="4"/>
  <c r="L596" i="4"/>
  <c r="K596" i="4"/>
  <c r="J596" i="4"/>
  <c r="I596" i="4"/>
  <c r="H596" i="4"/>
  <c r="G596" i="4"/>
  <c r="F596" i="4"/>
  <c r="AN595" i="4"/>
  <c r="AM595" i="4"/>
  <c r="AL595" i="4"/>
  <c r="Y595" i="4"/>
  <c r="X595" i="4"/>
  <c r="W595" i="4"/>
  <c r="V595" i="4"/>
  <c r="U595" i="4"/>
  <c r="T595" i="4"/>
  <c r="S595" i="4"/>
  <c r="R595" i="4"/>
  <c r="Q595" i="4"/>
  <c r="M595" i="4"/>
  <c r="L595" i="4"/>
  <c r="K595" i="4"/>
  <c r="J595" i="4"/>
  <c r="I595" i="4"/>
  <c r="H595" i="4"/>
  <c r="G595" i="4"/>
  <c r="F595" i="4"/>
  <c r="AN594" i="4"/>
  <c r="AM594" i="4"/>
  <c r="AL594" i="4"/>
  <c r="Y594" i="4"/>
  <c r="X594" i="4"/>
  <c r="W594" i="4"/>
  <c r="V594" i="4"/>
  <c r="U594" i="4"/>
  <c r="T594" i="4"/>
  <c r="S594" i="4"/>
  <c r="R594" i="4"/>
  <c r="Q594" i="4"/>
  <c r="M594" i="4"/>
  <c r="L594" i="4"/>
  <c r="K594" i="4"/>
  <c r="J594" i="4"/>
  <c r="I594" i="4"/>
  <c r="H594" i="4"/>
  <c r="G594" i="4"/>
  <c r="F594" i="4"/>
  <c r="AN593" i="4"/>
  <c r="AM593" i="4"/>
  <c r="AL593" i="4"/>
  <c r="Y593" i="4"/>
  <c r="X593" i="4"/>
  <c r="W593" i="4"/>
  <c r="V593" i="4"/>
  <c r="U593" i="4"/>
  <c r="T593" i="4"/>
  <c r="S593" i="4"/>
  <c r="R593" i="4"/>
  <c r="Q593" i="4"/>
  <c r="M593" i="4"/>
  <c r="L593" i="4"/>
  <c r="K593" i="4"/>
  <c r="J593" i="4"/>
  <c r="I593" i="4"/>
  <c r="H593" i="4"/>
  <c r="G593" i="4"/>
  <c r="F593" i="4"/>
  <c r="AN592" i="4"/>
  <c r="AM592" i="4"/>
  <c r="AL592" i="4"/>
  <c r="Y592" i="4"/>
  <c r="X592" i="4"/>
  <c r="W592" i="4"/>
  <c r="V592" i="4"/>
  <c r="U592" i="4"/>
  <c r="T592" i="4"/>
  <c r="S592" i="4"/>
  <c r="R592" i="4"/>
  <c r="Q592" i="4"/>
  <c r="M592" i="4"/>
  <c r="L592" i="4"/>
  <c r="K592" i="4"/>
  <c r="J592" i="4"/>
  <c r="I592" i="4"/>
  <c r="H592" i="4"/>
  <c r="G592" i="4"/>
  <c r="F592" i="4"/>
  <c r="AN591" i="4"/>
  <c r="AM591" i="4"/>
  <c r="AL591" i="4"/>
  <c r="Y591" i="4"/>
  <c r="X591" i="4"/>
  <c r="W591" i="4"/>
  <c r="V591" i="4"/>
  <c r="U591" i="4"/>
  <c r="T591" i="4"/>
  <c r="S591" i="4"/>
  <c r="R591" i="4"/>
  <c r="Q591" i="4"/>
  <c r="M591" i="4"/>
  <c r="L591" i="4"/>
  <c r="K591" i="4"/>
  <c r="J591" i="4"/>
  <c r="I591" i="4"/>
  <c r="H591" i="4"/>
  <c r="G591" i="4"/>
  <c r="F591" i="4"/>
  <c r="AT590" i="4"/>
  <c r="AS590" i="4"/>
  <c r="AR590" i="4"/>
  <c r="AQ590" i="4"/>
  <c r="AP590" i="4"/>
  <c r="AN590" i="4"/>
  <c r="AM590" i="4"/>
  <c r="AL590" i="4"/>
  <c r="Y590" i="4"/>
  <c r="X590" i="4"/>
  <c r="W590" i="4"/>
  <c r="V590" i="4"/>
  <c r="U590" i="4"/>
  <c r="T590" i="4"/>
  <c r="S590" i="4"/>
  <c r="R590" i="4"/>
  <c r="Q590" i="4"/>
  <c r="M590" i="4"/>
  <c r="L590" i="4"/>
  <c r="K590" i="4"/>
  <c r="J590" i="4"/>
  <c r="I590" i="4"/>
  <c r="H590" i="4"/>
  <c r="G590" i="4"/>
  <c r="F590" i="4"/>
  <c r="AT589" i="4"/>
  <c r="AS589" i="4"/>
  <c r="AR589" i="4"/>
  <c r="AQ589" i="4"/>
  <c r="AP589" i="4"/>
  <c r="AO589" i="4"/>
  <c r="AN589" i="4"/>
  <c r="AM589" i="4"/>
  <c r="AL589" i="4"/>
  <c r="AA589" i="4"/>
  <c r="Y589" i="4"/>
  <c r="X589" i="4"/>
  <c r="W589" i="4"/>
  <c r="V589" i="4"/>
  <c r="U589" i="4"/>
  <c r="T589" i="4"/>
  <c r="S589" i="4"/>
  <c r="R589" i="4"/>
  <c r="Q589" i="4"/>
  <c r="O589" i="4"/>
  <c r="N589" i="4"/>
  <c r="M589" i="4"/>
  <c r="L589" i="4"/>
  <c r="K589" i="4"/>
  <c r="J589" i="4"/>
  <c r="I589" i="4"/>
  <c r="H589" i="4"/>
  <c r="G589" i="4"/>
  <c r="F589" i="4"/>
  <c r="AT588" i="4"/>
  <c r="AS588" i="4"/>
  <c r="AR588" i="4"/>
  <c r="AQ588" i="4"/>
  <c r="AP588" i="4"/>
  <c r="AO588" i="4"/>
  <c r="AN588" i="4"/>
  <c r="AM588" i="4"/>
  <c r="AL588" i="4"/>
  <c r="AA588" i="4"/>
  <c r="Y588" i="4"/>
  <c r="X588" i="4"/>
  <c r="W588" i="4"/>
  <c r="V588" i="4"/>
  <c r="U588" i="4"/>
  <c r="T588" i="4"/>
  <c r="S588" i="4"/>
  <c r="R588" i="4"/>
  <c r="Q588" i="4"/>
  <c r="O588" i="4"/>
  <c r="N588" i="4"/>
  <c r="M588" i="4"/>
  <c r="L588" i="4"/>
  <c r="K588" i="4"/>
  <c r="J588" i="4"/>
  <c r="I588" i="4"/>
  <c r="H588" i="4"/>
  <c r="G588" i="4"/>
  <c r="F588" i="4"/>
  <c r="AT587" i="4"/>
  <c r="AS587" i="4"/>
  <c r="AR587" i="4"/>
  <c r="AQ587" i="4"/>
  <c r="AP587" i="4"/>
  <c r="AO587" i="4"/>
  <c r="AN587" i="4"/>
  <c r="AM587" i="4"/>
  <c r="AL587" i="4"/>
  <c r="AA587" i="4"/>
  <c r="Y587" i="4"/>
  <c r="X587" i="4"/>
  <c r="W587" i="4"/>
  <c r="V587" i="4"/>
  <c r="U587" i="4"/>
  <c r="T587" i="4"/>
  <c r="S587" i="4"/>
  <c r="R587" i="4"/>
  <c r="Q587" i="4"/>
  <c r="O587" i="4"/>
  <c r="N587" i="4"/>
  <c r="M587" i="4"/>
  <c r="L587" i="4"/>
  <c r="K587" i="4"/>
  <c r="J587" i="4"/>
  <c r="I587" i="4"/>
  <c r="H587" i="4"/>
  <c r="G587" i="4"/>
  <c r="F587" i="4"/>
  <c r="AT586" i="4"/>
  <c r="AS586" i="4"/>
  <c r="AR586" i="4"/>
  <c r="AQ586" i="4"/>
  <c r="AP586" i="4"/>
  <c r="AO586" i="4"/>
  <c r="AN586" i="4"/>
  <c r="AM586" i="4"/>
  <c r="AL586" i="4"/>
  <c r="AA586" i="4"/>
  <c r="Y586" i="4"/>
  <c r="X586" i="4"/>
  <c r="W586" i="4"/>
  <c r="V586" i="4"/>
  <c r="U586" i="4"/>
  <c r="T586" i="4"/>
  <c r="S586" i="4"/>
  <c r="R586" i="4"/>
  <c r="Q586" i="4"/>
  <c r="O586" i="4"/>
  <c r="N586" i="4"/>
  <c r="M586" i="4"/>
  <c r="L586" i="4"/>
  <c r="K586" i="4"/>
  <c r="J586" i="4"/>
  <c r="I586" i="4"/>
  <c r="H586" i="4"/>
  <c r="G586" i="4"/>
  <c r="F586" i="4"/>
  <c r="AT585" i="4"/>
  <c r="AS585" i="4"/>
  <c r="AR585" i="4"/>
  <c r="AQ585" i="4"/>
  <c r="AP585" i="4"/>
  <c r="AO585" i="4"/>
  <c r="AN585" i="4"/>
  <c r="AM585" i="4"/>
  <c r="AL585" i="4"/>
  <c r="AA585" i="4"/>
  <c r="Y585" i="4"/>
  <c r="X585" i="4"/>
  <c r="W585" i="4"/>
  <c r="V585" i="4"/>
  <c r="U585" i="4"/>
  <c r="T585" i="4"/>
  <c r="S585" i="4"/>
  <c r="R585" i="4"/>
  <c r="Q585" i="4"/>
  <c r="O585" i="4"/>
  <c r="N585" i="4"/>
  <c r="M585" i="4"/>
  <c r="L585" i="4"/>
  <c r="K585" i="4"/>
  <c r="J585" i="4"/>
  <c r="I585" i="4"/>
  <c r="H585" i="4"/>
  <c r="G585" i="4"/>
  <c r="F585" i="4"/>
  <c r="AT584" i="4"/>
  <c r="AS584" i="4"/>
  <c r="AR584" i="4"/>
  <c r="AQ584" i="4"/>
  <c r="AP584" i="4"/>
  <c r="AO584" i="4"/>
  <c r="AN584" i="4"/>
  <c r="AM584" i="4"/>
  <c r="AL584" i="4"/>
  <c r="AA584" i="4"/>
  <c r="Y584" i="4"/>
  <c r="X584" i="4"/>
  <c r="W584" i="4"/>
  <c r="V584" i="4"/>
  <c r="U584" i="4"/>
  <c r="T584" i="4"/>
  <c r="S584" i="4"/>
  <c r="R584" i="4"/>
  <c r="Q584" i="4"/>
  <c r="O584" i="4"/>
  <c r="N584" i="4"/>
  <c r="M584" i="4"/>
  <c r="L584" i="4"/>
  <c r="K584" i="4"/>
  <c r="J584" i="4"/>
  <c r="I584" i="4"/>
  <c r="H584" i="4"/>
  <c r="G584" i="4"/>
  <c r="F584" i="4"/>
  <c r="AT583" i="4"/>
  <c r="AS583" i="4"/>
  <c r="AR583" i="4"/>
  <c r="AQ583" i="4"/>
  <c r="AP583" i="4"/>
  <c r="AO583" i="4"/>
  <c r="AN583" i="4"/>
  <c r="AM583" i="4"/>
  <c r="AL583" i="4"/>
  <c r="AA583" i="4"/>
  <c r="Y583" i="4"/>
  <c r="X583" i="4"/>
  <c r="W583" i="4"/>
  <c r="V583" i="4"/>
  <c r="U583" i="4"/>
  <c r="T583" i="4"/>
  <c r="S583" i="4"/>
  <c r="R583" i="4"/>
  <c r="Q583" i="4"/>
  <c r="O583" i="4"/>
  <c r="N583" i="4"/>
  <c r="M583" i="4"/>
  <c r="L583" i="4"/>
  <c r="K583" i="4"/>
  <c r="J583" i="4"/>
  <c r="I583" i="4"/>
  <c r="H583" i="4"/>
  <c r="G583" i="4"/>
  <c r="F583" i="4"/>
  <c r="AT582" i="4"/>
  <c r="AS582" i="4"/>
  <c r="AR582" i="4"/>
  <c r="AQ582" i="4"/>
  <c r="AP582" i="4"/>
  <c r="AO582" i="4"/>
  <c r="AN582" i="4"/>
  <c r="AM582" i="4"/>
  <c r="AL582" i="4"/>
  <c r="AA582" i="4"/>
  <c r="Y582" i="4"/>
  <c r="X582" i="4"/>
  <c r="W582" i="4"/>
  <c r="V582" i="4"/>
  <c r="U582" i="4"/>
  <c r="T582" i="4"/>
  <c r="S582" i="4"/>
  <c r="R582" i="4"/>
  <c r="Q582" i="4"/>
  <c r="O582" i="4"/>
  <c r="N582" i="4"/>
  <c r="M582" i="4"/>
  <c r="L582" i="4"/>
  <c r="K582" i="4"/>
  <c r="J582" i="4"/>
  <c r="I582" i="4"/>
  <c r="H582" i="4"/>
  <c r="G582" i="4"/>
  <c r="F582" i="4"/>
  <c r="AT581" i="4"/>
  <c r="AS581" i="4"/>
  <c r="AR581" i="4"/>
  <c r="AQ581" i="4"/>
  <c r="AP581" i="4"/>
  <c r="AO581" i="4"/>
  <c r="AN581" i="4"/>
  <c r="AM581" i="4"/>
  <c r="AL581" i="4"/>
  <c r="AA581" i="4"/>
  <c r="Y581" i="4"/>
  <c r="X581" i="4"/>
  <c r="W581" i="4"/>
  <c r="V581" i="4"/>
  <c r="U581" i="4"/>
  <c r="T581" i="4"/>
  <c r="S581" i="4"/>
  <c r="R581" i="4"/>
  <c r="Q581" i="4"/>
  <c r="O581" i="4"/>
  <c r="N581" i="4"/>
  <c r="M581" i="4"/>
  <c r="L581" i="4"/>
  <c r="K581" i="4"/>
  <c r="J581" i="4"/>
  <c r="I581" i="4"/>
  <c r="H581" i="4"/>
  <c r="G581" i="4"/>
  <c r="F581" i="4"/>
  <c r="AT580" i="4"/>
  <c r="AS580" i="4"/>
  <c r="AR580" i="4"/>
  <c r="AQ580" i="4"/>
  <c r="AP580" i="4"/>
  <c r="AO580" i="4"/>
  <c r="AN580" i="4"/>
  <c r="AM580" i="4"/>
  <c r="AL580" i="4"/>
  <c r="AA580" i="4"/>
  <c r="Y580" i="4"/>
  <c r="X580" i="4"/>
  <c r="W580" i="4"/>
  <c r="V580" i="4"/>
  <c r="U580" i="4"/>
  <c r="T580" i="4"/>
  <c r="S580" i="4"/>
  <c r="R580" i="4"/>
  <c r="Q580" i="4"/>
  <c r="O580" i="4"/>
  <c r="N580" i="4"/>
  <c r="M580" i="4"/>
  <c r="L580" i="4"/>
  <c r="K580" i="4"/>
  <c r="J580" i="4"/>
  <c r="I580" i="4"/>
  <c r="H580" i="4"/>
  <c r="G580" i="4"/>
  <c r="F580" i="4"/>
  <c r="AT579" i="4"/>
  <c r="AS579" i="4"/>
  <c r="AR579" i="4"/>
  <c r="AQ579" i="4"/>
  <c r="AP579" i="4"/>
  <c r="AO579" i="4"/>
  <c r="AN579" i="4"/>
  <c r="AM579" i="4"/>
  <c r="AL579" i="4"/>
  <c r="AA579" i="4"/>
  <c r="Y579" i="4"/>
  <c r="X579" i="4"/>
  <c r="W579" i="4"/>
  <c r="V579" i="4"/>
  <c r="U579" i="4"/>
  <c r="T579" i="4"/>
  <c r="S579" i="4"/>
  <c r="R579" i="4"/>
  <c r="Q579" i="4"/>
  <c r="O579" i="4"/>
  <c r="N579" i="4"/>
  <c r="M579" i="4"/>
  <c r="L579" i="4"/>
  <c r="K579" i="4"/>
  <c r="J579" i="4"/>
  <c r="I579" i="4"/>
  <c r="H579" i="4"/>
  <c r="G579" i="4"/>
  <c r="F579" i="4"/>
  <c r="AT578" i="4"/>
  <c r="AS578" i="4"/>
  <c r="AR578" i="4"/>
  <c r="AQ578" i="4"/>
  <c r="AP578" i="4"/>
  <c r="AO578" i="4"/>
  <c r="AN578" i="4"/>
  <c r="AM578" i="4"/>
  <c r="AL578" i="4"/>
  <c r="AA578" i="4"/>
  <c r="Y578" i="4"/>
  <c r="X578" i="4"/>
  <c r="W578" i="4"/>
  <c r="V578" i="4"/>
  <c r="U578" i="4"/>
  <c r="T578" i="4"/>
  <c r="S578" i="4"/>
  <c r="R578" i="4"/>
  <c r="Q578" i="4"/>
  <c r="O578" i="4"/>
  <c r="N578" i="4"/>
  <c r="M578" i="4"/>
  <c r="L578" i="4"/>
  <c r="K578" i="4"/>
  <c r="J578" i="4"/>
  <c r="I578" i="4"/>
  <c r="H578" i="4"/>
  <c r="G578" i="4"/>
  <c r="F578" i="4"/>
  <c r="AT577" i="4"/>
  <c r="AS577" i="4"/>
  <c r="AR577" i="4"/>
  <c r="AQ577" i="4"/>
  <c r="AP577" i="4"/>
  <c r="AO577" i="4"/>
  <c r="AN577" i="4"/>
  <c r="AM577" i="4"/>
  <c r="AL577" i="4"/>
  <c r="AA577" i="4"/>
  <c r="Y577" i="4"/>
  <c r="X577" i="4"/>
  <c r="W577" i="4"/>
  <c r="V577" i="4"/>
  <c r="U577" i="4"/>
  <c r="T577" i="4"/>
  <c r="S577" i="4"/>
  <c r="R577" i="4"/>
  <c r="Q577" i="4"/>
  <c r="O577" i="4"/>
  <c r="N577" i="4"/>
  <c r="M577" i="4"/>
  <c r="L577" i="4"/>
  <c r="K577" i="4"/>
  <c r="J577" i="4"/>
  <c r="I577" i="4"/>
  <c r="H577" i="4"/>
  <c r="G577" i="4"/>
  <c r="F577" i="4"/>
  <c r="AT576" i="4"/>
  <c r="AS576" i="4"/>
  <c r="AR576" i="4"/>
  <c r="AQ576" i="4"/>
  <c r="AP576" i="4"/>
  <c r="AO576" i="4"/>
  <c r="AN576" i="4"/>
  <c r="AM576" i="4"/>
  <c r="AL576" i="4"/>
  <c r="AA576" i="4"/>
  <c r="Y576" i="4"/>
  <c r="X576" i="4"/>
  <c r="W576" i="4"/>
  <c r="V576" i="4"/>
  <c r="U576" i="4"/>
  <c r="T576" i="4"/>
  <c r="S576" i="4"/>
  <c r="R576" i="4"/>
  <c r="Q576" i="4"/>
  <c r="O576" i="4"/>
  <c r="N576" i="4"/>
  <c r="M576" i="4"/>
  <c r="L576" i="4"/>
  <c r="K576" i="4"/>
  <c r="J576" i="4"/>
  <c r="I576" i="4"/>
  <c r="H576" i="4"/>
  <c r="G576" i="4"/>
  <c r="F576" i="4"/>
  <c r="AT575" i="4"/>
  <c r="AS575" i="4"/>
  <c r="AR575" i="4"/>
  <c r="AQ575" i="4"/>
  <c r="AP575" i="4"/>
  <c r="AO575" i="4"/>
  <c r="AN575" i="4"/>
  <c r="AM575" i="4"/>
  <c r="AL575" i="4"/>
  <c r="AA575" i="4"/>
  <c r="Y575" i="4"/>
  <c r="X575" i="4"/>
  <c r="W575" i="4"/>
  <c r="V575" i="4"/>
  <c r="U575" i="4"/>
  <c r="T575" i="4"/>
  <c r="S575" i="4"/>
  <c r="R575" i="4"/>
  <c r="Q575" i="4"/>
  <c r="O575" i="4"/>
  <c r="N575" i="4"/>
  <c r="M575" i="4"/>
  <c r="L575" i="4"/>
  <c r="K575" i="4"/>
  <c r="J575" i="4"/>
  <c r="I575" i="4"/>
  <c r="H575" i="4"/>
  <c r="G575" i="4"/>
  <c r="F575" i="4"/>
  <c r="AT574" i="4"/>
  <c r="AS574" i="4"/>
  <c r="AR574" i="4"/>
  <c r="AQ574" i="4"/>
  <c r="AP574" i="4"/>
  <c r="AO574" i="4"/>
  <c r="AN574" i="4"/>
  <c r="AM574" i="4"/>
  <c r="AL574" i="4"/>
  <c r="AA574" i="4"/>
  <c r="Y574" i="4"/>
  <c r="X574" i="4"/>
  <c r="W574" i="4"/>
  <c r="V574" i="4"/>
  <c r="U574" i="4"/>
  <c r="T574" i="4"/>
  <c r="S574" i="4"/>
  <c r="R574" i="4"/>
  <c r="Q574" i="4"/>
  <c r="O574" i="4"/>
  <c r="N574" i="4"/>
  <c r="M574" i="4"/>
  <c r="L574" i="4"/>
  <c r="K574" i="4"/>
  <c r="J574" i="4"/>
  <c r="I574" i="4"/>
  <c r="H574" i="4"/>
  <c r="G574" i="4"/>
  <c r="F574" i="4"/>
  <c r="AT573" i="4"/>
  <c r="AS573" i="4"/>
  <c r="AR573" i="4"/>
  <c r="AQ573" i="4"/>
  <c r="AP573" i="4"/>
  <c r="AO573" i="4"/>
  <c r="AN573" i="4"/>
  <c r="AM573" i="4"/>
  <c r="AL573" i="4"/>
  <c r="AA573" i="4"/>
  <c r="Y573" i="4"/>
  <c r="X573" i="4"/>
  <c r="W573" i="4"/>
  <c r="V573" i="4"/>
  <c r="U573" i="4"/>
  <c r="T573" i="4"/>
  <c r="S573" i="4"/>
  <c r="R573" i="4"/>
  <c r="Q573" i="4"/>
  <c r="O573" i="4"/>
  <c r="N573" i="4"/>
  <c r="M573" i="4"/>
  <c r="L573" i="4"/>
  <c r="K573" i="4"/>
  <c r="J573" i="4"/>
  <c r="I573" i="4"/>
  <c r="H573" i="4"/>
  <c r="G573" i="4"/>
  <c r="F573" i="4"/>
  <c r="AT572" i="4"/>
  <c r="AS572" i="4"/>
  <c r="AR572" i="4"/>
  <c r="AQ572" i="4"/>
  <c r="AP572" i="4"/>
  <c r="AO572" i="4"/>
  <c r="AN572" i="4"/>
  <c r="AM572" i="4"/>
  <c r="AL572" i="4"/>
  <c r="AA572" i="4"/>
  <c r="Y572" i="4"/>
  <c r="X572" i="4"/>
  <c r="W572" i="4"/>
  <c r="V572" i="4"/>
  <c r="U572" i="4"/>
  <c r="T572" i="4"/>
  <c r="S572" i="4"/>
  <c r="R572" i="4"/>
  <c r="Q572" i="4"/>
  <c r="O572" i="4"/>
  <c r="N572" i="4"/>
  <c r="M572" i="4"/>
  <c r="L572" i="4"/>
  <c r="K572" i="4"/>
  <c r="J572" i="4"/>
  <c r="I572" i="4"/>
  <c r="H572" i="4"/>
  <c r="G572" i="4"/>
  <c r="F572" i="4"/>
  <c r="AT571" i="4"/>
  <c r="AS571" i="4"/>
  <c r="AR571" i="4"/>
  <c r="AQ571" i="4"/>
  <c r="AP571" i="4"/>
  <c r="AO571" i="4"/>
  <c r="AN571" i="4"/>
  <c r="AM571" i="4"/>
  <c r="AL571" i="4"/>
  <c r="AA571" i="4"/>
  <c r="Y571" i="4"/>
  <c r="X571" i="4"/>
  <c r="W571" i="4"/>
  <c r="V571" i="4"/>
  <c r="U571" i="4"/>
  <c r="T571" i="4"/>
  <c r="S571" i="4"/>
  <c r="R571" i="4"/>
  <c r="Q571" i="4"/>
  <c r="O571" i="4"/>
  <c r="N571" i="4"/>
  <c r="M571" i="4"/>
  <c r="L571" i="4"/>
  <c r="K571" i="4"/>
  <c r="J571" i="4"/>
  <c r="I571" i="4"/>
  <c r="H571" i="4"/>
  <c r="G571" i="4"/>
  <c r="F571" i="4"/>
  <c r="AT570" i="4"/>
  <c r="AS570" i="4"/>
  <c r="AR570" i="4"/>
  <c r="AQ570" i="4"/>
  <c r="AP570" i="4"/>
  <c r="AO570" i="4"/>
  <c r="AN570" i="4"/>
  <c r="AM570" i="4"/>
  <c r="AL570" i="4"/>
  <c r="AA570" i="4"/>
  <c r="Y570" i="4"/>
  <c r="X570" i="4"/>
  <c r="W570" i="4"/>
  <c r="V570" i="4"/>
  <c r="U570" i="4"/>
  <c r="T570" i="4"/>
  <c r="S570" i="4"/>
  <c r="R570" i="4"/>
  <c r="Q570" i="4"/>
  <c r="O570" i="4"/>
  <c r="N570" i="4"/>
  <c r="M570" i="4"/>
  <c r="L570" i="4"/>
  <c r="K570" i="4"/>
  <c r="J570" i="4"/>
  <c r="I570" i="4"/>
  <c r="H570" i="4"/>
  <c r="G570" i="4"/>
  <c r="F570" i="4"/>
  <c r="AT569" i="4"/>
  <c r="AS569" i="4"/>
  <c r="AR569" i="4"/>
  <c r="AQ569" i="4"/>
  <c r="AP569" i="4"/>
  <c r="AO569" i="4"/>
  <c r="AN569" i="4"/>
  <c r="AM569" i="4"/>
  <c r="AL569" i="4"/>
  <c r="AA569" i="4"/>
  <c r="Y569" i="4"/>
  <c r="X569" i="4"/>
  <c r="W569" i="4"/>
  <c r="V569" i="4"/>
  <c r="U569" i="4"/>
  <c r="T569" i="4"/>
  <c r="S569" i="4"/>
  <c r="R569" i="4"/>
  <c r="Q569" i="4"/>
  <c r="O569" i="4"/>
  <c r="N569" i="4"/>
  <c r="M569" i="4"/>
  <c r="L569" i="4"/>
  <c r="K569" i="4"/>
  <c r="J569" i="4"/>
  <c r="I569" i="4"/>
  <c r="H569" i="4"/>
  <c r="G569" i="4"/>
  <c r="F569" i="4"/>
  <c r="AT568" i="4"/>
  <c r="AS568" i="4"/>
  <c r="AR568" i="4"/>
  <c r="AQ568" i="4"/>
  <c r="AP568" i="4"/>
  <c r="AO568" i="4"/>
  <c r="AN568" i="4"/>
  <c r="AM568" i="4"/>
  <c r="AL568" i="4"/>
  <c r="AA568" i="4"/>
  <c r="Y568" i="4"/>
  <c r="X568" i="4"/>
  <c r="W568" i="4"/>
  <c r="V568" i="4"/>
  <c r="U568" i="4"/>
  <c r="T568" i="4"/>
  <c r="S568" i="4"/>
  <c r="R568" i="4"/>
  <c r="Q568" i="4"/>
  <c r="O568" i="4"/>
  <c r="N568" i="4"/>
  <c r="M568" i="4"/>
  <c r="L568" i="4"/>
  <c r="K568" i="4"/>
  <c r="J568" i="4"/>
  <c r="I568" i="4"/>
  <c r="H568" i="4"/>
  <c r="G568" i="4"/>
  <c r="F568" i="4"/>
  <c r="AT567" i="4"/>
  <c r="AS567" i="4"/>
  <c r="AR567" i="4"/>
  <c r="AQ567" i="4"/>
  <c r="AP567" i="4"/>
  <c r="AO567" i="4"/>
  <c r="AN567" i="4"/>
  <c r="AM567" i="4"/>
  <c r="AL567" i="4"/>
  <c r="AA567" i="4"/>
  <c r="Y567" i="4"/>
  <c r="X567" i="4"/>
  <c r="W567" i="4"/>
  <c r="V567" i="4"/>
  <c r="U567" i="4"/>
  <c r="T567" i="4"/>
  <c r="S567" i="4"/>
  <c r="R567" i="4"/>
  <c r="Q567" i="4"/>
  <c r="O567" i="4"/>
  <c r="N567" i="4"/>
  <c r="M567" i="4"/>
  <c r="L567" i="4"/>
  <c r="K567" i="4"/>
  <c r="J567" i="4"/>
  <c r="I567" i="4"/>
  <c r="H567" i="4"/>
  <c r="G567" i="4"/>
  <c r="F567" i="4"/>
  <c r="AT566" i="4"/>
  <c r="AS566" i="4"/>
  <c r="AR566" i="4"/>
  <c r="AQ566" i="4"/>
  <c r="AP566" i="4"/>
  <c r="AO566" i="4"/>
  <c r="AN566" i="4"/>
  <c r="AM566" i="4"/>
  <c r="AL566" i="4"/>
  <c r="AA566" i="4"/>
  <c r="Y566" i="4"/>
  <c r="X566" i="4"/>
  <c r="W566" i="4"/>
  <c r="V566" i="4"/>
  <c r="U566" i="4"/>
  <c r="T566" i="4"/>
  <c r="S566" i="4"/>
  <c r="R566" i="4"/>
  <c r="Q566" i="4"/>
  <c r="O566" i="4"/>
  <c r="N566" i="4"/>
  <c r="M566" i="4"/>
  <c r="L566" i="4"/>
  <c r="K566" i="4"/>
  <c r="J566" i="4"/>
  <c r="I566" i="4"/>
  <c r="H566" i="4"/>
  <c r="G566" i="4"/>
  <c r="F566" i="4"/>
  <c r="AT565" i="4"/>
  <c r="AS565" i="4"/>
  <c r="AR565" i="4"/>
  <c r="AQ565" i="4"/>
  <c r="AP565" i="4"/>
  <c r="AO565" i="4"/>
  <c r="AN565" i="4"/>
  <c r="AM565" i="4"/>
  <c r="AL565" i="4"/>
  <c r="AA565" i="4"/>
  <c r="Y565" i="4"/>
  <c r="X565" i="4"/>
  <c r="W565" i="4"/>
  <c r="V565" i="4"/>
  <c r="U565" i="4"/>
  <c r="T565" i="4"/>
  <c r="S565" i="4"/>
  <c r="R565" i="4"/>
  <c r="Q565" i="4"/>
  <c r="O565" i="4"/>
  <c r="N565" i="4"/>
  <c r="M565" i="4"/>
  <c r="L565" i="4"/>
  <c r="K565" i="4"/>
  <c r="J565" i="4"/>
  <c r="I565" i="4"/>
  <c r="H565" i="4"/>
  <c r="G565" i="4"/>
  <c r="F565" i="4"/>
  <c r="AT564" i="4"/>
  <c r="AS564" i="4"/>
  <c r="AR564" i="4"/>
  <c r="AQ564" i="4"/>
  <c r="AP564" i="4"/>
  <c r="AO564" i="4"/>
  <c r="AN564" i="4"/>
  <c r="AM564" i="4"/>
  <c r="AL564" i="4"/>
  <c r="AA564" i="4"/>
  <c r="Y564" i="4"/>
  <c r="X564" i="4"/>
  <c r="W564" i="4"/>
  <c r="V564" i="4"/>
  <c r="U564" i="4"/>
  <c r="T564" i="4"/>
  <c r="S564" i="4"/>
  <c r="R564" i="4"/>
  <c r="Q564" i="4"/>
  <c r="O564" i="4"/>
  <c r="N564" i="4"/>
  <c r="M564" i="4"/>
  <c r="L564" i="4"/>
  <c r="K564" i="4"/>
  <c r="J564" i="4"/>
  <c r="I564" i="4"/>
  <c r="H564" i="4"/>
  <c r="G564" i="4"/>
  <c r="F564" i="4"/>
  <c r="AT563" i="4"/>
  <c r="AS563" i="4"/>
  <c r="AR563" i="4"/>
  <c r="AQ563" i="4"/>
  <c r="AP563" i="4"/>
  <c r="AO563" i="4"/>
  <c r="AN563" i="4"/>
  <c r="AM563" i="4"/>
  <c r="AL563" i="4"/>
  <c r="AA563" i="4"/>
  <c r="Y563" i="4"/>
  <c r="X563" i="4"/>
  <c r="W563" i="4"/>
  <c r="V563" i="4"/>
  <c r="U563" i="4"/>
  <c r="T563" i="4"/>
  <c r="S563" i="4"/>
  <c r="R563" i="4"/>
  <c r="Q563" i="4"/>
  <c r="O563" i="4"/>
  <c r="N563" i="4"/>
  <c r="M563" i="4"/>
  <c r="L563" i="4"/>
  <c r="K563" i="4"/>
  <c r="J563" i="4"/>
  <c r="I563" i="4"/>
  <c r="H563" i="4"/>
  <c r="G563" i="4"/>
  <c r="F563" i="4"/>
  <c r="AT562" i="4"/>
  <c r="AS562" i="4"/>
  <c r="AR562" i="4"/>
  <c r="AQ562" i="4"/>
  <c r="AP562" i="4"/>
  <c r="AO562" i="4"/>
  <c r="AN562" i="4"/>
  <c r="AM562" i="4"/>
  <c r="AL562" i="4"/>
  <c r="AA562" i="4"/>
  <c r="Y562" i="4"/>
  <c r="X562" i="4"/>
  <c r="W562" i="4"/>
  <c r="V562" i="4"/>
  <c r="U562" i="4"/>
  <c r="T562" i="4"/>
  <c r="S562" i="4"/>
  <c r="R562" i="4"/>
  <c r="Q562" i="4"/>
  <c r="O562" i="4"/>
  <c r="N562" i="4"/>
  <c r="M562" i="4"/>
  <c r="L562" i="4"/>
  <c r="K562" i="4"/>
  <c r="J562" i="4"/>
  <c r="I562" i="4"/>
  <c r="H562" i="4"/>
  <c r="G562" i="4"/>
  <c r="F562" i="4"/>
  <c r="AT561" i="4"/>
  <c r="AS561" i="4"/>
  <c r="AR561" i="4"/>
  <c r="AQ561" i="4"/>
  <c r="AP561" i="4"/>
  <c r="AO561" i="4"/>
  <c r="AN561" i="4"/>
  <c r="AM561" i="4"/>
  <c r="AL561" i="4"/>
  <c r="AA561" i="4"/>
  <c r="Y561" i="4"/>
  <c r="X561" i="4"/>
  <c r="W561" i="4"/>
  <c r="V561" i="4"/>
  <c r="U561" i="4"/>
  <c r="T561" i="4"/>
  <c r="S561" i="4"/>
  <c r="R561" i="4"/>
  <c r="Q561" i="4"/>
  <c r="O561" i="4"/>
  <c r="N561" i="4"/>
  <c r="M561" i="4"/>
  <c r="L561" i="4"/>
  <c r="K561" i="4"/>
  <c r="J561" i="4"/>
  <c r="I561" i="4"/>
  <c r="H561" i="4"/>
  <c r="G561" i="4"/>
  <c r="F561" i="4"/>
  <c r="AT560" i="4"/>
  <c r="AS560" i="4"/>
  <c r="AR560" i="4"/>
  <c r="AQ560" i="4"/>
  <c r="AP560" i="4"/>
  <c r="AO560" i="4"/>
  <c r="AN560" i="4"/>
  <c r="AM560" i="4"/>
  <c r="AL560" i="4"/>
  <c r="AA560" i="4"/>
  <c r="Y560" i="4"/>
  <c r="X560" i="4"/>
  <c r="W560" i="4"/>
  <c r="V560" i="4"/>
  <c r="U560" i="4"/>
  <c r="T560" i="4"/>
  <c r="S560" i="4"/>
  <c r="R560" i="4"/>
  <c r="Q560" i="4"/>
  <c r="O560" i="4"/>
  <c r="N560" i="4"/>
  <c r="M560" i="4"/>
  <c r="L560" i="4"/>
  <c r="K560" i="4"/>
  <c r="J560" i="4"/>
  <c r="I560" i="4"/>
  <c r="H560" i="4"/>
  <c r="G560" i="4"/>
  <c r="F560" i="4"/>
  <c r="AT559" i="4"/>
  <c r="AS559" i="4"/>
  <c r="AR559" i="4"/>
  <c r="AQ559" i="4"/>
  <c r="AP559" i="4"/>
  <c r="AO559" i="4"/>
  <c r="AN559" i="4"/>
  <c r="AM559" i="4"/>
  <c r="AL559" i="4"/>
  <c r="AA559" i="4"/>
  <c r="Y559" i="4"/>
  <c r="X559" i="4"/>
  <c r="W559" i="4"/>
  <c r="V559" i="4"/>
  <c r="U559" i="4"/>
  <c r="T559" i="4"/>
  <c r="S559" i="4"/>
  <c r="R559" i="4"/>
  <c r="Q559" i="4"/>
  <c r="O559" i="4"/>
  <c r="N559" i="4"/>
  <c r="M559" i="4"/>
  <c r="L559" i="4"/>
  <c r="K559" i="4"/>
  <c r="J559" i="4"/>
  <c r="I559" i="4"/>
  <c r="H559" i="4"/>
  <c r="G559" i="4"/>
  <c r="F559" i="4"/>
  <c r="AT558" i="4"/>
  <c r="AS558" i="4"/>
  <c r="AR558" i="4"/>
  <c r="AQ558" i="4"/>
  <c r="AP558" i="4"/>
  <c r="AO558" i="4"/>
  <c r="AN558" i="4"/>
  <c r="AM558" i="4"/>
  <c r="AL558" i="4"/>
  <c r="AA558" i="4"/>
  <c r="Y558" i="4"/>
  <c r="X558" i="4"/>
  <c r="W558" i="4"/>
  <c r="V558" i="4"/>
  <c r="U558" i="4"/>
  <c r="T558" i="4"/>
  <c r="S558" i="4"/>
  <c r="R558" i="4"/>
  <c r="Q558" i="4"/>
  <c r="O558" i="4"/>
  <c r="N558" i="4"/>
  <c r="M558" i="4"/>
  <c r="L558" i="4"/>
  <c r="K558" i="4"/>
  <c r="J558" i="4"/>
  <c r="I558" i="4"/>
  <c r="H558" i="4"/>
  <c r="G558" i="4"/>
  <c r="F558" i="4"/>
  <c r="AT557" i="4"/>
  <c r="AS557" i="4"/>
  <c r="AR557" i="4"/>
  <c r="AQ557" i="4"/>
  <c r="AP557" i="4"/>
  <c r="AO557" i="4"/>
  <c r="AN557" i="4"/>
  <c r="AM557" i="4"/>
  <c r="AL557" i="4"/>
  <c r="AA557" i="4"/>
  <c r="Y557" i="4"/>
  <c r="X557" i="4"/>
  <c r="W557" i="4"/>
  <c r="V557" i="4"/>
  <c r="U557" i="4"/>
  <c r="T557" i="4"/>
  <c r="S557" i="4"/>
  <c r="R557" i="4"/>
  <c r="Q557" i="4"/>
  <c r="O557" i="4"/>
  <c r="N557" i="4"/>
  <c r="M557" i="4"/>
  <c r="L557" i="4"/>
  <c r="K557" i="4"/>
  <c r="J557" i="4"/>
  <c r="I557" i="4"/>
  <c r="H557" i="4"/>
  <c r="G557" i="4"/>
  <c r="F557" i="4"/>
  <c r="AT556" i="4"/>
  <c r="AS556" i="4"/>
  <c r="AR556" i="4"/>
  <c r="AQ556" i="4"/>
  <c r="AP556" i="4"/>
  <c r="AO556" i="4"/>
  <c r="AN556" i="4"/>
  <c r="AM556" i="4"/>
  <c r="AL556" i="4"/>
  <c r="AA556" i="4"/>
  <c r="Y556" i="4"/>
  <c r="X556" i="4"/>
  <c r="W556" i="4"/>
  <c r="V556" i="4"/>
  <c r="U556" i="4"/>
  <c r="T556" i="4"/>
  <c r="S556" i="4"/>
  <c r="R556" i="4"/>
  <c r="Q556" i="4"/>
  <c r="O556" i="4"/>
  <c r="N556" i="4"/>
  <c r="M556" i="4"/>
  <c r="L556" i="4"/>
  <c r="K556" i="4"/>
  <c r="J556" i="4"/>
  <c r="I556" i="4"/>
  <c r="H556" i="4"/>
  <c r="G556" i="4"/>
  <c r="F556" i="4"/>
  <c r="AT555" i="4"/>
  <c r="AS555" i="4"/>
  <c r="AR555" i="4"/>
  <c r="AQ555" i="4"/>
  <c r="AP555" i="4"/>
  <c r="AO555" i="4"/>
  <c r="AN555" i="4"/>
  <c r="AM555" i="4"/>
  <c r="AL555" i="4"/>
  <c r="AA555" i="4"/>
  <c r="Y555" i="4"/>
  <c r="X555" i="4"/>
  <c r="W555" i="4"/>
  <c r="V555" i="4"/>
  <c r="U555" i="4"/>
  <c r="T555" i="4"/>
  <c r="S555" i="4"/>
  <c r="R555" i="4"/>
  <c r="Q555" i="4"/>
  <c r="O555" i="4"/>
  <c r="N555" i="4"/>
  <c r="M555" i="4"/>
  <c r="L555" i="4"/>
  <c r="K555" i="4"/>
  <c r="J555" i="4"/>
  <c r="I555" i="4"/>
  <c r="H555" i="4"/>
  <c r="G555" i="4"/>
  <c r="F555" i="4"/>
  <c r="AT554" i="4"/>
  <c r="AS554" i="4"/>
  <c r="AR554" i="4"/>
  <c r="AQ554" i="4"/>
  <c r="AP554" i="4"/>
  <c r="AO554" i="4"/>
  <c r="AN554" i="4"/>
  <c r="AM554" i="4"/>
  <c r="AL554" i="4"/>
  <c r="AA554" i="4"/>
  <c r="Y554" i="4"/>
  <c r="X554" i="4"/>
  <c r="W554" i="4"/>
  <c r="V554" i="4"/>
  <c r="U554" i="4"/>
  <c r="T554" i="4"/>
  <c r="S554" i="4"/>
  <c r="R554" i="4"/>
  <c r="Q554" i="4"/>
  <c r="O554" i="4"/>
  <c r="N554" i="4"/>
  <c r="M554" i="4"/>
  <c r="L554" i="4"/>
  <c r="K554" i="4"/>
  <c r="J554" i="4"/>
  <c r="I554" i="4"/>
  <c r="H554" i="4"/>
  <c r="G554" i="4"/>
  <c r="F554" i="4"/>
  <c r="AT553" i="4"/>
  <c r="AS553" i="4"/>
  <c r="AR553" i="4"/>
  <c r="AQ553" i="4"/>
  <c r="AP553" i="4"/>
  <c r="AO553" i="4"/>
  <c r="AN553" i="4"/>
  <c r="AM553" i="4"/>
  <c r="AL553" i="4"/>
  <c r="AA553" i="4"/>
  <c r="Y553" i="4"/>
  <c r="X553" i="4"/>
  <c r="W553" i="4"/>
  <c r="V553" i="4"/>
  <c r="U553" i="4"/>
  <c r="T553" i="4"/>
  <c r="S553" i="4"/>
  <c r="R553" i="4"/>
  <c r="Q553" i="4"/>
  <c r="O553" i="4"/>
  <c r="N553" i="4"/>
  <c r="M553" i="4"/>
  <c r="L553" i="4"/>
  <c r="K553" i="4"/>
  <c r="J553" i="4"/>
  <c r="I553" i="4"/>
  <c r="H553" i="4"/>
  <c r="G553" i="4"/>
  <c r="F553" i="4"/>
  <c r="AT552" i="4"/>
  <c r="AS552" i="4"/>
  <c r="AR552" i="4"/>
  <c r="AQ552" i="4"/>
  <c r="AP552" i="4"/>
  <c r="AO552" i="4"/>
  <c r="AN552" i="4"/>
  <c r="AM552" i="4"/>
  <c r="AL552" i="4"/>
  <c r="AA552" i="4"/>
  <c r="Y552" i="4"/>
  <c r="X552" i="4"/>
  <c r="W552" i="4"/>
  <c r="V552" i="4"/>
  <c r="U552" i="4"/>
  <c r="T552" i="4"/>
  <c r="S552" i="4"/>
  <c r="R552" i="4"/>
  <c r="Q552" i="4"/>
  <c r="O552" i="4"/>
  <c r="N552" i="4"/>
  <c r="M552" i="4"/>
  <c r="L552" i="4"/>
  <c r="K552" i="4"/>
  <c r="J552" i="4"/>
  <c r="I552" i="4"/>
  <c r="H552" i="4"/>
  <c r="G552" i="4"/>
  <c r="F552" i="4"/>
  <c r="AT551" i="4"/>
  <c r="AS551" i="4"/>
  <c r="AR551" i="4"/>
  <c r="AQ551" i="4"/>
  <c r="AP551" i="4"/>
  <c r="AO551" i="4"/>
  <c r="AN551" i="4"/>
  <c r="AM551" i="4"/>
  <c r="AL551" i="4"/>
  <c r="AA551" i="4"/>
  <c r="Y551" i="4"/>
  <c r="X551" i="4"/>
  <c r="W551" i="4"/>
  <c r="V551" i="4"/>
  <c r="U551" i="4"/>
  <c r="T551" i="4"/>
  <c r="S551" i="4"/>
  <c r="R551" i="4"/>
  <c r="Q551" i="4"/>
  <c r="O551" i="4"/>
  <c r="N551" i="4"/>
  <c r="M551" i="4"/>
  <c r="L551" i="4"/>
  <c r="K551" i="4"/>
  <c r="J551" i="4"/>
  <c r="I551" i="4"/>
  <c r="H551" i="4"/>
  <c r="G551" i="4"/>
  <c r="F551" i="4"/>
  <c r="AT550" i="4"/>
  <c r="AS550" i="4"/>
  <c r="AR550" i="4"/>
  <c r="AQ550" i="4"/>
  <c r="AP550" i="4"/>
  <c r="AO550" i="4"/>
  <c r="AN550" i="4"/>
  <c r="AM550" i="4"/>
  <c r="AL550" i="4"/>
  <c r="AA550" i="4"/>
  <c r="Y550" i="4"/>
  <c r="X550" i="4"/>
  <c r="W550" i="4"/>
  <c r="V550" i="4"/>
  <c r="U550" i="4"/>
  <c r="T550" i="4"/>
  <c r="S550" i="4"/>
  <c r="R550" i="4"/>
  <c r="Q550" i="4"/>
  <c r="O550" i="4"/>
  <c r="N550" i="4"/>
  <c r="M550" i="4"/>
  <c r="L550" i="4"/>
  <c r="K550" i="4"/>
  <c r="J550" i="4"/>
  <c r="I550" i="4"/>
  <c r="H550" i="4"/>
  <c r="G550" i="4"/>
  <c r="F550" i="4"/>
  <c r="AT549" i="4"/>
  <c r="AS549" i="4"/>
  <c r="AR549" i="4"/>
  <c r="AQ549" i="4"/>
  <c r="AP549" i="4"/>
  <c r="AO549" i="4"/>
  <c r="AN549" i="4"/>
  <c r="AM549" i="4"/>
  <c r="AL549" i="4"/>
  <c r="AA549" i="4"/>
  <c r="Y549" i="4"/>
  <c r="X549" i="4"/>
  <c r="W549" i="4"/>
  <c r="V549" i="4"/>
  <c r="U549" i="4"/>
  <c r="T549" i="4"/>
  <c r="S549" i="4"/>
  <c r="R549" i="4"/>
  <c r="Q549" i="4"/>
  <c r="O549" i="4"/>
  <c r="N549" i="4"/>
  <c r="M549" i="4"/>
  <c r="L549" i="4"/>
  <c r="K549" i="4"/>
  <c r="J549" i="4"/>
  <c r="I549" i="4"/>
  <c r="H549" i="4"/>
  <c r="G549" i="4"/>
  <c r="F549" i="4"/>
  <c r="AT548" i="4"/>
  <c r="AS548" i="4"/>
  <c r="AR548" i="4"/>
  <c r="AQ548" i="4"/>
  <c r="AP548" i="4"/>
  <c r="AO548" i="4"/>
  <c r="AN548" i="4"/>
  <c r="AM548" i="4"/>
  <c r="AL548" i="4"/>
  <c r="AA548" i="4"/>
  <c r="Y548" i="4"/>
  <c r="X548" i="4"/>
  <c r="W548" i="4"/>
  <c r="V548" i="4"/>
  <c r="U548" i="4"/>
  <c r="T548" i="4"/>
  <c r="S548" i="4"/>
  <c r="R548" i="4"/>
  <c r="Q548" i="4"/>
  <c r="O548" i="4"/>
  <c r="N548" i="4"/>
  <c r="M548" i="4"/>
  <c r="L548" i="4"/>
  <c r="K548" i="4"/>
  <c r="J548" i="4"/>
  <c r="I548" i="4"/>
  <c r="H548" i="4"/>
  <c r="G548" i="4"/>
  <c r="F548" i="4"/>
  <c r="AT547" i="4"/>
  <c r="AS547" i="4"/>
  <c r="AR547" i="4"/>
  <c r="AQ547" i="4"/>
  <c r="AP547" i="4"/>
  <c r="AO547" i="4"/>
  <c r="AN547" i="4"/>
  <c r="AM547" i="4"/>
  <c r="AL547" i="4"/>
  <c r="AA547" i="4"/>
  <c r="Y547" i="4"/>
  <c r="X547" i="4"/>
  <c r="W547" i="4"/>
  <c r="V547" i="4"/>
  <c r="U547" i="4"/>
  <c r="T547" i="4"/>
  <c r="S547" i="4"/>
  <c r="R547" i="4"/>
  <c r="Q547" i="4"/>
  <c r="O547" i="4"/>
  <c r="N547" i="4"/>
  <c r="M547" i="4"/>
  <c r="L547" i="4"/>
  <c r="K547" i="4"/>
  <c r="J547" i="4"/>
  <c r="I547" i="4"/>
  <c r="H547" i="4"/>
  <c r="G547" i="4"/>
  <c r="F547" i="4"/>
  <c r="AT546" i="4"/>
  <c r="AS546" i="4"/>
  <c r="AR546" i="4"/>
  <c r="AQ546" i="4"/>
  <c r="AP546" i="4"/>
  <c r="AO546" i="4"/>
  <c r="AN546" i="4"/>
  <c r="AM546" i="4"/>
  <c r="AL546" i="4"/>
  <c r="AA546" i="4"/>
  <c r="Y546" i="4"/>
  <c r="X546" i="4"/>
  <c r="W546" i="4"/>
  <c r="V546" i="4"/>
  <c r="U546" i="4"/>
  <c r="T546" i="4"/>
  <c r="S546" i="4"/>
  <c r="R546" i="4"/>
  <c r="Q546" i="4"/>
  <c r="O546" i="4"/>
  <c r="N546" i="4"/>
  <c r="M546" i="4"/>
  <c r="L546" i="4"/>
  <c r="K546" i="4"/>
  <c r="J546" i="4"/>
  <c r="I546" i="4"/>
  <c r="H546" i="4"/>
  <c r="G546" i="4"/>
  <c r="F546" i="4"/>
  <c r="AT545" i="4"/>
  <c r="AS545" i="4"/>
  <c r="AR545" i="4"/>
  <c r="AQ545" i="4"/>
  <c r="AP545" i="4"/>
  <c r="AO545" i="4"/>
  <c r="AN545" i="4"/>
  <c r="AM545" i="4"/>
  <c r="AL545" i="4"/>
  <c r="AA545" i="4"/>
  <c r="Y545" i="4"/>
  <c r="X545" i="4"/>
  <c r="W545" i="4"/>
  <c r="V545" i="4"/>
  <c r="U545" i="4"/>
  <c r="T545" i="4"/>
  <c r="S545" i="4"/>
  <c r="R545" i="4"/>
  <c r="Q545" i="4"/>
  <c r="O545" i="4"/>
  <c r="N545" i="4"/>
  <c r="M545" i="4"/>
  <c r="L545" i="4"/>
  <c r="K545" i="4"/>
  <c r="J545" i="4"/>
  <c r="I545" i="4"/>
  <c r="H545" i="4"/>
  <c r="G545" i="4"/>
  <c r="F545" i="4"/>
  <c r="AT544" i="4"/>
  <c r="AS544" i="4"/>
  <c r="AR544" i="4"/>
  <c r="AQ544" i="4"/>
  <c r="AP544" i="4"/>
  <c r="AO544" i="4"/>
  <c r="AN544" i="4"/>
  <c r="AM544" i="4"/>
  <c r="AL544" i="4"/>
  <c r="AA544" i="4"/>
  <c r="Y544" i="4"/>
  <c r="X544" i="4"/>
  <c r="W544" i="4"/>
  <c r="V544" i="4"/>
  <c r="U544" i="4"/>
  <c r="T544" i="4"/>
  <c r="S544" i="4"/>
  <c r="R544" i="4"/>
  <c r="Q544" i="4"/>
  <c r="O544" i="4"/>
  <c r="N544" i="4"/>
  <c r="M544" i="4"/>
  <c r="L544" i="4"/>
  <c r="K544" i="4"/>
  <c r="J544" i="4"/>
  <c r="I544" i="4"/>
  <c r="H544" i="4"/>
  <c r="G544" i="4"/>
  <c r="F544" i="4"/>
  <c r="AT543" i="4"/>
  <c r="AS543" i="4"/>
  <c r="AR543" i="4"/>
  <c r="AQ543" i="4"/>
  <c r="AP543" i="4"/>
  <c r="AO543" i="4"/>
  <c r="AN543" i="4"/>
  <c r="AM543" i="4"/>
  <c r="AL543" i="4"/>
  <c r="AA543" i="4"/>
  <c r="Y543" i="4"/>
  <c r="X543" i="4"/>
  <c r="W543" i="4"/>
  <c r="V543" i="4"/>
  <c r="U543" i="4"/>
  <c r="T543" i="4"/>
  <c r="S543" i="4"/>
  <c r="R543" i="4"/>
  <c r="Q543" i="4"/>
  <c r="O543" i="4"/>
  <c r="N543" i="4"/>
  <c r="M543" i="4"/>
  <c r="L543" i="4"/>
  <c r="K543" i="4"/>
  <c r="J543" i="4"/>
  <c r="I543" i="4"/>
  <c r="H543" i="4"/>
  <c r="G543" i="4"/>
  <c r="F543" i="4"/>
  <c r="AT542" i="4"/>
  <c r="AS542" i="4"/>
  <c r="AR542" i="4"/>
  <c r="AQ542" i="4"/>
  <c r="AP542" i="4"/>
  <c r="AO542" i="4"/>
  <c r="AN542" i="4"/>
  <c r="AM542" i="4"/>
  <c r="AL542" i="4"/>
  <c r="AA542" i="4"/>
  <c r="Y542" i="4"/>
  <c r="X542" i="4"/>
  <c r="W542" i="4"/>
  <c r="V542" i="4"/>
  <c r="U542" i="4"/>
  <c r="T542" i="4"/>
  <c r="S542" i="4"/>
  <c r="R542" i="4"/>
  <c r="Q542" i="4"/>
  <c r="O542" i="4"/>
  <c r="N542" i="4"/>
  <c r="M542" i="4"/>
  <c r="L542" i="4"/>
  <c r="K542" i="4"/>
  <c r="J542" i="4"/>
  <c r="I542" i="4"/>
  <c r="H542" i="4"/>
  <c r="G542" i="4"/>
  <c r="F542" i="4"/>
  <c r="AT541" i="4"/>
  <c r="AS541" i="4"/>
  <c r="AR541" i="4"/>
  <c r="AQ541" i="4"/>
  <c r="AP541" i="4"/>
  <c r="AO541" i="4"/>
  <c r="AN541" i="4"/>
  <c r="AM541" i="4"/>
  <c r="AL541" i="4"/>
  <c r="AA541" i="4"/>
  <c r="Y541" i="4"/>
  <c r="X541" i="4"/>
  <c r="W541" i="4"/>
  <c r="V541" i="4"/>
  <c r="U541" i="4"/>
  <c r="T541" i="4"/>
  <c r="S541" i="4"/>
  <c r="R541" i="4"/>
  <c r="Q541" i="4"/>
  <c r="O541" i="4"/>
  <c r="N541" i="4"/>
  <c r="M541" i="4"/>
  <c r="L541" i="4"/>
  <c r="K541" i="4"/>
  <c r="J541" i="4"/>
  <c r="I541" i="4"/>
  <c r="H541" i="4"/>
  <c r="G541" i="4"/>
  <c r="F541" i="4"/>
  <c r="AT540" i="4"/>
  <c r="AS540" i="4"/>
  <c r="AR540" i="4"/>
  <c r="AQ540" i="4"/>
  <c r="AP540" i="4"/>
  <c r="AO540" i="4"/>
  <c r="AN540" i="4"/>
  <c r="AM540" i="4"/>
  <c r="AL540" i="4"/>
  <c r="AA540" i="4"/>
  <c r="Y540" i="4"/>
  <c r="X540" i="4"/>
  <c r="W540" i="4"/>
  <c r="V540" i="4"/>
  <c r="U540" i="4"/>
  <c r="T540" i="4"/>
  <c r="S540" i="4"/>
  <c r="R540" i="4"/>
  <c r="Q540" i="4"/>
  <c r="O540" i="4"/>
  <c r="N540" i="4"/>
  <c r="M540" i="4"/>
  <c r="L540" i="4"/>
  <c r="K540" i="4"/>
  <c r="J540" i="4"/>
  <c r="I540" i="4"/>
  <c r="H540" i="4"/>
  <c r="G540" i="4"/>
  <c r="F540" i="4"/>
  <c r="AT539" i="4"/>
  <c r="AS539" i="4"/>
  <c r="AR539" i="4"/>
  <c r="AQ539" i="4"/>
  <c r="AP539" i="4"/>
  <c r="AO539" i="4"/>
  <c r="AN539" i="4"/>
  <c r="AM539" i="4"/>
  <c r="AL539" i="4"/>
  <c r="AA539" i="4"/>
  <c r="Y539" i="4"/>
  <c r="X539" i="4"/>
  <c r="W539" i="4"/>
  <c r="V539" i="4"/>
  <c r="U539" i="4"/>
  <c r="T539" i="4"/>
  <c r="S539" i="4"/>
  <c r="R539" i="4"/>
  <c r="Q539" i="4"/>
  <c r="O539" i="4"/>
  <c r="N539" i="4"/>
  <c r="M539" i="4"/>
  <c r="L539" i="4"/>
  <c r="K539" i="4"/>
  <c r="J539" i="4"/>
  <c r="I539" i="4"/>
  <c r="H539" i="4"/>
  <c r="G539" i="4"/>
  <c r="F539" i="4"/>
  <c r="AT538" i="4"/>
  <c r="AS538" i="4"/>
  <c r="AR538" i="4"/>
  <c r="AQ538" i="4"/>
  <c r="AP538" i="4"/>
  <c r="AO538" i="4"/>
  <c r="AN538" i="4"/>
  <c r="AM538" i="4"/>
  <c r="AL538" i="4"/>
  <c r="AA538" i="4"/>
  <c r="Y538" i="4"/>
  <c r="X538" i="4"/>
  <c r="W538" i="4"/>
  <c r="V538" i="4"/>
  <c r="U538" i="4"/>
  <c r="T538" i="4"/>
  <c r="S538" i="4"/>
  <c r="R538" i="4"/>
  <c r="Q538" i="4"/>
  <c r="O538" i="4"/>
  <c r="N538" i="4"/>
  <c r="M538" i="4"/>
  <c r="L538" i="4"/>
  <c r="K538" i="4"/>
  <c r="J538" i="4"/>
  <c r="I538" i="4"/>
  <c r="H538" i="4"/>
  <c r="G538" i="4"/>
  <c r="F538" i="4"/>
  <c r="AT537" i="4"/>
  <c r="AS537" i="4"/>
  <c r="AR537" i="4"/>
  <c r="AQ537" i="4"/>
  <c r="AP537" i="4"/>
  <c r="AO537" i="4"/>
  <c r="AN537" i="4"/>
  <c r="AM537" i="4"/>
  <c r="AL537" i="4"/>
  <c r="AA537" i="4"/>
  <c r="Y537" i="4"/>
  <c r="X537" i="4"/>
  <c r="W537" i="4"/>
  <c r="V537" i="4"/>
  <c r="U537" i="4"/>
  <c r="T537" i="4"/>
  <c r="S537" i="4"/>
  <c r="R537" i="4"/>
  <c r="Q537" i="4"/>
  <c r="O537" i="4"/>
  <c r="N537" i="4"/>
  <c r="M537" i="4"/>
  <c r="L537" i="4"/>
  <c r="K537" i="4"/>
  <c r="J537" i="4"/>
  <c r="I537" i="4"/>
  <c r="H537" i="4"/>
  <c r="G537" i="4"/>
  <c r="F537" i="4"/>
  <c r="AT536" i="4"/>
  <c r="AS536" i="4"/>
  <c r="AR536" i="4"/>
  <c r="AQ536" i="4"/>
  <c r="AP536" i="4"/>
  <c r="AO536" i="4"/>
  <c r="AN536" i="4"/>
  <c r="AM536" i="4"/>
  <c r="AL536" i="4"/>
  <c r="AA536" i="4"/>
  <c r="Y536" i="4"/>
  <c r="X536" i="4"/>
  <c r="W536" i="4"/>
  <c r="V536" i="4"/>
  <c r="U536" i="4"/>
  <c r="T536" i="4"/>
  <c r="S536" i="4"/>
  <c r="R536" i="4"/>
  <c r="Q536" i="4"/>
  <c r="O536" i="4"/>
  <c r="N536" i="4"/>
  <c r="M536" i="4"/>
  <c r="L536" i="4"/>
  <c r="K536" i="4"/>
  <c r="J536" i="4"/>
  <c r="I536" i="4"/>
  <c r="H536" i="4"/>
  <c r="G536" i="4"/>
  <c r="F536" i="4"/>
  <c r="AT535" i="4"/>
  <c r="AS535" i="4"/>
  <c r="AR535" i="4"/>
  <c r="AQ535" i="4"/>
  <c r="AP535" i="4"/>
  <c r="AO535" i="4"/>
  <c r="AN535" i="4"/>
  <c r="AM535" i="4"/>
  <c r="AL535" i="4"/>
  <c r="AA535" i="4"/>
  <c r="Y535" i="4"/>
  <c r="X535" i="4"/>
  <c r="W535" i="4"/>
  <c r="V535" i="4"/>
  <c r="U535" i="4"/>
  <c r="T535" i="4"/>
  <c r="S535" i="4"/>
  <c r="R535" i="4"/>
  <c r="Q535" i="4"/>
  <c r="O535" i="4"/>
  <c r="N535" i="4"/>
  <c r="M535" i="4"/>
  <c r="L535" i="4"/>
  <c r="K535" i="4"/>
  <c r="J535" i="4"/>
  <c r="I535" i="4"/>
  <c r="H535" i="4"/>
  <c r="G535" i="4"/>
  <c r="F535" i="4"/>
  <c r="AT534" i="4"/>
  <c r="AS534" i="4"/>
  <c r="AR534" i="4"/>
  <c r="AQ534" i="4"/>
  <c r="AP534" i="4"/>
  <c r="AO534" i="4"/>
  <c r="AN534" i="4"/>
  <c r="AM534" i="4"/>
  <c r="AL534" i="4"/>
  <c r="AA534" i="4"/>
  <c r="Y534" i="4"/>
  <c r="X534" i="4"/>
  <c r="W534" i="4"/>
  <c r="V534" i="4"/>
  <c r="U534" i="4"/>
  <c r="T534" i="4"/>
  <c r="S534" i="4"/>
  <c r="R534" i="4"/>
  <c r="Q534" i="4"/>
  <c r="O534" i="4"/>
  <c r="N534" i="4"/>
  <c r="M534" i="4"/>
  <c r="L534" i="4"/>
  <c r="K534" i="4"/>
  <c r="J534" i="4"/>
  <c r="I534" i="4"/>
  <c r="H534" i="4"/>
  <c r="G534" i="4"/>
  <c r="F534" i="4"/>
  <c r="AT533" i="4"/>
  <c r="AS533" i="4"/>
  <c r="AR533" i="4"/>
  <c r="AQ533" i="4"/>
  <c r="AP533" i="4"/>
  <c r="AO533" i="4"/>
  <c r="AN533" i="4"/>
  <c r="AM533" i="4"/>
  <c r="AL533" i="4"/>
  <c r="AA533" i="4"/>
  <c r="Y533" i="4"/>
  <c r="X533" i="4"/>
  <c r="W533" i="4"/>
  <c r="V533" i="4"/>
  <c r="U533" i="4"/>
  <c r="T533" i="4"/>
  <c r="S533" i="4"/>
  <c r="R533" i="4"/>
  <c r="Q533" i="4"/>
  <c r="O533" i="4"/>
  <c r="N533" i="4"/>
  <c r="M533" i="4"/>
  <c r="L533" i="4"/>
  <c r="K533" i="4"/>
  <c r="J533" i="4"/>
  <c r="I533" i="4"/>
  <c r="H533" i="4"/>
  <c r="G533" i="4"/>
  <c r="F533" i="4"/>
  <c r="AT532" i="4"/>
  <c r="AS532" i="4"/>
  <c r="AR532" i="4"/>
  <c r="AQ532" i="4"/>
  <c r="AP532" i="4"/>
  <c r="AO532" i="4"/>
  <c r="AN532" i="4"/>
  <c r="AM532" i="4"/>
  <c r="AL532" i="4"/>
  <c r="AA532" i="4"/>
  <c r="Z532" i="4"/>
  <c r="Y532" i="4"/>
  <c r="X532" i="4"/>
  <c r="W532" i="4"/>
  <c r="V532" i="4"/>
  <c r="U532" i="4"/>
  <c r="T532" i="4"/>
  <c r="S532" i="4"/>
  <c r="R532" i="4"/>
  <c r="Q532" i="4"/>
  <c r="O532" i="4"/>
  <c r="N532" i="4"/>
  <c r="M532" i="4"/>
  <c r="L532" i="4"/>
  <c r="K532" i="4"/>
  <c r="J532" i="4"/>
  <c r="I532" i="4"/>
  <c r="H532" i="4"/>
  <c r="G532" i="4"/>
  <c r="F532" i="4"/>
  <c r="AT531" i="4"/>
  <c r="AS531" i="4"/>
  <c r="AR531" i="4"/>
  <c r="AQ531" i="4"/>
  <c r="AP531" i="4"/>
  <c r="AO531" i="4"/>
  <c r="AN531" i="4"/>
  <c r="AM531" i="4"/>
  <c r="AL531" i="4"/>
  <c r="AA531" i="4"/>
  <c r="Z531" i="4"/>
  <c r="Y531" i="4"/>
  <c r="X531" i="4"/>
  <c r="W531" i="4"/>
  <c r="V531" i="4"/>
  <c r="U531" i="4"/>
  <c r="T531" i="4"/>
  <c r="S531" i="4"/>
  <c r="R531" i="4"/>
  <c r="Q531" i="4"/>
  <c r="O531" i="4"/>
  <c r="N531" i="4"/>
  <c r="M531" i="4"/>
  <c r="L531" i="4"/>
  <c r="K531" i="4"/>
  <c r="J531" i="4"/>
  <c r="I531" i="4"/>
  <c r="H531" i="4"/>
  <c r="G531" i="4"/>
  <c r="F531" i="4"/>
  <c r="AT530" i="4"/>
  <c r="AS530" i="4"/>
  <c r="AR530" i="4"/>
  <c r="AQ530" i="4"/>
  <c r="AP530" i="4"/>
  <c r="AO530" i="4"/>
  <c r="AN530" i="4"/>
  <c r="AM530" i="4"/>
  <c r="AL530" i="4"/>
  <c r="AA530" i="4"/>
  <c r="Z530" i="4"/>
  <c r="Y530" i="4"/>
  <c r="X530" i="4"/>
  <c r="W530" i="4"/>
  <c r="V530" i="4"/>
  <c r="U530" i="4"/>
  <c r="T530" i="4"/>
  <c r="S530" i="4"/>
  <c r="R530" i="4"/>
  <c r="Q530" i="4"/>
  <c r="O530" i="4"/>
  <c r="N530" i="4"/>
  <c r="M530" i="4"/>
  <c r="L530" i="4"/>
  <c r="K530" i="4"/>
  <c r="J530" i="4"/>
  <c r="I530" i="4"/>
  <c r="H530" i="4"/>
  <c r="G530" i="4"/>
  <c r="F530" i="4"/>
  <c r="AT529" i="4"/>
  <c r="AS529" i="4"/>
  <c r="AR529" i="4"/>
  <c r="AQ529" i="4"/>
  <c r="AP529" i="4"/>
  <c r="AO529" i="4"/>
  <c r="AN529" i="4"/>
  <c r="AM529" i="4"/>
  <c r="AL529" i="4"/>
  <c r="AA529" i="4"/>
  <c r="Z529" i="4"/>
  <c r="Y529" i="4"/>
  <c r="X529" i="4"/>
  <c r="W529" i="4"/>
  <c r="V529" i="4"/>
  <c r="U529" i="4"/>
  <c r="T529" i="4"/>
  <c r="S529" i="4"/>
  <c r="R529" i="4"/>
  <c r="Q529" i="4"/>
  <c r="O529" i="4"/>
  <c r="N529" i="4"/>
  <c r="M529" i="4"/>
  <c r="L529" i="4"/>
  <c r="K529" i="4"/>
  <c r="J529" i="4"/>
  <c r="I529" i="4"/>
  <c r="H529" i="4"/>
  <c r="G529" i="4"/>
  <c r="F529" i="4"/>
  <c r="AT528" i="4"/>
  <c r="AS528" i="4"/>
  <c r="AR528" i="4"/>
  <c r="AQ528" i="4"/>
  <c r="AP528" i="4"/>
  <c r="AO528" i="4"/>
  <c r="AN528" i="4"/>
  <c r="AM528" i="4"/>
  <c r="AL528" i="4"/>
  <c r="AA528" i="4"/>
  <c r="Z528" i="4"/>
  <c r="Y528" i="4"/>
  <c r="X528" i="4"/>
  <c r="W528" i="4"/>
  <c r="V528" i="4"/>
  <c r="U528" i="4"/>
  <c r="T528" i="4"/>
  <c r="S528" i="4"/>
  <c r="R528" i="4"/>
  <c r="Q528" i="4"/>
  <c r="O528" i="4"/>
  <c r="N528" i="4"/>
  <c r="M528" i="4"/>
  <c r="L528" i="4"/>
  <c r="K528" i="4"/>
  <c r="J528" i="4"/>
  <c r="I528" i="4"/>
  <c r="H528" i="4"/>
  <c r="G528" i="4"/>
  <c r="F528" i="4"/>
  <c r="AT527" i="4"/>
  <c r="AS527" i="4"/>
  <c r="AR527" i="4"/>
  <c r="AQ527" i="4"/>
  <c r="AP527" i="4"/>
  <c r="AO527" i="4"/>
  <c r="AN527" i="4"/>
  <c r="AM527" i="4"/>
  <c r="AL527" i="4"/>
  <c r="AA527" i="4"/>
  <c r="Z527" i="4"/>
  <c r="Y527" i="4"/>
  <c r="X527" i="4"/>
  <c r="W527" i="4"/>
  <c r="V527" i="4"/>
  <c r="U527" i="4"/>
  <c r="T527" i="4"/>
  <c r="S527" i="4"/>
  <c r="R527" i="4"/>
  <c r="Q527" i="4"/>
  <c r="O527" i="4"/>
  <c r="N527" i="4"/>
  <c r="M527" i="4"/>
  <c r="L527" i="4"/>
  <c r="K527" i="4"/>
  <c r="J527" i="4"/>
  <c r="I527" i="4"/>
  <c r="H527" i="4"/>
  <c r="G527" i="4"/>
  <c r="F527" i="4"/>
  <c r="AT526" i="4"/>
  <c r="AS526" i="4"/>
  <c r="AR526" i="4"/>
  <c r="AQ526" i="4"/>
  <c r="AP526" i="4"/>
  <c r="AO526" i="4"/>
  <c r="AN526" i="4"/>
  <c r="AM526" i="4"/>
  <c r="AL526" i="4"/>
  <c r="AA526" i="4"/>
  <c r="Z526" i="4"/>
  <c r="Y526" i="4"/>
  <c r="X526" i="4"/>
  <c r="W526" i="4"/>
  <c r="V526" i="4"/>
  <c r="U526" i="4"/>
  <c r="T526" i="4"/>
  <c r="S526" i="4"/>
  <c r="R526" i="4"/>
  <c r="Q526" i="4"/>
  <c r="O526" i="4"/>
  <c r="N526" i="4"/>
  <c r="M526" i="4"/>
  <c r="L526" i="4"/>
  <c r="K526" i="4"/>
  <c r="J526" i="4"/>
  <c r="I526" i="4"/>
  <c r="H526" i="4"/>
  <c r="G526" i="4"/>
  <c r="F526" i="4"/>
  <c r="AT525" i="4"/>
  <c r="AS525" i="4"/>
  <c r="AR525" i="4"/>
  <c r="AQ525" i="4"/>
  <c r="AP525" i="4"/>
  <c r="AO525" i="4"/>
  <c r="AN525" i="4"/>
  <c r="AM525" i="4"/>
  <c r="AL525" i="4"/>
  <c r="AA525" i="4"/>
  <c r="Z525" i="4"/>
  <c r="Y525" i="4"/>
  <c r="X525" i="4"/>
  <c r="W525" i="4"/>
  <c r="V525" i="4"/>
  <c r="U525" i="4"/>
  <c r="T525" i="4"/>
  <c r="S525" i="4"/>
  <c r="R525" i="4"/>
  <c r="Q525" i="4"/>
  <c r="O525" i="4"/>
  <c r="N525" i="4"/>
  <c r="M525" i="4"/>
  <c r="L525" i="4"/>
  <c r="K525" i="4"/>
  <c r="J525" i="4"/>
  <c r="I525" i="4"/>
  <c r="H525" i="4"/>
  <c r="G525" i="4"/>
  <c r="F525" i="4"/>
  <c r="AT524" i="4"/>
  <c r="AS524" i="4"/>
  <c r="AR524" i="4"/>
  <c r="AQ524" i="4"/>
  <c r="AP524" i="4"/>
  <c r="AO524" i="4"/>
  <c r="AN524" i="4"/>
  <c r="AM524" i="4"/>
  <c r="AL524" i="4"/>
  <c r="AA524" i="4"/>
  <c r="Z524" i="4"/>
  <c r="Y524" i="4"/>
  <c r="X524" i="4"/>
  <c r="W524" i="4"/>
  <c r="V524" i="4"/>
  <c r="U524" i="4"/>
  <c r="T524" i="4"/>
  <c r="S524" i="4"/>
  <c r="R524" i="4"/>
  <c r="Q524" i="4"/>
  <c r="O524" i="4"/>
  <c r="N524" i="4"/>
  <c r="M524" i="4"/>
  <c r="L524" i="4"/>
  <c r="K524" i="4"/>
  <c r="J524" i="4"/>
  <c r="I524" i="4"/>
  <c r="H524" i="4"/>
  <c r="G524" i="4"/>
  <c r="F524" i="4"/>
  <c r="AT523" i="4"/>
  <c r="AS523" i="4"/>
  <c r="AR523" i="4"/>
  <c r="AQ523" i="4"/>
  <c r="AP523" i="4"/>
  <c r="AO523" i="4"/>
  <c r="AN523" i="4"/>
  <c r="AM523" i="4"/>
  <c r="AL523" i="4"/>
  <c r="AA523" i="4"/>
  <c r="Z523" i="4"/>
  <c r="Y523" i="4"/>
  <c r="X523" i="4"/>
  <c r="W523" i="4"/>
  <c r="V523" i="4"/>
  <c r="U523" i="4"/>
  <c r="T523" i="4"/>
  <c r="S523" i="4"/>
  <c r="R523" i="4"/>
  <c r="Q523" i="4"/>
  <c r="O523" i="4"/>
  <c r="N523" i="4"/>
  <c r="M523" i="4"/>
  <c r="L523" i="4"/>
  <c r="K523" i="4"/>
  <c r="J523" i="4"/>
  <c r="I523" i="4"/>
  <c r="H523" i="4"/>
  <c r="G523" i="4"/>
  <c r="F523" i="4"/>
  <c r="AT522" i="4"/>
  <c r="AS522" i="4"/>
  <c r="AR522" i="4"/>
  <c r="AQ522" i="4"/>
  <c r="AP522" i="4"/>
  <c r="AO522" i="4"/>
  <c r="AN522" i="4"/>
  <c r="AM522" i="4"/>
  <c r="AL522" i="4"/>
  <c r="AA522" i="4"/>
  <c r="Z522" i="4"/>
  <c r="Y522" i="4"/>
  <c r="X522" i="4"/>
  <c r="W522" i="4"/>
  <c r="V522" i="4"/>
  <c r="U522" i="4"/>
  <c r="T522" i="4"/>
  <c r="S522" i="4"/>
  <c r="R522" i="4"/>
  <c r="Q522" i="4"/>
  <c r="O522" i="4"/>
  <c r="N522" i="4"/>
  <c r="M522" i="4"/>
  <c r="L522" i="4"/>
  <c r="K522" i="4"/>
  <c r="J522" i="4"/>
  <c r="I522" i="4"/>
  <c r="H522" i="4"/>
  <c r="G522" i="4"/>
  <c r="F522" i="4"/>
  <c r="AT521" i="4"/>
  <c r="AS521" i="4"/>
  <c r="AR521" i="4"/>
  <c r="AQ521" i="4"/>
  <c r="AP521" i="4"/>
  <c r="AO521" i="4"/>
  <c r="AN521" i="4"/>
  <c r="AM521" i="4"/>
  <c r="AL521" i="4"/>
  <c r="AA521" i="4"/>
  <c r="Z521" i="4"/>
  <c r="Y521" i="4"/>
  <c r="X521" i="4"/>
  <c r="W521" i="4"/>
  <c r="V521" i="4"/>
  <c r="U521" i="4"/>
  <c r="T521" i="4"/>
  <c r="S521" i="4"/>
  <c r="R521" i="4"/>
  <c r="Q521" i="4"/>
  <c r="O521" i="4"/>
  <c r="N521" i="4"/>
  <c r="M521" i="4"/>
  <c r="L521" i="4"/>
  <c r="K521" i="4"/>
  <c r="J521" i="4"/>
  <c r="I521" i="4"/>
  <c r="H521" i="4"/>
  <c r="G521" i="4"/>
  <c r="F521" i="4"/>
  <c r="AT520" i="4"/>
  <c r="AS520" i="4"/>
  <c r="AR520" i="4"/>
  <c r="AQ520" i="4"/>
  <c r="AP520" i="4"/>
  <c r="AO520" i="4"/>
  <c r="AN520" i="4"/>
  <c r="AM520" i="4"/>
  <c r="AL520" i="4"/>
  <c r="AA520" i="4"/>
  <c r="Z520" i="4"/>
  <c r="Y520" i="4"/>
  <c r="X520" i="4"/>
  <c r="W520" i="4"/>
  <c r="V520" i="4"/>
  <c r="U520" i="4"/>
  <c r="T520" i="4"/>
  <c r="S520" i="4"/>
  <c r="R520" i="4"/>
  <c r="Q520" i="4"/>
  <c r="O520" i="4"/>
  <c r="N520" i="4"/>
  <c r="M520" i="4"/>
  <c r="L520" i="4"/>
  <c r="K520" i="4"/>
  <c r="J520" i="4"/>
  <c r="I520" i="4"/>
  <c r="H520" i="4"/>
  <c r="G520" i="4"/>
  <c r="F520" i="4"/>
  <c r="AT519" i="4"/>
  <c r="AS519" i="4"/>
  <c r="AR519" i="4"/>
  <c r="AQ519" i="4"/>
  <c r="AP519" i="4"/>
  <c r="AO519" i="4"/>
  <c r="AN519" i="4"/>
  <c r="AM519" i="4"/>
  <c r="AL519" i="4"/>
  <c r="AA519" i="4"/>
  <c r="Z519" i="4"/>
  <c r="Y519" i="4"/>
  <c r="X519" i="4"/>
  <c r="W519" i="4"/>
  <c r="V519" i="4"/>
  <c r="U519" i="4"/>
  <c r="T519" i="4"/>
  <c r="S519" i="4"/>
  <c r="R519" i="4"/>
  <c r="Q519" i="4"/>
  <c r="O519" i="4"/>
  <c r="N519" i="4"/>
  <c r="M519" i="4"/>
  <c r="L519" i="4"/>
  <c r="K519" i="4"/>
  <c r="J519" i="4"/>
  <c r="I519" i="4"/>
  <c r="H519" i="4"/>
  <c r="G519" i="4"/>
  <c r="F519" i="4"/>
  <c r="AT518" i="4"/>
  <c r="AS518" i="4"/>
  <c r="AR518" i="4"/>
  <c r="AQ518" i="4"/>
  <c r="AP518" i="4"/>
  <c r="AO518" i="4"/>
  <c r="AN518" i="4"/>
  <c r="AM518" i="4"/>
  <c r="AL518" i="4"/>
  <c r="AA518" i="4"/>
  <c r="Z518" i="4"/>
  <c r="Y518" i="4"/>
  <c r="X518" i="4"/>
  <c r="W518" i="4"/>
  <c r="V518" i="4"/>
  <c r="U518" i="4"/>
  <c r="T518" i="4"/>
  <c r="S518" i="4"/>
  <c r="R518" i="4"/>
  <c r="Q518" i="4"/>
  <c r="O518" i="4"/>
  <c r="N518" i="4"/>
  <c r="M518" i="4"/>
  <c r="L518" i="4"/>
  <c r="K518" i="4"/>
  <c r="J518" i="4"/>
  <c r="I518" i="4"/>
  <c r="H518" i="4"/>
  <c r="G518" i="4"/>
  <c r="F518" i="4"/>
  <c r="AT517" i="4"/>
  <c r="AS517" i="4"/>
  <c r="AR517" i="4"/>
  <c r="AQ517" i="4"/>
  <c r="AP517" i="4"/>
  <c r="AO517" i="4"/>
  <c r="AN517" i="4"/>
  <c r="AM517" i="4"/>
  <c r="AL517" i="4"/>
  <c r="AA517" i="4"/>
  <c r="Z517" i="4"/>
  <c r="Y517" i="4"/>
  <c r="X517" i="4"/>
  <c r="W517" i="4"/>
  <c r="V517" i="4"/>
  <c r="U517" i="4"/>
  <c r="T517" i="4"/>
  <c r="S517" i="4"/>
  <c r="R517" i="4"/>
  <c r="Q517" i="4"/>
  <c r="O517" i="4"/>
  <c r="N517" i="4"/>
  <c r="M517" i="4"/>
  <c r="L517" i="4"/>
  <c r="K517" i="4"/>
  <c r="J517" i="4"/>
  <c r="I517" i="4"/>
  <c r="H517" i="4"/>
  <c r="G517" i="4"/>
  <c r="F517" i="4"/>
  <c r="AT516" i="4"/>
  <c r="AS516" i="4"/>
  <c r="AR516" i="4"/>
  <c r="AQ516" i="4"/>
  <c r="AP516" i="4"/>
  <c r="AO516" i="4"/>
  <c r="AN516" i="4"/>
  <c r="AM516" i="4"/>
  <c r="AL516" i="4"/>
  <c r="AA516" i="4"/>
  <c r="Z516" i="4"/>
  <c r="Y516" i="4"/>
  <c r="X516" i="4"/>
  <c r="W516" i="4"/>
  <c r="V516" i="4"/>
  <c r="U516" i="4"/>
  <c r="T516" i="4"/>
  <c r="S516" i="4"/>
  <c r="R516" i="4"/>
  <c r="Q516" i="4"/>
  <c r="O516" i="4"/>
  <c r="N516" i="4"/>
  <c r="M516" i="4"/>
  <c r="L516" i="4"/>
  <c r="K516" i="4"/>
  <c r="J516" i="4"/>
  <c r="I516" i="4"/>
  <c r="H516" i="4"/>
  <c r="G516" i="4"/>
  <c r="F516" i="4"/>
  <c r="AT515" i="4"/>
  <c r="AS515" i="4"/>
  <c r="AR515" i="4"/>
  <c r="AQ515" i="4"/>
  <c r="AP515" i="4"/>
  <c r="AO515" i="4"/>
  <c r="AN515" i="4"/>
  <c r="AM515" i="4"/>
  <c r="AL515" i="4"/>
  <c r="AA515" i="4"/>
  <c r="Z515" i="4"/>
  <c r="Y515" i="4"/>
  <c r="X515" i="4"/>
  <c r="W515" i="4"/>
  <c r="V515" i="4"/>
  <c r="U515" i="4"/>
  <c r="T515" i="4"/>
  <c r="S515" i="4"/>
  <c r="R515" i="4"/>
  <c r="Q515" i="4"/>
  <c r="O515" i="4"/>
  <c r="N515" i="4"/>
  <c r="M515" i="4"/>
  <c r="L515" i="4"/>
  <c r="K515" i="4"/>
  <c r="J515" i="4"/>
  <c r="I515" i="4"/>
  <c r="H515" i="4"/>
  <c r="G515" i="4"/>
  <c r="F515" i="4"/>
  <c r="AT514" i="4"/>
  <c r="AS514" i="4"/>
  <c r="AR514" i="4"/>
  <c r="AQ514" i="4"/>
  <c r="AP514" i="4"/>
  <c r="AO514" i="4"/>
  <c r="AN514" i="4"/>
  <c r="AM514" i="4"/>
  <c r="AL514" i="4"/>
  <c r="AA514" i="4"/>
  <c r="Z514" i="4"/>
  <c r="Y514" i="4"/>
  <c r="X514" i="4"/>
  <c r="W514" i="4"/>
  <c r="V514" i="4"/>
  <c r="U514" i="4"/>
  <c r="T514" i="4"/>
  <c r="S514" i="4"/>
  <c r="R514" i="4"/>
  <c r="Q514" i="4"/>
  <c r="O514" i="4"/>
  <c r="N514" i="4"/>
  <c r="M514" i="4"/>
  <c r="L514" i="4"/>
  <c r="K514" i="4"/>
  <c r="J514" i="4"/>
  <c r="I514" i="4"/>
  <c r="H514" i="4"/>
  <c r="G514" i="4"/>
  <c r="F514" i="4"/>
  <c r="AT513" i="4"/>
  <c r="AS513" i="4"/>
  <c r="AR513" i="4"/>
  <c r="AQ513" i="4"/>
  <c r="AP513" i="4"/>
  <c r="AO513" i="4"/>
  <c r="AN513" i="4"/>
  <c r="AM513" i="4"/>
  <c r="AL513" i="4"/>
  <c r="AA513" i="4"/>
  <c r="Z513" i="4"/>
  <c r="Y513" i="4"/>
  <c r="X513" i="4"/>
  <c r="W513" i="4"/>
  <c r="V513" i="4"/>
  <c r="U513" i="4"/>
  <c r="T513" i="4"/>
  <c r="S513" i="4"/>
  <c r="R513" i="4"/>
  <c r="Q513" i="4"/>
  <c r="O513" i="4"/>
  <c r="N513" i="4"/>
  <c r="M513" i="4"/>
  <c r="L513" i="4"/>
  <c r="K513" i="4"/>
  <c r="J513" i="4"/>
  <c r="I513" i="4"/>
  <c r="H513" i="4"/>
  <c r="G513" i="4"/>
  <c r="F513" i="4"/>
  <c r="AT512" i="4"/>
  <c r="AS512" i="4"/>
  <c r="AR512" i="4"/>
  <c r="AQ512" i="4"/>
  <c r="AP512" i="4"/>
  <c r="AO512" i="4"/>
  <c r="AN512" i="4"/>
  <c r="AM512" i="4"/>
  <c r="AL512" i="4"/>
  <c r="AA512" i="4"/>
  <c r="Z512" i="4"/>
  <c r="Y512" i="4"/>
  <c r="X512" i="4"/>
  <c r="W512" i="4"/>
  <c r="V512" i="4"/>
  <c r="U512" i="4"/>
  <c r="T512" i="4"/>
  <c r="S512" i="4"/>
  <c r="R512" i="4"/>
  <c r="Q512" i="4"/>
  <c r="O512" i="4"/>
  <c r="N512" i="4"/>
  <c r="M512" i="4"/>
  <c r="L512" i="4"/>
  <c r="K512" i="4"/>
  <c r="J512" i="4"/>
  <c r="I512" i="4"/>
  <c r="H512" i="4"/>
  <c r="G512" i="4"/>
  <c r="F512" i="4"/>
  <c r="AT511" i="4"/>
  <c r="AS511" i="4"/>
  <c r="AR511" i="4"/>
  <c r="AQ511" i="4"/>
  <c r="AP511" i="4"/>
  <c r="AO511" i="4"/>
  <c r="AN511" i="4"/>
  <c r="AM511" i="4"/>
  <c r="AL511" i="4"/>
  <c r="AA511" i="4"/>
  <c r="Z511" i="4"/>
  <c r="Y511" i="4"/>
  <c r="X511" i="4"/>
  <c r="W511" i="4"/>
  <c r="V511" i="4"/>
  <c r="U511" i="4"/>
  <c r="T511" i="4"/>
  <c r="S511" i="4"/>
  <c r="R511" i="4"/>
  <c r="Q511" i="4"/>
  <c r="O511" i="4"/>
  <c r="N511" i="4"/>
  <c r="M511" i="4"/>
  <c r="L511" i="4"/>
  <c r="K511" i="4"/>
  <c r="J511" i="4"/>
  <c r="I511" i="4"/>
  <c r="H511" i="4"/>
  <c r="G511" i="4"/>
  <c r="F511" i="4"/>
  <c r="AT510" i="4"/>
  <c r="AS510" i="4"/>
  <c r="AR510" i="4"/>
  <c r="AQ510" i="4"/>
  <c r="AP510" i="4"/>
  <c r="AO510" i="4"/>
  <c r="AN510" i="4"/>
  <c r="AM510" i="4"/>
  <c r="AL510" i="4"/>
  <c r="AA510" i="4"/>
  <c r="Z510" i="4"/>
  <c r="Y510" i="4"/>
  <c r="X510" i="4"/>
  <c r="W510" i="4"/>
  <c r="V510" i="4"/>
  <c r="U510" i="4"/>
  <c r="T510" i="4"/>
  <c r="S510" i="4"/>
  <c r="R510" i="4"/>
  <c r="Q510" i="4"/>
  <c r="O510" i="4"/>
  <c r="N510" i="4"/>
  <c r="M510" i="4"/>
  <c r="L510" i="4"/>
  <c r="K510" i="4"/>
  <c r="J510" i="4"/>
  <c r="I510" i="4"/>
  <c r="H510" i="4"/>
  <c r="G510" i="4"/>
  <c r="F510" i="4"/>
  <c r="AT509" i="4"/>
  <c r="AS509" i="4"/>
  <c r="AR509" i="4"/>
  <c r="AQ509" i="4"/>
  <c r="AP509" i="4"/>
  <c r="AO509" i="4"/>
  <c r="AN509" i="4"/>
  <c r="AM509" i="4"/>
  <c r="AL509" i="4"/>
  <c r="AA509" i="4"/>
  <c r="Z509" i="4"/>
  <c r="Y509" i="4"/>
  <c r="X509" i="4"/>
  <c r="W509" i="4"/>
  <c r="V509" i="4"/>
  <c r="U509" i="4"/>
  <c r="T509" i="4"/>
  <c r="S509" i="4"/>
  <c r="R509" i="4"/>
  <c r="Q509" i="4"/>
  <c r="O509" i="4"/>
  <c r="N509" i="4"/>
  <c r="M509" i="4"/>
  <c r="L509" i="4"/>
  <c r="K509" i="4"/>
  <c r="J509" i="4"/>
  <c r="I509" i="4"/>
  <c r="H509" i="4"/>
  <c r="G509" i="4"/>
  <c r="F509" i="4"/>
  <c r="AT508" i="4"/>
  <c r="AS508" i="4"/>
  <c r="AR508" i="4"/>
  <c r="AQ508" i="4"/>
  <c r="AP508" i="4"/>
  <c r="AO508" i="4"/>
  <c r="AN508" i="4"/>
  <c r="AM508" i="4"/>
  <c r="AL508" i="4"/>
  <c r="AA508" i="4"/>
  <c r="Z508" i="4"/>
  <c r="Y508" i="4"/>
  <c r="X508" i="4"/>
  <c r="W508" i="4"/>
  <c r="V508" i="4"/>
  <c r="U508" i="4"/>
  <c r="T508" i="4"/>
  <c r="S508" i="4"/>
  <c r="R508" i="4"/>
  <c r="Q508" i="4"/>
  <c r="O508" i="4"/>
  <c r="N508" i="4"/>
  <c r="M508" i="4"/>
  <c r="L508" i="4"/>
  <c r="K508" i="4"/>
  <c r="J508" i="4"/>
  <c r="I508" i="4"/>
  <c r="H508" i="4"/>
  <c r="G508" i="4"/>
  <c r="F508" i="4"/>
  <c r="AT507" i="4"/>
  <c r="AS507" i="4"/>
  <c r="AR507" i="4"/>
  <c r="AQ507" i="4"/>
  <c r="AP507" i="4"/>
  <c r="AO507" i="4"/>
  <c r="AN507" i="4"/>
  <c r="AM507" i="4"/>
  <c r="AL507" i="4"/>
  <c r="AA507" i="4"/>
  <c r="Z507" i="4"/>
  <c r="Y507" i="4"/>
  <c r="X507" i="4"/>
  <c r="W507" i="4"/>
  <c r="V507" i="4"/>
  <c r="U507" i="4"/>
  <c r="T507" i="4"/>
  <c r="S507" i="4"/>
  <c r="R507" i="4"/>
  <c r="Q507" i="4"/>
  <c r="O507" i="4"/>
  <c r="N507" i="4"/>
  <c r="M507" i="4"/>
  <c r="L507" i="4"/>
  <c r="K507" i="4"/>
  <c r="J507" i="4"/>
  <c r="I507" i="4"/>
  <c r="H507" i="4"/>
  <c r="G507" i="4"/>
  <c r="F507" i="4"/>
  <c r="AT506" i="4"/>
  <c r="AS506" i="4"/>
  <c r="AR506" i="4"/>
  <c r="AQ506" i="4"/>
  <c r="AP506" i="4"/>
  <c r="AO506" i="4"/>
  <c r="AN506" i="4"/>
  <c r="AM506" i="4"/>
  <c r="AL506" i="4"/>
  <c r="AA506" i="4"/>
  <c r="Z506" i="4"/>
  <c r="Y506" i="4"/>
  <c r="X506" i="4"/>
  <c r="W506" i="4"/>
  <c r="V506" i="4"/>
  <c r="U506" i="4"/>
  <c r="T506" i="4"/>
  <c r="S506" i="4"/>
  <c r="R506" i="4"/>
  <c r="Q506" i="4"/>
  <c r="O506" i="4"/>
  <c r="N506" i="4"/>
  <c r="M506" i="4"/>
  <c r="L506" i="4"/>
  <c r="K506" i="4"/>
  <c r="J506" i="4"/>
  <c r="I506" i="4"/>
  <c r="H506" i="4"/>
  <c r="G506" i="4"/>
  <c r="F506" i="4"/>
  <c r="AT505" i="4"/>
  <c r="AS505" i="4"/>
  <c r="AR505" i="4"/>
  <c r="AQ505" i="4"/>
  <c r="AP505" i="4"/>
  <c r="AO505" i="4"/>
  <c r="AN505" i="4"/>
  <c r="AM505" i="4"/>
  <c r="AL505" i="4"/>
  <c r="AA505" i="4"/>
  <c r="Z505" i="4"/>
  <c r="Y505" i="4"/>
  <c r="X505" i="4"/>
  <c r="W505" i="4"/>
  <c r="V505" i="4"/>
  <c r="U505" i="4"/>
  <c r="T505" i="4"/>
  <c r="S505" i="4"/>
  <c r="R505" i="4"/>
  <c r="Q505" i="4"/>
  <c r="O505" i="4"/>
  <c r="N505" i="4"/>
  <c r="M505" i="4"/>
  <c r="L505" i="4"/>
  <c r="K505" i="4"/>
  <c r="J505" i="4"/>
  <c r="I505" i="4"/>
  <c r="H505" i="4"/>
  <c r="G505" i="4"/>
  <c r="F505" i="4"/>
  <c r="AT504" i="4"/>
  <c r="AS504" i="4"/>
  <c r="AR504" i="4"/>
  <c r="AQ504" i="4"/>
  <c r="AP504" i="4"/>
  <c r="AO504" i="4"/>
  <c r="AN504" i="4"/>
  <c r="AM504" i="4"/>
  <c r="AL504" i="4"/>
  <c r="AA504" i="4"/>
  <c r="Z504" i="4"/>
  <c r="Y504" i="4"/>
  <c r="X504" i="4"/>
  <c r="W504" i="4"/>
  <c r="V504" i="4"/>
  <c r="U504" i="4"/>
  <c r="T504" i="4"/>
  <c r="S504" i="4"/>
  <c r="R504" i="4"/>
  <c r="Q504" i="4"/>
  <c r="O504" i="4"/>
  <c r="N504" i="4"/>
  <c r="M504" i="4"/>
  <c r="L504" i="4"/>
  <c r="K504" i="4"/>
  <c r="J504" i="4"/>
  <c r="I504" i="4"/>
  <c r="H504" i="4"/>
  <c r="G504" i="4"/>
  <c r="F504" i="4"/>
  <c r="AT503" i="4"/>
  <c r="AS503" i="4"/>
  <c r="AR503" i="4"/>
  <c r="AQ503" i="4"/>
  <c r="AP503" i="4"/>
  <c r="AO503" i="4"/>
  <c r="AN503" i="4"/>
  <c r="AM503" i="4"/>
  <c r="AL503" i="4"/>
  <c r="AA503" i="4"/>
  <c r="Z503" i="4"/>
  <c r="Y503" i="4"/>
  <c r="X503" i="4"/>
  <c r="W503" i="4"/>
  <c r="V503" i="4"/>
  <c r="U503" i="4"/>
  <c r="T503" i="4"/>
  <c r="S503" i="4"/>
  <c r="R503" i="4"/>
  <c r="Q503" i="4"/>
  <c r="O503" i="4"/>
  <c r="N503" i="4"/>
  <c r="M503" i="4"/>
  <c r="L503" i="4"/>
  <c r="K503" i="4"/>
  <c r="J503" i="4"/>
  <c r="I503" i="4"/>
  <c r="H503" i="4"/>
  <c r="G503" i="4"/>
  <c r="F503" i="4"/>
  <c r="AT502" i="4"/>
  <c r="AS502" i="4"/>
  <c r="AR502" i="4"/>
  <c r="AQ502" i="4"/>
  <c r="AP502" i="4"/>
  <c r="AO502" i="4"/>
  <c r="AN502" i="4"/>
  <c r="AM502" i="4"/>
  <c r="AL502" i="4"/>
  <c r="AA502" i="4"/>
  <c r="Z502" i="4"/>
  <c r="Y502" i="4"/>
  <c r="X502" i="4"/>
  <c r="W502" i="4"/>
  <c r="V502" i="4"/>
  <c r="U502" i="4"/>
  <c r="T502" i="4"/>
  <c r="S502" i="4"/>
  <c r="R502" i="4"/>
  <c r="Q502" i="4"/>
  <c r="O502" i="4"/>
  <c r="N502" i="4"/>
  <c r="M502" i="4"/>
  <c r="L502" i="4"/>
  <c r="K502" i="4"/>
  <c r="J502" i="4"/>
  <c r="I502" i="4"/>
  <c r="H502" i="4"/>
  <c r="G502" i="4"/>
  <c r="F502" i="4"/>
  <c r="AT501" i="4"/>
  <c r="AS501" i="4"/>
  <c r="AR501" i="4"/>
  <c r="AQ501" i="4"/>
  <c r="AP501" i="4"/>
  <c r="AO501" i="4"/>
  <c r="AN501" i="4"/>
  <c r="AM501" i="4"/>
  <c r="AL501" i="4"/>
  <c r="AA501" i="4"/>
  <c r="Z501" i="4"/>
  <c r="Y501" i="4"/>
  <c r="X501" i="4"/>
  <c r="W501" i="4"/>
  <c r="V501" i="4"/>
  <c r="U501" i="4"/>
  <c r="T501" i="4"/>
  <c r="S501" i="4"/>
  <c r="R501" i="4"/>
  <c r="Q501" i="4"/>
  <c r="O501" i="4"/>
  <c r="N501" i="4"/>
  <c r="M501" i="4"/>
  <c r="L501" i="4"/>
  <c r="K501" i="4"/>
  <c r="J501" i="4"/>
  <c r="I501" i="4"/>
  <c r="H501" i="4"/>
  <c r="G501" i="4"/>
  <c r="F501" i="4"/>
  <c r="AT500" i="4"/>
  <c r="AS500" i="4"/>
  <c r="AR500" i="4"/>
  <c r="AQ500" i="4"/>
  <c r="AP500" i="4"/>
  <c r="AO500" i="4"/>
  <c r="AN500" i="4"/>
  <c r="AM500" i="4"/>
  <c r="AL500" i="4"/>
  <c r="AA500" i="4"/>
  <c r="Z500" i="4"/>
  <c r="Y500" i="4"/>
  <c r="X500" i="4"/>
  <c r="W500" i="4"/>
  <c r="V500" i="4"/>
  <c r="U500" i="4"/>
  <c r="T500" i="4"/>
  <c r="S500" i="4"/>
  <c r="R500" i="4"/>
  <c r="Q500" i="4"/>
  <c r="O500" i="4"/>
  <c r="N500" i="4"/>
  <c r="M500" i="4"/>
  <c r="L500" i="4"/>
  <c r="K500" i="4"/>
  <c r="J500" i="4"/>
  <c r="I500" i="4"/>
  <c r="H500" i="4"/>
  <c r="G500" i="4"/>
  <c r="F500" i="4"/>
  <c r="AT499" i="4"/>
  <c r="AS499" i="4"/>
  <c r="AR499" i="4"/>
  <c r="AQ499" i="4"/>
  <c r="AP499" i="4"/>
  <c r="AO499" i="4"/>
  <c r="AN499" i="4"/>
  <c r="AM499" i="4"/>
  <c r="AL499" i="4"/>
  <c r="AA499" i="4"/>
  <c r="Z499" i="4"/>
  <c r="Y499" i="4"/>
  <c r="X499" i="4"/>
  <c r="W499" i="4"/>
  <c r="V499" i="4"/>
  <c r="U499" i="4"/>
  <c r="T499" i="4"/>
  <c r="S499" i="4"/>
  <c r="R499" i="4"/>
  <c r="Q499" i="4"/>
  <c r="O499" i="4"/>
  <c r="N499" i="4"/>
  <c r="M499" i="4"/>
  <c r="L499" i="4"/>
  <c r="K499" i="4"/>
  <c r="J499" i="4"/>
  <c r="I499" i="4"/>
  <c r="H499" i="4"/>
  <c r="G499" i="4"/>
  <c r="F499" i="4"/>
  <c r="AT498" i="4"/>
  <c r="AS498" i="4"/>
  <c r="AR498" i="4"/>
  <c r="AQ498" i="4"/>
  <c r="AP498" i="4"/>
  <c r="AO498" i="4"/>
  <c r="AN498" i="4"/>
  <c r="AM498" i="4"/>
  <c r="AL498" i="4"/>
  <c r="AA498" i="4"/>
  <c r="Z498" i="4"/>
  <c r="Y498" i="4"/>
  <c r="X498" i="4"/>
  <c r="W498" i="4"/>
  <c r="V498" i="4"/>
  <c r="U498" i="4"/>
  <c r="T498" i="4"/>
  <c r="S498" i="4"/>
  <c r="R498" i="4"/>
  <c r="Q498" i="4"/>
  <c r="O498" i="4"/>
  <c r="N498" i="4"/>
  <c r="M498" i="4"/>
  <c r="L498" i="4"/>
  <c r="K498" i="4"/>
  <c r="J498" i="4"/>
  <c r="I498" i="4"/>
  <c r="H498" i="4"/>
  <c r="G498" i="4"/>
  <c r="F498" i="4"/>
  <c r="AT497" i="4"/>
  <c r="AS497" i="4"/>
  <c r="AR497" i="4"/>
  <c r="AQ497" i="4"/>
  <c r="AP497" i="4"/>
  <c r="AO497" i="4"/>
  <c r="AN497" i="4"/>
  <c r="AM497" i="4"/>
  <c r="AL497" i="4"/>
  <c r="AA497" i="4"/>
  <c r="Z497" i="4"/>
  <c r="Y497" i="4"/>
  <c r="X497" i="4"/>
  <c r="W497" i="4"/>
  <c r="V497" i="4"/>
  <c r="U497" i="4"/>
  <c r="T497" i="4"/>
  <c r="S497" i="4"/>
  <c r="R497" i="4"/>
  <c r="Q497" i="4"/>
  <c r="O497" i="4"/>
  <c r="N497" i="4"/>
  <c r="M497" i="4"/>
  <c r="L497" i="4"/>
  <c r="K497" i="4"/>
  <c r="J497" i="4"/>
  <c r="I497" i="4"/>
  <c r="H497" i="4"/>
  <c r="G497" i="4"/>
  <c r="F497" i="4"/>
  <c r="AT496" i="4"/>
  <c r="AS496" i="4"/>
  <c r="AR496" i="4"/>
  <c r="AQ496" i="4"/>
  <c r="AP496" i="4"/>
  <c r="AO496" i="4"/>
  <c r="AN496" i="4"/>
  <c r="AM496" i="4"/>
  <c r="AL496" i="4"/>
  <c r="AA496" i="4"/>
  <c r="Z496" i="4"/>
  <c r="Y496" i="4"/>
  <c r="X496" i="4"/>
  <c r="W496" i="4"/>
  <c r="V496" i="4"/>
  <c r="U496" i="4"/>
  <c r="T496" i="4"/>
  <c r="S496" i="4"/>
  <c r="R496" i="4"/>
  <c r="Q496" i="4"/>
  <c r="O496" i="4"/>
  <c r="N496" i="4"/>
  <c r="M496" i="4"/>
  <c r="L496" i="4"/>
  <c r="K496" i="4"/>
  <c r="J496" i="4"/>
  <c r="I496" i="4"/>
  <c r="H496" i="4"/>
  <c r="G496" i="4"/>
  <c r="F496" i="4"/>
  <c r="AT495" i="4"/>
  <c r="AS495" i="4"/>
  <c r="AR495" i="4"/>
  <c r="AQ495" i="4"/>
  <c r="AP495" i="4"/>
  <c r="AO495" i="4"/>
  <c r="AN495" i="4"/>
  <c r="AM495" i="4"/>
  <c r="AL495" i="4"/>
  <c r="AA495" i="4"/>
  <c r="Z495" i="4"/>
  <c r="Y495" i="4"/>
  <c r="X495" i="4"/>
  <c r="W495" i="4"/>
  <c r="V495" i="4"/>
  <c r="U495" i="4"/>
  <c r="T495" i="4"/>
  <c r="S495" i="4"/>
  <c r="R495" i="4"/>
  <c r="Q495" i="4"/>
  <c r="O495" i="4"/>
  <c r="N495" i="4"/>
  <c r="M495" i="4"/>
  <c r="L495" i="4"/>
  <c r="K495" i="4"/>
  <c r="J495" i="4"/>
  <c r="I495" i="4"/>
  <c r="H495" i="4"/>
  <c r="G495" i="4"/>
  <c r="F495" i="4"/>
  <c r="AT494" i="4"/>
  <c r="AS494" i="4"/>
  <c r="AR494" i="4"/>
  <c r="AQ494" i="4"/>
  <c r="AP494" i="4"/>
  <c r="AO494" i="4"/>
  <c r="AN494" i="4"/>
  <c r="AM494" i="4"/>
  <c r="AL494" i="4"/>
  <c r="AA494" i="4"/>
  <c r="Z494" i="4"/>
  <c r="Y494" i="4"/>
  <c r="X494" i="4"/>
  <c r="W494" i="4"/>
  <c r="V494" i="4"/>
  <c r="U494" i="4"/>
  <c r="T494" i="4"/>
  <c r="S494" i="4"/>
  <c r="R494" i="4"/>
  <c r="Q494" i="4"/>
  <c r="O494" i="4"/>
  <c r="N494" i="4"/>
  <c r="M494" i="4"/>
  <c r="L494" i="4"/>
  <c r="K494" i="4"/>
  <c r="J494" i="4"/>
  <c r="I494" i="4"/>
  <c r="H494" i="4"/>
  <c r="G494" i="4"/>
  <c r="F494" i="4"/>
  <c r="AT493" i="4"/>
  <c r="AS493" i="4"/>
  <c r="AR493" i="4"/>
  <c r="AQ493" i="4"/>
  <c r="AP493" i="4"/>
  <c r="AO493" i="4"/>
  <c r="AN493" i="4"/>
  <c r="AM493" i="4"/>
  <c r="AL493" i="4"/>
  <c r="AA493" i="4"/>
  <c r="Z493" i="4"/>
  <c r="Y493" i="4"/>
  <c r="X493" i="4"/>
  <c r="W493" i="4"/>
  <c r="V493" i="4"/>
  <c r="U493" i="4"/>
  <c r="T493" i="4"/>
  <c r="S493" i="4"/>
  <c r="R493" i="4"/>
  <c r="Q493" i="4"/>
  <c r="O493" i="4"/>
  <c r="N493" i="4"/>
  <c r="M493" i="4"/>
  <c r="L493" i="4"/>
  <c r="K493" i="4"/>
  <c r="J493" i="4"/>
  <c r="I493" i="4"/>
  <c r="H493" i="4"/>
  <c r="G493" i="4"/>
  <c r="F493" i="4"/>
  <c r="AT492" i="4"/>
  <c r="AS492" i="4"/>
  <c r="AR492" i="4"/>
  <c r="AQ492" i="4"/>
  <c r="AP492" i="4"/>
  <c r="AO492" i="4"/>
  <c r="AN492" i="4"/>
  <c r="AM492" i="4"/>
  <c r="AL492" i="4"/>
  <c r="AA492" i="4"/>
  <c r="Z492" i="4"/>
  <c r="Y492" i="4"/>
  <c r="X492" i="4"/>
  <c r="W492" i="4"/>
  <c r="V492" i="4"/>
  <c r="U492" i="4"/>
  <c r="T492" i="4"/>
  <c r="S492" i="4"/>
  <c r="R492" i="4"/>
  <c r="Q492" i="4"/>
  <c r="O492" i="4"/>
  <c r="N492" i="4"/>
  <c r="M492" i="4"/>
  <c r="L492" i="4"/>
  <c r="K492" i="4"/>
  <c r="J492" i="4"/>
  <c r="I492" i="4"/>
  <c r="H492" i="4"/>
  <c r="G492" i="4"/>
  <c r="F492" i="4"/>
  <c r="AT491" i="4"/>
  <c r="AS491" i="4"/>
  <c r="AR491" i="4"/>
  <c r="AQ491" i="4"/>
  <c r="AP491" i="4"/>
  <c r="AO491" i="4"/>
  <c r="AN491" i="4"/>
  <c r="AM491" i="4"/>
  <c r="AL491" i="4"/>
  <c r="AA491" i="4"/>
  <c r="Z491" i="4"/>
  <c r="Y491" i="4"/>
  <c r="X491" i="4"/>
  <c r="W491" i="4"/>
  <c r="V491" i="4"/>
  <c r="U491" i="4"/>
  <c r="T491" i="4"/>
  <c r="S491" i="4"/>
  <c r="R491" i="4"/>
  <c r="Q491" i="4"/>
  <c r="O491" i="4"/>
  <c r="N491" i="4"/>
  <c r="M491" i="4"/>
  <c r="L491" i="4"/>
  <c r="K491" i="4"/>
  <c r="J491" i="4"/>
  <c r="I491" i="4"/>
  <c r="H491" i="4"/>
  <c r="G491" i="4"/>
  <c r="F491" i="4"/>
  <c r="AT490" i="4"/>
  <c r="AS490" i="4"/>
  <c r="AR490" i="4"/>
  <c r="AQ490" i="4"/>
  <c r="AP490" i="4"/>
  <c r="AO490" i="4"/>
  <c r="AN490" i="4"/>
  <c r="AM490" i="4"/>
  <c r="AL490" i="4"/>
  <c r="AA490" i="4"/>
  <c r="Z490" i="4"/>
  <c r="Y490" i="4"/>
  <c r="X490" i="4"/>
  <c r="W490" i="4"/>
  <c r="V490" i="4"/>
  <c r="U490" i="4"/>
  <c r="T490" i="4"/>
  <c r="S490" i="4"/>
  <c r="R490" i="4"/>
  <c r="Q490" i="4"/>
  <c r="O490" i="4"/>
  <c r="N490" i="4"/>
  <c r="M490" i="4"/>
  <c r="L490" i="4"/>
  <c r="K490" i="4"/>
  <c r="J490" i="4"/>
  <c r="I490" i="4"/>
  <c r="H490" i="4"/>
  <c r="G490" i="4"/>
  <c r="F490" i="4"/>
  <c r="AT489" i="4"/>
  <c r="AS489" i="4"/>
  <c r="AR489" i="4"/>
  <c r="AQ489" i="4"/>
  <c r="AP489" i="4"/>
  <c r="AO489" i="4"/>
  <c r="AN489" i="4"/>
  <c r="AM489" i="4"/>
  <c r="AL489" i="4"/>
  <c r="AA489" i="4"/>
  <c r="Z489" i="4"/>
  <c r="Y489" i="4"/>
  <c r="X489" i="4"/>
  <c r="W489" i="4"/>
  <c r="V489" i="4"/>
  <c r="U489" i="4"/>
  <c r="T489" i="4"/>
  <c r="S489" i="4"/>
  <c r="R489" i="4"/>
  <c r="Q489" i="4"/>
  <c r="O489" i="4"/>
  <c r="N489" i="4"/>
  <c r="M489" i="4"/>
  <c r="L489" i="4"/>
  <c r="K489" i="4"/>
  <c r="J489" i="4"/>
  <c r="I489" i="4"/>
  <c r="H489" i="4"/>
  <c r="G489" i="4"/>
  <c r="F489" i="4"/>
  <c r="AT488" i="4"/>
  <c r="AS488" i="4"/>
  <c r="AR488" i="4"/>
  <c r="AQ488" i="4"/>
  <c r="AP488" i="4"/>
  <c r="AO488" i="4"/>
  <c r="AN488" i="4"/>
  <c r="AM488" i="4"/>
  <c r="AL488" i="4"/>
  <c r="AA488" i="4"/>
  <c r="Z488" i="4"/>
  <c r="Y488" i="4"/>
  <c r="X488" i="4"/>
  <c r="W488" i="4"/>
  <c r="V488" i="4"/>
  <c r="U488" i="4"/>
  <c r="T488" i="4"/>
  <c r="S488" i="4"/>
  <c r="R488" i="4"/>
  <c r="Q488" i="4"/>
  <c r="O488" i="4"/>
  <c r="N488" i="4"/>
  <c r="M488" i="4"/>
  <c r="L488" i="4"/>
  <c r="K488" i="4"/>
  <c r="J488" i="4"/>
  <c r="I488" i="4"/>
  <c r="H488" i="4"/>
  <c r="G488" i="4"/>
  <c r="F488" i="4"/>
  <c r="AT487" i="4"/>
  <c r="AS487" i="4"/>
  <c r="AR487" i="4"/>
  <c r="AQ487" i="4"/>
  <c r="AP487" i="4"/>
  <c r="AO487" i="4"/>
  <c r="AN487" i="4"/>
  <c r="AM487" i="4"/>
  <c r="AL487" i="4"/>
  <c r="AA487" i="4"/>
  <c r="Z487" i="4"/>
  <c r="Y487" i="4"/>
  <c r="X487" i="4"/>
  <c r="W487" i="4"/>
  <c r="V487" i="4"/>
  <c r="U487" i="4"/>
  <c r="T487" i="4"/>
  <c r="S487" i="4"/>
  <c r="R487" i="4"/>
  <c r="Q487" i="4"/>
  <c r="O487" i="4"/>
  <c r="N487" i="4"/>
  <c r="M487" i="4"/>
  <c r="L487" i="4"/>
  <c r="K487" i="4"/>
  <c r="J487" i="4"/>
  <c r="I487" i="4"/>
  <c r="H487" i="4"/>
  <c r="G487" i="4"/>
  <c r="F487" i="4"/>
  <c r="AT486" i="4"/>
  <c r="AS486" i="4"/>
  <c r="AR486" i="4"/>
  <c r="AQ486" i="4"/>
  <c r="AP486" i="4"/>
  <c r="AO486" i="4"/>
  <c r="AN486" i="4"/>
  <c r="AM486" i="4"/>
  <c r="AL486" i="4"/>
  <c r="AA486" i="4"/>
  <c r="Z486" i="4"/>
  <c r="Y486" i="4"/>
  <c r="X486" i="4"/>
  <c r="W486" i="4"/>
  <c r="V486" i="4"/>
  <c r="U486" i="4"/>
  <c r="T486" i="4"/>
  <c r="S486" i="4"/>
  <c r="R486" i="4"/>
  <c r="Q486" i="4"/>
  <c r="O486" i="4"/>
  <c r="N486" i="4"/>
  <c r="M486" i="4"/>
  <c r="L486" i="4"/>
  <c r="K486" i="4"/>
  <c r="J486" i="4"/>
  <c r="I486" i="4"/>
  <c r="H486" i="4"/>
  <c r="G486" i="4"/>
  <c r="F486" i="4"/>
  <c r="AT485" i="4"/>
  <c r="AS485" i="4"/>
  <c r="AR485" i="4"/>
  <c r="AQ485" i="4"/>
  <c r="AP485" i="4"/>
  <c r="AO485" i="4"/>
  <c r="AN485" i="4"/>
  <c r="AM485" i="4"/>
  <c r="AL485" i="4"/>
  <c r="AA485" i="4"/>
  <c r="Z485" i="4"/>
  <c r="Y485" i="4"/>
  <c r="X485" i="4"/>
  <c r="W485" i="4"/>
  <c r="V485" i="4"/>
  <c r="U485" i="4"/>
  <c r="T485" i="4"/>
  <c r="S485" i="4"/>
  <c r="R485" i="4"/>
  <c r="Q485" i="4"/>
  <c r="O485" i="4"/>
  <c r="N485" i="4"/>
  <c r="M485" i="4"/>
  <c r="L485" i="4"/>
  <c r="K485" i="4"/>
  <c r="J485" i="4"/>
  <c r="I485" i="4"/>
  <c r="H485" i="4"/>
  <c r="G485" i="4"/>
  <c r="F485" i="4"/>
  <c r="AT484" i="4"/>
  <c r="AS484" i="4"/>
  <c r="AR484" i="4"/>
  <c r="AQ484" i="4"/>
  <c r="AP484" i="4"/>
  <c r="AO484" i="4"/>
  <c r="AN484" i="4"/>
  <c r="AM484" i="4"/>
  <c r="AL484" i="4"/>
  <c r="AA484" i="4"/>
  <c r="Z484" i="4"/>
  <c r="Y484" i="4"/>
  <c r="X484" i="4"/>
  <c r="W484" i="4"/>
  <c r="V484" i="4"/>
  <c r="U484" i="4"/>
  <c r="T484" i="4"/>
  <c r="S484" i="4"/>
  <c r="R484" i="4"/>
  <c r="Q484" i="4"/>
  <c r="O484" i="4"/>
  <c r="N484" i="4"/>
  <c r="M484" i="4"/>
  <c r="L484" i="4"/>
  <c r="K484" i="4"/>
  <c r="J484" i="4"/>
  <c r="I484" i="4"/>
  <c r="H484" i="4"/>
  <c r="G484" i="4"/>
  <c r="F484" i="4"/>
  <c r="AT483" i="4"/>
  <c r="AS483" i="4"/>
  <c r="AR483" i="4"/>
  <c r="AQ483" i="4"/>
  <c r="AP483" i="4"/>
  <c r="AO483" i="4"/>
  <c r="AN483" i="4"/>
  <c r="AM483" i="4"/>
  <c r="AL483" i="4"/>
  <c r="AA483" i="4"/>
  <c r="Z483" i="4"/>
  <c r="Y483" i="4"/>
  <c r="X483" i="4"/>
  <c r="W483" i="4"/>
  <c r="V483" i="4"/>
  <c r="U483" i="4"/>
  <c r="T483" i="4"/>
  <c r="S483" i="4"/>
  <c r="R483" i="4"/>
  <c r="Q483" i="4"/>
  <c r="O483" i="4"/>
  <c r="N483" i="4"/>
  <c r="M483" i="4"/>
  <c r="L483" i="4"/>
  <c r="K483" i="4"/>
  <c r="J483" i="4"/>
  <c r="I483" i="4"/>
  <c r="H483" i="4"/>
  <c r="G483" i="4"/>
  <c r="F483" i="4"/>
  <c r="AT482" i="4"/>
  <c r="AS482" i="4"/>
  <c r="AR482" i="4"/>
  <c r="AQ482" i="4"/>
  <c r="AP482" i="4"/>
  <c r="AO482" i="4"/>
  <c r="AN482" i="4"/>
  <c r="AM482" i="4"/>
  <c r="AL482" i="4"/>
  <c r="AA482" i="4"/>
  <c r="Z482" i="4"/>
  <c r="Y482" i="4"/>
  <c r="X482" i="4"/>
  <c r="W482" i="4"/>
  <c r="V482" i="4"/>
  <c r="U482" i="4"/>
  <c r="T482" i="4"/>
  <c r="S482" i="4"/>
  <c r="R482" i="4"/>
  <c r="Q482" i="4"/>
  <c r="O482" i="4"/>
  <c r="N482" i="4"/>
  <c r="M482" i="4"/>
  <c r="L482" i="4"/>
  <c r="K482" i="4"/>
  <c r="J482" i="4"/>
  <c r="I482" i="4"/>
  <c r="H482" i="4"/>
  <c r="G482" i="4"/>
  <c r="F482" i="4"/>
  <c r="AT481" i="4"/>
  <c r="AS481" i="4"/>
  <c r="AR481" i="4"/>
  <c r="AQ481" i="4"/>
  <c r="AP481" i="4"/>
  <c r="AO481" i="4"/>
  <c r="AN481" i="4"/>
  <c r="AM481" i="4"/>
  <c r="AL481" i="4"/>
  <c r="AA481" i="4"/>
  <c r="Z481" i="4"/>
  <c r="Y481" i="4"/>
  <c r="X481" i="4"/>
  <c r="W481" i="4"/>
  <c r="V481" i="4"/>
  <c r="U481" i="4"/>
  <c r="T481" i="4"/>
  <c r="S481" i="4"/>
  <c r="R481" i="4"/>
  <c r="Q481" i="4"/>
  <c r="O481" i="4"/>
  <c r="N481" i="4"/>
  <c r="M481" i="4"/>
  <c r="L481" i="4"/>
  <c r="K481" i="4"/>
  <c r="J481" i="4"/>
  <c r="I481" i="4"/>
  <c r="H481" i="4"/>
  <c r="G481" i="4"/>
  <c r="F481" i="4"/>
  <c r="AT480" i="4"/>
  <c r="AS480" i="4"/>
  <c r="AR480" i="4"/>
  <c r="AQ480" i="4"/>
  <c r="AP480" i="4"/>
  <c r="AO480" i="4"/>
  <c r="AN480" i="4"/>
  <c r="AM480" i="4"/>
  <c r="AL480" i="4"/>
  <c r="AA480" i="4"/>
  <c r="Z480" i="4"/>
  <c r="Y480" i="4"/>
  <c r="X480" i="4"/>
  <c r="W480" i="4"/>
  <c r="V480" i="4"/>
  <c r="U480" i="4"/>
  <c r="T480" i="4"/>
  <c r="S480" i="4"/>
  <c r="R480" i="4"/>
  <c r="Q480" i="4"/>
  <c r="O480" i="4"/>
  <c r="N480" i="4"/>
  <c r="M480" i="4"/>
  <c r="L480" i="4"/>
  <c r="K480" i="4"/>
  <c r="J480" i="4"/>
  <c r="I480" i="4"/>
  <c r="H480" i="4"/>
  <c r="G480" i="4"/>
  <c r="F480" i="4"/>
  <c r="AT479" i="4"/>
  <c r="AS479" i="4"/>
  <c r="AR479" i="4"/>
  <c r="AQ479" i="4"/>
  <c r="AP479" i="4"/>
  <c r="AO479" i="4"/>
  <c r="AN479" i="4"/>
  <c r="AM479" i="4"/>
  <c r="AL479" i="4"/>
  <c r="AA479" i="4"/>
  <c r="Z479" i="4"/>
  <c r="Y479" i="4"/>
  <c r="X479" i="4"/>
  <c r="W479" i="4"/>
  <c r="V479" i="4"/>
  <c r="U479" i="4"/>
  <c r="T479" i="4"/>
  <c r="S479" i="4"/>
  <c r="R479" i="4"/>
  <c r="Q479" i="4"/>
  <c r="O479" i="4"/>
  <c r="N479" i="4"/>
  <c r="M479" i="4"/>
  <c r="L479" i="4"/>
  <c r="K479" i="4"/>
  <c r="J479" i="4"/>
  <c r="I479" i="4"/>
  <c r="H479" i="4"/>
  <c r="G479" i="4"/>
  <c r="F479" i="4"/>
  <c r="AT478" i="4"/>
  <c r="AS478" i="4"/>
  <c r="AR478" i="4"/>
  <c r="AQ478" i="4"/>
  <c r="AP478" i="4"/>
  <c r="AO478" i="4"/>
  <c r="AN478" i="4"/>
  <c r="AM478" i="4"/>
  <c r="AL478" i="4"/>
  <c r="AA478" i="4"/>
  <c r="Z478" i="4"/>
  <c r="Y478" i="4"/>
  <c r="X478" i="4"/>
  <c r="W478" i="4"/>
  <c r="V478" i="4"/>
  <c r="U478" i="4"/>
  <c r="T478" i="4"/>
  <c r="S478" i="4"/>
  <c r="R478" i="4"/>
  <c r="Q478" i="4"/>
  <c r="O478" i="4"/>
  <c r="N478" i="4"/>
  <c r="M478" i="4"/>
  <c r="L478" i="4"/>
  <c r="K478" i="4"/>
  <c r="J478" i="4"/>
  <c r="I478" i="4"/>
  <c r="H478" i="4"/>
  <c r="G478" i="4"/>
  <c r="F478" i="4"/>
  <c r="AT477" i="4"/>
  <c r="AS477" i="4"/>
  <c r="AR477" i="4"/>
  <c r="AQ477" i="4"/>
  <c r="AP477" i="4"/>
  <c r="AO477" i="4"/>
  <c r="AN477" i="4"/>
  <c r="AM477" i="4"/>
  <c r="AL477" i="4"/>
  <c r="AA477" i="4"/>
  <c r="Z477" i="4"/>
  <c r="Y477" i="4"/>
  <c r="X477" i="4"/>
  <c r="W477" i="4"/>
  <c r="V477" i="4"/>
  <c r="U477" i="4"/>
  <c r="T477" i="4"/>
  <c r="S477" i="4"/>
  <c r="R477" i="4"/>
  <c r="Q477" i="4"/>
  <c r="O477" i="4"/>
  <c r="N477" i="4"/>
  <c r="M477" i="4"/>
  <c r="L477" i="4"/>
  <c r="K477" i="4"/>
  <c r="J477" i="4"/>
  <c r="I477" i="4"/>
  <c r="H477" i="4"/>
  <c r="G477" i="4"/>
  <c r="F477" i="4"/>
  <c r="AT476" i="4"/>
  <c r="AS476" i="4"/>
  <c r="AR476" i="4"/>
  <c r="AQ476" i="4"/>
  <c r="AP476" i="4"/>
  <c r="AO476" i="4"/>
  <c r="AN476" i="4"/>
  <c r="AM476" i="4"/>
  <c r="AL476" i="4"/>
  <c r="AA476" i="4"/>
  <c r="Z476" i="4"/>
  <c r="Y476" i="4"/>
  <c r="X476" i="4"/>
  <c r="W476" i="4"/>
  <c r="V476" i="4"/>
  <c r="U476" i="4"/>
  <c r="T476" i="4"/>
  <c r="S476" i="4"/>
  <c r="R476" i="4"/>
  <c r="Q476" i="4"/>
  <c r="O476" i="4"/>
  <c r="N476" i="4"/>
  <c r="M476" i="4"/>
  <c r="L476" i="4"/>
  <c r="K476" i="4"/>
  <c r="J476" i="4"/>
  <c r="I476" i="4"/>
  <c r="H476" i="4"/>
  <c r="G476" i="4"/>
  <c r="F476" i="4"/>
  <c r="AT475" i="4"/>
  <c r="AS475" i="4"/>
  <c r="AR475" i="4"/>
  <c r="AQ475" i="4"/>
  <c r="AP475" i="4"/>
  <c r="AO475" i="4"/>
  <c r="AN475" i="4"/>
  <c r="AM475" i="4"/>
  <c r="AL475" i="4"/>
  <c r="AA475" i="4"/>
  <c r="Z475" i="4"/>
  <c r="Y475" i="4"/>
  <c r="X475" i="4"/>
  <c r="W475" i="4"/>
  <c r="V475" i="4"/>
  <c r="U475" i="4"/>
  <c r="T475" i="4"/>
  <c r="S475" i="4"/>
  <c r="R475" i="4"/>
  <c r="Q475" i="4"/>
  <c r="O475" i="4"/>
  <c r="N475" i="4"/>
  <c r="M475" i="4"/>
  <c r="L475" i="4"/>
  <c r="K475" i="4"/>
  <c r="J475" i="4"/>
  <c r="I475" i="4"/>
  <c r="H475" i="4"/>
  <c r="G475" i="4"/>
  <c r="F475" i="4"/>
  <c r="AT474" i="4"/>
  <c r="AS474" i="4"/>
  <c r="AR474" i="4"/>
  <c r="AQ474" i="4"/>
  <c r="AP474" i="4"/>
  <c r="AO474" i="4"/>
  <c r="AN474" i="4"/>
  <c r="AM474" i="4"/>
  <c r="AL474" i="4"/>
  <c r="AA474" i="4"/>
  <c r="Z474" i="4"/>
  <c r="Y474" i="4"/>
  <c r="X474" i="4"/>
  <c r="W474" i="4"/>
  <c r="V474" i="4"/>
  <c r="U474" i="4"/>
  <c r="T474" i="4"/>
  <c r="S474" i="4"/>
  <c r="R474" i="4"/>
  <c r="Q474" i="4"/>
  <c r="O474" i="4"/>
  <c r="N474" i="4"/>
  <c r="M474" i="4"/>
  <c r="L474" i="4"/>
  <c r="K474" i="4"/>
  <c r="J474" i="4"/>
  <c r="I474" i="4"/>
  <c r="H474" i="4"/>
  <c r="G474" i="4"/>
  <c r="F474" i="4"/>
  <c r="AT473" i="4"/>
  <c r="AS473" i="4"/>
  <c r="AR473" i="4"/>
  <c r="AQ473" i="4"/>
  <c r="AP473" i="4"/>
  <c r="AO473" i="4"/>
  <c r="AN473" i="4"/>
  <c r="AM473" i="4"/>
  <c r="AL473" i="4"/>
  <c r="AA473" i="4"/>
  <c r="Z473" i="4"/>
  <c r="Y473" i="4"/>
  <c r="X473" i="4"/>
  <c r="W473" i="4"/>
  <c r="V473" i="4"/>
  <c r="U473" i="4"/>
  <c r="T473" i="4"/>
  <c r="S473" i="4"/>
  <c r="R473" i="4"/>
  <c r="Q473" i="4"/>
  <c r="O473" i="4"/>
  <c r="N473" i="4"/>
  <c r="M473" i="4"/>
  <c r="L473" i="4"/>
  <c r="K473" i="4"/>
  <c r="J473" i="4"/>
  <c r="I473" i="4"/>
  <c r="H473" i="4"/>
  <c r="G473" i="4"/>
  <c r="F473" i="4"/>
  <c r="AT472" i="4"/>
  <c r="AS472" i="4"/>
  <c r="AR472" i="4"/>
  <c r="AQ472" i="4"/>
  <c r="AP472" i="4"/>
  <c r="AO472" i="4"/>
  <c r="AN472" i="4"/>
  <c r="AM472" i="4"/>
  <c r="AL472" i="4"/>
  <c r="AA472" i="4"/>
  <c r="Z472" i="4"/>
  <c r="Y472" i="4"/>
  <c r="X472" i="4"/>
  <c r="W472" i="4"/>
  <c r="V472" i="4"/>
  <c r="U472" i="4"/>
  <c r="T472" i="4"/>
  <c r="S472" i="4"/>
  <c r="R472" i="4"/>
  <c r="Q472" i="4"/>
  <c r="O472" i="4"/>
  <c r="N472" i="4"/>
  <c r="M472" i="4"/>
  <c r="L472" i="4"/>
  <c r="K472" i="4"/>
  <c r="J472" i="4"/>
  <c r="I472" i="4"/>
  <c r="H472" i="4"/>
  <c r="G472" i="4"/>
  <c r="F472" i="4"/>
  <c r="AT471" i="4"/>
  <c r="AS471" i="4"/>
  <c r="AR471" i="4"/>
  <c r="AQ471" i="4"/>
  <c r="AP471" i="4"/>
  <c r="AO471" i="4"/>
  <c r="AN471" i="4"/>
  <c r="AM471" i="4"/>
  <c r="AL471" i="4"/>
  <c r="AA471" i="4"/>
  <c r="Z471" i="4"/>
  <c r="Y471" i="4"/>
  <c r="X471" i="4"/>
  <c r="W471" i="4"/>
  <c r="V471" i="4"/>
  <c r="U471" i="4"/>
  <c r="T471" i="4"/>
  <c r="S471" i="4"/>
  <c r="R471" i="4"/>
  <c r="Q471" i="4"/>
  <c r="O471" i="4"/>
  <c r="N471" i="4"/>
  <c r="M471" i="4"/>
  <c r="L471" i="4"/>
  <c r="K471" i="4"/>
  <c r="J471" i="4"/>
  <c r="I471" i="4"/>
  <c r="H471" i="4"/>
  <c r="G471" i="4"/>
  <c r="F471" i="4"/>
  <c r="AT470" i="4"/>
  <c r="AS470" i="4"/>
  <c r="AR470" i="4"/>
  <c r="AQ470" i="4"/>
  <c r="AP470" i="4"/>
  <c r="AO470" i="4"/>
  <c r="AN470" i="4"/>
  <c r="AM470" i="4"/>
  <c r="AL470" i="4"/>
  <c r="AA470" i="4"/>
  <c r="Z470" i="4"/>
  <c r="Y470" i="4"/>
  <c r="X470" i="4"/>
  <c r="W470" i="4"/>
  <c r="V470" i="4"/>
  <c r="U470" i="4"/>
  <c r="T470" i="4"/>
  <c r="S470" i="4"/>
  <c r="R470" i="4"/>
  <c r="Q470" i="4"/>
  <c r="O470" i="4"/>
  <c r="N470" i="4"/>
  <c r="M470" i="4"/>
  <c r="L470" i="4"/>
  <c r="K470" i="4"/>
  <c r="J470" i="4"/>
  <c r="I470" i="4"/>
  <c r="H470" i="4"/>
  <c r="G470" i="4"/>
  <c r="F470" i="4"/>
  <c r="AT469" i="4"/>
  <c r="AS469" i="4"/>
  <c r="AR469" i="4"/>
  <c r="AQ469" i="4"/>
  <c r="AP469" i="4"/>
  <c r="AO469" i="4"/>
  <c r="AN469" i="4"/>
  <c r="AM469" i="4"/>
  <c r="AL469" i="4"/>
  <c r="AA469" i="4"/>
  <c r="Z469" i="4"/>
  <c r="Y469" i="4"/>
  <c r="X469" i="4"/>
  <c r="W469" i="4"/>
  <c r="V469" i="4"/>
  <c r="U469" i="4"/>
  <c r="T469" i="4"/>
  <c r="S469" i="4"/>
  <c r="R469" i="4"/>
  <c r="Q469" i="4"/>
  <c r="O469" i="4"/>
  <c r="N469" i="4"/>
  <c r="M469" i="4"/>
  <c r="L469" i="4"/>
  <c r="K469" i="4"/>
  <c r="J469" i="4"/>
  <c r="I469" i="4"/>
  <c r="H469" i="4"/>
  <c r="G469" i="4"/>
  <c r="F469" i="4"/>
  <c r="AT468" i="4"/>
  <c r="AS468" i="4"/>
  <c r="AR468" i="4"/>
  <c r="AQ468" i="4"/>
  <c r="AP468" i="4"/>
  <c r="AO468" i="4"/>
  <c r="AN468" i="4"/>
  <c r="AM468" i="4"/>
  <c r="AL468" i="4"/>
  <c r="AA468" i="4"/>
  <c r="Z468" i="4"/>
  <c r="Y468" i="4"/>
  <c r="X468" i="4"/>
  <c r="W468" i="4"/>
  <c r="V468" i="4"/>
  <c r="U468" i="4"/>
  <c r="T468" i="4"/>
  <c r="S468" i="4"/>
  <c r="R468" i="4"/>
  <c r="Q468" i="4"/>
  <c r="O468" i="4"/>
  <c r="N468" i="4"/>
  <c r="M468" i="4"/>
  <c r="L468" i="4"/>
  <c r="K468" i="4"/>
  <c r="J468" i="4"/>
  <c r="I468" i="4"/>
  <c r="H468" i="4"/>
  <c r="G468" i="4"/>
  <c r="F468" i="4"/>
  <c r="AT467" i="4"/>
  <c r="AS467" i="4"/>
  <c r="AR467" i="4"/>
  <c r="AQ467" i="4"/>
  <c r="AP467" i="4"/>
  <c r="AO467" i="4"/>
  <c r="AN467" i="4"/>
  <c r="AM467" i="4"/>
  <c r="AL467" i="4"/>
  <c r="AA467" i="4"/>
  <c r="Z467" i="4"/>
  <c r="Y467" i="4"/>
  <c r="X467" i="4"/>
  <c r="W467" i="4"/>
  <c r="V467" i="4"/>
  <c r="U467" i="4"/>
  <c r="T467" i="4"/>
  <c r="S467" i="4"/>
  <c r="R467" i="4"/>
  <c r="Q467" i="4"/>
  <c r="O467" i="4"/>
  <c r="N467" i="4"/>
  <c r="M467" i="4"/>
  <c r="L467" i="4"/>
  <c r="K467" i="4"/>
  <c r="J467" i="4"/>
  <c r="I467" i="4"/>
  <c r="H467" i="4"/>
  <c r="G467" i="4"/>
  <c r="F467" i="4"/>
  <c r="AT466" i="4"/>
  <c r="AS466" i="4"/>
  <c r="AR466" i="4"/>
  <c r="AQ466" i="4"/>
  <c r="AP466" i="4"/>
  <c r="AO466" i="4"/>
  <c r="AN466" i="4"/>
  <c r="AM466" i="4"/>
  <c r="AL466" i="4"/>
  <c r="AA466" i="4"/>
  <c r="Z466" i="4"/>
  <c r="Y466" i="4"/>
  <c r="X466" i="4"/>
  <c r="W466" i="4"/>
  <c r="V466" i="4"/>
  <c r="U466" i="4"/>
  <c r="T466" i="4"/>
  <c r="S466" i="4"/>
  <c r="R466" i="4"/>
  <c r="Q466" i="4"/>
  <c r="O466" i="4"/>
  <c r="N466" i="4"/>
  <c r="M466" i="4"/>
  <c r="L466" i="4"/>
  <c r="K466" i="4"/>
  <c r="J466" i="4"/>
  <c r="I466" i="4"/>
  <c r="H466" i="4"/>
  <c r="G466" i="4"/>
  <c r="F466" i="4"/>
  <c r="AT465" i="4"/>
  <c r="AS465" i="4"/>
  <c r="AR465" i="4"/>
  <c r="AQ465" i="4"/>
  <c r="AP465" i="4"/>
  <c r="AO465" i="4"/>
  <c r="AN465" i="4"/>
  <c r="AM465" i="4"/>
  <c r="AL465" i="4"/>
  <c r="AA465" i="4"/>
  <c r="Z465" i="4"/>
  <c r="Y465" i="4"/>
  <c r="X465" i="4"/>
  <c r="W465" i="4"/>
  <c r="V465" i="4"/>
  <c r="U465" i="4"/>
  <c r="T465" i="4"/>
  <c r="S465" i="4"/>
  <c r="R465" i="4"/>
  <c r="Q465" i="4"/>
  <c r="O465" i="4"/>
  <c r="N465" i="4"/>
  <c r="M465" i="4"/>
  <c r="L465" i="4"/>
  <c r="K465" i="4"/>
  <c r="J465" i="4"/>
  <c r="I465" i="4"/>
  <c r="H465" i="4"/>
  <c r="G465" i="4"/>
  <c r="F465" i="4"/>
  <c r="AT464" i="4"/>
  <c r="AS464" i="4"/>
  <c r="AR464" i="4"/>
  <c r="AQ464" i="4"/>
  <c r="AP464" i="4"/>
  <c r="AO464" i="4"/>
  <c r="AN464" i="4"/>
  <c r="AM464" i="4"/>
  <c r="AL464" i="4"/>
  <c r="AA464" i="4"/>
  <c r="Z464" i="4"/>
  <c r="Y464" i="4"/>
  <c r="X464" i="4"/>
  <c r="W464" i="4"/>
  <c r="V464" i="4"/>
  <c r="U464" i="4"/>
  <c r="T464" i="4"/>
  <c r="S464" i="4"/>
  <c r="R464" i="4"/>
  <c r="Q464" i="4"/>
  <c r="O464" i="4"/>
  <c r="N464" i="4"/>
  <c r="M464" i="4"/>
  <c r="L464" i="4"/>
  <c r="K464" i="4"/>
  <c r="J464" i="4"/>
  <c r="I464" i="4"/>
  <c r="H464" i="4"/>
  <c r="G464" i="4"/>
  <c r="F464" i="4"/>
  <c r="AT463" i="4"/>
  <c r="AS463" i="4"/>
  <c r="AR463" i="4"/>
  <c r="AQ463" i="4"/>
  <c r="AP463" i="4"/>
  <c r="AO463" i="4"/>
  <c r="AN463" i="4"/>
  <c r="AM463" i="4"/>
  <c r="AL463" i="4"/>
  <c r="AA463" i="4"/>
  <c r="Z463" i="4"/>
  <c r="Y463" i="4"/>
  <c r="X463" i="4"/>
  <c r="W463" i="4"/>
  <c r="V463" i="4"/>
  <c r="U463" i="4"/>
  <c r="T463" i="4"/>
  <c r="S463" i="4"/>
  <c r="R463" i="4"/>
  <c r="Q463" i="4"/>
  <c r="O463" i="4"/>
  <c r="N463" i="4"/>
  <c r="M463" i="4"/>
  <c r="L463" i="4"/>
  <c r="K463" i="4"/>
  <c r="J463" i="4"/>
  <c r="I463" i="4"/>
  <c r="H463" i="4"/>
  <c r="G463" i="4"/>
  <c r="F463" i="4"/>
  <c r="AT462" i="4"/>
  <c r="AS462" i="4"/>
  <c r="AR462" i="4"/>
  <c r="AQ462" i="4"/>
  <c r="AP462" i="4"/>
  <c r="AO462" i="4"/>
  <c r="AN462" i="4"/>
  <c r="AM462" i="4"/>
  <c r="AL462" i="4"/>
  <c r="AA462" i="4"/>
  <c r="Z462" i="4"/>
  <c r="Y462" i="4"/>
  <c r="X462" i="4"/>
  <c r="W462" i="4"/>
  <c r="V462" i="4"/>
  <c r="U462" i="4"/>
  <c r="T462" i="4"/>
  <c r="S462" i="4"/>
  <c r="R462" i="4"/>
  <c r="Q462" i="4"/>
  <c r="O462" i="4"/>
  <c r="N462" i="4"/>
  <c r="M462" i="4"/>
  <c r="L462" i="4"/>
  <c r="K462" i="4"/>
  <c r="J462" i="4"/>
  <c r="I462" i="4"/>
  <c r="H462" i="4"/>
  <c r="G462" i="4"/>
  <c r="F462" i="4"/>
  <c r="AT461" i="4"/>
  <c r="AS461" i="4"/>
  <c r="AR461" i="4"/>
  <c r="AQ461" i="4"/>
  <c r="AP461" i="4"/>
  <c r="AO461" i="4"/>
  <c r="AN461" i="4"/>
  <c r="AM461" i="4"/>
  <c r="AL461" i="4"/>
  <c r="AA461" i="4"/>
  <c r="Z461" i="4"/>
  <c r="Y461" i="4"/>
  <c r="X461" i="4"/>
  <c r="W461" i="4"/>
  <c r="V461" i="4"/>
  <c r="U461" i="4"/>
  <c r="T461" i="4"/>
  <c r="S461" i="4"/>
  <c r="R461" i="4"/>
  <c r="Q461" i="4"/>
  <c r="O461" i="4"/>
  <c r="N461" i="4"/>
  <c r="M461" i="4"/>
  <c r="L461" i="4"/>
  <c r="K461" i="4"/>
  <c r="J461" i="4"/>
  <c r="I461" i="4"/>
  <c r="H461" i="4"/>
  <c r="G461" i="4"/>
  <c r="F461" i="4"/>
  <c r="AT460" i="4"/>
  <c r="AS460" i="4"/>
  <c r="AR460" i="4"/>
  <c r="AQ460" i="4"/>
  <c r="AP460" i="4"/>
  <c r="AO460" i="4"/>
  <c r="AN460" i="4"/>
  <c r="AM460" i="4"/>
  <c r="AL460" i="4"/>
  <c r="AA460" i="4"/>
  <c r="Z460" i="4"/>
  <c r="Y460" i="4"/>
  <c r="X460" i="4"/>
  <c r="W460" i="4"/>
  <c r="V460" i="4"/>
  <c r="U460" i="4"/>
  <c r="T460" i="4"/>
  <c r="S460" i="4"/>
  <c r="R460" i="4"/>
  <c r="Q460" i="4"/>
  <c r="O460" i="4"/>
  <c r="N460" i="4"/>
  <c r="M460" i="4"/>
  <c r="L460" i="4"/>
  <c r="K460" i="4"/>
  <c r="J460" i="4"/>
  <c r="I460" i="4"/>
  <c r="H460" i="4"/>
  <c r="G460" i="4"/>
  <c r="F460" i="4"/>
  <c r="AT459" i="4"/>
  <c r="AS459" i="4"/>
  <c r="AR459" i="4"/>
  <c r="AQ459" i="4"/>
  <c r="AP459" i="4"/>
  <c r="AO459" i="4"/>
  <c r="AN459" i="4"/>
  <c r="AM459" i="4"/>
  <c r="AL459" i="4"/>
  <c r="AA459" i="4"/>
  <c r="Z459" i="4"/>
  <c r="Y459" i="4"/>
  <c r="X459" i="4"/>
  <c r="W459" i="4"/>
  <c r="V459" i="4"/>
  <c r="U459" i="4"/>
  <c r="T459" i="4"/>
  <c r="S459" i="4"/>
  <c r="R459" i="4"/>
  <c r="Q459" i="4"/>
  <c r="O459" i="4"/>
  <c r="N459" i="4"/>
  <c r="M459" i="4"/>
  <c r="L459" i="4"/>
  <c r="K459" i="4"/>
  <c r="J459" i="4"/>
  <c r="I459" i="4"/>
  <c r="H459" i="4"/>
  <c r="G459" i="4"/>
  <c r="F459" i="4"/>
  <c r="AT458" i="4"/>
  <c r="AS458" i="4"/>
  <c r="AR458" i="4"/>
  <c r="AQ458" i="4"/>
  <c r="AP458" i="4"/>
  <c r="AO458" i="4"/>
  <c r="AN458" i="4"/>
  <c r="AM458" i="4"/>
  <c r="AL458" i="4"/>
  <c r="AA458" i="4"/>
  <c r="Z458" i="4"/>
  <c r="Y458" i="4"/>
  <c r="X458" i="4"/>
  <c r="W458" i="4"/>
  <c r="V458" i="4"/>
  <c r="U458" i="4"/>
  <c r="T458" i="4"/>
  <c r="S458" i="4"/>
  <c r="R458" i="4"/>
  <c r="Q458" i="4"/>
  <c r="O458" i="4"/>
  <c r="N458" i="4"/>
  <c r="M458" i="4"/>
  <c r="L458" i="4"/>
  <c r="K458" i="4"/>
  <c r="J458" i="4"/>
  <c r="I458" i="4"/>
  <c r="H458" i="4"/>
  <c r="G458" i="4"/>
  <c r="F458" i="4"/>
  <c r="AT457" i="4"/>
  <c r="AS457" i="4"/>
  <c r="AR457" i="4"/>
  <c r="AQ457" i="4"/>
  <c r="AP457" i="4"/>
  <c r="AO457" i="4"/>
  <c r="AN457" i="4"/>
  <c r="AM457" i="4"/>
  <c r="AL457" i="4"/>
  <c r="AA457" i="4"/>
  <c r="Z457" i="4"/>
  <c r="Y457" i="4"/>
  <c r="X457" i="4"/>
  <c r="W457" i="4"/>
  <c r="V457" i="4"/>
  <c r="U457" i="4"/>
  <c r="T457" i="4"/>
  <c r="S457" i="4"/>
  <c r="R457" i="4"/>
  <c r="Q457" i="4"/>
  <c r="P457" i="4"/>
  <c r="O457" i="4"/>
  <c r="N457" i="4"/>
  <c r="M457" i="4"/>
  <c r="L457" i="4"/>
  <c r="K457" i="4"/>
  <c r="J457" i="4"/>
  <c r="I457" i="4"/>
  <c r="H457" i="4"/>
  <c r="G457" i="4"/>
  <c r="F457" i="4"/>
  <c r="AT456" i="4"/>
  <c r="AS456" i="4"/>
  <c r="AR456" i="4"/>
  <c r="AQ456" i="4"/>
  <c r="AP456" i="4"/>
  <c r="AO456" i="4"/>
  <c r="AN456" i="4"/>
  <c r="AM456" i="4"/>
  <c r="AL456" i="4"/>
  <c r="AA456" i="4"/>
  <c r="Z456" i="4"/>
  <c r="Y456" i="4"/>
  <c r="X456" i="4"/>
  <c r="W456" i="4"/>
  <c r="V456" i="4"/>
  <c r="U456" i="4"/>
  <c r="T456" i="4"/>
  <c r="S456" i="4"/>
  <c r="R456" i="4"/>
  <c r="Q456" i="4"/>
  <c r="P456" i="4"/>
  <c r="O456" i="4"/>
  <c r="N456" i="4"/>
  <c r="M456" i="4"/>
  <c r="L456" i="4"/>
  <c r="K456" i="4"/>
  <c r="J456" i="4"/>
  <c r="I456" i="4"/>
  <c r="H456" i="4"/>
  <c r="G456" i="4"/>
  <c r="F456" i="4"/>
  <c r="AT455" i="4"/>
  <c r="AS455" i="4"/>
  <c r="AR455" i="4"/>
  <c r="AQ455" i="4"/>
  <c r="AP455" i="4"/>
  <c r="AO455" i="4"/>
  <c r="AN455" i="4"/>
  <c r="AM455" i="4"/>
  <c r="AL455" i="4"/>
  <c r="AA455" i="4"/>
  <c r="Z455" i="4"/>
  <c r="Y455" i="4"/>
  <c r="X455" i="4"/>
  <c r="W455" i="4"/>
  <c r="V455" i="4"/>
  <c r="U455" i="4"/>
  <c r="T455" i="4"/>
  <c r="S455" i="4"/>
  <c r="R455" i="4"/>
  <c r="Q455" i="4"/>
  <c r="P455" i="4"/>
  <c r="O455" i="4"/>
  <c r="N455" i="4"/>
  <c r="M455" i="4"/>
  <c r="L455" i="4"/>
  <c r="K455" i="4"/>
  <c r="J455" i="4"/>
  <c r="I455" i="4"/>
  <c r="H455" i="4"/>
  <c r="G455" i="4"/>
  <c r="F455" i="4"/>
  <c r="AT454" i="4"/>
  <c r="AS454" i="4"/>
  <c r="AR454" i="4"/>
  <c r="AQ454" i="4"/>
  <c r="AP454" i="4"/>
  <c r="AO454" i="4"/>
  <c r="AN454" i="4"/>
  <c r="AM454" i="4"/>
  <c r="AL454" i="4"/>
  <c r="AA454" i="4"/>
  <c r="Z454" i="4"/>
  <c r="Y454" i="4"/>
  <c r="X454" i="4"/>
  <c r="W454" i="4"/>
  <c r="V454" i="4"/>
  <c r="U454" i="4"/>
  <c r="T454" i="4"/>
  <c r="S454" i="4"/>
  <c r="R454" i="4"/>
  <c r="Q454" i="4"/>
  <c r="P454" i="4"/>
  <c r="O454" i="4"/>
  <c r="N454" i="4"/>
  <c r="M454" i="4"/>
  <c r="L454" i="4"/>
  <c r="K454" i="4"/>
  <c r="J454" i="4"/>
  <c r="I454" i="4"/>
  <c r="H454" i="4"/>
  <c r="G454" i="4"/>
  <c r="F454" i="4"/>
  <c r="AT453" i="4"/>
  <c r="AS453" i="4"/>
  <c r="AR453" i="4"/>
  <c r="AQ453" i="4"/>
  <c r="AP453" i="4"/>
  <c r="AO453" i="4"/>
  <c r="AN453" i="4"/>
  <c r="AM453" i="4"/>
  <c r="AL453" i="4"/>
  <c r="AA453" i="4"/>
  <c r="Z453" i="4"/>
  <c r="Y453" i="4"/>
  <c r="X453" i="4"/>
  <c r="W453" i="4"/>
  <c r="V453" i="4"/>
  <c r="U453" i="4"/>
  <c r="T453" i="4"/>
  <c r="S453" i="4"/>
  <c r="R453" i="4"/>
  <c r="Q453" i="4"/>
  <c r="P453" i="4"/>
  <c r="O453" i="4"/>
  <c r="N453" i="4"/>
  <c r="M453" i="4"/>
  <c r="L453" i="4"/>
  <c r="K453" i="4"/>
  <c r="J453" i="4"/>
  <c r="I453" i="4"/>
  <c r="H453" i="4"/>
  <c r="G453" i="4"/>
  <c r="F453" i="4"/>
  <c r="AT452" i="4"/>
  <c r="AS452" i="4"/>
  <c r="AR452" i="4"/>
  <c r="AQ452" i="4"/>
  <c r="AP452" i="4"/>
  <c r="AO452" i="4"/>
  <c r="AN452" i="4"/>
  <c r="AM452" i="4"/>
  <c r="AL452" i="4"/>
  <c r="AA452" i="4"/>
  <c r="Z452" i="4"/>
  <c r="Y452" i="4"/>
  <c r="X452" i="4"/>
  <c r="W452" i="4"/>
  <c r="V452" i="4"/>
  <c r="U452" i="4"/>
  <c r="T452" i="4"/>
  <c r="S452" i="4"/>
  <c r="R452" i="4"/>
  <c r="Q452" i="4"/>
  <c r="P452" i="4"/>
  <c r="O452" i="4"/>
  <c r="N452" i="4"/>
  <c r="M452" i="4"/>
  <c r="L452" i="4"/>
  <c r="K452" i="4"/>
  <c r="J452" i="4"/>
  <c r="I452" i="4"/>
  <c r="H452" i="4"/>
  <c r="G452" i="4"/>
  <c r="F452" i="4"/>
  <c r="AT451" i="4"/>
  <c r="AS451" i="4"/>
  <c r="AR451" i="4"/>
  <c r="AQ451" i="4"/>
  <c r="AP451" i="4"/>
  <c r="AO451" i="4"/>
  <c r="AN451" i="4"/>
  <c r="AM451" i="4"/>
  <c r="AL451" i="4"/>
  <c r="AA451" i="4"/>
  <c r="Z451" i="4"/>
  <c r="Y451" i="4"/>
  <c r="X451" i="4"/>
  <c r="W451" i="4"/>
  <c r="V451" i="4"/>
  <c r="U451" i="4"/>
  <c r="T451" i="4"/>
  <c r="S451" i="4"/>
  <c r="R451" i="4"/>
  <c r="Q451" i="4"/>
  <c r="P451" i="4"/>
  <c r="O451" i="4"/>
  <c r="N451" i="4"/>
  <c r="M451" i="4"/>
  <c r="L451" i="4"/>
  <c r="K451" i="4"/>
  <c r="J451" i="4"/>
  <c r="I451" i="4"/>
  <c r="H451" i="4"/>
  <c r="G451" i="4"/>
  <c r="F451" i="4"/>
  <c r="AT450" i="4"/>
  <c r="AS450" i="4"/>
  <c r="AR450" i="4"/>
  <c r="AQ450" i="4"/>
  <c r="AP450" i="4"/>
  <c r="AO450" i="4"/>
  <c r="AN450" i="4"/>
  <c r="AM450" i="4"/>
  <c r="AL450" i="4"/>
  <c r="AA450" i="4"/>
  <c r="Z450" i="4"/>
  <c r="Y450" i="4"/>
  <c r="X450" i="4"/>
  <c r="W450" i="4"/>
  <c r="V450" i="4"/>
  <c r="U450" i="4"/>
  <c r="T450" i="4"/>
  <c r="S450" i="4"/>
  <c r="R450" i="4"/>
  <c r="Q450" i="4"/>
  <c r="P450" i="4"/>
  <c r="O450" i="4"/>
  <c r="N450" i="4"/>
  <c r="M450" i="4"/>
  <c r="L450" i="4"/>
  <c r="K450" i="4"/>
  <c r="J450" i="4"/>
  <c r="I450" i="4"/>
  <c r="H450" i="4"/>
  <c r="G450" i="4"/>
  <c r="F450" i="4"/>
  <c r="AT449" i="4"/>
  <c r="AS449" i="4"/>
  <c r="AR449" i="4"/>
  <c r="AQ449" i="4"/>
  <c r="AP449" i="4"/>
  <c r="AO449" i="4"/>
  <c r="AN449" i="4"/>
  <c r="AM449" i="4"/>
  <c r="AL449" i="4"/>
  <c r="AA449" i="4"/>
  <c r="Z449" i="4"/>
  <c r="Y449" i="4"/>
  <c r="X449" i="4"/>
  <c r="W449" i="4"/>
  <c r="V449" i="4"/>
  <c r="U449" i="4"/>
  <c r="T449" i="4"/>
  <c r="S449" i="4"/>
  <c r="R449" i="4"/>
  <c r="Q449" i="4"/>
  <c r="P449" i="4"/>
  <c r="O449" i="4"/>
  <c r="N449" i="4"/>
  <c r="M449" i="4"/>
  <c r="L449" i="4"/>
  <c r="K449" i="4"/>
  <c r="J449" i="4"/>
  <c r="I449" i="4"/>
  <c r="H449" i="4"/>
  <c r="G449" i="4"/>
  <c r="F449" i="4"/>
  <c r="AT448" i="4"/>
  <c r="AS448" i="4"/>
  <c r="AR448" i="4"/>
  <c r="AQ448" i="4"/>
  <c r="AP448" i="4"/>
  <c r="AO448" i="4"/>
  <c r="AN448" i="4"/>
  <c r="AM448" i="4"/>
  <c r="AL448" i="4"/>
  <c r="AA448" i="4"/>
  <c r="Z448" i="4"/>
  <c r="Y448" i="4"/>
  <c r="X448" i="4"/>
  <c r="W448" i="4"/>
  <c r="V448" i="4"/>
  <c r="U448" i="4"/>
  <c r="T448" i="4"/>
  <c r="S448" i="4"/>
  <c r="R448" i="4"/>
  <c r="Q448" i="4"/>
  <c r="P448" i="4"/>
  <c r="O448" i="4"/>
  <c r="N448" i="4"/>
  <c r="M448" i="4"/>
  <c r="L448" i="4"/>
  <c r="K448" i="4"/>
  <c r="J448" i="4"/>
  <c r="I448" i="4"/>
  <c r="H448" i="4"/>
  <c r="G448" i="4"/>
  <c r="F448" i="4"/>
  <c r="AT447" i="4"/>
  <c r="AS447" i="4"/>
  <c r="AR447" i="4"/>
  <c r="AQ447" i="4"/>
  <c r="AP447" i="4"/>
  <c r="AO447" i="4"/>
  <c r="AN447" i="4"/>
  <c r="AM447" i="4"/>
  <c r="AL447" i="4"/>
  <c r="AA447" i="4"/>
  <c r="Z447" i="4"/>
  <c r="Y447" i="4"/>
  <c r="X447" i="4"/>
  <c r="W447" i="4"/>
  <c r="V447" i="4"/>
  <c r="U447" i="4"/>
  <c r="T447" i="4"/>
  <c r="S447" i="4"/>
  <c r="R447" i="4"/>
  <c r="Q447" i="4"/>
  <c r="P447" i="4"/>
  <c r="O447" i="4"/>
  <c r="N447" i="4"/>
  <c r="M447" i="4"/>
  <c r="L447" i="4"/>
  <c r="K447" i="4"/>
  <c r="J447" i="4"/>
  <c r="I447" i="4"/>
  <c r="H447" i="4"/>
  <c r="G447" i="4"/>
  <c r="F447" i="4"/>
  <c r="AT446" i="4"/>
  <c r="AS446" i="4"/>
  <c r="AR446" i="4"/>
  <c r="AQ446" i="4"/>
  <c r="AP446" i="4"/>
  <c r="AO446" i="4"/>
  <c r="AN446" i="4"/>
  <c r="AM446" i="4"/>
  <c r="AL446" i="4"/>
  <c r="AA446" i="4"/>
  <c r="Z446" i="4"/>
  <c r="Y446" i="4"/>
  <c r="X446" i="4"/>
  <c r="W446" i="4"/>
  <c r="V446" i="4"/>
  <c r="U446" i="4"/>
  <c r="T446" i="4"/>
  <c r="S446" i="4"/>
  <c r="R446" i="4"/>
  <c r="Q446" i="4"/>
  <c r="P446" i="4"/>
  <c r="O446" i="4"/>
  <c r="N446" i="4"/>
  <c r="M446" i="4"/>
  <c r="L446" i="4"/>
  <c r="K446" i="4"/>
  <c r="J446" i="4"/>
  <c r="I446" i="4"/>
  <c r="H446" i="4"/>
  <c r="G446" i="4"/>
  <c r="F446" i="4"/>
  <c r="AT445" i="4"/>
  <c r="AS445" i="4"/>
  <c r="AR445" i="4"/>
  <c r="AQ445" i="4"/>
  <c r="AP445" i="4"/>
  <c r="AO445" i="4"/>
  <c r="AN445" i="4"/>
  <c r="AM445" i="4"/>
  <c r="AL445" i="4"/>
  <c r="AA445" i="4"/>
  <c r="Z445" i="4"/>
  <c r="Y445" i="4"/>
  <c r="X445" i="4"/>
  <c r="W445" i="4"/>
  <c r="V445" i="4"/>
  <c r="U445" i="4"/>
  <c r="T445" i="4"/>
  <c r="S445" i="4"/>
  <c r="R445" i="4"/>
  <c r="Q445" i="4"/>
  <c r="P445" i="4"/>
  <c r="O445" i="4"/>
  <c r="N445" i="4"/>
  <c r="M445" i="4"/>
  <c r="L445" i="4"/>
  <c r="K445" i="4"/>
  <c r="J445" i="4"/>
  <c r="I445" i="4"/>
  <c r="H445" i="4"/>
  <c r="G445" i="4"/>
  <c r="F445" i="4"/>
  <c r="AT444" i="4"/>
  <c r="AS444" i="4"/>
  <c r="AR444" i="4"/>
  <c r="AQ444" i="4"/>
  <c r="AP444" i="4"/>
  <c r="AO444" i="4"/>
  <c r="AN444" i="4"/>
  <c r="AM444" i="4"/>
  <c r="AL444" i="4"/>
  <c r="AA444" i="4"/>
  <c r="Z444" i="4"/>
  <c r="Y444" i="4"/>
  <c r="X444" i="4"/>
  <c r="W444" i="4"/>
  <c r="V444" i="4"/>
  <c r="U444" i="4"/>
  <c r="T444" i="4"/>
  <c r="S444" i="4"/>
  <c r="R444" i="4"/>
  <c r="Q444" i="4"/>
  <c r="P444" i="4"/>
  <c r="O444" i="4"/>
  <c r="N444" i="4"/>
  <c r="M444" i="4"/>
  <c r="L444" i="4"/>
  <c r="K444" i="4"/>
  <c r="J444" i="4"/>
  <c r="I444" i="4"/>
  <c r="H444" i="4"/>
  <c r="G444" i="4"/>
  <c r="F444" i="4"/>
  <c r="AT443" i="4"/>
  <c r="AS443" i="4"/>
  <c r="AR443" i="4"/>
  <c r="AQ443" i="4"/>
  <c r="AP443" i="4"/>
  <c r="AO443" i="4"/>
  <c r="AN443" i="4"/>
  <c r="AM443" i="4"/>
  <c r="AL443" i="4"/>
  <c r="AA443" i="4"/>
  <c r="Z443" i="4"/>
  <c r="Y443" i="4"/>
  <c r="X443" i="4"/>
  <c r="W443" i="4"/>
  <c r="V443" i="4"/>
  <c r="U443" i="4"/>
  <c r="T443" i="4"/>
  <c r="S443" i="4"/>
  <c r="R443" i="4"/>
  <c r="Q443" i="4"/>
  <c r="P443" i="4"/>
  <c r="O443" i="4"/>
  <c r="N443" i="4"/>
  <c r="M443" i="4"/>
  <c r="L443" i="4"/>
  <c r="K443" i="4"/>
  <c r="J443" i="4"/>
  <c r="I443" i="4"/>
  <c r="H443" i="4"/>
  <c r="G443" i="4"/>
  <c r="F443" i="4"/>
  <c r="AT442" i="4"/>
  <c r="AS442" i="4"/>
  <c r="AR442" i="4"/>
  <c r="AQ442" i="4"/>
  <c r="AP442" i="4"/>
  <c r="AO442" i="4"/>
  <c r="AN442" i="4"/>
  <c r="AM442" i="4"/>
  <c r="AL442" i="4"/>
  <c r="AA442" i="4"/>
  <c r="Z442" i="4"/>
  <c r="Y442" i="4"/>
  <c r="X442" i="4"/>
  <c r="W442" i="4"/>
  <c r="V442" i="4"/>
  <c r="U442" i="4"/>
  <c r="T442" i="4"/>
  <c r="S442" i="4"/>
  <c r="R442" i="4"/>
  <c r="Q442" i="4"/>
  <c r="P442" i="4"/>
  <c r="O442" i="4"/>
  <c r="N442" i="4"/>
  <c r="M442" i="4"/>
  <c r="L442" i="4"/>
  <c r="K442" i="4"/>
  <c r="J442" i="4"/>
  <c r="I442" i="4"/>
  <c r="H442" i="4"/>
  <c r="G442" i="4"/>
  <c r="F442" i="4"/>
  <c r="AT441" i="4"/>
  <c r="AS441" i="4"/>
  <c r="AR441" i="4"/>
  <c r="AQ441" i="4"/>
  <c r="AP441" i="4"/>
  <c r="AO441" i="4"/>
  <c r="AN441" i="4"/>
  <c r="AM441" i="4"/>
  <c r="AL441" i="4"/>
  <c r="AA441" i="4"/>
  <c r="Z441" i="4"/>
  <c r="Y441" i="4"/>
  <c r="X441" i="4"/>
  <c r="W441" i="4"/>
  <c r="V441" i="4"/>
  <c r="U441" i="4"/>
  <c r="T441" i="4"/>
  <c r="S441" i="4"/>
  <c r="R441" i="4"/>
  <c r="Q441" i="4"/>
  <c r="P441" i="4"/>
  <c r="O441" i="4"/>
  <c r="N441" i="4"/>
  <c r="M441" i="4"/>
  <c r="L441" i="4"/>
  <c r="K441" i="4"/>
  <c r="J441" i="4"/>
  <c r="I441" i="4"/>
  <c r="H441" i="4"/>
  <c r="G441" i="4"/>
  <c r="F441" i="4"/>
  <c r="AT440" i="4"/>
  <c r="AS440" i="4"/>
  <c r="AR440" i="4"/>
  <c r="AQ440" i="4"/>
  <c r="AP440" i="4"/>
  <c r="AO440" i="4"/>
  <c r="AN440" i="4"/>
  <c r="AM440" i="4"/>
  <c r="AL440" i="4"/>
  <c r="AA440" i="4"/>
  <c r="Z440" i="4"/>
  <c r="Y440" i="4"/>
  <c r="X440" i="4"/>
  <c r="W440" i="4"/>
  <c r="V440" i="4"/>
  <c r="U440" i="4"/>
  <c r="T440" i="4"/>
  <c r="S440" i="4"/>
  <c r="R440" i="4"/>
  <c r="Q440" i="4"/>
  <c r="P440" i="4"/>
  <c r="O440" i="4"/>
  <c r="N440" i="4"/>
  <c r="M440" i="4"/>
  <c r="L440" i="4"/>
  <c r="K440" i="4"/>
  <c r="J440" i="4"/>
  <c r="I440" i="4"/>
  <c r="H440" i="4"/>
  <c r="G440" i="4"/>
  <c r="F440" i="4"/>
  <c r="AT439" i="4"/>
  <c r="AS439" i="4"/>
  <c r="AR439" i="4"/>
  <c r="AQ439" i="4"/>
  <c r="AP439" i="4"/>
  <c r="AO439" i="4"/>
  <c r="AN439" i="4"/>
  <c r="AM439" i="4"/>
  <c r="AL439" i="4"/>
  <c r="AA439" i="4"/>
  <c r="Z439" i="4"/>
  <c r="Y439" i="4"/>
  <c r="X439" i="4"/>
  <c r="W439" i="4"/>
  <c r="V439" i="4"/>
  <c r="U439" i="4"/>
  <c r="T439" i="4"/>
  <c r="S439" i="4"/>
  <c r="R439" i="4"/>
  <c r="Q439" i="4"/>
  <c r="P439" i="4"/>
  <c r="O439" i="4"/>
  <c r="N439" i="4"/>
  <c r="M439" i="4"/>
  <c r="L439" i="4"/>
  <c r="K439" i="4"/>
  <c r="J439" i="4"/>
  <c r="I439" i="4"/>
  <c r="H439" i="4"/>
  <c r="G439" i="4"/>
  <c r="F439" i="4"/>
  <c r="AT438" i="4"/>
  <c r="AS438" i="4"/>
  <c r="AR438" i="4"/>
  <c r="AQ438" i="4"/>
  <c r="AP438" i="4"/>
  <c r="AO438" i="4"/>
  <c r="AN438" i="4"/>
  <c r="AM438" i="4"/>
  <c r="AL438" i="4"/>
  <c r="AA438" i="4"/>
  <c r="Z438" i="4"/>
  <c r="Y438" i="4"/>
  <c r="X438" i="4"/>
  <c r="W438" i="4"/>
  <c r="V438" i="4"/>
  <c r="U438" i="4"/>
  <c r="T438" i="4"/>
  <c r="S438" i="4"/>
  <c r="R438" i="4"/>
  <c r="Q438" i="4"/>
  <c r="P438" i="4"/>
  <c r="O438" i="4"/>
  <c r="N438" i="4"/>
  <c r="M438" i="4"/>
  <c r="L438" i="4"/>
  <c r="K438" i="4"/>
  <c r="J438" i="4"/>
  <c r="I438" i="4"/>
  <c r="H438" i="4"/>
  <c r="G438" i="4"/>
  <c r="F438" i="4"/>
  <c r="AT437" i="4"/>
  <c r="AS437" i="4"/>
  <c r="AR437" i="4"/>
  <c r="AQ437" i="4"/>
  <c r="AP437" i="4"/>
  <c r="AO437" i="4"/>
  <c r="AN437" i="4"/>
  <c r="AM437" i="4"/>
  <c r="AL437" i="4"/>
  <c r="AA437" i="4"/>
  <c r="Z437" i="4"/>
  <c r="Y437" i="4"/>
  <c r="X437" i="4"/>
  <c r="W437" i="4"/>
  <c r="V437" i="4"/>
  <c r="U437" i="4"/>
  <c r="T437" i="4"/>
  <c r="S437" i="4"/>
  <c r="R437" i="4"/>
  <c r="Q437" i="4"/>
  <c r="P437" i="4"/>
  <c r="O437" i="4"/>
  <c r="N437" i="4"/>
  <c r="M437" i="4"/>
  <c r="L437" i="4"/>
  <c r="K437" i="4"/>
  <c r="J437" i="4"/>
  <c r="I437" i="4"/>
  <c r="H437" i="4"/>
  <c r="G437" i="4"/>
  <c r="F437" i="4"/>
  <c r="AT436" i="4"/>
  <c r="AS436" i="4"/>
  <c r="AR436" i="4"/>
  <c r="AQ436" i="4"/>
  <c r="AP436" i="4"/>
  <c r="AO436" i="4"/>
  <c r="AN436" i="4"/>
  <c r="AM436" i="4"/>
  <c r="AL436" i="4"/>
  <c r="AA436" i="4"/>
  <c r="Z436" i="4"/>
  <c r="Y436" i="4"/>
  <c r="X436" i="4"/>
  <c r="W436" i="4"/>
  <c r="V436" i="4"/>
  <c r="U436" i="4"/>
  <c r="T436" i="4"/>
  <c r="S436" i="4"/>
  <c r="R436" i="4"/>
  <c r="Q436" i="4"/>
  <c r="P436" i="4"/>
  <c r="O436" i="4"/>
  <c r="N436" i="4"/>
  <c r="M436" i="4"/>
  <c r="L436" i="4"/>
  <c r="K436" i="4"/>
  <c r="J436" i="4"/>
  <c r="I436" i="4"/>
  <c r="H436" i="4"/>
  <c r="G436" i="4"/>
  <c r="F436" i="4"/>
  <c r="AT435" i="4"/>
  <c r="AS435" i="4"/>
  <c r="AR435" i="4"/>
  <c r="AQ435" i="4"/>
  <c r="AP435" i="4"/>
  <c r="AO435" i="4"/>
  <c r="AN435" i="4"/>
  <c r="AM435" i="4"/>
  <c r="AL435" i="4"/>
  <c r="AA435" i="4"/>
  <c r="Z435" i="4"/>
  <c r="Y435" i="4"/>
  <c r="X435" i="4"/>
  <c r="W435" i="4"/>
  <c r="V435" i="4"/>
  <c r="U435" i="4"/>
  <c r="T435" i="4"/>
  <c r="S435" i="4"/>
  <c r="R435" i="4"/>
  <c r="Q435" i="4"/>
  <c r="P435" i="4"/>
  <c r="O435" i="4"/>
  <c r="N435" i="4"/>
  <c r="M435" i="4"/>
  <c r="L435" i="4"/>
  <c r="K435" i="4"/>
  <c r="J435" i="4"/>
  <c r="I435" i="4"/>
  <c r="H435" i="4"/>
  <c r="G435" i="4"/>
  <c r="F435" i="4"/>
  <c r="AT434" i="4"/>
  <c r="AS434" i="4"/>
  <c r="AR434" i="4"/>
  <c r="AQ434" i="4"/>
  <c r="AP434" i="4"/>
  <c r="AO434" i="4"/>
  <c r="AN434" i="4"/>
  <c r="AM434" i="4"/>
  <c r="AL434" i="4"/>
  <c r="AA434" i="4"/>
  <c r="Z434" i="4"/>
  <c r="Y434" i="4"/>
  <c r="X434" i="4"/>
  <c r="W434" i="4"/>
  <c r="V434" i="4"/>
  <c r="U434" i="4"/>
  <c r="T434" i="4"/>
  <c r="S434" i="4"/>
  <c r="R434" i="4"/>
  <c r="Q434" i="4"/>
  <c r="P434" i="4"/>
  <c r="O434" i="4"/>
  <c r="N434" i="4"/>
  <c r="M434" i="4"/>
  <c r="L434" i="4"/>
  <c r="K434" i="4"/>
  <c r="J434" i="4"/>
  <c r="I434" i="4"/>
  <c r="H434" i="4"/>
  <c r="G434" i="4"/>
  <c r="F434" i="4"/>
  <c r="AT433" i="4"/>
  <c r="AS433" i="4"/>
  <c r="AR433" i="4"/>
  <c r="AQ433" i="4"/>
  <c r="AP433" i="4"/>
  <c r="AO433" i="4"/>
  <c r="AN433" i="4"/>
  <c r="AM433" i="4"/>
  <c r="AL433" i="4"/>
  <c r="AA433" i="4"/>
  <c r="Z433" i="4"/>
  <c r="Y433" i="4"/>
  <c r="X433" i="4"/>
  <c r="W433" i="4"/>
  <c r="V433" i="4"/>
  <c r="U433" i="4"/>
  <c r="T433" i="4"/>
  <c r="S433" i="4"/>
  <c r="R433" i="4"/>
  <c r="Q433" i="4"/>
  <c r="P433" i="4"/>
  <c r="O433" i="4"/>
  <c r="N433" i="4"/>
  <c r="M433" i="4"/>
  <c r="L433" i="4"/>
  <c r="K433" i="4"/>
  <c r="J433" i="4"/>
  <c r="I433" i="4"/>
  <c r="H433" i="4"/>
  <c r="G433" i="4"/>
  <c r="F433" i="4"/>
  <c r="AT432" i="4"/>
  <c r="AS432" i="4"/>
  <c r="AR432" i="4"/>
  <c r="AQ432" i="4"/>
  <c r="AP432" i="4"/>
  <c r="AO432" i="4"/>
  <c r="AN432" i="4"/>
  <c r="AM432" i="4"/>
  <c r="AL432" i="4"/>
  <c r="AA432" i="4"/>
  <c r="Z432" i="4"/>
  <c r="Y432" i="4"/>
  <c r="X432" i="4"/>
  <c r="W432" i="4"/>
  <c r="V432" i="4"/>
  <c r="U432" i="4"/>
  <c r="T432" i="4"/>
  <c r="S432" i="4"/>
  <c r="R432" i="4"/>
  <c r="Q432" i="4"/>
  <c r="P432" i="4"/>
  <c r="O432" i="4"/>
  <c r="N432" i="4"/>
  <c r="M432" i="4"/>
  <c r="L432" i="4"/>
  <c r="K432" i="4"/>
  <c r="J432" i="4"/>
  <c r="I432" i="4"/>
  <c r="H432" i="4"/>
  <c r="G432" i="4"/>
  <c r="F432" i="4"/>
  <c r="AT431" i="4"/>
  <c r="AS431" i="4"/>
  <c r="AR431" i="4"/>
  <c r="AQ431" i="4"/>
  <c r="AP431" i="4"/>
  <c r="AO431" i="4"/>
  <c r="AN431" i="4"/>
  <c r="AM431" i="4"/>
  <c r="AL431" i="4"/>
  <c r="AA431" i="4"/>
  <c r="Z431" i="4"/>
  <c r="Y431" i="4"/>
  <c r="X431" i="4"/>
  <c r="W431" i="4"/>
  <c r="V431" i="4"/>
  <c r="U431" i="4"/>
  <c r="T431" i="4"/>
  <c r="S431" i="4"/>
  <c r="R431" i="4"/>
  <c r="Q431" i="4"/>
  <c r="P431" i="4"/>
  <c r="O431" i="4"/>
  <c r="N431" i="4"/>
  <c r="M431" i="4"/>
  <c r="L431" i="4"/>
  <c r="K431" i="4"/>
  <c r="J431" i="4"/>
  <c r="I431" i="4"/>
  <c r="H431" i="4"/>
  <c r="G431" i="4"/>
  <c r="F431" i="4"/>
  <c r="AT430" i="4"/>
  <c r="AS430" i="4"/>
  <c r="AR430" i="4"/>
  <c r="AQ430" i="4"/>
  <c r="AP430" i="4"/>
  <c r="AO430" i="4"/>
  <c r="AN430" i="4"/>
  <c r="AM430" i="4"/>
  <c r="AL430" i="4"/>
  <c r="AA430" i="4"/>
  <c r="Z430" i="4"/>
  <c r="Y430" i="4"/>
  <c r="X430" i="4"/>
  <c r="W430" i="4"/>
  <c r="V430" i="4"/>
  <c r="U430" i="4"/>
  <c r="T430" i="4"/>
  <c r="S430" i="4"/>
  <c r="R430" i="4"/>
  <c r="Q430" i="4"/>
  <c r="P430" i="4"/>
  <c r="O430" i="4"/>
  <c r="N430" i="4"/>
  <c r="M430" i="4"/>
  <c r="L430" i="4"/>
  <c r="K430" i="4"/>
  <c r="J430" i="4"/>
  <c r="I430" i="4"/>
  <c r="H430" i="4"/>
  <c r="G430" i="4"/>
  <c r="F430" i="4"/>
  <c r="AT429" i="4"/>
  <c r="AS429" i="4"/>
  <c r="AR429" i="4"/>
  <c r="AQ429" i="4"/>
  <c r="AP429" i="4"/>
  <c r="AO429" i="4"/>
  <c r="AN429" i="4"/>
  <c r="AM429" i="4"/>
  <c r="AL429" i="4"/>
  <c r="AA429" i="4"/>
  <c r="Z429" i="4"/>
  <c r="Y429" i="4"/>
  <c r="X429" i="4"/>
  <c r="W429" i="4"/>
  <c r="V429" i="4"/>
  <c r="U429" i="4"/>
  <c r="T429" i="4"/>
  <c r="S429" i="4"/>
  <c r="R429" i="4"/>
  <c r="Q429" i="4"/>
  <c r="P429" i="4"/>
  <c r="O429" i="4"/>
  <c r="N429" i="4"/>
  <c r="M429" i="4"/>
  <c r="L429" i="4"/>
  <c r="K429" i="4"/>
  <c r="J429" i="4"/>
  <c r="I429" i="4"/>
  <c r="H429" i="4"/>
  <c r="G429" i="4"/>
  <c r="F429" i="4"/>
  <c r="AT428" i="4"/>
  <c r="AS428" i="4"/>
  <c r="AR428" i="4"/>
  <c r="AQ428" i="4"/>
  <c r="AP428" i="4"/>
  <c r="AO428" i="4"/>
  <c r="AN428" i="4"/>
  <c r="AM428" i="4"/>
  <c r="AL428" i="4"/>
  <c r="AA428" i="4"/>
  <c r="Z428" i="4"/>
  <c r="Y428" i="4"/>
  <c r="X428" i="4"/>
  <c r="W428" i="4"/>
  <c r="V428" i="4"/>
  <c r="U428" i="4"/>
  <c r="T428" i="4"/>
  <c r="S428" i="4"/>
  <c r="R428" i="4"/>
  <c r="Q428" i="4"/>
  <c r="P428" i="4"/>
  <c r="O428" i="4"/>
  <c r="N428" i="4"/>
  <c r="M428" i="4"/>
  <c r="L428" i="4"/>
  <c r="K428" i="4"/>
  <c r="J428" i="4"/>
  <c r="I428" i="4"/>
  <c r="H428" i="4"/>
  <c r="G428" i="4"/>
  <c r="F428" i="4"/>
  <c r="AT427" i="4"/>
  <c r="AS427" i="4"/>
  <c r="AR427" i="4"/>
  <c r="AQ427" i="4"/>
  <c r="AP427" i="4"/>
  <c r="AO427" i="4"/>
  <c r="AN427" i="4"/>
  <c r="AM427" i="4"/>
  <c r="AL427" i="4"/>
  <c r="AA427" i="4"/>
  <c r="Z427" i="4"/>
  <c r="Y427" i="4"/>
  <c r="X427" i="4"/>
  <c r="W427" i="4"/>
  <c r="V427" i="4"/>
  <c r="U427" i="4"/>
  <c r="T427" i="4"/>
  <c r="S427" i="4"/>
  <c r="R427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AT426" i="4"/>
  <c r="AS426" i="4"/>
  <c r="AR426" i="4"/>
  <c r="AQ426" i="4"/>
  <c r="AP426" i="4"/>
  <c r="AO426" i="4"/>
  <c r="AN426" i="4"/>
  <c r="AM426" i="4"/>
  <c r="AL426" i="4"/>
  <c r="AA426" i="4"/>
  <c r="Z426" i="4"/>
  <c r="Y426" i="4"/>
  <c r="X426" i="4"/>
  <c r="W426" i="4"/>
  <c r="V426" i="4"/>
  <c r="U426" i="4"/>
  <c r="T426" i="4"/>
  <c r="S426" i="4"/>
  <c r="R426" i="4"/>
  <c r="Q426" i="4"/>
  <c r="P426" i="4"/>
  <c r="O426" i="4"/>
  <c r="N426" i="4"/>
  <c r="M426" i="4"/>
  <c r="L426" i="4"/>
  <c r="K426" i="4"/>
  <c r="J426" i="4"/>
  <c r="I426" i="4"/>
  <c r="H426" i="4"/>
  <c r="G426" i="4"/>
  <c r="F426" i="4"/>
  <c r="AT425" i="4"/>
  <c r="AS425" i="4"/>
  <c r="AR425" i="4"/>
  <c r="AQ425" i="4"/>
  <c r="AP425" i="4"/>
  <c r="AO425" i="4"/>
  <c r="AN425" i="4"/>
  <c r="AM425" i="4"/>
  <c r="AL425" i="4"/>
  <c r="AA425" i="4"/>
  <c r="Z425" i="4"/>
  <c r="Y425" i="4"/>
  <c r="X425" i="4"/>
  <c r="W425" i="4"/>
  <c r="V425" i="4"/>
  <c r="U425" i="4"/>
  <c r="T425" i="4"/>
  <c r="S425" i="4"/>
  <c r="R425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AT424" i="4"/>
  <c r="AS424" i="4"/>
  <c r="AR424" i="4"/>
  <c r="AQ424" i="4"/>
  <c r="AP424" i="4"/>
  <c r="AO424" i="4"/>
  <c r="AN424" i="4"/>
  <c r="AM424" i="4"/>
  <c r="AL424" i="4"/>
  <c r="AA424" i="4"/>
  <c r="Z424" i="4"/>
  <c r="Y424" i="4"/>
  <c r="X424" i="4"/>
  <c r="W424" i="4"/>
  <c r="V424" i="4"/>
  <c r="U424" i="4"/>
  <c r="T424" i="4"/>
  <c r="S424" i="4"/>
  <c r="R424" i="4"/>
  <c r="Q424" i="4"/>
  <c r="P424" i="4"/>
  <c r="O424" i="4"/>
  <c r="N424" i="4"/>
  <c r="M424" i="4"/>
  <c r="L424" i="4"/>
  <c r="K424" i="4"/>
  <c r="J424" i="4"/>
  <c r="I424" i="4"/>
  <c r="H424" i="4"/>
  <c r="G424" i="4"/>
  <c r="F424" i="4"/>
  <c r="AT423" i="4"/>
  <c r="AS423" i="4"/>
  <c r="AR423" i="4"/>
  <c r="AQ423" i="4"/>
  <c r="AP423" i="4"/>
  <c r="AO423" i="4"/>
  <c r="AN423" i="4"/>
  <c r="AM423" i="4"/>
  <c r="AL423" i="4"/>
  <c r="AA423" i="4"/>
  <c r="Z423" i="4"/>
  <c r="Y423" i="4"/>
  <c r="X423" i="4"/>
  <c r="W423" i="4"/>
  <c r="V423" i="4"/>
  <c r="U423" i="4"/>
  <c r="T423" i="4"/>
  <c r="S423" i="4"/>
  <c r="R423" i="4"/>
  <c r="Q423" i="4"/>
  <c r="P423" i="4"/>
  <c r="O423" i="4"/>
  <c r="N423" i="4"/>
  <c r="M423" i="4"/>
  <c r="L423" i="4"/>
  <c r="K423" i="4"/>
  <c r="J423" i="4"/>
  <c r="I423" i="4"/>
  <c r="H423" i="4"/>
  <c r="G423" i="4"/>
  <c r="F423" i="4"/>
  <c r="AT422" i="4"/>
  <c r="AS422" i="4"/>
  <c r="AR422" i="4"/>
  <c r="AQ422" i="4"/>
  <c r="AP422" i="4"/>
  <c r="AO422" i="4"/>
  <c r="AN422" i="4"/>
  <c r="AM422" i="4"/>
  <c r="AL422" i="4"/>
  <c r="AA422" i="4"/>
  <c r="Z422" i="4"/>
  <c r="Y422" i="4"/>
  <c r="X422" i="4"/>
  <c r="W422" i="4"/>
  <c r="V422" i="4"/>
  <c r="U422" i="4"/>
  <c r="T422" i="4"/>
  <c r="S422" i="4"/>
  <c r="R422" i="4"/>
  <c r="Q422" i="4"/>
  <c r="P422" i="4"/>
  <c r="O422" i="4"/>
  <c r="N422" i="4"/>
  <c r="M422" i="4"/>
  <c r="L422" i="4"/>
  <c r="K422" i="4"/>
  <c r="J422" i="4"/>
  <c r="I422" i="4"/>
  <c r="H422" i="4"/>
  <c r="G422" i="4"/>
  <c r="F422" i="4"/>
  <c r="AT421" i="4"/>
  <c r="AS421" i="4"/>
  <c r="AR421" i="4"/>
  <c r="AQ421" i="4"/>
  <c r="AP421" i="4"/>
  <c r="AO421" i="4"/>
  <c r="AN421" i="4"/>
  <c r="AM421" i="4"/>
  <c r="AL421" i="4"/>
  <c r="AA421" i="4"/>
  <c r="Z421" i="4"/>
  <c r="Y421" i="4"/>
  <c r="X421" i="4"/>
  <c r="W421" i="4"/>
  <c r="V421" i="4"/>
  <c r="U421" i="4"/>
  <c r="T421" i="4"/>
  <c r="S421" i="4"/>
  <c r="R421" i="4"/>
  <c r="Q421" i="4"/>
  <c r="P421" i="4"/>
  <c r="O421" i="4"/>
  <c r="N421" i="4"/>
  <c r="M421" i="4"/>
  <c r="L421" i="4"/>
  <c r="K421" i="4"/>
  <c r="J421" i="4"/>
  <c r="I421" i="4"/>
  <c r="H421" i="4"/>
  <c r="G421" i="4"/>
  <c r="F421" i="4"/>
  <c r="AT420" i="4"/>
  <c r="AS420" i="4"/>
  <c r="AR420" i="4"/>
  <c r="AQ420" i="4"/>
  <c r="AP420" i="4"/>
  <c r="AO420" i="4"/>
  <c r="AN420" i="4"/>
  <c r="AM420" i="4"/>
  <c r="AL420" i="4"/>
  <c r="AA420" i="4"/>
  <c r="Z420" i="4"/>
  <c r="Y420" i="4"/>
  <c r="X420" i="4"/>
  <c r="W420" i="4"/>
  <c r="V420" i="4"/>
  <c r="U420" i="4"/>
  <c r="T420" i="4"/>
  <c r="S420" i="4"/>
  <c r="R420" i="4"/>
  <c r="Q420" i="4"/>
  <c r="P420" i="4"/>
  <c r="O420" i="4"/>
  <c r="N420" i="4"/>
  <c r="M420" i="4"/>
  <c r="L420" i="4"/>
  <c r="K420" i="4"/>
  <c r="J420" i="4"/>
  <c r="I420" i="4"/>
  <c r="H420" i="4"/>
  <c r="G420" i="4"/>
  <c r="F420" i="4"/>
  <c r="AT419" i="4"/>
  <c r="AS419" i="4"/>
  <c r="AR419" i="4"/>
  <c r="AQ419" i="4"/>
  <c r="AP419" i="4"/>
  <c r="AO419" i="4"/>
  <c r="AN419" i="4"/>
  <c r="AM419" i="4"/>
  <c r="AL419" i="4"/>
  <c r="AA419" i="4"/>
  <c r="Z419" i="4"/>
  <c r="Y419" i="4"/>
  <c r="X419" i="4"/>
  <c r="W419" i="4"/>
  <c r="V419" i="4"/>
  <c r="U419" i="4"/>
  <c r="T419" i="4"/>
  <c r="S419" i="4"/>
  <c r="R419" i="4"/>
  <c r="Q419" i="4"/>
  <c r="P419" i="4"/>
  <c r="O419" i="4"/>
  <c r="N419" i="4"/>
  <c r="M419" i="4"/>
  <c r="L419" i="4"/>
  <c r="K419" i="4"/>
  <c r="J419" i="4"/>
  <c r="I419" i="4"/>
  <c r="H419" i="4"/>
  <c r="G419" i="4"/>
  <c r="F419" i="4"/>
  <c r="AT418" i="4"/>
  <c r="AS418" i="4"/>
  <c r="AR418" i="4"/>
  <c r="AQ418" i="4"/>
  <c r="AP418" i="4"/>
  <c r="AO418" i="4"/>
  <c r="AN418" i="4"/>
  <c r="AM418" i="4"/>
  <c r="AL418" i="4"/>
  <c r="AA418" i="4"/>
  <c r="Z418" i="4"/>
  <c r="Y418" i="4"/>
  <c r="X418" i="4"/>
  <c r="W418" i="4"/>
  <c r="V418" i="4"/>
  <c r="U418" i="4"/>
  <c r="T418" i="4"/>
  <c r="S418" i="4"/>
  <c r="R418" i="4"/>
  <c r="Q418" i="4"/>
  <c r="P418" i="4"/>
  <c r="O418" i="4"/>
  <c r="N418" i="4"/>
  <c r="M418" i="4"/>
  <c r="L418" i="4"/>
  <c r="K418" i="4"/>
  <c r="J418" i="4"/>
  <c r="I418" i="4"/>
  <c r="H418" i="4"/>
  <c r="G418" i="4"/>
  <c r="F418" i="4"/>
  <c r="AT417" i="4"/>
  <c r="AS417" i="4"/>
  <c r="AR417" i="4"/>
  <c r="AQ417" i="4"/>
  <c r="AP417" i="4"/>
  <c r="AO417" i="4"/>
  <c r="AN417" i="4"/>
  <c r="AM417" i="4"/>
  <c r="AL417" i="4"/>
  <c r="AA417" i="4"/>
  <c r="Z417" i="4"/>
  <c r="Y417" i="4"/>
  <c r="X417" i="4"/>
  <c r="W417" i="4"/>
  <c r="V417" i="4"/>
  <c r="U417" i="4"/>
  <c r="T417" i="4"/>
  <c r="S417" i="4"/>
  <c r="R417" i="4"/>
  <c r="Q417" i="4"/>
  <c r="P417" i="4"/>
  <c r="O417" i="4"/>
  <c r="N417" i="4"/>
  <c r="M417" i="4"/>
  <c r="L417" i="4"/>
  <c r="K417" i="4"/>
  <c r="J417" i="4"/>
  <c r="I417" i="4"/>
  <c r="H417" i="4"/>
  <c r="G417" i="4"/>
  <c r="F417" i="4"/>
  <c r="AT416" i="4"/>
  <c r="AS416" i="4"/>
  <c r="AR416" i="4"/>
  <c r="AQ416" i="4"/>
  <c r="AP416" i="4"/>
  <c r="AO416" i="4"/>
  <c r="AN416" i="4"/>
  <c r="AM416" i="4"/>
  <c r="AL416" i="4"/>
  <c r="AA416" i="4"/>
  <c r="Z416" i="4"/>
  <c r="Y416" i="4"/>
  <c r="X416" i="4"/>
  <c r="W416" i="4"/>
  <c r="V416" i="4"/>
  <c r="U416" i="4"/>
  <c r="T416" i="4"/>
  <c r="S416" i="4"/>
  <c r="R416" i="4"/>
  <c r="Q416" i="4"/>
  <c r="P416" i="4"/>
  <c r="O416" i="4"/>
  <c r="N416" i="4"/>
  <c r="M416" i="4"/>
  <c r="L416" i="4"/>
  <c r="K416" i="4"/>
  <c r="J416" i="4"/>
  <c r="I416" i="4"/>
  <c r="H416" i="4"/>
  <c r="G416" i="4"/>
  <c r="F416" i="4"/>
  <c r="AT415" i="4"/>
  <c r="AS415" i="4"/>
  <c r="AR415" i="4"/>
  <c r="AQ415" i="4"/>
  <c r="AP415" i="4"/>
  <c r="AO415" i="4"/>
  <c r="AN415" i="4"/>
  <c r="AM415" i="4"/>
  <c r="AL415" i="4"/>
  <c r="AA415" i="4"/>
  <c r="Z415" i="4"/>
  <c r="Y415" i="4"/>
  <c r="X415" i="4"/>
  <c r="W415" i="4"/>
  <c r="V415" i="4"/>
  <c r="U415" i="4"/>
  <c r="T415" i="4"/>
  <c r="S415" i="4"/>
  <c r="R415" i="4"/>
  <c r="Q415" i="4"/>
  <c r="P415" i="4"/>
  <c r="O415" i="4"/>
  <c r="N415" i="4"/>
  <c r="M415" i="4"/>
  <c r="L415" i="4"/>
  <c r="K415" i="4"/>
  <c r="J415" i="4"/>
  <c r="I415" i="4"/>
  <c r="H415" i="4"/>
  <c r="G415" i="4"/>
  <c r="F415" i="4"/>
  <c r="AT414" i="4"/>
  <c r="AS414" i="4"/>
  <c r="AR414" i="4"/>
  <c r="AQ414" i="4"/>
  <c r="AP414" i="4"/>
  <c r="AO414" i="4"/>
  <c r="AN414" i="4"/>
  <c r="AM414" i="4"/>
  <c r="AL414" i="4"/>
  <c r="AA414" i="4"/>
  <c r="Z414" i="4"/>
  <c r="Y414" i="4"/>
  <c r="X414" i="4"/>
  <c r="W414" i="4"/>
  <c r="V414" i="4"/>
  <c r="U414" i="4"/>
  <c r="T414" i="4"/>
  <c r="S414" i="4"/>
  <c r="R414" i="4"/>
  <c r="Q414" i="4"/>
  <c r="P414" i="4"/>
  <c r="O414" i="4"/>
  <c r="N414" i="4"/>
  <c r="M414" i="4"/>
  <c r="L414" i="4"/>
  <c r="K414" i="4"/>
  <c r="J414" i="4"/>
  <c r="I414" i="4"/>
  <c r="H414" i="4"/>
  <c r="G414" i="4"/>
  <c r="F414" i="4"/>
  <c r="AT413" i="4"/>
  <c r="AS413" i="4"/>
  <c r="AR413" i="4"/>
  <c r="AQ413" i="4"/>
  <c r="AP413" i="4"/>
  <c r="AO413" i="4"/>
  <c r="AN413" i="4"/>
  <c r="AM413" i="4"/>
  <c r="AL413" i="4"/>
  <c r="AA413" i="4"/>
  <c r="Z413" i="4"/>
  <c r="Y413" i="4"/>
  <c r="X413" i="4"/>
  <c r="W413" i="4"/>
  <c r="V413" i="4"/>
  <c r="U413" i="4"/>
  <c r="T413" i="4"/>
  <c r="S413" i="4"/>
  <c r="R413" i="4"/>
  <c r="Q413" i="4"/>
  <c r="P413" i="4"/>
  <c r="O413" i="4"/>
  <c r="N413" i="4"/>
  <c r="M413" i="4"/>
  <c r="L413" i="4"/>
  <c r="K413" i="4"/>
  <c r="J413" i="4"/>
  <c r="I413" i="4"/>
  <c r="H413" i="4"/>
  <c r="G413" i="4"/>
  <c r="F413" i="4"/>
  <c r="AT412" i="4"/>
  <c r="AS412" i="4"/>
  <c r="AR412" i="4"/>
  <c r="AQ412" i="4"/>
  <c r="AP412" i="4"/>
  <c r="AO412" i="4"/>
  <c r="AN412" i="4"/>
  <c r="AM412" i="4"/>
  <c r="AL412" i="4"/>
  <c r="AA412" i="4"/>
  <c r="Z412" i="4"/>
  <c r="Y412" i="4"/>
  <c r="X412" i="4"/>
  <c r="W412" i="4"/>
  <c r="V412" i="4"/>
  <c r="U412" i="4"/>
  <c r="T412" i="4"/>
  <c r="S412" i="4"/>
  <c r="R412" i="4"/>
  <c r="Q412" i="4"/>
  <c r="P412" i="4"/>
  <c r="O412" i="4"/>
  <c r="N412" i="4"/>
  <c r="M412" i="4"/>
  <c r="L412" i="4"/>
  <c r="K412" i="4"/>
  <c r="J412" i="4"/>
  <c r="I412" i="4"/>
  <c r="H412" i="4"/>
  <c r="G412" i="4"/>
  <c r="F412" i="4"/>
  <c r="AT411" i="4"/>
  <c r="AS411" i="4"/>
  <c r="AR411" i="4"/>
  <c r="AQ411" i="4"/>
  <c r="AP411" i="4"/>
  <c r="AO411" i="4"/>
  <c r="AN411" i="4"/>
  <c r="AM411" i="4"/>
  <c r="AL411" i="4"/>
  <c r="AA411" i="4"/>
  <c r="Z411" i="4"/>
  <c r="Y411" i="4"/>
  <c r="X411" i="4"/>
  <c r="W411" i="4"/>
  <c r="V411" i="4"/>
  <c r="U411" i="4"/>
  <c r="T411" i="4"/>
  <c r="S411" i="4"/>
  <c r="R411" i="4"/>
  <c r="Q411" i="4"/>
  <c r="P411" i="4"/>
  <c r="O411" i="4"/>
  <c r="N411" i="4"/>
  <c r="M411" i="4"/>
  <c r="L411" i="4"/>
  <c r="K411" i="4"/>
  <c r="J411" i="4"/>
  <c r="I411" i="4"/>
  <c r="H411" i="4"/>
  <c r="G411" i="4"/>
  <c r="F411" i="4"/>
  <c r="AT410" i="4"/>
  <c r="AS410" i="4"/>
  <c r="AR410" i="4"/>
  <c r="AQ410" i="4"/>
  <c r="AP410" i="4"/>
  <c r="AO410" i="4"/>
  <c r="AN410" i="4"/>
  <c r="AM410" i="4"/>
  <c r="AL410" i="4"/>
  <c r="AA410" i="4"/>
  <c r="Z410" i="4"/>
  <c r="Y410" i="4"/>
  <c r="X410" i="4"/>
  <c r="W410" i="4"/>
  <c r="V410" i="4"/>
  <c r="U410" i="4"/>
  <c r="T410" i="4"/>
  <c r="S410" i="4"/>
  <c r="R410" i="4"/>
  <c r="Q410" i="4"/>
  <c r="P410" i="4"/>
  <c r="O410" i="4"/>
  <c r="N410" i="4"/>
  <c r="M410" i="4"/>
  <c r="L410" i="4"/>
  <c r="K410" i="4"/>
  <c r="J410" i="4"/>
  <c r="I410" i="4"/>
  <c r="H410" i="4"/>
  <c r="G410" i="4"/>
  <c r="F410" i="4"/>
  <c r="AT409" i="4"/>
  <c r="AS409" i="4"/>
  <c r="AR409" i="4"/>
  <c r="AQ409" i="4"/>
  <c r="AP409" i="4"/>
  <c r="AO409" i="4"/>
  <c r="AN409" i="4"/>
  <c r="AM409" i="4"/>
  <c r="AL409" i="4"/>
  <c r="AA409" i="4"/>
  <c r="Z409" i="4"/>
  <c r="Y409" i="4"/>
  <c r="X409" i="4"/>
  <c r="W409" i="4"/>
  <c r="V409" i="4"/>
  <c r="U409" i="4"/>
  <c r="T409" i="4"/>
  <c r="S409" i="4"/>
  <c r="R409" i="4"/>
  <c r="Q409" i="4"/>
  <c r="P409" i="4"/>
  <c r="O409" i="4"/>
  <c r="N409" i="4"/>
  <c r="M409" i="4"/>
  <c r="L409" i="4"/>
  <c r="K409" i="4"/>
  <c r="J409" i="4"/>
  <c r="I409" i="4"/>
  <c r="H409" i="4"/>
  <c r="G409" i="4"/>
  <c r="F409" i="4"/>
  <c r="AT408" i="4"/>
  <c r="AS408" i="4"/>
  <c r="AR408" i="4"/>
  <c r="AQ408" i="4"/>
  <c r="AP408" i="4"/>
  <c r="AO408" i="4"/>
  <c r="AN408" i="4"/>
  <c r="AM408" i="4"/>
  <c r="AL408" i="4"/>
  <c r="AA408" i="4"/>
  <c r="Z408" i="4"/>
  <c r="Y408" i="4"/>
  <c r="X408" i="4"/>
  <c r="W408" i="4"/>
  <c r="V408" i="4"/>
  <c r="U408" i="4"/>
  <c r="T408" i="4"/>
  <c r="S408" i="4"/>
  <c r="R408" i="4"/>
  <c r="Q408" i="4"/>
  <c r="P408" i="4"/>
  <c r="O408" i="4"/>
  <c r="N408" i="4"/>
  <c r="M408" i="4"/>
  <c r="L408" i="4"/>
  <c r="K408" i="4"/>
  <c r="J408" i="4"/>
  <c r="I408" i="4"/>
  <c r="H408" i="4"/>
  <c r="G408" i="4"/>
  <c r="F408" i="4"/>
  <c r="AT407" i="4"/>
  <c r="AS407" i="4"/>
  <c r="AR407" i="4"/>
  <c r="AQ407" i="4"/>
  <c r="AP407" i="4"/>
  <c r="AO407" i="4"/>
  <c r="AN407" i="4"/>
  <c r="AM407" i="4"/>
  <c r="AL407" i="4"/>
  <c r="AA407" i="4"/>
  <c r="Z407" i="4"/>
  <c r="Y407" i="4"/>
  <c r="X407" i="4"/>
  <c r="W407" i="4"/>
  <c r="V407" i="4"/>
  <c r="U407" i="4"/>
  <c r="T407" i="4"/>
  <c r="S407" i="4"/>
  <c r="R407" i="4"/>
  <c r="Q407" i="4"/>
  <c r="P407" i="4"/>
  <c r="O407" i="4"/>
  <c r="N407" i="4"/>
  <c r="M407" i="4"/>
  <c r="L407" i="4"/>
  <c r="K407" i="4"/>
  <c r="J407" i="4"/>
  <c r="I407" i="4"/>
  <c r="H407" i="4"/>
  <c r="G407" i="4"/>
  <c r="F407" i="4"/>
  <c r="AT406" i="4"/>
  <c r="AS406" i="4"/>
  <c r="AR406" i="4"/>
  <c r="AQ406" i="4"/>
  <c r="AP406" i="4"/>
  <c r="AO406" i="4"/>
  <c r="AN406" i="4"/>
  <c r="AM406" i="4"/>
  <c r="AL406" i="4"/>
  <c r="AA406" i="4"/>
  <c r="Z406" i="4"/>
  <c r="Y406" i="4"/>
  <c r="X406" i="4"/>
  <c r="W406" i="4"/>
  <c r="V406" i="4"/>
  <c r="U406" i="4"/>
  <c r="T406" i="4"/>
  <c r="S406" i="4"/>
  <c r="R406" i="4"/>
  <c r="Q406" i="4"/>
  <c r="P406" i="4"/>
  <c r="O406" i="4"/>
  <c r="N406" i="4"/>
  <c r="M406" i="4"/>
  <c r="L406" i="4"/>
  <c r="K406" i="4"/>
  <c r="J406" i="4"/>
  <c r="I406" i="4"/>
  <c r="H406" i="4"/>
  <c r="G406" i="4"/>
  <c r="F406" i="4"/>
  <c r="AT405" i="4"/>
  <c r="AS405" i="4"/>
  <c r="AR405" i="4"/>
  <c r="AQ405" i="4"/>
  <c r="AP405" i="4"/>
  <c r="AO405" i="4"/>
  <c r="AN405" i="4"/>
  <c r="AM405" i="4"/>
  <c r="AL405" i="4"/>
  <c r="AA405" i="4"/>
  <c r="Z405" i="4"/>
  <c r="Y405" i="4"/>
  <c r="X405" i="4"/>
  <c r="W405" i="4"/>
  <c r="V405" i="4"/>
  <c r="U405" i="4"/>
  <c r="T405" i="4"/>
  <c r="S405" i="4"/>
  <c r="R405" i="4"/>
  <c r="Q405" i="4"/>
  <c r="P405" i="4"/>
  <c r="O405" i="4"/>
  <c r="N405" i="4"/>
  <c r="M405" i="4"/>
  <c r="L405" i="4"/>
  <c r="K405" i="4"/>
  <c r="J405" i="4"/>
  <c r="I405" i="4"/>
  <c r="H405" i="4"/>
  <c r="G405" i="4"/>
  <c r="F405" i="4"/>
  <c r="AT404" i="4"/>
  <c r="AS404" i="4"/>
  <c r="AR404" i="4"/>
  <c r="AQ404" i="4"/>
  <c r="AP404" i="4"/>
  <c r="AO404" i="4"/>
  <c r="AN404" i="4"/>
  <c r="AM404" i="4"/>
  <c r="AL404" i="4"/>
  <c r="AA404" i="4"/>
  <c r="Z404" i="4"/>
  <c r="Y404" i="4"/>
  <c r="X404" i="4"/>
  <c r="W404" i="4"/>
  <c r="V404" i="4"/>
  <c r="U404" i="4"/>
  <c r="T404" i="4"/>
  <c r="S404" i="4"/>
  <c r="R404" i="4"/>
  <c r="Q404" i="4"/>
  <c r="P404" i="4"/>
  <c r="O404" i="4"/>
  <c r="N404" i="4"/>
  <c r="M404" i="4"/>
  <c r="L404" i="4"/>
  <c r="K404" i="4"/>
  <c r="J404" i="4"/>
  <c r="I404" i="4"/>
  <c r="H404" i="4"/>
  <c r="G404" i="4"/>
  <c r="F404" i="4"/>
  <c r="AT403" i="4"/>
  <c r="AS403" i="4"/>
  <c r="AR403" i="4"/>
  <c r="AQ403" i="4"/>
  <c r="AP403" i="4"/>
  <c r="AO403" i="4"/>
  <c r="AN403" i="4"/>
  <c r="AM403" i="4"/>
  <c r="AL403" i="4"/>
  <c r="AA403" i="4"/>
  <c r="Z403" i="4"/>
  <c r="Y403" i="4"/>
  <c r="X403" i="4"/>
  <c r="W403" i="4"/>
  <c r="V403" i="4"/>
  <c r="U403" i="4"/>
  <c r="T403" i="4"/>
  <c r="S403" i="4"/>
  <c r="R403" i="4"/>
  <c r="Q403" i="4"/>
  <c r="P403" i="4"/>
  <c r="O403" i="4"/>
  <c r="N403" i="4"/>
  <c r="M403" i="4"/>
  <c r="L403" i="4"/>
  <c r="K403" i="4"/>
  <c r="J403" i="4"/>
  <c r="I403" i="4"/>
  <c r="H403" i="4"/>
  <c r="G403" i="4"/>
  <c r="F403" i="4"/>
  <c r="AT402" i="4"/>
  <c r="AS402" i="4"/>
  <c r="AR402" i="4"/>
  <c r="AQ402" i="4"/>
  <c r="AP402" i="4"/>
  <c r="AO402" i="4"/>
  <c r="AN402" i="4"/>
  <c r="AM402" i="4"/>
  <c r="AL402" i="4"/>
  <c r="AA402" i="4"/>
  <c r="Z402" i="4"/>
  <c r="Y402" i="4"/>
  <c r="X402" i="4"/>
  <c r="W402" i="4"/>
  <c r="V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AT401" i="4"/>
  <c r="AS401" i="4"/>
  <c r="AR401" i="4"/>
  <c r="AQ401" i="4"/>
  <c r="AP401" i="4"/>
  <c r="AO401" i="4"/>
  <c r="AN401" i="4"/>
  <c r="AM401" i="4"/>
  <c r="AL401" i="4"/>
  <c r="AA401" i="4"/>
  <c r="Z401" i="4"/>
  <c r="Y401" i="4"/>
  <c r="X401" i="4"/>
  <c r="W401" i="4"/>
  <c r="V401" i="4"/>
  <c r="U401" i="4"/>
  <c r="T401" i="4"/>
  <c r="S401" i="4"/>
  <c r="R401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AT400" i="4"/>
  <c r="AS400" i="4"/>
  <c r="AR400" i="4"/>
  <c r="AQ400" i="4"/>
  <c r="AP400" i="4"/>
  <c r="AO400" i="4"/>
  <c r="AN400" i="4"/>
  <c r="AM400" i="4"/>
  <c r="AL400" i="4"/>
  <c r="AA400" i="4"/>
  <c r="Z400" i="4"/>
  <c r="Y400" i="4"/>
  <c r="X400" i="4"/>
  <c r="W400" i="4"/>
  <c r="V400" i="4"/>
  <c r="U400" i="4"/>
  <c r="T400" i="4"/>
  <c r="S400" i="4"/>
  <c r="R400" i="4"/>
  <c r="Q400" i="4"/>
  <c r="P400" i="4"/>
  <c r="O400" i="4"/>
  <c r="N400" i="4"/>
  <c r="M400" i="4"/>
  <c r="L400" i="4"/>
  <c r="K400" i="4"/>
  <c r="J400" i="4"/>
  <c r="I400" i="4"/>
  <c r="H400" i="4"/>
  <c r="G400" i="4"/>
  <c r="F400" i="4"/>
  <c r="AT399" i="4"/>
  <c r="AS399" i="4"/>
  <c r="AR399" i="4"/>
  <c r="AQ399" i="4"/>
  <c r="AP399" i="4"/>
  <c r="AO399" i="4"/>
  <c r="AN399" i="4"/>
  <c r="AM399" i="4"/>
  <c r="AL399" i="4"/>
  <c r="AA399" i="4"/>
  <c r="Z399" i="4"/>
  <c r="Y399" i="4"/>
  <c r="X399" i="4"/>
  <c r="W399" i="4"/>
  <c r="V399" i="4"/>
  <c r="U399" i="4"/>
  <c r="T399" i="4"/>
  <c r="S399" i="4"/>
  <c r="R399" i="4"/>
  <c r="Q399" i="4"/>
  <c r="P399" i="4"/>
  <c r="O399" i="4"/>
  <c r="N399" i="4"/>
  <c r="M399" i="4"/>
  <c r="L399" i="4"/>
  <c r="K399" i="4"/>
  <c r="J399" i="4"/>
  <c r="I399" i="4"/>
  <c r="H399" i="4"/>
  <c r="G399" i="4"/>
  <c r="F399" i="4"/>
  <c r="AT398" i="4"/>
  <c r="AS398" i="4"/>
  <c r="AR398" i="4"/>
  <c r="AQ398" i="4"/>
  <c r="AP398" i="4"/>
  <c r="AO398" i="4"/>
  <c r="AN398" i="4"/>
  <c r="AM398" i="4"/>
  <c r="AL398" i="4"/>
  <c r="AA398" i="4"/>
  <c r="Z398" i="4"/>
  <c r="Y398" i="4"/>
  <c r="X398" i="4"/>
  <c r="W398" i="4"/>
  <c r="V398" i="4"/>
  <c r="U398" i="4"/>
  <c r="T398" i="4"/>
  <c r="S398" i="4"/>
  <c r="R398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AT397" i="4"/>
  <c r="AS397" i="4"/>
  <c r="AR397" i="4"/>
  <c r="AQ397" i="4"/>
  <c r="AP397" i="4"/>
  <c r="AO397" i="4"/>
  <c r="AN397" i="4"/>
  <c r="AM397" i="4"/>
  <c r="AL397" i="4"/>
  <c r="AA397" i="4"/>
  <c r="Z397" i="4"/>
  <c r="Y397" i="4"/>
  <c r="X397" i="4"/>
  <c r="W397" i="4"/>
  <c r="V397" i="4"/>
  <c r="U397" i="4"/>
  <c r="T397" i="4"/>
  <c r="S397" i="4"/>
  <c r="R397" i="4"/>
  <c r="Q397" i="4"/>
  <c r="P397" i="4"/>
  <c r="O397" i="4"/>
  <c r="N397" i="4"/>
  <c r="M397" i="4"/>
  <c r="L397" i="4"/>
  <c r="K397" i="4"/>
  <c r="J397" i="4"/>
  <c r="I397" i="4"/>
  <c r="H397" i="4"/>
  <c r="G397" i="4"/>
  <c r="F397" i="4"/>
  <c r="AT396" i="4"/>
  <c r="AS396" i="4"/>
  <c r="AR396" i="4"/>
  <c r="AQ396" i="4"/>
  <c r="AP396" i="4"/>
  <c r="AO396" i="4"/>
  <c r="AN396" i="4"/>
  <c r="AM396" i="4"/>
  <c r="AL396" i="4"/>
  <c r="AA396" i="4"/>
  <c r="Z396" i="4"/>
  <c r="Y396" i="4"/>
  <c r="X396" i="4"/>
  <c r="W396" i="4"/>
  <c r="V396" i="4"/>
  <c r="U396" i="4"/>
  <c r="T396" i="4"/>
  <c r="S396" i="4"/>
  <c r="R396" i="4"/>
  <c r="Q396" i="4"/>
  <c r="P396" i="4"/>
  <c r="O396" i="4"/>
  <c r="N396" i="4"/>
  <c r="M396" i="4"/>
  <c r="L396" i="4"/>
  <c r="K396" i="4"/>
  <c r="J396" i="4"/>
  <c r="I396" i="4"/>
  <c r="H396" i="4"/>
  <c r="G396" i="4"/>
  <c r="F396" i="4"/>
  <c r="AT395" i="4"/>
  <c r="AS395" i="4"/>
  <c r="AR395" i="4"/>
  <c r="AQ395" i="4"/>
  <c r="AP395" i="4"/>
  <c r="AO395" i="4"/>
  <c r="AN395" i="4"/>
  <c r="AM395" i="4"/>
  <c r="AL395" i="4"/>
  <c r="AA395" i="4"/>
  <c r="Z395" i="4"/>
  <c r="Y395" i="4"/>
  <c r="X395" i="4"/>
  <c r="W395" i="4"/>
  <c r="V395" i="4"/>
  <c r="U395" i="4"/>
  <c r="T395" i="4"/>
  <c r="S395" i="4"/>
  <c r="R395" i="4"/>
  <c r="Q395" i="4"/>
  <c r="P395" i="4"/>
  <c r="O395" i="4"/>
  <c r="N395" i="4"/>
  <c r="M395" i="4"/>
  <c r="L395" i="4"/>
  <c r="K395" i="4"/>
  <c r="J395" i="4"/>
  <c r="I395" i="4"/>
  <c r="H395" i="4"/>
  <c r="G395" i="4"/>
  <c r="F395" i="4"/>
  <c r="AT394" i="4"/>
  <c r="AS394" i="4"/>
  <c r="AR394" i="4"/>
  <c r="AQ394" i="4"/>
  <c r="AP394" i="4"/>
  <c r="AO394" i="4"/>
  <c r="AN394" i="4"/>
  <c r="AM394" i="4"/>
  <c r="AL394" i="4"/>
  <c r="AA394" i="4"/>
  <c r="Z394" i="4"/>
  <c r="Y394" i="4"/>
  <c r="X394" i="4"/>
  <c r="W394" i="4"/>
  <c r="V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AT393" i="4"/>
  <c r="AS393" i="4"/>
  <c r="AR393" i="4"/>
  <c r="AQ393" i="4"/>
  <c r="AP393" i="4"/>
  <c r="AO393" i="4"/>
  <c r="AN393" i="4"/>
  <c r="AM393" i="4"/>
  <c r="AL393" i="4"/>
  <c r="AA393" i="4"/>
  <c r="Z393" i="4"/>
  <c r="Y393" i="4"/>
  <c r="X393" i="4"/>
  <c r="W393" i="4"/>
  <c r="V393" i="4"/>
  <c r="U393" i="4"/>
  <c r="T393" i="4"/>
  <c r="S393" i="4"/>
  <c r="R393" i="4"/>
  <c r="Q393" i="4"/>
  <c r="P393" i="4"/>
  <c r="O393" i="4"/>
  <c r="N393" i="4"/>
  <c r="M393" i="4"/>
  <c r="L393" i="4"/>
  <c r="K393" i="4"/>
  <c r="J393" i="4"/>
  <c r="I393" i="4"/>
  <c r="H393" i="4"/>
  <c r="G393" i="4"/>
  <c r="F393" i="4"/>
  <c r="AT392" i="4"/>
  <c r="AS392" i="4"/>
  <c r="AR392" i="4"/>
  <c r="AQ392" i="4"/>
  <c r="AP392" i="4"/>
  <c r="AO392" i="4"/>
  <c r="AN392" i="4"/>
  <c r="AM392" i="4"/>
  <c r="AL392" i="4"/>
  <c r="AA392" i="4"/>
  <c r="Z392" i="4"/>
  <c r="Y392" i="4"/>
  <c r="X392" i="4"/>
  <c r="W392" i="4"/>
  <c r="V392" i="4"/>
  <c r="U392" i="4"/>
  <c r="T392" i="4"/>
  <c r="S392" i="4"/>
  <c r="R392" i="4"/>
  <c r="Q392" i="4"/>
  <c r="P392" i="4"/>
  <c r="O392" i="4"/>
  <c r="N392" i="4"/>
  <c r="M392" i="4"/>
  <c r="L392" i="4"/>
  <c r="K392" i="4"/>
  <c r="J392" i="4"/>
  <c r="I392" i="4"/>
  <c r="H392" i="4"/>
  <c r="G392" i="4"/>
  <c r="F392" i="4"/>
  <c r="AT391" i="4"/>
  <c r="AS391" i="4"/>
  <c r="AR391" i="4"/>
  <c r="AQ391" i="4"/>
  <c r="AP391" i="4"/>
  <c r="AO391" i="4"/>
  <c r="AN391" i="4"/>
  <c r="AM391" i="4"/>
  <c r="AL391" i="4"/>
  <c r="AA391" i="4"/>
  <c r="Z391" i="4"/>
  <c r="Y391" i="4"/>
  <c r="X391" i="4"/>
  <c r="W391" i="4"/>
  <c r="V391" i="4"/>
  <c r="U391" i="4"/>
  <c r="T391" i="4"/>
  <c r="S391" i="4"/>
  <c r="R391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AT390" i="4"/>
  <c r="AS390" i="4"/>
  <c r="AR390" i="4"/>
  <c r="AQ390" i="4"/>
  <c r="AP390" i="4"/>
  <c r="AO390" i="4"/>
  <c r="AN390" i="4"/>
  <c r="AM390" i="4"/>
  <c r="AL390" i="4"/>
  <c r="AA390" i="4"/>
  <c r="Z390" i="4"/>
  <c r="Y390" i="4"/>
  <c r="X390" i="4"/>
  <c r="W390" i="4"/>
  <c r="V390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AT389" i="4"/>
  <c r="AS389" i="4"/>
  <c r="AR389" i="4"/>
  <c r="AQ389" i="4"/>
  <c r="AP389" i="4"/>
  <c r="AO389" i="4"/>
  <c r="AN389" i="4"/>
  <c r="AM389" i="4"/>
  <c r="AL389" i="4"/>
  <c r="AA389" i="4"/>
  <c r="Z389" i="4"/>
  <c r="Y389" i="4"/>
  <c r="X389" i="4"/>
  <c r="W389" i="4"/>
  <c r="V389" i="4"/>
  <c r="U389" i="4"/>
  <c r="T389" i="4"/>
  <c r="S389" i="4"/>
  <c r="R389" i="4"/>
  <c r="Q389" i="4"/>
  <c r="P389" i="4"/>
  <c r="O389" i="4"/>
  <c r="N389" i="4"/>
  <c r="M389" i="4"/>
  <c r="L389" i="4"/>
  <c r="K389" i="4"/>
  <c r="J389" i="4"/>
  <c r="I389" i="4"/>
  <c r="H389" i="4"/>
  <c r="G389" i="4"/>
  <c r="F389" i="4"/>
  <c r="AT388" i="4"/>
  <c r="AS388" i="4"/>
  <c r="AR388" i="4"/>
  <c r="AQ388" i="4"/>
  <c r="AP388" i="4"/>
  <c r="AO388" i="4"/>
  <c r="AN388" i="4"/>
  <c r="AM388" i="4"/>
  <c r="AL388" i="4"/>
  <c r="AA388" i="4"/>
  <c r="Z388" i="4"/>
  <c r="Y388" i="4"/>
  <c r="X388" i="4"/>
  <c r="W388" i="4"/>
  <c r="V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AT387" i="4"/>
  <c r="AS387" i="4"/>
  <c r="AR387" i="4"/>
  <c r="AQ387" i="4"/>
  <c r="AP387" i="4"/>
  <c r="AO387" i="4"/>
  <c r="AN387" i="4"/>
  <c r="AM387" i="4"/>
  <c r="AL387" i="4"/>
  <c r="AA387" i="4"/>
  <c r="Z387" i="4"/>
  <c r="Y387" i="4"/>
  <c r="X387" i="4"/>
  <c r="W387" i="4"/>
  <c r="V387" i="4"/>
  <c r="U387" i="4"/>
  <c r="T387" i="4"/>
  <c r="S387" i="4"/>
  <c r="R387" i="4"/>
  <c r="Q387" i="4"/>
  <c r="P387" i="4"/>
  <c r="O387" i="4"/>
  <c r="N387" i="4"/>
  <c r="M387" i="4"/>
  <c r="L387" i="4"/>
  <c r="K387" i="4"/>
  <c r="J387" i="4"/>
  <c r="I387" i="4"/>
  <c r="H387" i="4"/>
  <c r="G387" i="4"/>
  <c r="F387" i="4"/>
  <c r="AT386" i="4"/>
  <c r="AS386" i="4"/>
  <c r="AR386" i="4"/>
  <c r="AQ386" i="4"/>
  <c r="AP386" i="4"/>
  <c r="AO386" i="4"/>
  <c r="AN386" i="4"/>
  <c r="AM386" i="4"/>
  <c r="AL386" i="4"/>
  <c r="AA386" i="4"/>
  <c r="Z386" i="4"/>
  <c r="Y386" i="4"/>
  <c r="X386" i="4"/>
  <c r="W386" i="4"/>
  <c r="V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I386" i="4"/>
  <c r="H386" i="4"/>
  <c r="G386" i="4"/>
  <c r="F386" i="4"/>
  <c r="AT385" i="4"/>
  <c r="AS385" i="4"/>
  <c r="AR385" i="4"/>
  <c r="AQ385" i="4"/>
  <c r="AP385" i="4"/>
  <c r="AO385" i="4"/>
  <c r="AN385" i="4"/>
  <c r="AM385" i="4"/>
  <c r="AL385" i="4"/>
  <c r="AA385" i="4"/>
  <c r="Z385" i="4"/>
  <c r="Y385" i="4"/>
  <c r="X385" i="4"/>
  <c r="W385" i="4"/>
  <c r="V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H385" i="4"/>
  <c r="G385" i="4"/>
  <c r="F385" i="4"/>
  <c r="AT384" i="4"/>
  <c r="AS384" i="4"/>
  <c r="AR384" i="4"/>
  <c r="AQ384" i="4"/>
  <c r="AP384" i="4"/>
  <c r="AO384" i="4"/>
  <c r="AN384" i="4"/>
  <c r="AM384" i="4"/>
  <c r="AL384" i="4"/>
  <c r="AA384" i="4"/>
  <c r="Z384" i="4"/>
  <c r="Y384" i="4"/>
  <c r="X384" i="4"/>
  <c r="W384" i="4"/>
  <c r="V384" i="4"/>
  <c r="U384" i="4"/>
  <c r="T384" i="4"/>
  <c r="S384" i="4"/>
  <c r="R384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AT383" i="4"/>
  <c r="AS383" i="4"/>
  <c r="AR383" i="4"/>
  <c r="AQ383" i="4"/>
  <c r="AP383" i="4"/>
  <c r="AO383" i="4"/>
  <c r="AN383" i="4"/>
  <c r="AM383" i="4"/>
  <c r="AL383" i="4"/>
  <c r="AA383" i="4"/>
  <c r="Z383" i="4"/>
  <c r="Y383" i="4"/>
  <c r="X383" i="4"/>
  <c r="W383" i="4"/>
  <c r="V383" i="4"/>
  <c r="U383" i="4"/>
  <c r="T383" i="4"/>
  <c r="S383" i="4"/>
  <c r="R383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AT382" i="4"/>
  <c r="AS382" i="4"/>
  <c r="AR382" i="4"/>
  <c r="AQ382" i="4"/>
  <c r="AP382" i="4"/>
  <c r="AO382" i="4"/>
  <c r="AN382" i="4"/>
  <c r="AM382" i="4"/>
  <c r="AL382" i="4"/>
  <c r="AA382" i="4"/>
  <c r="Z382" i="4"/>
  <c r="Y382" i="4"/>
  <c r="X382" i="4"/>
  <c r="W382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AT381" i="4"/>
  <c r="AS381" i="4"/>
  <c r="AR381" i="4"/>
  <c r="AQ381" i="4"/>
  <c r="AP381" i="4"/>
  <c r="AO381" i="4"/>
  <c r="AN381" i="4"/>
  <c r="AM381" i="4"/>
  <c r="AL381" i="4"/>
  <c r="AA381" i="4"/>
  <c r="Z381" i="4"/>
  <c r="Y381" i="4"/>
  <c r="X381" i="4"/>
  <c r="W381" i="4"/>
  <c r="V381" i="4"/>
  <c r="U381" i="4"/>
  <c r="T381" i="4"/>
  <c r="S381" i="4"/>
  <c r="R381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AT380" i="4"/>
  <c r="AS380" i="4"/>
  <c r="AR380" i="4"/>
  <c r="AQ380" i="4"/>
  <c r="AP380" i="4"/>
  <c r="AO380" i="4"/>
  <c r="AN380" i="4"/>
  <c r="AM380" i="4"/>
  <c r="AL380" i="4"/>
  <c r="AA380" i="4"/>
  <c r="Z380" i="4"/>
  <c r="Y380" i="4"/>
  <c r="X380" i="4"/>
  <c r="W380" i="4"/>
  <c r="V380" i="4"/>
  <c r="U380" i="4"/>
  <c r="T380" i="4"/>
  <c r="S380" i="4"/>
  <c r="R380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AT379" i="4"/>
  <c r="AS379" i="4"/>
  <c r="AR379" i="4"/>
  <c r="AQ379" i="4"/>
  <c r="AP379" i="4"/>
  <c r="AO379" i="4"/>
  <c r="AN379" i="4"/>
  <c r="AM379" i="4"/>
  <c r="AL379" i="4"/>
  <c r="AA379" i="4"/>
  <c r="Z379" i="4"/>
  <c r="Y379" i="4"/>
  <c r="X379" i="4"/>
  <c r="W379" i="4"/>
  <c r="V379" i="4"/>
  <c r="U379" i="4"/>
  <c r="T379" i="4"/>
  <c r="S379" i="4"/>
  <c r="R379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AT378" i="4"/>
  <c r="AS378" i="4"/>
  <c r="AR378" i="4"/>
  <c r="AQ378" i="4"/>
  <c r="AP378" i="4"/>
  <c r="AO378" i="4"/>
  <c r="AN378" i="4"/>
  <c r="AM378" i="4"/>
  <c r="AL378" i="4"/>
  <c r="AA378" i="4"/>
  <c r="Z378" i="4"/>
  <c r="Y378" i="4"/>
  <c r="X378" i="4"/>
  <c r="W378" i="4"/>
  <c r="V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AT377" i="4"/>
  <c r="AS377" i="4"/>
  <c r="AR377" i="4"/>
  <c r="AQ377" i="4"/>
  <c r="AP377" i="4"/>
  <c r="AO377" i="4"/>
  <c r="AN377" i="4"/>
  <c r="AM377" i="4"/>
  <c r="AL377" i="4"/>
  <c r="AA377" i="4"/>
  <c r="Z377" i="4"/>
  <c r="Y377" i="4"/>
  <c r="X377" i="4"/>
  <c r="W377" i="4"/>
  <c r="V377" i="4"/>
  <c r="U377" i="4"/>
  <c r="T377" i="4"/>
  <c r="S377" i="4"/>
  <c r="R377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AT376" i="4"/>
  <c r="AS376" i="4"/>
  <c r="AR376" i="4"/>
  <c r="AQ376" i="4"/>
  <c r="AP376" i="4"/>
  <c r="AO376" i="4"/>
  <c r="AN376" i="4"/>
  <c r="AM376" i="4"/>
  <c r="AL376" i="4"/>
  <c r="AA376" i="4"/>
  <c r="Z376" i="4"/>
  <c r="Y376" i="4"/>
  <c r="X376" i="4"/>
  <c r="W376" i="4"/>
  <c r="V376" i="4"/>
  <c r="U376" i="4"/>
  <c r="T376" i="4"/>
  <c r="S376" i="4"/>
  <c r="R376" i="4"/>
  <c r="Q376" i="4"/>
  <c r="P376" i="4"/>
  <c r="O376" i="4"/>
  <c r="N376" i="4"/>
  <c r="M376" i="4"/>
  <c r="L376" i="4"/>
  <c r="K376" i="4"/>
  <c r="J376" i="4"/>
  <c r="I376" i="4"/>
  <c r="H376" i="4"/>
  <c r="G376" i="4"/>
  <c r="F376" i="4"/>
  <c r="AT375" i="4"/>
  <c r="AS375" i="4"/>
  <c r="AR375" i="4"/>
  <c r="AQ375" i="4"/>
  <c r="AP375" i="4"/>
  <c r="AO375" i="4"/>
  <c r="AN375" i="4"/>
  <c r="AM375" i="4"/>
  <c r="AL375" i="4"/>
  <c r="AA375" i="4"/>
  <c r="Z375" i="4"/>
  <c r="Y375" i="4"/>
  <c r="X375" i="4"/>
  <c r="W375" i="4"/>
  <c r="V375" i="4"/>
  <c r="U375" i="4"/>
  <c r="T375" i="4"/>
  <c r="S375" i="4"/>
  <c r="R375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AT374" i="4"/>
  <c r="AS374" i="4"/>
  <c r="AR374" i="4"/>
  <c r="AQ374" i="4"/>
  <c r="AP374" i="4"/>
  <c r="AO374" i="4"/>
  <c r="AN374" i="4"/>
  <c r="AM374" i="4"/>
  <c r="AL374" i="4"/>
  <c r="AA374" i="4"/>
  <c r="Z374" i="4"/>
  <c r="Y374" i="4"/>
  <c r="X374" i="4"/>
  <c r="W374" i="4"/>
  <c r="V374" i="4"/>
  <c r="U374" i="4"/>
  <c r="S374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AT373" i="4"/>
  <c r="AS373" i="4"/>
  <c r="AR373" i="4"/>
  <c r="AQ373" i="4"/>
  <c r="AP373" i="4"/>
  <c r="AO373" i="4"/>
  <c r="AN373" i="4"/>
  <c r="AM373" i="4"/>
  <c r="AL373" i="4"/>
  <c r="AA373" i="4"/>
  <c r="Z373" i="4"/>
  <c r="Y373" i="4"/>
  <c r="X373" i="4"/>
  <c r="W373" i="4"/>
  <c r="V373" i="4"/>
  <c r="U373" i="4"/>
  <c r="S373" i="4"/>
  <c r="R373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AT372" i="4"/>
  <c r="AS372" i="4"/>
  <c r="AR372" i="4"/>
  <c r="AQ372" i="4"/>
  <c r="AP372" i="4"/>
  <c r="AO372" i="4"/>
  <c r="AN372" i="4"/>
  <c r="AM372" i="4"/>
  <c r="AL372" i="4"/>
  <c r="AA372" i="4"/>
  <c r="Z372" i="4"/>
  <c r="Y372" i="4"/>
  <c r="X372" i="4"/>
  <c r="W372" i="4"/>
  <c r="V372" i="4"/>
  <c r="U372" i="4"/>
  <c r="S372" i="4"/>
  <c r="R372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AT371" i="4"/>
  <c r="AS371" i="4"/>
  <c r="AR371" i="4"/>
  <c r="AQ371" i="4"/>
  <c r="AP371" i="4"/>
  <c r="AO371" i="4"/>
  <c r="AN371" i="4"/>
  <c r="AM371" i="4"/>
  <c r="AL371" i="4"/>
  <c r="AA371" i="4"/>
  <c r="Z371" i="4"/>
  <c r="Y371" i="4"/>
  <c r="X371" i="4"/>
  <c r="W371" i="4"/>
  <c r="V371" i="4"/>
  <c r="U371" i="4"/>
  <c r="S371" i="4"/>
  <c r="R371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AT370" i="4"/>
  <c r="AS370" i="4"/>
  <c r="AR370" i="4"/>
  <c r="AQ370" i="4"/>
  <c r="AP370" i="4"/>
  <c r="AO370" i="4"/>
  <c r="AN370" i="4"/>
  <c r="AM370" i="4"/>
  <c r="AL370" i="4"/>
  <c r="AA370" i="4"/>
  <c r="Z370" i="4"/>
  <c r="Y370" i="4"/>
  <c r="X370" i="4"/>
  <c r="W370" i="4"/>
  <c r="V370" i="4"/>
  <c r="U370" i="4"/>
  <c r="S370" i="4"/>
  <c r="R370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AT369" i="4"/>
  <c r="AS369" i="4"/>
  <c r="AR369" i="4"/>
  <c r="AQ369" i="4"/>
  <c r="AP369" i="4"/>
  <c r="AO369" i="4"/>
  <c r="AN369" i="4"/>
  <c r="AM369" i="4"/>
  <c r="AL369" i="4"/>
  <c r="AA369" i="4"/>
  <c r="Z369" i="4"/>
  <c r="Y369" i="4"/>
  <c r="X369" i="4"/>
  <c r="W369" i="4"/>
  <c r="V369" i="4"/>
  <c r="U369" i="4"/>
  <c r="S369" i="4"/>
  <c r="R369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AT368" i="4"/>
  <c r="AS368" i="4"/>
  <c r="AR368" i="4"/>
  <c r="AQ368" i="4"/>
  <c r="AP368" i="4"/>
  <c r="AO368" i="4"/>
  <c r="AN368" i="4"/>
  <c r="AM368" i="4"/>
  <c r="AL368" i="4"/>
  <c r="AA368" i="4"/>
  <c r="Z368" i="4"/>
  <c r="Y368" i="4"/>
  <c r="X368" i="4"/>
  <c r="W368" i="4"/>
  <c r="V368" i="4"/>
  <c r="U368" i="4"/>
  <c r="S368" i="4"/>
  <c r="R368" i="4"/>
  <c r="Q368" i="4"/>
  <c r="P368" i="4"/>
  <c r="O368" i="4"/>
  <c r="N368" i="4"/>
  <c r="M368" i="4"/>
  <c r="L368" i="4"/>
  <c r="K368" i="4"/>
  <c r="J368" i="4"/>
  <c r="I368" i="4"/>
  <c r="H368" i="4"/>
  <c r="G368" i="4"/>
  <c r="F368" i="4"/>
  <c r="AT367" i="4"/>
  <c r="AS367" i="4"/>
  <c r="AR367" i="4"/>
  <c r="AQ367" i="4"/>
  <c r="AP367" i="4"/>
  <c r="AO367" i="4"/>
  <c r="AN367" i="4"/>
  <c r="AM367" i="4"/>
  <c r="AL367" i="4"/>
  <c r="AA367" i="4"/>
  <c r="Z367" i="4"/>
  <c r="Y367" i="4"/>
  <c r="X367" i="4"/>
  <c r="W367" i="4"/>
  <c r="V367" i="4"/>
  <c r="U367" i="4"/>
  <c r="S367" i="4"/>
  <c r="R367" i="4"/>
  <c r="Q367" i="4"/>
  <c r="P367" i="4"/>
  <c r="O367" i="4"/>
  <c r="N367" i="4"/>
  <c r="M367" i="4"/>
  <c r="L367" i="4"/>
  <c r="K367" i="4"/>
  <c r="J367" i="4"/>
  <c r="I367" i="4"/>
  <c r="H367" i="4"/>
  <c r="G367" i="4"/>
  <c r="F367" i="4"/>
  <c r="AT366" i="4"/>
  <c r="AS366" i="4"/>
  <c r="AR366" i="4"/>
  <c r="AQ366" i="4"/>
  <c r="AP366" i="4"/>
  <c r="AO366" i="4"/>
  <c r="AN366" i="4"/>
  <c r="AM366" i="4"/>
  <c r="AL366" i="4"/>
  <c r="AA366" i="4"/>
  <c r="Z366" i="4"/>
  <c r="Y366" i="4"/>
  <c r="X366" i="4"/>
  <c r="W366" i="4"/>
  <c r="V366" i="4"/>
  <c r="U366" i="4"/>
  <c r="S366" i="4"/>
  <c r="R366" i="4"/>
  <c r="Q366" i="4"/>
  <c r="P366" i="4"/>
  <c r="O366" i="4"/>
  <c r="N366" i="4"/>
  <c r="M366" i="4"/>
  <c r="L366" i="4"/>
  <c r="K366" i="4"/>
  <c r="J366" i="4"/>
  <c r="I366" i="4"/>
  <c r="H366" i="4"/>
  <c r="G366" i="4"/>
  <c r="F366" i="4"/>
  <c r="AT365" i="4"/>
  <c r="AS365" i="4"/>
  <c r="AR365" i="4"/>
  <c r="AQ365" i="4"/>
  <c r="AP365" i="4"/>
  <c r="AO365" i="4"/>
  <c r="AN365" i="4"/>
  <c r="AM365" i="4"/>
  <c r="AL365" i="4"/>
  <c r="AA365" i="4"/>
  <c r="Z365" i="4"/>
  <c r="Y365" i="4"/>
  <c r="X365" i="4"/>
  <c r="W365" i="4"/>
  <c r="V365" i="4"/>
  <c r="U365" i="4"/>
  <c r="S365" i="4"/>
  <c r="R365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AT364" i="4"/>
  <c r="AS364" i="4"/>
  <c r="AR364" i="4"/>
  <c r="AQ364" i="4"/>
  <c r="AP364" i="4"/>
  <c r="AO364" i="4"/>
  <c r="AN364" i="4"/>
  <c r="AM364" i="4"/>
  <c r="AL364" i="4"/>
  <c r="AA364" i="4"/>
  <c r="Z364" i="4"/>
  <c r="Y364" i="4"/>
  <c r="X364" i="4"/>
  <c r="W364" i="4"/>
  <c r="V364" i="4"/>
  <c r="U364" i="4"/>
  <c r="S364" i="4"/>
  <c r="R364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AT363" i="4"/>
  <c r="AS363" i="4"/>
  <c r="AR363" i="4"/>
  <c r="AQ363" i="4"/>
  <c r="AP363" i="4"/>
  <c r="AO363" i="4"/>
  <c r="AN363" i="4"/>
  <c r="AM363" i="4"/>
  <c r="AL363" i="4"/>
  <c r="AA363" i="4"/>
  <c r="Z363" i="4"/>
  <c r="Y363" i="4"/>
  <c r="X363" i="4"/>
  <c r="W363" i="4"/>
  <c r="V363" i="4"/>
  <c r="U363" i="4"/>
  <c r="S363" i="4"/>
  <c r="R363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AT362" i="4"/>
  <c r="AS362" i="4"/>
  <c r="AR362" i="4"/>
  <c r="AQ362" i="4"/>
  <c r="AP362" i="4"/>
  <c r="AO362" i="4"/>
  <c r="AN362" i="4"/>
  <c r="AM362" i="4"/>
  <c r="AL362" i="4"/>
  <c r="AA362" i="4"/>
  <c r="Z362" i="4"/>
  <c r="Y362" i="4"/>
  <c r="X362" i="4"/>
  <c r="W362" i="4"/>
  <c r="V362" i="4"/>
  <c r="U362" i="4"/>
  <c r="S362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AT361" i="4"/>
  <c r="AS361" i="4"/>
  <c r="AR361" i="4"/>
  <c r="AQ361" i="4"/>
  <c r="AP361" i="4"/>
  <c r="AO361" i="4"/>
  <c r="AN361" i="4"/>
  <c r="AM361" i="4"/>
  <c r="AL361" i="4"/>
  <c r="AA361" i="4"/>
  <c r="Z361" i="4"/>
  <c r="Y361" i="4"/>
  <c r="X361" i="4"/>
  <c r="W361" i="4"/>
  <c r="V361" i="4"/>
  <c r="U361" i="4"/>
  <c r="S361" i="4"/>
  <c r="R361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AT360" i="4"/>
  <c r="AS360" i="4"/>
  <c r="AR360" i="4"/>
  <c r="AQ360" i="4"/>
  <c r="AP360" i="4"/>
  <c r="AO360" i="4"/>
  <c r="AN360" i="4"/>
  <c r="AM360" i="4"/>
  <c r="AL360" i="4"/>
  <c r="AA360" i="4"/>
  <c r="Z360" i="4"/>
  <c r="Y360" i="4"/>
  <c r="X360" i="4"/>
  <c r="W360" i="4"/>
  <c r="V360" i="4"/>
  <c r="U360" i="4"/>
  <c r="S360" i="4"/>
  <c r="P360" i="4"/>
  <c r="O360" i="4"/>
  <c r="N360" i="4"/>
  <c r="M360" i="4"/>
  <c r="L360" i="4"/>
  <c r="K360" i="4"/>
  <c r="J360" i="4"/>
  <c r="I360" i="4"/>
  <c r="H360" i="4"/>
  <c r="G360" i="4"/>
  <c r="F360" i="4"/>
  <c r="AT359" i="4"/>
  <c r="AS359" i="4"/>
  <c r="AR359" i="4"/>
  <c r="AQ359" i="4"/>
  <c r="AP359" i="4"/>
  <c r="AO359" i="4"/>
  <c r="AN359" i="4"/>
  <c r="AM359" i="4"/>
  <c r="AL359" i="4"/>
  <c r="AA359" i="4"/>
  <c r="Z359" i="4"/>
  <c r="Y359" i="4"/>
  <c r="X359" i="4"/>
  <c r="W359" i="4"/>
  <c r="V359" i="4"/>
  <c r="U359" i="4"/>
  <c r="P359" i="4"/>
  <c r="O359" i="4"/>
  <c r="N359" i="4"/>
  <c r="M359" i="4"/>
  <c r="L359" i="4"/>
  <c r="K359" i="4"/>
  <c r="J359" i="4"/>
  <c r="I359" i="4"/>
  <c r="H359" i="4"/>
  <c r="G359" i="4"/>
  <c r="F359" i="4"/>
  <c r="AT358" i="4"/>
  <c r="AS358" i="4"/>
  <c r="AR358" i="4"/>
  <c r="AQ358" i="4"/>
  <c r="AP358" i="4"/>
  <c r="AO358" i="4"/>
  <c r="AN358" i="4"/>
  <c r="AM358" i="4"/>
  <c r="AL358" i="4"/>
  <c r="AA358" i="4"/>
  <c r="Z358" i="4"/>
  <c r="Y358" i="4"/>
  <c r="X358" i="4"/>
  <c r="W358" i="4"/>
  <c r="V358" i="4"/>
  <c r="U358" i="4"/>
  <c r="P358" i="4"/>
  <c r="O358" i="4"/>
  <c r="N358" i="4"/>
  <c r="M358" i="4"/>
  <c r="L358" i="4"/>
  <c r="K358" i="4"/>
  <c r="J358" i="4"/>
  <c r="I358" i="4"/>
  <c r="H358" i="4"/>
  <c r="G358" i="4"/>
  <c r="F358" i="4"/>
  <c r="AT357" i="4"/>
  <c r="AS357" i="4"/>
  <c r="AR357" i="4"/>
  <c r="AQ357" i="4"/>
  <c r="AP357" i="4"/>
  <c r="AO357" i="4"/>
  <c r="AN357" i="4"/>
  <c r="AM357" i="4"/>
  <c r="AL357" i="4"/>
  <c r="AA357" i="4"/>
  <c r="Z357" i="4"/>
  <c r="Y357" i="4"/>
  <c r="X357" i="4"/>
  <c r="W357" i="4"/>
  <c r="V357" i="4"/>
  <c r="U357" i="4"/>
  <c r="P357" i="4"/>
  <c r="O357" i="4"/>
  <c r="N357" i="4"/>
  <c r="M357" i="4"/>
  <c r="L357" i="4"/>
  <c r="K357" i="4"/>
  <c r="J357" i="4"/>
  <c r="I357" i="4"/>
  <c r="H357" i="4"/>
  <c r="G357" i="4"/>
  <c r="F357" i="4"/>
  <c r="AT356" i="4"/>
  <c r="AS356" i="4"/>
  <c r="AR356" i="4"/>
  <c r="AQ356" i="4"/>
  <c r="AP356" i="4"/>
  <c r="AO356" i="4"/>
  <c r="AN356" i="4"/>
  <c r="AM356" i="4"/>
  <c r="AL356" i="4"/>
  <c r="AA356" i="4"/>
  <c r="Z356" i="4"/>
  <c r="Y356" i="4"/>
  <c r="X356" i="4"/>
  <c r="W356" i="4"/>
  <c r="V356" i="4"/>
  <c r="U356" i="4"/>
  <c r="P356" i="4"/>
  <c r="O356" i="4"/>
  <c r="N356" i="4"/>
  <c r="M356" i="4"/>
  <c r="L356" i="4"/>
  <c r="K356" i="4"/>
  <c r="J356" i="4"/>
  <c r="I356" i="4"/>
  <c r="H356" i="4"/>
  <c r="G356" i="4"/>
  <c r="F356" i="4"/>
  <c r="AT355" i="4"/>
  <c r="AS355" i="4"/>
  <c r="AR355" i="4"/>
  <c r="AQ355" i="4"/>
  <c r="AP355" i="4"/>
  <c r="AO355" i="4"/>
  <c r="AN355" i="4"/>
  <c r="AM355" i="4"/>
  <c r="AL355" i="4"/>
  <c r="AA355" i="4"/>
  <c r="Z355" i="4"/>
  <c r="Y355" i="4"/>
  <c r="X355" i="4"/>
  <c r="W355" i="4"/>
  <c r="V355" i="4"/>
  <c r="U355" i="4"/>
  <c r="P355" i="4"/>
  <c r="O355" i="4"/>
  <c r="N355" i="4"/>
  <c r="M355" i="4"/>
  <c r="L355" i="4"/>
  <c r="K355" i="4"/>
  <c r="J355" i="4"/>
  <c r="I355" i="4"/>
  <c r="H355" i="4"/>
  <c r="G355" i="4"/>
  <c r="F355" i="4"/>
  <c r="AT354" i="4"/>
  <c r="AS354" i="4"/>
  <c r="AR354" i="4"/>
  <c r="AQ354" i="4"/>
  <c r="AP354" i="4"/>
  <c r="AO354" i="4"/>
  <c r="AN354" i="4"/>
  <c r="AM354" i="4"/>
  <c r="AL354" i="4"/>
  <c r="AA354" i="4"/>
  <c r="Z354" i="4"/>
  <c r="Y354" i="4"/>
  <c r="X354" i="4"/>
  <c r="W354" i="4"/>
  <c r="V354" i="4"/>
  <c r="U354" i="4"/>
  <c r="P354" i="4"/>
  <c r="O354" i="4"/>
  <c r="N354" i="4"/>
  <c r="M354" i="4"/>
  <c r="L354" i="4"/>
  <c r="K354" i="4"/>
  <c r="J354" i="4"/>
  <c r="I354" i="4"/>
  <c r="H354" i="4"/>
  <c r="G354" i="4"/>
  <c r="F354" i="4"/>
  <c r="AT353" i="4"/>
  <c r="AS353" i="4"/>
  <c r="AR353" i="4"/>
  <c r="AQ353" i="4"/>
  <c r="AP353" i="4"/>
  <c r="AO353" i="4"/>
  <c r="AN353" i="4"/>
  <c r="AM353" i="4"/>
  <c r="AL353" i="4"/>
  <c r="AA353" i="4"/>
  <c r="Z353" i="4"/>
  <c r="Y353" i="4"/>
  <c r="X353" i="4"/>
  <c r="W353" i="4"/>
  <c r="V353" i="4"/>
  <c r="U353" i="4"/>
  <c r="P353" i="4"/>
  <c r="O353" i="4"/>
  <c r="N353" i="4"/>
  <c r="M353" i="4"/>
  <c r="L353" i="4"/>
  <c r="K353" i="4"/>
  <c r="J353" i="4"/>
  <c r="I353" i="4"/>
  <c r="H353" i="4"/>
  <c r="G353" i="4"/>
  <c r="F353" i="4"/>
  <c r="AT352" i="4"/>
  <c r="AS352" i="4"/>
  <c r="AR352" i="4"/>
  <c r="AQ352" i="4"/>
  <c r="AP352" i="4"/>
  <c r="AO352" i="4"/>
  <c r="AN352" i="4"/>
  <c r="AM352" i="4"/>
  <c r="AL352" i="4"/>
  <c r="AA352" i="4"/>
  <c r="Z352" i="4"/>
  <c r="Y352" i="4"/>
  <c r="X352" i="4"/>
  <c r="W352" i="4"/>
  <c r="V352" i="4"/>
  <c r="U352" i="4"/>
  <c r="P352" i="4"/>
  <c r="O352" i="4"/>
  <c r="N352" i="4"/>
  <c r="M352" i="4"/>
  <c r="L352" i="4"/>
  <c r="K352" i="4"/>
  <c r="J352" i="4"/>
  <c r="I352" i="4"/>
  <c r="H352" i="4"/>
  <c r="G352" i="4"/>
  <c r="F352" i="4"/>
  <c r="AT351" i="4"/>
  <c r="AS351" i="4"/>
  <c r="AR351" i="4"/>
  <c r="AQ351" i="4"/>
  <c r="AP351" i="4"/>
  <c r="AO351" i="4"/>
  <c r="AN351" i="4"/>
  <c r="AM351" i="4"/>
  <c r="AL351" i="4"/>
  <c r="AA351" i="4"/>
  <c r="Z351" i="4"/>
  <c r="Y351" i="4"/>
  <c r="X351" i="4"/>
  <c r="W351" i="4"/>
  <c r="V351" i="4"/>
  <c r="U351" i="4"/>
  <c r="P351" i="4"/>
  <c r="O351" i="4"/>
  <c r="N351" i="4"/>
  <c r="M351" i="4"/>
  <c r="L351" i="4"/>
  <c r="K351" i="4"/>
  <c r="J351" i="4"/>
  <c r="I351" i="4"/>
  <c r="H351" i="4"/>
  <c r="G351" i="4"/>
  <c r="F351" i="4"/>
  <c r="AT350" i="4"/>
  <c r="AS350" i="4"/>
  <c r="AR350" i="4"/>
  <c r="AQ350" i="4"/>
  <c r="AP350" i="4"/>
  <c r="AO350" i="4"/>
  <c r="AN350" i="4"/>
  <c r="AM350" i="4"/>
  <c r="AL350" i="4"/>
  <c r="AA350" i="4"/>
  <c r="Z350" i="4"/>
  <c r="Y350" i="4"/>
  <c r="X350" i="4"/>
  <c r="W350" i="4"/>
  <c r="V350" i="4"/>
  <c r="U350" i="4"/>
  <c r="P350" i="4"/>
  <c r="O350" i="4"/>
  <c r="N350" i="4"/>
  <c r="M350" i="4"/>
  <c r="L350" i="4"/>
  <c r="K350" i="4"/>
  <c r="J350" i="4"/>
  <c r="I350" i="4"/>
  <c r="H350" i="4"/>
  <c r="G350" i="4"/>
  <c r="F350" i="4"/>
  <c r="AT349" i="4"/>
  <c r="AS349" i="4"/>
  <c r="AR349" i="4"/>
  <c r="AQ349" i="4"/>
  <c r="AP349" i="4"/>
  <c r="AO349" i="4"/>
  <c r="AN349" i="4"/>
  <c r="AM349" i="4"/>
  <c r="AL349" i="4"/>
  <c r="AA349" i="4"/>
  <c r="Z349" i="4"/>
  <c r="Y349" i="4"/>
  <c r="X349" i="4"/>
  <c r="W349" i="4"/>
  <c r="V349" i="4"/>
  <c r="U349" i="4"/>
  <c r="P349" i="4"/>
  <c r="O349" i="4"/>
  <c r="N349" i="4"/>
  <c r="M349" i="4"/>
  <c r="L349" i="4"/>
  <c r="K349" i="4"/>
  <c r="J349" i="4"/>
  <c r="I349" i="4"/>
  <c r="H349" i="4"/>
  <c r="G349" i="4"/>
  <c r="F349" i="4"/>
  <c r="AT348" i="4"/>
  <c r="AS348" i="4"/>
  <c r="AR348" i="4"/>
  <c r="AQ348" i="4"/>
  <c r="AP348" i="4"/>
  <c r="AO348" i="4"/>
  <c r="AN348" i="4"/>
  <c r="AM348" i="4"/>
  <c r="AL348" i="4"/>
  <c r="AA348" i="4"/>
  <c r="Z348" i="4"/>
  <c r="Y348" i="4"/>
  <c r="X348" i="4"/>
  <c r="W348" i="4"/>
  <c r="V348" i="4"/>
  <c r="U348" i="4"/>
  <c r="P348" i="4"/>
  <c r="O348" i="4"/>
  <c r="N348" i="4"/>
  <c r="M348" i="4"/>
  <c r="L348" i="4"/>
  <c r="K348" i="4"/>
  <c r="J348" i="4"/>
  <c r="I348" i="4"/>
  <c r="H348" i="4"/>
  <c r="G348" i="4"/>
  <c r="F348" i="4"/>
  <c r="AT347" i="4"/>
  <c r="AS347" i="4"/>
  <c r="AR347" i="4"/>
  <c r="AQ347" i="4"/>
  <c r="AP347" i="4"/>
  <c r="AO347" i="4"/>
  <c r="AN347" i="4"/>
  <c r="AM347" i="4"/>
  <c r="AL347" i="4"/>
  <c r="AA347" i="4"/>
  <c r="Z347" i="4"/>
  <c r="Y347" i="4"/>
  <c r="X347" i="4"/>
  <c r="W347" i="4"/>
  <c r="V347" i="4"/>
  <c r="U347" i="4"/>
  <c r="P347" i="4"/>
  <c r="O347" i="4"/>
  <c r="N347" i="4"/>
  <c r="M347" i="4"/>
  <c r="L347" i="4"/>
  <c r="K347" i="4"/>
  <c r="J347" i="4"/>
  <c r="I347" i="4"/>
  <c r="H347" i="4"/>
  <c r="G347" i="4"/>
  <c r="F347" i="4"/>
  <c r="AT346" i="4"/>
  <c r="AS346" i="4"/>
  <c r="AR346" i="4"/>
  <c r="AQ346" i="4"/>
  <c r="AP346" i="4"/>
  <c r="AO346" i="4"/>
  <c r="AN346" i="4"/>
  <c r="AM346" i="4"/>
  <c r="AL346" i="4"/>
  <c r="AA346" i="4"/>
  <c r="Z346" i="4"/>
  <c r="Y346" i="4"/>
  <c r="X346" i="4"/>
  <c r="W346" i="4"/>
  <c r="V346" i="4"/>
  <c r="U346" i="4"/>
  <c r="P346" i="4"/>
  <c r="O346" i="4"/>
  <c r="N346" i="4"/>
  <c r="M346" i="4"/>
  <c r="L346" i="4"/>
  <c r="K346" i="4"/>
  <c r="J346" i="4"/>
  <c r="I346" i="4"/>
  <c r="H346" i="4"/>
  <c r="G346" i="4"/>
  <c r="F346" i="4"/>
  <c r="AT345" i="4"/>
  <c r="AS345" i="4"/>
  <c r="AR345" i="4"/>
  <c r="AQ345" i="4"/>
  <c r="AP345" i="4"/>
  <c r="AO345" i="4"/>
  <c r="AN345" i="4"/>
  <c r="AM345" i="4"/>
  <c r="AL345" i="4"/>
  <c r="AA345" i="4"/>
  <c r="Z345" i="4"/>
  <c r="Y345" i="4"/>
  <c r="X345" i="4"/>
  <c r="W345" i="4"/>
  <c r="V345" i="4"/>
  <c r="U345" i="4"/>
  <c r="P345" i="4"/>
  <c r="O345" i="4"/>
  <c r="N345" i="4"/>
  <c r="M345" i="4"/>
  <c r="L345" i="4"/>
  <c r="K345" i="4"/>
  <c r="J345" i="4"/>
  <c r="I345" i="4"/>
  <c r="H345" i="4"/>
  <c r="G345" i="4"/>
  <c r="F345" i="4"/>
  <c r="AT344" i="4"/>
  <c r="AS344" i="4"/>
  <c r="AR344" i="4"/>
  <c r="AQ344" i="4"/>
  <c r="AP344" i="4"/>
  <c r="AO344" i="4"/>
  <c r="AN344" i="4"/>
  <c r="AM344" i="4"/>
  <c r="AL344" i="4"/>
  <c r="AA344" i="4"/>
  <c r="Z344" i="4"/>
  <c r="Y344" i="4"/>
  <c r="X344" i="4"/>
  <c r="W344" i="4"/>
  <c r="V344" i="4"/>
  <c r="U344" i="4"/>
  <c r="P344" i="4"/>
  <c r="O344" i="4"/>
  <c r="N344" i="4"/>
  <c r="M344" i="4"/>
  <c r="L344" i="4"/>
  <c r="K344" i="4"/>
  <c r="J344" i="4"/>
  <c r="I344" i="4"/>
  <c r="H344" i="4"/>
  <c r="G344" i="4"/>
  <c r="F344" i="4"/>
  <c r="AT343" i="4"/>
  <c r="AS343" i="4"/>
  <c r="AR343" i="4"/>
  <c r="AQ343" i="4"/>
  <c r="AP343" i="4"/>
  <c r="AO343" i="4"/>
  <c r="AN343" i="4"/>
  <c r="AM343" i="4"/>
  <c r="AL343" i="4"/>
  <c r="AA343" i="4"/>
  <c r="Z343" i="4"/>
  <c r="Y343" i="4"/>
  <c r="X343" i="4"/>
  <c r="W343" i="4"/>
  <c r="V343" i="4"/>
  <c r="U343" i="4"/>
  <c r="P343" i="4"/>
  <c r="O343" i="4"/>
  <c r="N343" i="4"/>
  <c r="M343" i="4"/>
  <c r="L343" i="4"/>
  <c r="K343" i="4"/>
  <c r="J343" i="4"/>
  <c r="I343" i="4"/>
  <c r="H343" i="4"/>
  <c r="G343" i="4"/>
  <c r="F343" i="4"/>
  <c r="AT342" i="4"/>
  <c r="AS342" i="4"/>
  <c r="AR342" i="4"/>
  <c r="AQ342" i="4"/>
  <c r="AP342" i="4"/>
  <c r="AO342" i="4"/>
  <c r="AN342" i="4"/>
  <c r="AM342" i="4"/>
  <c r="AL342" i="4"/>
  <c r="AA342" i="4"/>
  <c r="Z342" i="4"/>
  <c r="Y342" i="4"/>
  <c r="X342" i="4"/>
  <c r="W342" i="4"/>
  <c r="V342" i="4"/>
  <c r="U342" i="4"/>
  <c r="P342" i="4"/>
  <c r="O342" i="4"/>
  <c r="N342" i="4"/>
  <c r="M342" i="4"/>
  <c r="L342" i="4"/>
  <c r="K342" i="4"/>
  <c r="J342" i="4"/>
  <c r="I342" i="4"/>
  <c r="H342" i="4"/>
  <c r="G342" i="4"/>
  <c r="F342" i="4"/>
  <c r="AT341" i="4"/>
  <c r="AS341" i="4"/>
  <c r="AR341" i="4"/>
  <c r="AQ341" i="4"/>
  <c r="AP341" i="4"/>
  <c r="AO341" i="4"/>
  <c r="AN341" i="4"/>
  <c r="AM341" i="4"/>
  <c r="AL341" i="4"/>
  <c r="AA341" i="4"/>
  <c r="Z341" i="4"/>
  <c r="Y341" i="4"/>
  <c r="X341" i="4"/>
  <c r="W341" i="4"/>
  <c r="V341" i="4"/>
  <c r="U341" i="4"/>
  <c r="P341" i="4"/>
  <c r="O341" i="4"/>
  <c r="N341" i="4"/>
  <c r="M341" i="4"/>
  <c r="L341" i="4"/>
  <c r="K341" i="4"/>
  <c r="J341" i="4"/>
  <c r="I341" i="4"/>
  <c r="H341" i="4"/>
  <c r="G341" i="4"/>
  <c r="F341" i="4"/>
  <c r="AT340" i="4"/>
  <c r="AS340" i="4"/>
  <c r="AR340" i="4"/>
  <c r="AQ340" i="4"/>
  <c r="AP340" i="4"/>
  <c r="AO340" i="4"/>
  <c r="AN340" i="4"/>
  <c r="AM340" i="4"/>
  <c r="AL340" i="4"/>
  <c r="AA340" i="4"/>
  <c r="Z340" i="4"/>
  <c r="Y340" i="4"/>
  <c r="X340" i="4"/>
  <c r="W340" i="4"/>
  <c r="V340" i="4"/>
  <c r="U340" i="4"/>
  <c r="P340" i="4"/>
  <c r="O340" i="4"/>
  <c r="N340" i="4"/>
  <c r="M340" i="4"/>
  <c r="L340" i="4"/>
  <c r="K340" i="4"/>
  <c r="J340" i="4"/>
  <c r="I340" i="4"/>
  <c r="H340" i="4"/>
  <c r="G340" i="4"/>
  <c r="F340" i="4"/>
  <c r="AT339" i="4"/>
  <c r="AS339" i="4"/>
  <c r="AR339" i="4"/>
  <c r="AQ339" i="4"/>
  <c r="AP339" i="4"/>
  <c r="AO339" i="4"/>
  <c r="AN339" i="4"/>
  <c r="AM339" i="4"/>
  <c r="AL339" i="4"/>
  <c r="AA339" i="4"/>
  <c r="Z339" i="4"/>
  <c r="Y339" i="4"/>
  <c r="X339" i="4"/>
  <c r="W339" i="4"/>
  <c r="V339" i="4"/>
  <c r="U339" i="4"/>
  <c r="P339" i="4"/>
  <c r="O339" i="4"/>
  <c r="N339" i="4"/>
  <c r="M339" i="4"/>
  <c r="L339" i="4"/>
  <c r="K339" i="4"/>
  <c r="J339" i="4"/>
  <c r="I339" i="4"/>
  <c r="H339" i="4"/>
  <c r="G339" i="4"/>
  <c r="F339" i="4"/>
  <c r="AT338" i="4"/>
  <c r="AS338" i="4"/>
  <c r="AR338" i="4"/>
  <c r="AQ338" i="4"/>
  <c r="AP338" i="4"/>
  <c r="AO338" i="4"/>
  <c r="AN338" i="4"/>
  <c r="AM338" i="4"/>
  <c r="AL338" i="4"/>
  <c r="AA338" i="4"/>
  <c r="Z338" i="4"/>
  <c r="Y338" i="4"/>
  <c r="X338" i="4"/>
  <c r="W338" i="4"/>
  <c r="V338" i="4"/>
  <c r="U338" i="4"/>
  <c r="P338" i="4"/>
  <c r="O338" i="4"/>
  <c r="N338" i="4"/>
  <c r="M338" i="4"/>
  <c r="L338" i="4"/>
  <c r="K338" i="4"/>
  <c r="J338" i="4"/>
  <c r="I338" i="4"/>
  <c r="H338" i="4"/>
  <c r="G338" i="4"/>
  <c r="F338" i="4"/>
  <c r="AT337" i="4"/>
  <c r="AS337" i="4"/>
  <c r="AR337" i="4"/>
  <c r="AQ337" i="4"/>
  <c r="AP337" i="4"/>
  <c r="AO337" i="4"/>
  <c r="AN337" i="4"/>
  <c r="AM337" i="4"/>
  <c r="AL337" i="4"/>
  <c r="AA337" i="4"/>
  <c r="Z337" i="4"/>
  <c r="Y337" i="4"/>
  <c r="X337" i="4"/>
  <c r="W337" i="4"/>
  <c r="V337" i="4"/>
  <c r="U337" i="4"/>
  <c r="P337" i="4"/>
  <c r="O337" i="4"/>
  <c r="N337" i="4"/>
  <c r="M337" i="4"/>
  <c r="L337" i="4"/>
  <c r="K337" i="4"/>
  <c r="J337" i="4"/>
  <c r="I337" i="4"/>
  <c r="H337" i="4"/>
  <c r="G337" i="4"/>
  <c r="F337" i="4"/>
  <c r="AT336" i="4"/>
  <c r="AS336" i="4"/>
  <c r="AR336" i="4"/>
  <c r="AQ336" i="4"/>
  <c r="AP336" i="4"/>
  <c r="AO336" i="4"/>
  <c r="AN336" i="4"/>
  <c r="AM336" i="4"/>
  <c r="AL336" i="4"/>
  <c r="AA336" i="4"/>
  <c r="Z336" i="4"/>
  <c r="Y336" i="4"/>
  <c r="X336" i="4"/>
  <c r="W336" i="4"/>
  <c r="V336" i="4"/>
  <c r="U336" i="4"/>
  <c r="P336" i="4"/>
  <c r="O336" i="4"/>
  <c r="N336" i="4"/>
  <c r="M336" i="4"/>
  <c r="L336" i="4"/>
  <c r="K336" i="4"/>
  <c r="J336" i="4"/>
  <c r="I336" i="4"/>
  <c r="H336" i="4"/>
  <c r="G336" i="4"/>
  <c r="F336" i="4"/>
  <c r="AT335" i="4"/>
  <c r="AS335" i="4"/>
  <c r="AR335" i="4"/>
  <c r="AQ335" i="4"/>
  <c r="AP335" i="4"/>
  <c r="AO335" i="4"/>
  <c r="AN335" i="4"/>
  <c r="AM335" i="4"/>
  <c r="AL335" i="4"/>
  <c r="AA335" i="4"/>
  <c r="Z335" i="4"/>
  <c r="Y335" i="4"/>
  <c r="X335" i="4"/>
  <c r="W335" i="4"/>
  <c r="V335" i="4"/>
  <c r="U335" i="4"/>
  <c r="P335" i="4"/>
  <c r="O335" i="4"/>
  <c r="N335" i="4"/>
  <c r="M335" i="4"/>
  <c r="L335" i="4"/>
  <c r="K335" i="4"/>
  <c r="J335" i="4"/>
  <c r="I335" i="4"/>
  <c r="H335" i="4"/>
  <c r="G335" i="4"/>
  <c r="F335" i="4"/>
  <c r="AT334" i="4"/>
  <c r="AS334" i="4"/>
  <c r="AR334" i="4"/>
  <c r="AQ334" i="4"/>
  <c r="AP334" i="4"/>
  <c r="AO334" i="4"/>
  <c r="AN334" i="4"/>
  <c r="AM334" i="4"/>
  <c r="AL334" i="4"/>
  <c r="AA334" i="4"/>
  <c r="Z334" i="4"/>
  <c r="Y334" i="4"/>
  <c r="X334" i="4"/>
  <c r="W334" i="4"/>
  <c r="V334" i="4"/>
  <c r="U334" i="4"/>
  <c r="P334" i="4"/>
  <c r="O334" i="4"/>
  <c r="N334" i="4"/>
  <c r="M334" i="4"/>
  <c r="L334" i="4"/>
  <c r="K334" i="4"/>
  <c r="J334" i="4"/>
  <c r="I334" i="4"/>
  <c r="H334" i="4"/>
  <c r="G334" i="4"/>
  <c r="F334" i="4"/>
  <c r="AT333" i="4"/>
  <c r="AS333" i="4"/>
  <c r="AR333" i="4"/>
  <c r="AQ333" i="4"/>
  <c r="AP333" i="4"/>
  <c r="AO333" i="4"/>
  <c r="AN333" i="4"/>
  <c r="AM333" i="4"/>
  <c r="AL333" i="4"/>
  <c r="AA333" i="4"/>
  <c r="Z333" i="4"/>
  <c r="Y333" i="4"/>
  <c r="X333" i="4"/>
  <c r="W333" i="4"/>
  <c r="V333" i="4"/>
  <c r="U333" i="4"/>
  <c r="P333" i="4"/>
  <c r="O333" i="4"/>
  <c r="N333" i="4"/>
  <c r="M333" i="4"/>
  <c r="L333" i="4"/>
  <c r="K333" i="4"/>
  <c r="J333" i="4"/>
  <c r="I333" i="4"/>
  <c r="H333" i="4"/>
  <c r="G333" i="4"/>
  <c r="F333" i="4"/>
  <c r="AT332" i="4"/>
  <c r="AS332" i="4"/>
  <c r="AR332" i="4"/>
  <c r="AQ332" i="4"/>
  <c r="AP332" i="4"/>
  <c r="AO332" i="4"/>
  <c r="AN332" i="4"/>
  <c r="AM332" i="4"/>
  <c r="AL332" i="4"/>
  <c r="AA332" i="4"/>
  <c r="Z332" i="4"/>
  <c r="Y332" i="4"/>
  <c r="X332" i="4"/>
  <c r="W332" i="4"/>
  <c r="V332" i="4"/>
  <c r="U332" i="4"/>
  <c r="P332" i="4"/>
  <c r="O332" i="4"/>
  <c r="N332" i="4"/>
  <c r="M332" i="4"/>
  <c r="L332" i="4"/>
  <c r="K332" i="4"/>
  <c r="J332" i="4"/>
  <c r="I332" i="4"/>
  <c r="H332" i="4"/>
  <c r="G332" i="4"/>
  <c r="F332" i="4"/>
  <c r="AT331" i="4"/>
  <c r="AS331" i="4"/>
  <c r="AR331" i="4"/>
  <c r="AQ331" i="4"/>
  <c r="AP331" i="4"/>
  <c r="AO331" i="4"/>
  <c r="AN331" i="4"/>
  <c r="AM331" i="4"/>
  <c r="AL331" i="4"/>
  <c r="AA331" i="4"/>
  <c r="Z331" i="4"/>
  <c r="Y331" i="4"/>
  <c r="X331" i="4"/>
  <c r="W331" i="4"/>
  <c r="V331" i="4"/>
  <c r="U331" i="4"/>
  <c r="P331" i="4"/>
  <c r="O331" i="4"/>
  <c r="N331" i="4"/>
  <c r="M331" i="4"/>
  <c r="L331" i="4"/>
  <c r="K331" i="4"/>
  <c r="J331" i="4"/>
  <c r="I331" i="4"/>
  <c r="H331" i="4"/>
  <c r="G331" i="4"/>
  <c r="F331" i="4"/>
  <c r="AT330" i="4"/>
  <c r="AS330" i="4"/>
  <c r="AR330" i="4"/>
  <c r="AQ330" i="4"/>
  <c r="AP330" i="4"/>
  <c r="AO330" i="4"/>
  <c r="AN330" i="4"/>
  <c r="AM330" i="4"/>
  <c r="AL330" i="4"/>
  <c r="AA330" i="4"/>
  <c r="Z330" i="4"/>
  <c r="Y330" i="4"/>
  <c r="X330" i="4"/>
  <c r="W330" i="4"/>
  <c r="V330" i="4"/>
  <c r="U330" i="4"/>
  <c r="P330" i="4"/>
  <c r="O330" i="4"/>
  <c r="N330" i="4"/>
  <c r="M330" i="4"/>
  <c r="L330" i="4"/>
  <c r="K330" i="4"/>
  <c r="J330" i="4"/>
  <c r="I330" i="4"/>
  <c r="H330" i="4"/>
  <c r="G330" i="4"/>
  <c r="F330" i="4"/>
  <c r="AT329" i="4"/>
  <c r="AS329" i="4"/>
  <c r="AR329" i="4"/>
  <c r="AQ329" i="4"/>
  <c r="AP329" i="4"/>
  <c r="AO329" i="4"/>
  <c r="AN329" i="4"/>
  <c r="AM329" i="4"/>
  <c r="AL329" i="4"/>
  <c r="AA329" i="4"/>
  <c r="Z329" i="4"/>
  <c r="Y329" i="4"/>
  <c r="X329" i="4"/>
  <c r="W329" i="4"/>
  <c r="V329" i="4"/>
  <c r="U329" i="4"/>
  <c r="P329" i="4"/>
  <c r="O329" i="4"/>
  <c r="N329" i="4"/>
  <c r="M329" i="4"/>
  <c r="L329" i="4"/>
  <c r="K329" i="4"/>
  <c r="J329" i="4"/>
  <c r="I329" i="4"/>
  <c r="H329" i="4"/>
  <c r="G329" i="4"/>
  <c r="F329" i="4"/>
  <c r="AT328" i="4"/>
  <c r="AS328" i="4"/>
  <c r="AR328" i="4"/>
  <c r="AQ328" i="4"/>
  <c r="AP328" i="4"/>
  <c r="AO328" i="4"/>
  <c r="AN328" i="4"/>
  <c r="AM328" i="4"/>
  <c r="AL328" i="4"/>
  <c r="AA328" i="4"/>
  <c r="Z328" i="4"/>
  <c r="Y328" i="4"/>
  <c r="X328" i="4"/>
  <c r="W328" i="4"/>
  <c r="V328" i="4"/>
  <c r="U328" i="4"/>
  <c r="P328" i="4"/>
  <c r="O328" i="4"/>
  <c r="N328" i="4"/>
  <c r="M328" i="4"/>
  <c r="L328" i="4"/>
  <c r="K328" i="4"/>
  <c r="J328" i="4"/>
  <c r="I328" i="4"/>
  <c r="H328" i="4"/>
  <c r="G328" i="4"/>
  <c r="F328" i="4"/>
  <c r="AT327" i="4"/>
  <c r="AS327" i="4"/>
  <c r="AR327" i="4"/>
  <c r="AQ327" i="4"/>
  <c r="AP327" i="4"/>
  <c r="AO327" i="4"/>
  <c r="AN327" i="4"/>
  <c r="AM327" i="4"/>
  <c r="AL327" i="4"/>
  <c r="AA327" i="4"/>
  <c r="Z327" i="4"/>
  <c r="Y327" i="4"/>
  <c r="X327" i="4"/>
  <c r="W327" i="4"/>
  <c r="V327" i="4"/>
  <c r="U327" i="4"/>
  <c r="P327" i="4"/>
  <c r="O327" i="4"/>
  <c r="N327" i="4"/>
  <c r="M327" i="4"/>
  <c r="L327" i="4"/>
  <c r="K327" i="4"/>
  <c r="J327" i="4"/>
  <c r="I327" i="4"/>
  <c r="H327" i="4"/>
  <c r="G327" i="4"/>
  <c r="F327" i="4"/>
  <c r="AT326" i="4"/>
  <c r="AS326" i="4"/>
  <c r="AR326" i="4"/>
  <c r="AQ326" i="4"/>
  <c r="AP326" i="4"/>
  <c r="AO326" i="4"/>
  <c r="AN326" i="4"/>
  <c r="AM326" i="4"/>
  <c r="AL326" i="4"/>
  <c r="AA326" i="4"/>
  <c r="Z326" i="4"/>
  <c r="Y326" i="4"/>
  <c r="X326" i="4"/>
  <c r="W326" i="4"/>
  <c r="V326" i="4"/>
  <c r="U326" i="4"/>
  <c r="P326" i="4"/>
  <c r="O326" i="4"/>
  <c r="N326" i="4"/>
  <c r="M326" i="4"/>
  <c r="L326" i="4"/>
  <c r="K326" i="4"/>
  <c r="J326" i="4"/>
  <c r="I326" i="4"/>
  <c r="H326" i="4"/>
  <c r="G326" i="4"/>
  <c r="F326" i="4"/>
  <c r="AT325" i="4"/>
  <c r="AS325" i="4"/>
  <c r="AR325" i="4"/>
  <c r="AQ325" i="4"/>
  <c r="AP325" i="4"/>
  <c r="AO325" i="4"/>
  <c r="AN325" i="4"/>
  <c r="AM325" i="4"/>
  <c r="AL325" i="4"/>
  <c r="AA325" i="4"/>
  <c r="Z325" i="4"/>
  <c r="Y325" i="4"/>
  <c r="X325" i="4"/>
  <c r="W325" i="4"/>
  <c r="V325" i="4"/>
  <c r="U325" i="4"/>
  <c r="P325" i="4"/>
  <c r="O325" i="4"/>
  <c r="N325" i="4"/>
  <c r="M325" i="4"/>
  <c r="L325" i="4"/>
  <c r="K325" i="4"/>
  <c r="J325" i="4"/>
  <c r="I325" i="4"/>
  <c r="H325" i="4"/>
  <c r="G325" i="4"/>
  <c r="F325" i="4"/>
  <c r="AT324" i="4"/>
  <c r="AS324" i="4"/>
  <c r="AR324" i="4"/>
  <c r="AQ324" i="4"/>
  <c r="AP324" i="4"/>
  <c r="AO324" i="4"/>
  <c r="AN324" i="4"/>
  <c r="AM324" i="4"/>
  <c r="AL324" i="4"/>
  <c r="AA324" i="4"/>
  <c r="Z324" i="4"/>
  <c r="Y324" i="4"/>
  <c r="X324" i="4"/>
  <c r="W324" i="4"/>
  <c r="V324" i="4"/>
  <c r="U324" i="4"/>
  <c r="P324" i="4"/>
  <c r="O324" i="4"/>
  <c r="N324" i="4"/>
  <c r="M324" i="4"/>
  <c r="L324" i="4"/>
  <c r="K324" i="4"/>
  <c r="J324" i="4"/>
  <c r="I324" i="4"/>
  <c r="H324" i="4"/>
  <c r="G324" i="4"/>
  <c r="F324" i="4"/>
  <c r="AT323" i="4"/>
  <c r="AS323" i="4"/>
  <c r="AR323" i="4"/>
  <c r="AQ323" i="4"/>
  <c r="AP323" i="4"/>
  <c r="AO323" i="4"/>
  <c r="AN323" i="4"/>
  <c r="AM323" i="4"/>
  <c r="AL323" i="4"/>
  <c r="AA323" i="4"/>
  <c r="Z323" i="4"/>
  <c r="Y323" i="4"/>
  <c r="X323" i="4"/>
  <c r="W323" i="4"/>
  <c r="V323" i="4"/>
  <c r="U323" i="4"/>
  <c r="P323" i="4"/>
  <c r="O323" i="4"/>
  <c r="N323" i="4"/>
  <c r="M323" i="4"/>
  <c r="L323" i="4"/>
  <c r="K323" i="4"/>
  <c r="J323" i="4"/>
  <c r="I323" i="4"/>
  <c r="H323" i="4"/>
  <c r="G323" i="4"/>
  <c r="F323" i="4"/>
  <c r="AT322" i="4"/>
  <c r="AS322" i="4"/>
  <c r="AR322" i="4"/>
  <c r="AQ322" i="4"/>
  <c r="AP322" i="4"/>
  <c r="AO322" i="4"/>
  <c r="AN322" i="4"/>
  <c r="AM322" i="4"/>
  <c r="AL322" i="4"/>
  <c r="AA322" i="4"/>
  <c r="Z322" i="4"/>
  <c r="Y322" i="4"/>
  <c r="X322" i="4"/>
  <c r="W322" i="4"/>
  <c r="V322" i="4"/>
  <c r="U322" i="4"/>
  <c r="P322" i="4"/>
  <c r="O322" i="4"/>
  <c r="N322" i="4"/>
  <c r="M322" i="4"/>
  <c r="L322" i="4"/>
  <c r="K322" i="4"/>
  <c r="J322" i="4"/>
  <c r="I322" i="4"/>
  <c r="H322" i="4"/>
  <c r="G322" i="4"/>
  <c r="F322" i="4"/>
  <c r="AT321" i="4"/>
  <c r="AS321" i="4"/>
  <c r="AR321" i="4"/>
  <c r="AQ321" i="4"/>
  <c r="AP321" i="4"/>
  <c r="AO321" i="4"/>
  <c r="AN321" i="4"/>
  <c r="AM321" i="4"/>
  <c r="AL321" i="4"/>
  <c r="AA321" i="4"/>
  <c r="Z321" i="4"/>
  <c r="Y321" i="4"/>
  <c r="X321" i="4"/>
  <c r="W321" i="4"/>
  <c r="V321" i="4"/>
  <c r="U321" i="4"/>
  <c r="P321" i="4"/>
  <c r="O321" i="4"/>
  <c r="N321" i="4"/>
  <c r="M321" i="4"/>
  <c r="L321" i="4"/>
  <c r="K321" i="4"/>
  <c r="J321" i="4"/>
  <c r="I321" i="4"/>
  <c r="H321" i="4"/>
  <c r="G321" i="4"/>
  <c r="F321" i="4"/>
  <c r="AT320" i="4"/>
  <c r="AS320" i="4"/>
  <c r="AR320" i="4"/>
  <c r="AQ320" i="4"/>
  <c r="AP320" i="4"/>
  <c r="AO320" i="4"/>
  <c r="AN320" i="4"/>
  <c r="AM320" i="4"/>
  <c r="AL320" i="4"/>
  <c r="AA320" i="4"/>
  <c r="Z320" i="4"/>
  <c r="Y320" i="4"/>
  <c r="X320" i="4"/>
  <c r="W320" i="4"/>
  <c r="V320" i="4"/>
  <c r="U320" i="4"/>
  <c r="P320" i="4"/>
  <c r="O320" i="4"/>
  <c r="N320" i="4"/>
  <c r="M320" i="4"/>
  <c r="L320" i="4"/>
  <c r="K320" i="4"/>
  <c r="J320" i="4"/>
  <c r="I320" i="4"/>
  <c r="H320" i="4"/>
  <c r="G320" i="4"/>
  <c r="F320" i="4"/>
  <c r="AT319" i="4"/>
  <c r="AS319" i="4"/>
  <c r="AR319" i="4"/>
  <c r="AQ319" i="4"/>
  <c r="AP319" i="4"/>
  <c r="AO319" i="4"/>
  <c r="AN319" i="4"/>
  <c r="AM319" i="4"/>
  <c r="AL319" i="4"/>
  <c r="AA319" i="4"/>
  <c r="Z319" i="4"/>
  <c r="Y319" i="4"/>
  <c r="X319" i="4"/>
  <c r="W319" i="4"/>
  <c r="V319" i="4"/>
  <c r="U319" i="4"/>
  <c r="P319" i="4"/>
  <c r="O319" i="4"/>
  <c r="N319" i="4"/>
  <c r="M319" i="4"/>
  <c r="L319" i="4"/>
  <c r="K319" i="4"/>
  <c r="J319" i="4"/>
  <c r="I319" i="4"/>
  <c r="H319" i="4"/>
  <c r="G319" i="4"/>
  <c r="F319" i="4"/>
  <c r="AT318" i="4"/>
  <c r="AS318" i="4"/>
  <c r="AR318" i="4"/>
  <c r="AQ318" i="4"/>
  <c r="AP318" i="4"/>
  <c r="AO318" i="4"/>
  <c r="AN318" i="4"/>
  <c r="AM318" i="4"/>
  <c r="AL318" i="4"/>
  <c r="AA318" i="4"/>
  <c r="Z318" i="4"/>
  <c r="Y318" i="4"/>
  <c r="X318" i="4"/>
  <c r="W318" i="4"/>
  <c r="V318" i="4"/>
  <c r="U318" i="4"/>
  <c r="P318" i="4"/>
  <c r="O318" i="4"/>
  <c r="N318" i="4"/>
  <c r="M318" i="4"/>
  <c r="L318" i="4"/>
  <c r="K318" i="4"/>
  <c r="J318" i="4"/>
  <c r="I318" i="4"/>
  <c r="H318" i="4"/>
  <c r="G318" i="4"/>
  <c r="F318" i="4"/>
  <c r="AT317" i="4"/>
  <c r="AS317" i="4"/>
  <c r="AR317" i="4"/>
  <c r="AQ317" i="4"/>
  <c r="AP317" i="4"/>
  <c r="AO317" i="4"/>
  <c r="AN317" i="4"/>
  <c r="AM317" i="4"/>
  <c r="AL317" i="4"/>
  <c r="AA317" i="4"/>
  <c r="Z317" i="4"/>
  <c r="Y317" i="4"/>
  <c r="X317" i="4"/>
  <c r="W317" i="4"/>
  <c r="V317" i="4"/>
  <c r="U317" i="4"/>
  <c r="P317" i="4"/>
  <c r="O317" i="4"/>
  <c r="N317" i="4"/>
  <c r="M317" i="4"/>
  <c r="L317" i="4"/>
  <c r="K317" i="4"/>
  <c r="J317" i="4"/>
  <c r="I317" i="4"/>
  <c r="H317" i="4"/>
  <c r="G317" i="4"/>
  <c r="F317" i="4"/>
  <c r="AT316" i="4"/>
  <c r="AS316" i="4"/>
  <c r="AR316" i="4"/>
  <c r="AQ316" i="4"/>
  <c r="AP316" i="4"/>
  <c r="AO316" i="4"/>
  <c r="AN316" i="4"/>
  <c r="AM316" i="4"/>
  <c r="AL316" i="4"/>
  <c r="AA316" i="4"/>
  <c r="Z316" i="4"/>
  <c r="Y316" i="4"/>
  <c r="X316" i="4"/>
  <c r="W316" i="4"/>
  <c r="V316" i="4"/>
  <c r="U316" i="4"/>
  <c r="P316" i="4"/>
  <c r="O316" i="4"/>
  <c r="N316" i="4"/>
  <c r="M316" i="4"/>
  <c r="L316" i="4"/>
  <c r="K316" i="4"/>
  <c r="J316" i="4"/>
  <c r="I316" i="4"/>
  <c r="H316" i="4"/>
  <c r="G316" i="4"/>
  <c r="F316" i="4"/>
  <c r="AT315" i="4"/>
  <c r="AS315" i="4"/>
  <c r="AR315" i="4"/>
  <c r="AQ315" i="4"/>
  <c r="AP315" i="4"/>
  <c r="AO315" i="4"/>
  <c r="AN315" i="4"/>
  <c r="AM315" i="4"/>
  <c r="AL315" i="4"/>
  <c r="AA315" i="4"/>
  <c r="Z315" i="4"/>
  <c r="Y315" i="4"/>
  <c r="X315" i="4"/>
  <c r="W315" i="4"/>
  <c r="V315" i="4"/>
  <c r="U315" i="4"/>
  <c r="P315" i="4"/>
  <c r="O315" i="4"/>
  <c r="N315" i="4"/>
  <c r="M315" i="4"/>
  <c r="L315" i="4"/>
  <c r="K315" i="4"/>
  <c r="J315" i="4"/>
  <c r="I315" i="4"/>
  <c r="H315" i="4"/>
  <c r="G315" i="4"/>
  <c r="F315" i="4"/>
  <c r="AT314" i="4"/>
  <c r="AS314" i="4"/>
  <c r="AR314" i="4"/>
  <c r="AQ314" i="4"/>
  <c r="AP314" i="4"/>
  <c r="AO314" i="4"/>
  <c r="AN314" i="4"/>
  <c r="AM314" i="4"/>
  <c r="AL314" i="4"/>
  <c r="AA314" i="4"/>
  <c r="Z314" i="4"/>
  <c r="Y314" i="4"/>
  <c r="X314" i="4"/>
  <c r="W314" i="4"/>
  <c r="V314" i="4"/>
  <c r="U314" i="4"/>
  <c r="P314" i="4"/>
  <c r="O314" i="4"/>
  <c r="N314" i="4"/>
  <c r="M314" i="4"/>
  <c r="L314" i="4"/>
  <c r="K314" i="4"/>
  <c r="J314" i="4"/>
  <c r="I314" i="4"/>
  <c r="H314" i="4"/>
  <c r="G314" i="4"/>
  <c r="F314" i="4"/>
  <c r="AT313" i="4"/>
  <c r="AS313" i="4"/>
  <c r="AR313" i="4"/>
  <c r="AQ313" i="4"/>
  <c r="AP313" i="4"/>
  <c r="AO313" i="4"/>
  <c r="AN313" i="4"/>
  <c r="AM313" i="4"/>
  <c r="AL313" i="4"/>
  <c r="AA313" i="4"/>
  <c r="Z313" i="4"/>
  <c r="Y313" i="4"/>
  <c r="X313" i="4"/>
  <c r="W313" i="4"/>
  <c r="V313" i="4"/>
  <c r="U313" i="4"/>
  <c r="P313" i="4"/>
  <c r="O313" i="4"/>
  <c r="N313" i="4"/>
  <c r="M313" i="4"/>
  <c r="L313" i="4"/>
  <c r="K313" i="4"/>
  <c r="J313" i="4"/>
  <c r="I313" i="4"/>
  <c r="H313" i="4"/>
  <c r="G313" i="4"/>
  <c r="F313" i="4"/>
  <c r="AT312" i="4"/>
  <c r="AS312" i="4"/>
  <c r="AR312" i="4"/>
  <c r="AQ312" i="4"/>
  <c r="AP312" i="4"/>
  <c r="AO312" i="4"/>
  <c r="AN312" i="4"/>
  <c r="AM312" i="4"/>
  <c r="AL312" i="4"/>
  <c r="AA312" i="4"/>
  <c r="Z312" i="4"/>
  <c r="Y312" i="4"/>
  <c r="X312" i="4"/>
  <c r="W312" i="4"/>
  <c r="V312" i="4"/>
  <c r="U312" i="4"/>
  <c r="P312" i="4"/>
  <c r="O312" i="4"/>
  <c r="N312" i="4"/>
  <c r="M312" i="4"/>
  <c r="L312" i="4"/>
  <c r="K312" i="4"/>
  <c r="J312" i="4"/>
  <c r="I312" i="4"/>
  <c r="H312" i="4"/>
  <c r="G312" i="4"/>
  <c r="F312" i="4"/>
  <c r="AT311" i="4"/>
  <c r="AS311" i="4"/>
  <c r="AR311" i="4"/>
  <c r="AQ311" i="4"/>
  <c r="AP311" i="4"/>
  <c r="AO311" i="4"/>
  <c r="AN311" i="4"/>
  <c r="AM311" i="4"/>
  <c r="AL311" i="4"/>
  <c r="AA311" i="4"/>
  <c r="Z311" i="4"/>
  <c r="Y311" i="4"/>
  <c r="X311" i="4"/>
  <c r="W311" i="4"/>
  <c r="V311" i="4"/>
  <c r="U311" i="4"/>
  <c r="P311" i="4"/>
  <c r="O311" i="4"/>
  <c r="N311" i="4"/>
  <c r="M311" i="4"/>
  <c r="L311" i="4"/>
  <c r="K311" i="4"/>
  <c r="J311" i="4"/>
  <c r="I311" i="4"/>
  <c r="H311" i="4"/>
  <c r="G311" i="4"/>
  <c r="F311" i="4"/>
  <c r="AT310" i="4"/>
  <c r="AS310" i="4"/>
  <c r="AR310" i="4"/>
  <c r="AQ310" i="4"/>
  <c r="AP310" i="4"/>
  <c r="AO310" i="4"/>
  <c r="AN310" i="4"/>
  <c r="AM310" i="4"/>
  <c r="AL310" i="4"/>
  <c r="AA310" i="4"/>
  <c r="Z310" i="4"/>
  <c r="Y310" i="4"/>
  <c r="X310" i="4"/>
  <c r="W310" i="4"/>
  <c r="V310" i="4"/>
  <c r="U310" i="4"/>
  <c r="P310" i="4"/>
  <c r="O310" i="4"/>
  <c r="N310" i="4"/>
  <c r="M310" i="4"/>
  <c r="L310" i="4"/>
  <c r="K310" i="4"/>
  <c r="J310" i="4"/>
  <c r="I310" i="4"/>
  <c r="H310" i="4"/>
  <c r="G310" i="4"/>
  <c r="F310" i="4"/>
  <c r="AT309" i="4"/>
  <c r="AS309" i="4"/>
  <c r="AR309" i="4"/>
  <c r="AQ309" i="4"/>
  <c r="AP309" i="4"/>
  <c r="AO309" i="4"/>
  <c r="AN309" i="4"/>
  <c r="AM309" i="4"/>
  <c r="AL309" i="4"/>
  <c r="AA309" i="4"/>
  <c r="Z309" i="4"/>
  <c r="Y309" i="4"/>
  <c r="X309" i="4"/>
  <c r="W309" i="4"/>
  <c r="V309" i="4"/>
  <c r="U309" i="4"/>
  <c r="P309" i="4"/>
  <c r="O309" i="4"/>
  <c r="N309" i="4"/>
  <c r="M309" i="4"/>
  <c r="L309" i="4"/>
  <c r="K309" i="4"/>
  <c r="J309" i="4"/>
  <c r="I309" i="4"/>
  <c r="H309" i="4"/>
  <c r="G309" i="4"/>
  <c r="F309" i="4"/>
  <c r="AT308" i="4"/>
  <c r="AS308" i="4"/>
  <c r="AR308" i="4"/>
  <c r="AQ308" i="4"/>
  <c r="AP308" i="4"/>
  <c r="AO308" i="4"/>
  <c r="AN308" i="4"/>
  <c r="AM308" i="4"/>
  <c r="AL308" i="4"/>
  <c r="AA308" i="4"/>
  <c r="Z308" i="4"/>
  <c r="Y308" i="4"/>
  <c r="X308" i="4"/>
  <c r="W308" i="4"/>
  <c r="V308" i="4"/>
  <c r="U308" i="4"/>
  <c r="P308" i="4"/>
  <c r="O308" i="4"/>
  <c r="N308" i="4"/>
  <c r="M308" i="4"/>
  <c r="L308" i="4"/>
  <c r="K308" i="4"/>
  <c r="J308" i="4"/>
  <c r="I308" i="4"/>
  <c r="H308" i="4"/>
  <c r="G308" i="4"/>
  <c r="F308" i="4"/>
  <c r="AT307" i="4"/>
  <c r="AS307" i="4"/>
  <c r="AR307" i="4"/>
  <c r="AQ307" i="4"/>
  <c r="AP307" i="4"/>
  <c r="AO307" i="4"/>
  <c r="AN307" i="4"/>
  <c r="AM307" i="4"/>
  <c r="AL307" i="4"/>
  <c r="AA307" i="4"/>
  <c r="Z307" i="4"/>
  <c r="Y307" i="4"/>
  <c r="X307" i="4"/>
  <c r="W307" i="4"/>
  <c r="V307" i="4"/>
  <c r="U307" i="4"/>
  <c r="P307" i="4"/>
  <c r="O307" i="4"/>
  <c r="N307" i="4"/>
  <c r="M307" i="4"/>
  <c r="L307" i="4"/>
  <c r="K307" i="4"/>
  <c r="J307" i="4"/>
  <c r="I307" i="4"/>
  <c r="H307" i="4"/>
  <c r="G307" i="4"/>
  <c r="F307" i="4"/>
  <c r="AT306" i="4"/>
  <c r="AS306" i="4"/>
  <c r="AR306" i="4"/>
  <c r="AQ306" i="4"/>
  <c r="AP306" i="4"/>
  <c r="AO306" i="4"/>
  <c r="AN306" i="4"/>
  <c r="AM306" i="4"/>
  <c r="AL306" i="4"/>
  <c r="AA306" i="4"/>
  <c r="Z306" i="4"/>
  <c r="Y306" i="4"/>
  <c r="X306" i="4"/>
  <c r="W306" i="4"/>
  <c r="V306" i="4"/>
  <c r="U306" i="4"/>
  <c r="P306" i="4"/>
  <c r="O306" i="4"/>
  <c r="N306" i="4"/>
  <c r="M306" i="4"/>
  <c r="L306" i="4"/>
  <c r="K306" i="4"/>
  <c r="J306" i="4"/>
  <c r="I306" i="4"/>
  <c r="H306" i="4"/>
  <c r="G306" i="4"/>
  <c r="F306" i="4"/>
  <c r="AT305" i="4"/>
  <c r="AS305" i="4"/>
  <c r="AR305" i="4"/>
  <c r="AQ305" i="4"/>
  <c r="AP305" i="4"/>
  <c r="AO305" i="4"/>
  <c r="AN305" i="4"/>
  <c r="AM305" i="4"/>
  <c r="AL305" i="4"/>
  <c r="AA305" i="4"/>
  <c r="Z305" i="4"/>
  <c r="Y305" i="4"/>
  <c r="X305" i="4"/>
  <c r="W305" i="4"/>
  <c r="V305" i="4"/>
  <c r="U305" i="4"/>
  <c r="P305" i="4"/>
  <c r="O305" i="4"/>
  <c r="N305" i="4"/>
  <c r="M305" i="4"/>
  <c r="L305" i="4"/>
  <c r="K305" i="4"/>
  <c r="J305" i="4"/>
  <c r="I305" i="4"/>
  <c r="H305" i="4"/>
  <c r="G305" i="4"/>
  <c r="F305" i="4"/>
  <c r="AT304" i="4"/>
  <c r="AS304" i="4"/>
  <c r="AR304" i="4"/>
  <c r="AQ304" i="4"/>
  <c r="AP304" i="4"/>
  <c r="AO304" i="4"/>
  <c r="AN304" i="4"/>
  <c r="AM304" i="4"/>
  <c r="AL304" i="4"/>
  <c r="AA304" i="4"/>
  <c r="Z304" i="4"/>
  <c r="Y304" i="4"/>
  <c r="X304" i="4"/>
  <c r="W304" i="4"/>
  <c r="V304" i="4"/>
  <c r="U304" i="4"/>
  <c r="P304" i="4"/>
  <c r="O304" i="4"/>
  <c r="N304" i="4"/>
  <c r="M304" i="4"/>
  <c r="L304" i="4"/>
  <c r="K304" i="4"/>
  <c r="J304" i="4"/>
  <c r="I304" i="4"/>
  <c r="H304" i="4"/>
  <c r="G304" i="4"/>
  <c r="F304" i="4"/>
  <c r="AT303" i="4"/>
  <c r="AS303" i="4"/>
  <c r="AR303" i="4"/>
  <c r="AQ303" i="4"/>
  <c r="AP303" i="4"/>
  <c r="AO303" i="4"/>
  <c r="AN303" i="4"/>
  <c r="AM303" i="4"/>
  <c r="AL303" i="4"/>
  <c r="AA303" i="4"/>
  <c r="Z303" i="4"/>
  <c r="Y303" i="4"/>
  <c r="X303" i="4"/>
  <c r="W303" i="4"/>
  <c r="V303" i="4"/>
  <c r="U303" i="4"/>
  <c r="P303" i="4"/>
  <c r="O303" i="4"/>
  <c r="N303" i="4"/>
  <c r="M303" i="4"/>
  <c r="L303" i="4"/>
  <c r="K303" i="4"/>
  <c r="J303" i="4"/>
  <c r="I303" i="4"/>
  <c r="H303" i="4"/>
  <c r="G303" i="4"/>
  <c r="F303" i="4"/>
  <c r="AT302" i="4"/>
  <c r="AS302" i="4"/>
  <c r="AR302" i="4"/>
  <c r="AQ302" i="4"/>
  <c r="AP302" i="4"/>
  <c r="AO302" i="4"/>
  <c r="AN302" i="4"/>
  <c r="AM302" i="4"/>
  <c r="AL302" i="4"/>
  <c r="AA302" i="4"/>
  <c r="Z302" i="4"/>
  <c r="Y302" i="4"/>
  <c r="X302" i="4"/>
  <c r="W302" i="4"/>
  <c r="V302" i="4"/>
  <c r="U302" i="4"/>
  <c r="P302" i="4"/>
  <c r="O302" i="4"/>
  <c r="N302" i="4"/>
  <c r="M302" i="4"/>
  <c r="L302" i="4"/>
  <c r="K302" i="4"/>
  <c r="J302" i="4"/>
  <c r="I302" i="4"/>
  <c r="H302" i="4"/>
  <c r="G302" i="4"/>
  <c r="F302" i="4"/>
  <c r="AT301" i="4"/>
  <c r="AS301" i="4"/>
  <c r="AR301" i="4"/>
  <c r="AQ301" i="4"/>
  <c r="AP301" i="4"/>
  <c r="AO301" i="4"/>
  <c r="AN301" i="4"/>
  <c r="AM301" i="4"/>
  <c r="AL301" i="4"/>
  <c r="AA301" i="4"/>
  <c r="Z301" i="4"/>
  <c r="Y301" i="4"/>
  <c r="X301" i="4"/>
  <c r="P301" i="4"/>
  <c r="O301" i="4"/>
  <c r="N301" i="4"/>
  <c r="M301" i="4"/>
  <c r="L301" i="4"/>
  <c r="K301" i="4"/>
  <c r="J301" i="4"/>
  <c r="I301" i="4"/>
  <c r="H301" i="4"/>
  <c r="G301" i="4"/>
  <c r="F301" i="4"/>
  <c r="AT300" i="4"/>
  <c r="AS300" i="4"/>
  <c r="AR300" i="4"/>
  <c r="AQ300" i="4"/>
  <c r="AP300" i="4"/>
  <c r="AO300" i="4"/>
  <c r="AN300" i="4"/>
  <c r="AM300" i="4"/>
  <c r="AL300" i="4"/>
  <c r="AA300" i="4"/>
  <c r="Z300" i="4"/>
  <c r="Y300" i="4"/>
  <c r="X300" i="4"/>
  <c r="P300" i="4"/>
  <c r="O300" i="4"/>
  <c r="N300" i="4"/>
  <c r="M300" i="4"/>
  <c r="L300" i="4"/>
  <c r="K300" i="4"/>
  <c r="J300" i="4"/>
  <c r="I300" i="4"/>
  <c r="H300" i="4"/>
  <c r="G300" i="4"/>
  <c r="F300" i="4"/>
  <c r="AT299" i="4"/>
  <c r="AS299" i="4"/>
  <c r="AR299" i="4"/>
  <c r="AQ299" i="4"/>
  <c r="AP299" i="4"/>
  <c r="AO299" i="4"/>
  <c r="AN299" i="4"/>
  <c r="AM299" i="4"/>
  <c r="AL299" i="4"/>
  <c r="AA299" i="4"/>
  <c r="Z299" i="4"/>
  <c r="Y299" i="4"/>
  <c r="X299" i="4"/>
  <c r="P299" i="4"/>
  <c r="O299" i="4"/>
  <c r="N299" i="4"/>
  <c r="M299" i="4"/>
  <c r="L299" i="4"/>
  <c r="K299" i="4"/>
  <c r="J299" i="4"/>
  <c r="I299" i="4"/>
  <c r="H299" i="4"/>
  <c r="G299" i="4"/>
  <c r="F299" i="4"/>
  <c r="AT298" i="4"/>
  <c r="AS298" i="4"/>
  <c r="AR298" i="4"/>
  <c r="AQ298" i="4"/>
  <c r="AP298" i="4"/>
  <c r="AO298" i="4"/>
  <c r="AN298" i="4"/>
  <c r="AM298" i="4"/>
  <c r="AL298" i="4"/>
  <c r="AA298" i="4"/>
  <c r="Z298" i="4"/>
  <c r="Y298" i="4"/>
  <c r="X298" i="4"/>
  <c r="P298" i="4"/>
  <c r="O298" i="4"/>
  <c r="N298" i="4"/>
  <c r="M298" i="4"/>
  <c r="L298" i="4"/>
  <c r="K298" i="4"/>
  <c r="J298" i="4"/>
  <c r="I298" i="4"/>
  <c r="H298" i="4"/>
  <c r="G298" i="4"/>
  <c r="F298" i="4"/>
  <c r="AT297" i="4"/>
  <c r="AS297" i="4"/>
  <c r="AR297" i="4"/>
  <c r="AQ297" i="4"/>
  <c r="AP297" i="4"/>
  <c r="AO297" i="4"/>
  <c r="AN297" i="4"/>
  <c r="AM297" i="4"/>
  <c r="AL297" i="4"/>
  <c r="AA297" i="4"/>
  <c r="Z297" i="4"/>
  <c r="Y297" i="4"/>
  <c r="X297" i="4"/>
  <c r="P297" i="4"/>
  <c r="O297" i="4"/>
  <c r="N297" i="4"/>
  <c r="M297" i="4"/>
  <c r="L297" i="4"/>
  <c r="K297" i="4"/>
  <c r="J297" i="4"/>
  <c r="I297" i="4"/>
  <c r="H297" i="4"/>
  <c r="G297" i="4"/>
  <c r="F297" i="4"/>
  <c r="AT296" i="4"/>
  <c r="AS296" i="4"/>
  <c r="AR296" i="4"/>
  <c r="AQ296" i="4"/>
  <c r="AP296" i="4"/>
  <c r="AO296" i="4"/>
  <c r="AN296" i="4"/>
  <c r="AM296" i="4"/>
  <c r="AL296" i="4"/>
  <c r="AA296" i="4"/>
  <c r="Z296" i="4"/>
  <c r="Y296" i="4"/>
  <c r="X296" i="4"/>
  <c r="P296" i="4"/>
  <c r="O296" i="4"/>
  <c r="N296" i="4"/>
  <c r="M296" i="4"/>
  <c r="L296" i="4"/>
  <c r="K296" i="4"/>
  <c r="J296" i="4"/>
  <c r="I296" i="4"/>
  <c r="H296" i="4"/>
  <c r="G296" i="4"/>
  <c r="F296" i="4"/>
  <c r="AT295" i="4"/>
  <c r="AS295" i="4"/>
  <c r="AR295" i="4"/>
  <c r="AQ295" i="4"/>
  <c r="AP295" i="4"/>
  <c r="AO295" i="4"/>
  <c r="AN295" i="4"/>
  <c r="AM295" i="4"/>
  <c r="AL295" i="4"/>
  <c r="AA295" i="4"/>
  <c r="Z295" i="4"/>
  <c r="Y295" i="4"/>
  <c r="X295" i="4"/>
  <c r="P295" i="4"/>
  <c r="O295" i="4"/>
  <c r="N295" i="4"/>
  <c r="M295" i="4"/>
  <c r="L295" i="4"/>
  <c r="K295" i="4"/>
  <c r="J295" i="4"/>
  <c r="I295" i="4"/>
  <c r="H295" i="4"/>
  <c r="G295" i="4"/>
  <c r="F295" i="4"/>
  <c r="AT294" i="4"/>
  <c r="AS294" i="4"/>
  <c r="AR294" i="4"/>
  <c r="AQ294" i="4"/>
  <c r="AP294" i="4"/>
  <c r="AO294" i="4"/>
  <c r="AN294" i="4"/>
  <c r="AM294" i="4"/>
  <c r="AL294" i="4"/>
  <c r="AA294" i="4"/>
  <c r="Z294" i="4"/>
  <c r="Y294" i="4"/>
  <c r="X294" i="4"/>
  <c r="P294" i="4"/>
  <c r="O294" i="4"/>
  <c r="N294" i="4"/>
  <c r="M294" i="4"/>
  <c r="L294" i="4"/>
  <c r="K294" i="4"/>
  <c r="J294" i="4"/>
  <c r="I294" i="4"/>
  <c r="H294" i="4"/>
  <c r="G294" i="4"/>
  <c r="F294" i="4"/>
  <c r="AT293" i="4"/>
  <c r="AS293" i="4"/>
  <c r="AR293" i="4"/>
  <c r="AQ293" i="4"/>
  <c r="AP293" i="4"/>
  <c r="AO293" i="4"/>
  <c r="AN293" i="4"/>
  <c r="AM293" i="4"/>
  <c r="AL293" i="4"/>
  <c r="AA293" i="4"/>
  <c r="Z293" i="4"/>
  <c r="Y293" i="4"/>
  <c r="X293" i="4"/>
  <c r="P293" i="4"/>
  <c r="O293" i="4"/>
  <c r="N293" i="4"/>
  <c r="M293" i="4"/>
  <c r="L293" i="4"/>
  <c r="K293" i="4"/>
  <c r="J293" i="4"/>
  <c r="I293" i="4"/>
  <c r="H293" i="4"/>
  <c r="G293" i="4"/>
  <c r="F293" i="4"/>
  <c r="AT292" i="4"/>
  <c r="AS292" i="4"/>
  <c r="AR292" i="4"/>
  <c r="AQ292" i="4"/>
  <c r="AP292" i="4"/>
  <c r="AO292" i="4"/>
  <c r="AN292" i="4"/>
  <c r="AM292" i="4"/>
  <c r="AL292" i="4"/>
  <c r="AA292" i="4"/>
  <c r="Z292" i="4"/>
  <c r="Y292" i="4"/>
  <c r="X292" i="4"/>
  <c r="P292" i="4"/>
  <c r="O292" i="4"/>
  <c r="N292" i="4"/>
  <c r="M292" i="4"/>
  <c r="L292" i="4"/>
  <c r="K292" i="4"/>
  <c r="J292" i="4"/>
  <c r="I292" i="4"/>
  <c r="H292" i="4"/>
  <c r="G292" i="4"/>
  <c r="F292" i="4"/>
  <c r="AT291" i="4"/>
  <c r="AS291" i="4"/>
  <c r="AR291" i="4"/>
  <c r="AQ291" i="4"/>
  <c r="AP291" i="4"/>
  <c r="AO291" i="4"/>
  <c r="AN291" i="4"/>
  <c r="AM291" i="4"/>
  <c r="AL291" i="4"/>
  <c r="AA291" i="4"/>
  <c r="AB291" i="4" s="1"/>
  <c r="AB292" i="4" s="1"/>
  <c r="AB293" i="4" s="1"/>
  <c r="AB294" i="4" s="1"/>
  <c r="AB295" i="4" s="1"/>
  <c r="AB296" i="4" s="1"/>
  <c r="AB297" i="4" s="1"/>
  <c r="AB298" i="4" s="1"/>
  <c r="AB299" i="4" s="1"/>
  <c r="AB300" i="4" s="1"/>
  <c r="AB301" i="4" s="1"/>
  <c r="AB302" i="4" s="1"/>
  <c r="AB303" i="4" s="1"/>
  <c r="Z291" i="4"/>
  <c r="Y291" i="4"/>
  <c r="X291" i="4"/>
  <c r="P291" i="4"/>
  <c r="O291" i="4"/>
  <c r="N291" i="4"/>
  <c r="M291" i="4"/>
  <c r="L291" i="4"/>
  <c r="K291" i="4"/>
  <c r="J291" i="4"/>
  <c r="I291" i="4"/>
  <c r="H291" i="4"/>
  <c r="G291" i="4"/>
  <c r="F291" i="4"/>
  <c r="AT290" i="4"/>
  <c r="AS290" i="4"/>
  <c r="AR290" i="4"/>
  <c r="AQ290" i="4"/>
  <c r="AP290" i="4"/>
  <c r="AO290" i="4"/>
  <c r="AN290" i="4"/>
  <c r="AM290" i="4"/>
  <c r="AL290" i="4"/>
  <c r="AA290" i="4"/>
  <c r="Z290" i="4"/>
  <c r="Y290" i="4"/>
  <c r="X290" i="4"/>
  <c r="P290" i="4"/>
  <c r="O290" i="4"/>
  <c r="N290" i="4"/>
  <c r="M290" i="4"/>
  <c r="L290" i="4"/>
  <c r="K290" i="4"/>
  <c r="J290" i="4"/>
  <c r="I290" i="4"/>
  <c r="H290" i="4"/>
  <c r="G290" i="4"/>
  <c r="F290" i="4"/>
  <c r="AT289" i="4"/>
  <c r="AS289" i="4"/>
  <c r="AR289" i="4"/>
  <c r="AQ289" i="4"/>
  <c r="AP289" i="4"/>
  <c r="AO289" i="4"/>
  <c r="AN289" i="4"/>
  <c r="AM289" i="4"/>
  <c r="AL289" i="4"/>
  <c r="Z289" i="4"/>
  <c r="Y289" i="4"/>
  <c r="X289" i="4"/>
  <c r="P289" i="4"/>
  <c r="O289" i="4"/>
  <c r="N289" i="4"/>
  <c r="M289" i="4"/>
  <c r="L289" i="4"/>
  <c r="K289" i="4"/>
  <c r="J289" i="4"/>
  <c r="I289" i="4"/>
  <c r="H289" i="4"/>
  <c r="G289" i="4"/>
  <c r="F289" i="4"/>
  <c r="AT288" i="4"/>
  <c r="AS288" i="4"/>
  <c r="AR288" i="4"/>
  <c r="AQ288" i="4"/>
  <c r="AP288" i="4"/>
  <c r="AO288" i="4"/>
  <c r="AN288" i="4"/>
  <c r="AM288" i="4"/>
  <c r="AL288" i="4"/>
  <c r="Z288" i="4"/>
  <c r="Y288" i="4"/>
  <c r="X288" i="4"/>
  <c r="P288" i="4"/>
  <c r="O288" i="4"/>
  <c r="N288" i="4"/>
  <c r="M288" i="4"/>
  <c r="L288" i="4"/>
  <c r="K288" i="4"/>
  <c r="J288" i="4"/>
  <c r="I288" i="4"/>
  <c r="H288" i="4"/>
  <c r="G288" i="4"/>
  <c r="F288" i="4"/>
  <c r="AT287" i="4"/>
  <c r="AS287" i="4"/>
  <c r="AR287" i="4"/>
  <c r="AQ287" i="4"/>
  <c r="AP287" i="4"/>
  <c r="AO287" i="4"/>
  <c r="AN287" i="4"/>
  <c r="AM287" i="4"/>
  <c r="AL287" i="4"/>
  <c r="Z287" i="4"/>
  <c r="Y287" i="4"/>
  <c r="X287" i="4"/>
  <c r="P287" i="4"/>
  <c r="O287" i="4"/>
  <c r="N287" i="4"/>
  <c r="M287" i="4"/>
  <c r="L287" i="4"/>
  <c r="K287" i="4"/>
  <c r="J287" i="4"/>
  <c r="I287" i="4"/>
  <c r="H287" i="4"/>
  <c r="G287" i="4"/>
  <c r="F287" i="4"/>
  <c r="AT286" i="4"/>
  <c r="AS286" i="4"/>
  <c r="AR286" i="4"/>
  <c r="AQ286" i="4"/>
  <c r="AP286" i="4"/>
  <c r="AO286" i="4"/>
  <c r="AN286" i="4"/>
  <c r="AM286" i="4"/>
  <c r="AL286" i="4"/>
  <c r="Z286" i="4"/>
  <c r="Y286" i="4"/>
  <c r="X286" i="4"/>
  <c r="P286" i="4"/>
  <c r="O286" i="4"/>
  <c r="N286" i="4"/>
  <c r="M286" i="4"/>
  <c r="L286" i="4"/>
  <c r="K286" i="4"/>
  <c r="J286" i="4"/>
  <c r="I286" i="4"/>
  <c r="H286" i="4"/>
  <c r="G286" i="4"/>
  <c r="F286" i="4"/>
  <c r="AT285" i="4"/>
  <c r="AS285" i="4"/>
  <c r="AR285" i="4"/>
  <c r="AQ285" i="4"/>
  <c r="AP285" i="4"/>
  <c r="AO285" i="4"/>
  <c r="AN285" i="4"/>
  <c r="AM285" i="4"/>
  <c r="AL285" i="4"/>
  <c r="Z285" i="4"/>
  <c r="Y285" i="4"/>
  <c r="X285" i="4"/>
  <c r="P285" i="4"/>
  <c r="O285" i="4"/>
  <c r="N285" i="4"/>
  <c r="M285" i="4"/>
  <c r="L285" i="4"/>
  <c r="K285" i="4"/>
  <c r="J285" i="4"/>
  <c r="I285" i="4"/>
  <c r="H285" i="4"/>
  <c r="G285" i="4"/>
  <c r="F285" i="4"/>
  <c r="AT284" i="4"/>
  <c r="AS284" i="4"/>
  <c r="AR284" i="4"/>
  <c r="AQ284" i="4"/>
  <c r="AP284" i="4"/>
  <c r="AO284" i="4"/>
  <c r="AN284" i="4"/>
  <c r="AM284" i="4"/>
  <c r="AL284" i="4"/>
  <c r="Z284" i="4"/>
  <c r="Y284" i="4"/>
  <c r="X284" i="4"/>
  <c r="P284" i="4"/>
  <c r="O284" i="4"/>
  <c r="N284" i="4"/>
  <c r="M284" i="4"/>
  <c r="L284" i="4"/>
  <c r="K284" i="4"/>
  <c r="J284" i="4"/>
  <c r="I284" i="4"/>
  <c r="H284" i="4"/>
  <c r="G284" i="4"/>
  <c r="F284" i="4"/>
  <c r="AT283" i="4"/>
  <c r="AS283" i="4"/>
  <c r="AR283" i="4"/>
  <c r="AQ283" i="4"/>
  <c r="AP283" i="4"/>
  <c r="AO283" i="4"/>
  <c r="AN283" i="4"/>
  <c r="AM283" i="4"/>
  <c r="AL283" i="4"/>
  <c r="Z283" i="4"/>
  <c r="Y283" i="4"/>
  <c r="X283" i="4"/>
  <c r="P283" i="4"/>
  <c r="O283" i="4"/>
  <c r="N283" i="4"/>
  <c r="M283" i="4"/>
  <c r="L283" i="4"/>
  <c r="K283" i="4"/>
  <c r="J283" i="4"/>
  <c r="I283" i="4"/>
  <c r="H283" i="4"/>
  <c r="G283" i="4"/>
  <c r="F283" i="4"/>
  <c r="AT282" i="4"/>
  <c r="AS282" i="4"/>
  <c r="AR282" i="4"/>
  <c r="AQ282" i="4"/>
  <c r="AP282" i="4"/>
  <c r="AO282" i="4"/>
  <c r="AN282" i="4"/>
  <c r="AM282" i="4"/>
  <c r="AL282" i="4"/>
  <c r="Z282" i="4"/>
  <c r="Y282" i="4"/>
  <c r="X282" i="4"/>
  <c r="P282" i="4"/>
  <c r="O282" i="4"/>
  <c r="N282" i="4"/>
  <c r="M282" i="4"/>
  <c r="L282" i="4"/>
  <c r="K282" i="4"/>
  <c r="J282" i="4"/>
  <c r="I282" i="4"/>
  <c r="H282" i="4"/>
  <c r="G282" i="4"/>
  <c r="F282" i="4"/>
  <c r="AT281" i="4"/>
  <c r="AS281" i="4"/>
  <c r="AR281" i="4"/>
  <c r="AQ281" i="4"/>
  <c r="AP281" i="4"/>
  <c r="AO281" i="4"/>
  <c r="AN281" i="4"/>
  <c r="AM281" i="4"/>
  <c r="AL281" i="4"/>
  <c r="Z281" i="4"/>
  <c r="Y281" i="4"/>
  <c r="X281" i="4"/>
  <c r="P281" i="4"/>
  <c r="O281" i="4"/>
  <c r="N281" i="4"/>
  <c r="M281" i="4"/>
  <c r="L281" i="4"/>
  <c r="K281" i="4"/>
  <c r="J281" i="4"/>
  <c r="I281" i="4"/>
  <c r="H281" i="4"/>
  <c r="G281" i="4"/>
  <c r="F281" i="4"/>
  <c r="AT280" i="4"/>
  <c r="AS280" i="4"/>
  <c r="AR280" i="4"/>
  <c r="AQ280" i="4"/>
  <c r="AP280" i="4"/>
  <c r="AO280" i="4"/>
  <c r="AN280" i="4"/>
  <c r="AM280" i="4"/>
  <c r="AL280" i="4"/>
  <c r="Z280" i="4"/>
  <c r="Y280" i="4"/>
  <c r="X280" i="4"/>
  <c r="P280" i="4"/>
  <c r="O280" i="4"/>
  <c r="N280" i="4"/>
  <c r="M280" i="4"/>
  <c r="L280" i="4"/>
  <c r="K280" i="4"/>
  <c r="J280" i="4"/>
  <c r="I280" i="4"/>
  <c r="H280" i="4"/>
  <c r="G280" i="4"/>
  <c r="F280" i="4"/>
  <c r="AT279" i="4"/>
  <c r="AS279" i="4"/>
  <c r="AR279" i="4"/>
  <c r="AQ279" i="4"/>
  <c r="AP279" i="4"/>
  <c r="AO279" i="4"/>
  <c r="AN279" i="4"/>
  <c r="AM279" i="4"/>
  <c r="AL279" i="4"/>
  <c r="Z279" i="4"/>
  <c r="Y279" i="4"/>
  <c r="X279" i="4"/>
  <c r="P279" i="4"/>
  <c r="O279" i="4"/>
  <c r="N279" i="4"/>
  <c r="M279" i="4"/>
  <c r="L279" i="4"/>
  <c r="K279" i="4"/>
  <c r="J279" i="4"/>
  <c r="I279" i="4"/>
  <c r="H279" i="4"/>
  <c r="G279" i="4"/>
  <c r="F279" i="4"/>
  <c r="AT278" i="4"/>
  <c r="AS278" i="4"/>
  <c r="AR278" i="4"/>
  <c r="AQ278" i="4"/>
  <c r="AP278" i="4"/>
  <c r="AO278" i="4"/>
  <c r="AN278" i="4"/>
  <c r="AM278" i="4"/>
  <c r="AL278" i="4"/>
  <c r="Z278" i="4"/>
  <c r="Y278" i="4"/>
  <c r="X278" i="4"/>
  <c r="P278" i="4"/>
  <c r="O278" i="4"/>
  <c r="N278" i="4"/>
  <c r="M278" i="4"/>
  <c r="L278" i="4"/>
  <c r="K278" i="4"/>
  <c r="J278" i="4"/>
  <c r="I278" i="4"/>
  <c r="H278" i="4"/>
  <c r="G278" i="4"/>
  <c r="F278" i="4"/>
  <c r="AT277" i="4"/>
  <c r="AS277" i="4"/>
  <c r="AR277" i="4"/>
  <c r="AQ277" i="4"/>
  <c r="AP277" i="4"/>
  <c r="AO277" i="4"/>
  <c r="AN277" i="4"/>
  <c r="AM277" i="4"/>
  <c r="AL277" i="4"/>
  <c r="Z277" i="4"/>
  <c r="Y277" i="4"/>
  <c r="X277" i="4"/>
  <c r="P277" i="4"/>
  <c r="O277" i="4"/>
  <c r="N277" i="4"/>
  <c r="M277" i="4"/>
  <c r="L277" i="4"/>
  <c r="K277" i="4"/>
  <c r="J277" i="4"/>
  <c r="I277" i="4"/>
  <c r="H277" i="4"/>
  <c r="G277" i="4"/>
  <c r="F277" i="4"/>
  <c r="AT276" i="4"/>
  <c r="AS276" i="4"/>
  <c r="AR276" i="4"/>
  <c r="AQ276" i="4"/>
  <c r="AP276" i="4"/>
  <c r="AO276" i="4"/>
  <c r="AN276" i="4"/>
  <c r="AM276" i="4"/>
  <c r="AL276" i="4"/>
  <c r="Z276" i="4"/>
  <c r="Y276" i="4"/>
  <c r="X276" i="4"/>
  <c r="P276" i="4"/>
  <c r="O276" i="4"/>
  <c r="N276" i="4"/>
  <c r="M276" i="4"/>
  <c r="L276" i="4"/>
  <c r="K276" i="4"/>
  <c r="J276" i="4"/>
  <c r="I276" i="4"/>
  <c r="H276" i="4"/>
  <c r="G276" i="4"/>
  <c r="F276" i="4"/>
  <c r="AT275" i="4"/>
  <c r="AS275" i="4"/>
  <c r="AR275" i="4"/>
  <c r="AQ275" i="4"/>
  <c r="AP275" i="4"/>
  <c r="AO275" i="4"/>
  <c r="AN275" i="4"/>
  <c r="AM275" i="4"/>
  <c r="AL275" i="4"/>
  <c r="Z275" i="4"/>
  <c r="Y275" i="4"/>
  <c r="X275" i="4"/>
  <c r="P275" i="4"/>
  <c r="O275" i="4"/>
  <c r="N275" i="4"/>
  <c r="M275" i="4"/>
  <c r="L275" i="4"/>
  <c r="K275" i="4"/>
  <c r="J275" i="4"/>
  <c r="I275" i="4"/>
  <c r="H275" i="4"/>
  <c r="G275" i="4"/>
  <c r="F275" i="4"/>
  <c r="AT274" i="4"/>
  <c r="AS274" i="4"/>
  <c r="AR274" i="4"/>
  <c r="AQ274" i="4"/>
  <c r="AP274" i="4"/>
  <c r="AO274" i="4"/>
  <c r="AN274" i="4"/>
  <c r="AM274" i="4"/>
  <c r="AL274" i="4"/>
  <c r="Z274" i="4"/>
  <c r="Y274" i="4"/>
  <c r="X274" i="4"/>
  <c r="P274" i="4"/>
  <c r="O274" i="4"/>
  <c r="N274" i="4"/>
  <c r="M274" i="4"/>
  <c r="L274" i="4"/>
  <c r="K274" i="4"/>
  <c r="J274" i="4"/>
  <c r="I274" i="4"/>
  <c r="H274" i="4"/>
  <c r="G274" i="4"/>
  <c r="F274" i="4"/>
  <c r="AT273" i="4"/>
  <c r="AS273" i="4"/>
  <c r="AR273" i="4"/>
  <c r="AQ273" i="4"/>
  <c r="AP273" i="4"/>
  <c r="AO273" i="4"/>
  <c r="AN273" i="4"/>
  <c r="AM273" i="4"/>
  <c r="AL273" i="4"/>
  <c r="Z273" i="4"/>
  <c r="Y273" i="4"/>
  <c r="X273" i="4"/>
  <c r="P273" i="4"/>
  <c r="O273" i="4"/>
  <c r="N273" i="4"/>
  <c r="M273" i="4"/>
  <c r="L273" i="4"/>
  <c r="K273" i="4"/>
  <c r="J273" i="4"/>
  <c r="I273" i="4"/>
  <c r="H273" i="4"/>
  <c r="G273" i="4"/>
  <c r="F273" i="4"/>
  <c r="AT272" i="4"/>
  <c r="AS272" i="4"/>
  <c r="AR272" i="4"/>
  <c r="AQ272" i="4"/>
  <c r="AP272" i="4"/>
  <c r="AO272" i="4"/>
  <c r="AN272" i="4"/>
  <c r="AM272" i="4"/>
  <c r="AL272" i="4"/>
  <c r="Z272" i="4"/>
  <c r="Y272" i="4"/>
  <c r="X272" i="4"/>
  <c r="P272" i="4"/>
  <c r="O272" i="4"/>
  <c r="N272" i="4"/>
  <c r="M272" i="4"/>
  <c r="L272" i="4"/>
  <c r="K272" i="4"/>
  <c r="J272" i="4"/>
  <c r="I272" i="4"/>
  <c r="H272" i="4"/>
  <c r="G272" i="4"/>
  <c r="F272" i="4"/>
  <c r="AT271" i="4"/>
  <c r="AS271" i="4"/>
  <c r="AR271" i="4"/>
  <c r="AQ271" i="4"/>
  <c r="AP271" i="4"/>
  <c r="AO271" i="4"/>
  <c r="AN271" i="4"/>
  <c r="AM271" i="4"/>
  <c r="AL271" i="4"/>
  <c r="Z271" i="4"/>
  <c r="Y271" i="4"/>
  <c r="X271" i="4"/>
  <c r="P271" i="4"/>
  <c r="O271" i="4"/>
  <c r="N271" i="4"/>
  <c r="M271" i="4"/>
  <c r="L271" i="4"/>
  <c r="K271" i="4"/>
  <c r="J271" i="4"/>
  <c r="I271" i="4"/>
  <c r="H271" i="4"/>
  <c r="G271" i="4"/>
  <c r="F271" i="4"/>
  <c r="AT270" i="4"/>
  <c r="AS270" i="4"/>
  <c r="AR270" i="4"/>
  <c r="AQ270" i="4"/>
  <c r="AP270" i="4"/>
  <c r="AO270" i="4"/>
  <c r="AN270" i="4"/>
  <c r="AM270" i="4"/>
  <c r="AL270" i="4"/>
  <c r="Z270" i="4"/>
  <c r="Y270" i="4"/>
  <c r="X270" i="4"/>
  <c r="P270" i="4"/>
  <c r="O270" i="4"/>
  <c r="N270" i="4"/>
  <c r="M270" i="4"/>
  <c r="L270" i="4"/>
  <c r="K270" i="4"/>
  <c r="J270" i="4"/>
  <c r="I270" i="4"/>
  <c r="H270" i="4"/>
  <c r="G270" i="4"/>
  <c r="F270" i="4"/>
  <c r="AT269" i="4"/>
  <c r="AS269" i="4"/>
  <c r="AR269" i="4"/>
  <c r="AQ269" i="4"/>
  <c r="AP269" i="4"/>
  <c r="AO269" i="4"/>
  <c r="AN269" i="4"/>
  <c r="AM269" i="4"/>
  <c r="AL269" i="4"/>
  <c r="Z269" i="4"/>
  <c r="Y269" i="4"/>
  <c r="X269" i="4"/>
  <c r="P269" i="4"/>
  <c r="O269" i="4"/>
  <c r="N269" i="4"/>
  <c r="M269" i="4"/>
  <c r="L269" i="4"/>
  <c r="K269" i="4"/>
  <c r="J269" i="4"/>
  <c r="I269" i="4"/>
  <c r="H269" i="4"/>
  <c r="G269" i="4"/>
  <c r="F269" i="4"/>
  <c r="AT268" i="4"/>
  <c r="AS268" i="4"/>
  <c r="AR268" i="4"/>
  <c r="AQ268" i="4"/>
  <c r="AP268" i="4"/>
  <c r="AO268" i="4"/>
  <c r="AN268" i="4"/>
  <c r="AM268" i="4"/>
  <c r="AL268" i="4"/>
  <c r="Z268" i="4"/>
  <c r="Y268" i="4"/>
  <c r="X268" i="4"/>
  <c r="P268" i="4"/>
  <c r="O268" i="4"/>
  <c r="N268" i="4"/>
  <c r="M268" i="4"/>
  <c r="L268" i="4"/>
  <c r="K268" i="4"/>
  <c r="J268" i="4"/>
  <c r="I268" i="4"/>
  <c r="H268" i="4"/>
  <c r="G268" i="4"/>
  <c r="F268" i="4"/>
  <c r="AT267" i="4"/>
  <c r="AS267" i="4"/>
  <c r="AR267" i="4"/>
  <c r="AQ267" i="4"/>
  <c r="AP267" i="4"/>
  <c r="AO267" i="4"/>
  <c r="AN267" i="4"/>
  <c r="AM267" i="4"/>
  <c r="AL267" i="4"/>
  <c r="Z267" i="4"/>
  <c r="Y267" i="4"/>
  <c r="X267" i="4"/>
  <c r="P267" i="4"/>
  <c r="O267" i="4"/>
  <c r="N267" i="4"/>
  <c r="M267" i="4"/>
  <c r="L267" i="4"/>
  <c r="K267" i="4"/>
  <c r="J267" i="4"/>
  <c r="I267" i="4"/>
  <c r="H267" i="4"/>
  <c r="G267" i="4"/>
  <c r="F267" i="4"/>
  <c r="AT266" i="4"/>
  <c r="AS266" i="4"/>
  <c r="AR266" i="4"/>
  <c r="AQ266" i="4"/>
  <c r="AP266" i="4"/>
  <c r="AO266" i="4"/>
  <c r="AN266" i="4"/>
  <c r="AM266" i="4"/>
  <c r="AL266" i="4"/>
  <c r="Z266" i="4"/>
  <c r="Y266" i="4"/>
  <c r="X266" i="4"/>
  <c r="P266" i="4"/>
  <c r="O266" i="4"/>
  <c r="N266" i="4"/>
  <c r="M266" i="4"/>
  <c r="L266" i="4"/>
  <c r="K266" i="4"/>
  <c r="J266" i="4"/>
  <c r="I266" i="4"/>
  <c r="H266" i="4"/>
  <c r="G266" i="4"/>
  <c r="F266" i="4"/>
  <c r="AT265" i="4"/>
  <c r="AS265" i="4"/>
  <c r="AR265" i="4"/>
  <c r="AQ265" i="4"/>
  <c r="AP265" i="4"/>
  <c r="AO265" i="4"/>
  <c r="AN265" i="4"/>
  <c r="AM265" i="4"/>
  <c r="AL265" i="4"/>
  <c r="Z265" i="4"/>
  <c r="Y265" i="4"/>
  <c r="X265" i="4"/>
  <c r="P265" i="4"/>
  <c r="O265" i="4"/>
  <c r="N265" i="4"/>
  <c r="M265" i="4"/>
  <c r="L265" i="4"/>
  <c r="K265" i="4"/>
  <c r="J265" i="4"/>
  <c r="I265" i="4"/>
  <c r="H265" i="4"/>
  <c r="G265" i="4"/>
  <c r="F265" i="4"/>
  <c r="AT264" i="4"/>
  <c r="AS264" i="4"/>
  <c r="AR264" i="4"/>
  <c r="AQ264" i="4"/>
  <c r="AP264" i="4"/>
  <c r="AO264" i="4"/>
  <c r="AN264" i="4"/>
  <c r="AM264" i="4"/>
  <c r="AL264" i="4"/>
  <c r="Z264" i="4"/>
  <c r="Y264" i="4"/>
  <c r="X264" i="4"/>
  <c r="P264" i="4"/>
  <c r="O264" i="4"/>
  <c r="N264" i="4"/>
  <c r="M264" i="4"/>
  <c r="L264" i="4"/>
  <c r="K264" i="4"/>
  <c r="J264" i="4"/>
  <c r="I264" i="4"/>
  <c r="H264" i="4"/>
  <c r="G264" i="4"/>
  <c r="F264" i="4"/>
  <c r="AT263" i="4"/>
  <c r="AS263" i="4"/>
  <c r="AR263" i="4"/>
  <c r="AQ263" i="4"/>
  <c r="AP263" i="4"/>
  <c r="AO263" i="4"/>
  <c r="AN263" i="4"/>
  <c r="AM263" i="4"/>
  <c r="AL263" i="4"/>
  <c r="Z263" i="4"/>
  <c r="Y263" i="4"/>
  <c r="X263" i="4"/>
  <c r="P263" i="4"/>
  <c r="O263" i="4"/>
  <c r="N263" i="4"/>
  <c r="M263" i="4"/>
  <c r="L263" i="4"/>
  <c r="K263" i="4"/>
  <c r="J263" i="4"/>
  <c r="I263" i="4"/>
  <c r="H263" i="4"/>
  <c r="G263" i="4"/>
  <c r="F263" i="4"/>
  <c r="AT262" i="4"/>
  <c r="AS262" i="4"/>
  <c r="AR262" i="4"/>
  <c r="AQ262" i="4"/>
  <c r="AP262" i="4"/>
  <c r="AO262" i="4"/>
  <c r="AN262" i="4"/>
  <c r="AM262" i="4"/>
  <c r="AL262" i="4"/>
  <c r="Z262" i="4"/>
  <c r="Y262" i="4"/>
  <c r="X262" i="4"/>
  <c r="P262" i="4"/>
  <c r="O262" i="4"/>
  <c r="N262" i="4"/>
  <c r="M262" i="4"/>
  <c r="L262" i="4"/>
  <c r="K262" i="4"/>
  <c r="J262" i="4"/>
  <c r="I262" i="4"/>
  <c r="H262" i="4"/>
  <c r="G262" i="4"/>
  <c r="F262" i="4"/>
  <c r="AT261" i="4"/>
  <c r="AS261" i="4"/>
  <c r="AR261" i="4"/>
  <c r="AQ261" i="4"/>
  <c r="AP261" i="4"/>
  <c r="AO261" i="4"/>
  <c r="AN261" i="4"/>
  <c r="AM261" i="4"/>
  <c r="AL261" i="4"/>
  <c r="Z261" i="4"/>
  <c r="Y261" i="4"/>
  <c r="X261" i="4"/>
  <c r="P261" i="4"/>
  <c r="O261" i="4"/>
  <c r="N261" i="4"/>
  <c r="M261" i="4"/>
  <c r="L261" i="4"/>
  <c r="K261" i="4"/>
  <c r="J261" i="4"/>
  <c r="I261" i="4"/>
  <c r="H261" i="4"/>
  <c r="G261" i="4"/>
  <c r="F261" i="4"/>
  <c r="AT260" i="4"/>
  <c r="AS260" i="4"/>
  <c r="AR260" i="4"/>
  <c r="AQ260" i="4"/>
  <c r="AP260" i="4"/>
  <c r="AO260" i="4"/>
  <c r="AN260" i="4"/>
  <c r="AM260" i="4"/>
  <c r="AL260" i="4"/>
  <c r="Z260" i="4"/>
  <c r="Y260" i="4"/>
  <c r="X260" i="4"/>
  <c r="P260" i="4"/>
  <c r="O260" i="4"/>
  <c r="N260" i="4"/>
  <c r="M260" i="4"/>
  <c r="L260" i="4"/>
  <c r="K260" i="4"/>
  <c r="J260" i="4"/>
  <c r="I260" i="4"/>
  <c r="H260" i="4"/>
  <c r="G260" i="4"/>
  <c r="F260" i="4"/>
  <c r="AT259" i="4"/>
  <c r="AS259" i="4"/>
  <c r="AR259" i="4"/>
  <c r="AQ259" i="4"/>
  <c r="AP259" i="4"/>
  <c r="AO259" i="4"/>
  <c r="AN259" i="4"/>
  <c r="AM259" i="4"/>
  <c r="AL259" i="4"/>
  <c r="Z259" i="4"/>
  <c r="Y259" i="4"/>
  <c r="X259" i="4"/>
  <c r="P259" i="4"/>
  <c r="O259" i="4"/>
  <c r="N259" i="4"/>
  <c r="M259" i="4"/>
  <c r="L259" i="4"/>
  <c r="K259" i="4"/>
  <c r="J259" i="4"/>
  <c r="I259" i="4"/>
  <c r="H259" i="4"/>
  <c r="G259" i="4"/>
  <c r="F259" i="4"/>
  <c r="AT258" i="4"/>
  <c r="AS258" i="4"/>
  <c r="AR258" i="4"/>
  <c r="AQ258" i="4"/>
  <c r="AP258" i="4"/>
  <c r="AO258" i="4"/>
  <c r="AN258" i="4"/>
  <c r="AM258" i="4"/>
  <c r="AL258" i="4"/>
  <c r="Z258" i="4"/>
  <c r="Y258" i="4"/>
  <c r="X258" i="4"/>
  <c r="P258" i="4"/>
  <c r="O258" i="4"/>
  <c r="N258" i="4"/>
  <c r="M258" i="4"/>
  <c r="L258" i="4"/>
  <c r="K258" i="4"/>
  <c r="J258" i="4"/>
  <c r="I258" i="4"/>
  <c r="H258" i="4"/>
  <c r="G258" i="4"/>
  <c r="F258" i="4"/>
  <c r="AT257" i="4"/>
  <c r="AS257" i="4"/>
  <c r="AR257" i="4"/>
  <c r="AQ257" i="4"/>
  <c r="AP257" i="4"/>
  <c r="AO257" i="4"/>
  <c r="AN257" i="4"/>
  <c r="AM257" i="4"/>
  <c r="AL257" i="4"/>
  <c r="Z257" i="4"/>
  <c r="Y257" i="4"/>
  <c r="X257" i="4"/>
  <c r="P257" i="4"/>
  <c r="O257" i="4"/>
  <c r="N257" i="4"/>
  <c r="M257" i="4"/>
  <c r="L257" i="4"/>
  <c r="K257" i="4"/>
  <c r="J257" i="4"/>
  <c r="I257" i="4"/>
  <c r="H257" i="4"/>
  <c r="G257" i="4"/>
  <c r="F257" i="4"/>
  <c r="AT256" i="4"/>
  <c r="AS256" i="4"/>
  <c r="AR256" i="4"/>
  <c r="AQ256" i="4"/>
  <c r="AP256" i="4"/>
  <c r="AO256" i="4"/>
  <c r="AN256" i="4"/>
  <c r="AM256" i="4"/>
  <c r="AL256" i="4"/>
  <c r="Z256" i="4"/>
  <c r="Y256" i="4"/>
  <c r="X256" i="4"/>
  <c r="P256" i="4"/>
  <c r="O256" i="4"/>
  <c r="N256" i="4"/>
  <c r="M256" i="4"/>
  <c r="L256" i="4"/>
  <c r="K256" i="4"/>
  <c r="J256" i="4"/>
  <c r="I256" i="4"/>
  <c r="H256" i="4"/>
  <c r="G256" i="4"/>
  <c r="F256" i="4"/>
  <c r="AT255" i="4"/>
  <c r="AS255" i="4"/>
  <c r="AR255" i="4"/>
  <c r="AQ255" i="4"/>
  <c r="AP255" i="4"/>
  <c r="AO255" i="4"/>
  <c r="AN255" i="4"/>
  <c r="AM255" i="4"/>
  <c r="AL255" i="4"/>
  <c r="Z255" i="4"/>
  <c r="Y255" i="4"/>
  <c r="X255" i="4"/>
  <c r="P255" i="4"/>
  <c r="O255" i="4"/>
  <c r="N255" i="4"/>
  <c r="M255" i="4"/>
  <c r="L255" i="4"/>
  <c r="K255" i="4"/>
  <c r="J255" i="4"/>
  <c r="I255" i="4"/>
  <c r="H255" i="4"/>
  <c r="G255" i="4"/>
  <c r="F255" i="4"/>
  <c r="AT254" i="4"/>
  <c r="AS254" i="4"/>
  <c r="AR254" i="4"/>
  <c r="AQ254" i="4"/>
  <c r="AP254" i="4"/>
  <c r="AO254" i="4"/>
  <c r="AN254" i="4"/>
  <c r="AM254" i="4"/>
  <c r="AL254" i="4"/>
  <c r="Z254" i="4"/>
  <c r="Y254" i="4"/>
  <c r="X254" i="4"/>
  <c r="P254" i="4"/>
  <c r="O254" i="4"/>
  <c r="N254" i="4"/>
  <c r="M254" i="4"/>
  <c r="L254" i="4"/>
  <c r="K254" i="4"/>
  <c r="J254" i="4"/>
  <c r="I254" i="4"/>
  <c r="H254" i="4"/>
  <c r="G254" i="4"/>
  <c r="F254" i="4"/>
  <c r="AT253" i="4"/>
  <c r="AS253" i="4"/>
  <c r="AR253" i="4"/>
  <c r="AQ253" i="4"/>
  <c r="AP253" i="4"/>
  <c r="AO253" i="4"/>
  <c r="AN253" i="4"/>
  <c r="AM253" i="4"/>
  <c r="AL253" i="4"/>
  <c r="Z253" i="4"/>
  <c r="Y253" i="4"/>
  <c r="X253" i="4"/>
  <c r="P253" i="4"/>
  <c r="O253" i="4"/>
  <c r="N253" i="4"/>
  <c r="M253" i="4"/>
  <c r="L253" i="4"/>
  <c r="K253" i="4"/>
  <c r="J253" i="4"/>
  <c r="I253" i="4"/>
  <c r="H253" i="4"/>
  <c r="G253" i="4"/>
  <c r="F253" i="4"/>
  <c r="AT252" i="4"/>
  <c r="AS252" i="4"/>
  <c r="AR252" i="4"/>
  <c r="AQ252" i="4"/>
  <c r="AP252" i="4"/>
  <c r="AO252" i="4"/>
  <c r="AN252" i="4"/>
  <c r="AM252" i="4"/>
  <c r="AL252" i="4"/>
  <c r="Z252" i="4"/>
  <c r="Y252" i="4"/>
  <c r="X252" i="4"/>
  <c r="P252" i="4"/>
  <c r="O252" i="4"/>
  <c r="N252" i="4"/>
  <c r="M252" i="4"/>
  <c r="L252" i="4"/>
  <c r="K252" i="4"/>
  <c r="J252" i="4"/>
  <c r="I252" i="4"/>
  <c r="H252" i="4"/>
  <c r="G252" i="4"/>
  <c r="F252" i="4"/>
  <c r="AT251" i="4"/>
  <c r="AS251" i="4"/>
  <c r="AR251" i="4"/>
  <c r="AQ251" i="4"/>
  <c r="AP251" i="4"/>
  <c r="AO251" i="4"/>
  <c r="AN251" i="4"/>
  <c r="AM251" i="4"/>
  <c r="AL251" i="4"/>
  <c r="Z251" i="4"/>
  <c r="Y251" i="4"/>
  <c r="X251" i="4"/>
  <c r="P251" i="4"/>
  <c r="O251" i="4"/>
  <c r="N251" i="4"/>
  <c r="M251" i="4"/>
  <c r="L251" i="4"/>
  <c r="K251" i="4"/>
  <c r="J251" i="4"/>
  <c r="I251" i="4"/>
  <c r="H251" i="4"/>
  <c r="G251" i="4"/>
  <c r="F251" i="4"/>
  <c r="AT250" i="4"/>
  <c r="AS250" i="4"/>
  <c r="AR250" i="4"/>
  <c r="AQ250" i="4"/>
  <c r="AP250" i="4"/>
  <c r="AO250" i="4"/>
  <c r="AN250" i="4"/>
  <c r="AM250" i="4"/>
  <c r="AL250" i="4"/>
  <c r="Z250" i="4"/>
  <c r="Y250" i="4"/>
  <c r="X250" i="4"/>
  <c r="P250" i="4"/>
  <c r="O250" i="4"/>
  <c r="N250" i="4"/>
  <c r="M250" i="4"/>
  <c r="L250" i="4"/>
  <c r="K250" i="4"/>
  <c r="J250" i="4"/>
  <c r="I250" i="4"/>
  <c r="H250" i="4"/>
  <c r="G250" i="4"/>
  <c r="F250" i="4"/>
  <c r="AT249" i="4"/>
  <c r="AS249" i="4"/>
  <c r="AR249" i="4"/>
  <c r="AQ249" i="4"/>
  <c r="AP249" i="4"/>
  <c r="AO249" i="4"/>
  <c r="AN249" i="4"/>
  <c r="AM249" i="4"/>
  <c r="AL249" i="4"/>
  <c r="Z249" i="4"/>
  <c r="Y249" i="4"/>
  <c r="X249" i="4"/>
  <c r="P249" i="4"/>
  <c r="O249" i="4"/>
  <c r="N249" i="4"/>
  <c r="M249" i="4"/>
  <c r="L249" i="4"/>
  <c r="K249" i="4"/>
  <c r="J249" i="4"/>
  <c r="I249" i="4"/>
  <c r="H249" i="4"/>
  <c r="G249" i="4"/>
  <c r="F249" i="4"/>
  <c r="AT248" i="4"/>
  <c r="AS248" i="4"/>
  <c r="AR248" i="4"/>
  <c r="AQ248" i="4"/>
  <c r="AP248" i="4"/>
  <c r="AO248" i="4"/>
  <c r="AN248" i="4"/>
  <c r="AM248" i="4"/>
  <c r="AL248" i="4"/>
  <c r="Z248" i="4"/>
  <c r="Y248" i="4"/>
  <c r="X248" i="4"/>
  <c r="P248" i="4"/>
  <c r="O248" i="4"/>
  <c r="N248" i="4"/>
  <c r="M248" i="4"/>
  <c r="L248" i="4"/>
  <c r="K248" i="4"/>
  <c r="J248" i="4"/>
  <c r="I248" i="4"/>
  <c r="H248" i="4"/>
  <c r="G248" i="4"/>
  <c r="F248" i="4"/>
  <c r="AT247" i="4"/>
  <c r="AS247" i="4"/>
  <c r="AR247" i="4"/>
  <c r="AQ247" i="4"/>
  <c r="AP247" i="4"/>
  <c r="AO247" i="4"/>
  <c r="AN247" i="4"/>
  <c r="AM247" i="4"/>
  <c r="AL247" i="4"/>
  <c r="Z247" i="4"/>
  <c r="Y247" i="4"/>
  <c r="X247" i="4"/>
  <c r="P247" i="4"/>
  <c r="O247" i="4"/>
  <c r="N247" i="4"/>
  <c r="M247" i="4"/>
  <c r="L247" i="4"/>
  <c r="K247" i="4"/>
  <c r="J247" i="4"/>
  <c r="I247" i="4"/>
  <c r="H247" i="4"/>
  <c r="G247" i="4"/>
  <c r="F247" i="4"/>
  <c r="AT246" i="4"/>
  <c r="AS246" i="4"/>
  <c r="AR246" i="4"/>
  <c r="AQ246" i="4"/>
  <c r="AP246" i="4"/>
  <c r="AO246" i="4"/>
  <c r="AN246" i="4"/>
  <c r="AM246" i="4"/>
  <c r="AL246" i="4"/>
  <c r="Z246" i="4"/>
  <c r="Y246" i="4"/>
  <c r="X246" i="4"/>
  <c r="P246" i="4"/>
  <c r="O246" i="4"/>
  <c r="N246" i="4"/>
  <c r="M246" i="4"/>
  <c r="L246" i="4"/>
  <c r="K246" i="4"/>
  <c r="J246" i="4"/>
  <c r="I246" i="4"/>
  <c r="H246" i="4"/>
  <c r="G246" i="4"/>
  <c r="F246" i="4"/>
  <c r="AT245" i="4"/>
  <c r="AS245" i="4"/>
  <c r="AR245" i="4"/>
  <c r="AQ245" i="4"/>
  <c r="AP245" i="4"/>
  <c r="AO245" i="4"/>
  <c r="AN245" i="4"/>
  <c r="AM245" i="4"/>
  <c r="AL245" i="4"/>
  <c r="Z245" i="4"/>
  <c r="Y245" i="4"/>
  <c r="X245" i="4"/>
  <c r="P245" i="4"/>
  <c r="O245" i="4"/>
  <c r="N245" i="4"/>
  <c r="M245" i="4"/>
  <c r="L245" i="4"/>
  <c r="K245" i="4"/>
  <c r="J245" i="4"/>
  <c r="I245" i="4"/>
  <c r="H245" i="4"/>
  <c r="G245" i="4"/>
  <c r="F245" i="4"/>
  <c r="AT244" i="4"/>
  <c r="AS244" i="4"/>
  <c r="AR244" i="4"/>
  <c r="AQ244" i="4"/>
  <c r="AP244" i="4"/>
  <c r="AO244" i="4"/>
  <c r="AN244" i="4"/>
  <c r="AM244" i="4"/>
  <c r="AL244" i="4"/>
  <c r="Z244" i="4"/>
  <c r="Y244" i="4"/>
  <c r="X244" i="4"/>
  <c r="P244" i="4"/>
  <c r="O244" i="4"/>
  <c r="N244" i="4"/>
  <c r="M244" i="4"/>
  <c r="L244" i="4"/>
  <c r="K244" i="4"/>
  <c r="J244" i="4"/>
  <c r="I244" i="4"/>
  <c r="H244" i="4"/>
  <c r="G244" i="4"/>
  <c r="F244" i="4"/>
  <c r="AT243" i="4"/>
  <c r="AS243" i="4"/>
  <c r="AR243" i="4"/>
  <c r="AQ243" i="4"/>
  <c r="AP243" i="4"/>
  <c r="AO243" i="4"/>
  <c r="AN243" i="4"/>
  <c r="AM243" i="4"/>
  <c r="AL243" i="4"/>
  <c r="Z243" i="4"/>
  <c r="Y243" i="4"/>
  <c r="X243" i="4"/>
  <c r="P243" i="4"/>
  <c r="O243" i="4"/>
  <c r="N243" i="4"/>
  <c r="M243" i="4"/>
  <c r="L243" i="4"/>
  <c r="K243" i="4"/>
  <c r="J243" i="4"/>
  <c r="I243" i="4"/>
  <c r="H243" i="4"/>
  <c r="G243" i="4"/>
  <c r="F243" i="4"/>
  <c r="AT242" i="4"/>
  <c r="AS242" i="4"/>
  <c r="AR242" i="4"/>
  <c r="AQ242" i="4"/>
  <c r="AP242" i="4"/>
  <c r="AO242" i="4"/>
  <c r="AN242" i="4"/>
  <c r="AM242" i="4"/>
  <c r="AL242" i="4"/>
  <c r="Z242" i="4"/>
  <c r="Y242" i="4"/>
  <c r="X242" i="4"/>
  <c r="P242" i="4"/>
  <c r="O242" i="4"/>
  <c r="N242" i="4"/>
  <c r="M242" i="4"/>
  <c r="L242" i="4"/>
  <c r="K242" i="4"/>
  <c r="J242" i="4"/>
  <c r="I242" i="4"/>
  <c r="H242" i="4"/>
  <c r="G242" i="4"/>
  <c r="F242" i="4"/>
  <c r="AT241" i="4"/>
  <c r="AS241" i="4"/>
  <c r="AR241" i="4"/>
  <c r="AQ241" i="4"/>
  <c r="AP241" i="4"/>
  <c r="AO241" i="4"/>
  <c r="AN241" i="4"/>
  <c r="AM241" i="4"/>
  <c r="AL241" i="4"/>
  <c r="Z241" i="4"/>
  <c r="Y241" i="4"/>
  <c r="X241" i="4"/>
  <c r="P241" i="4"/>
  <c r="O241" i="4"/>
  <c r="N241" i="4"/>
  <c r="M241" i="4"/>
  <c r="L241" i="4"/>
  <c r="K241" i="4"/>
  <c r="J241" i="4"/>
  <c r="I241" i="4"/>
  <c r="H241" i="4"/>
  <c r="G241" i="4"/>
  <c r="F241" i="4"/>
  <c r="AT240" i="4"/>
  <c r="AS240" i="4"/>
  <c r="AR240" i="4"/>
  <c r="AQ240" i="4"/>
  <c r="AP240" i="4"/>
  <c r="AO240" i="4"/>
  <c r="AN240" i="4"/>
  <c r="AM240" i="4"/>
  <c r="AL240" i="4"/>
  <c r="Z240" i="4"/>
  <c r="Y240" i="4"/>
  <c r="X240" i="4"/>
  <c r="P240" i="4"/>
  <c r="O240" i="4"/>
  <c r="N240" i="4"/>
  <c r="M240" i="4"/>
  <c r="L240" i="4"/>
  <c r="K240" i="4"/>
  <c r="J240" i="4"/>
  <c r="I240" i="4"/>
  <c r="H240" i="4"/>
  <c r="G240" i="4"/>
  <c r="F240" i="4"/>
  <c r="AT239" i="4"/>
  <c r="AS239" i="4"/>
  <c r="AR239" i="4"/>
  <c r="AQ239" i="4"/>
  <c r="AP239" i="4"/>
  <c r="AO239" i="4"/>
  <c r="AN239" i="4"/>
  <c r="AM239" i="4"/>
  <c r="AL239" i="4"/>
  <c r="Z239" i="4"/>
  <c r="Y239" i="4"/>
  <c r="X239" i="4"/>
  <c r="P239" i="4"/>
  <c r="O239" i="4"/>
  <c r="N239" i="4"/>
  <c r="M239" i="4"/>
  <c r="L239" i="4"/>
  <c r="K239" i="4"/>
  <c r="J239" i="4"/>
  <c r="I239" i="4"/>
  <c r="H239" i="4"/>
  <c r="G239" i="4"/>
  <c r="F239" i="4"/>
  <c r="AT238" i="4"/>
  <c r="AS238" i="4"/>
  <c r="AR238" i="4"/>
  <c r="AQ238" i="4"/>
  <c r="AP238" i="4"/>
  <c r="AO238" i="4"/>
  <c r="AN238" i="4"/>
  <c r="AM238" i="4"/>
  <c r="AL238" i="4"/>
  <c r="Z238" i="4"/>
  <c r="Y238" i="4"/>
  <c r="X238" i="4"/>
  <c r="P238" i="4"/>
  <c r="O238" i="4"/>
  <c r="N238" i="4"/>
  <c r="M238" i="4"/>
  <c r="L238" i="4"/>
  <c r="K238" i="4"/>
  <c r="J238" i="4"/>
  <c r="I238" i="4"/>
  <c r="H238" i="4"/>
  <c r="G238" i="4"/>
  <c r="F238" i="4"/>
  <c r="AT237" i="4"/>
  <c r="AS237" i="4"/>
  <c r="AR237" i="4"/>
  <c r="AQ237" i="4"/>
  <c r="AP237" i="4"/>
  <c r="AO237" i="4"/>
  <c r="AN237" i="4"/>
  <c r="AM237" i="4"/>
  <c r="AL237" i="4"/>
  <c r="Z237" i="4"/>
  <c r="Y237" i="4"/>
  <c r="X237" i="4"/>
  <c r="P237" i="4"/>
  <c r="O237" i="4"/>
  <c r="N237" i="4"/>
  <c r="M237" i="4"/>
  <c r="L237" i="4"/>
  <c r="K237" i="4"/>
  <c r="J237" i="4"/>
  <c r="I237" i="4"/>
  <c r="H237" i="4"/>
  <c r="G237" i="4"/>
  <c r="F237" i="4"/>
  <c r="AT236" i="4"/>
  <c r="AS236" i="4"/>
  <c r="AR236" i="4"/>
  <c r="AQ236" i="4"/>
  <c r="AP236" i="4"/>
  <c r="AO236" i="4"/>
  <c r="AN236" i="4"/>
  <c r="AM236" i="4"/>
  <c r="AL236" i="4"/>
  <c r="Z236" i="4"/>
  <c r="Y236" i="4"/>
  <c r="X236" i="4"/>
  <c r="P236" i="4"/>
  <c r="O236" i="4"/>
  <c r="N236" i="4"/>
  <c r="M236" i="4"/>
  <c r="L236" i="4"/>
  <c r="K236" i="4"/>
  <c r="J236" i="4"/>
  <c r="I236" i="4"/>
  <c r="H236" i="4"/>
  <c r="G236" i="4"/>
  <c r="F236" i="4"/>
  <c r="AT235" i="4"/>
  <c r="AS235" i="4"/>
  <c r="AR235" i="4"/>
  <c r="AQ235" i="4"/>
  <c r="AP235" i="4"/>
  <c r="AO235" i="4"/>
  <c r="AN235" i="4"/>
  <c r="AM235" i="4"/>
  <c r="AL235" i="4"/>
  <c r="Z235" i="4"/>
  <c r="Y235" i="4"/>
  <c r="X235" i="4"/>
  <c r="P235" i="4"/>
  <c r="O235" i="4"/>
  <c r="N235" i="4"/>
  <c r="M235" i="4"/>
  <c r="L235" i="4"/>
  <c r="K235" i="4"/>
  <c r="J235" i="4"/>
  <c r="I235" i="4"/>
  <c r="H235" i="4"/>
  <c r="G235" i="4"/>
  <c r="F235" i="4"/>
  <c r="AT234" i="4"/>
  <c r="AS234" i="4"/>
  <c r="AR234" i="4"/>
  <c r="AQ234" i="4"/>
  <c r="AP234" i="4"/>
  <c r="AO234" i="4"/>
  <c r="AN234" i="4"/>
  <c r="AM234" i="4"/>
  <c r="AL234" i="4"/>
  <c r="Z234" i="4"/>
  <c r="Y234" i="4"/>
  <c r="X234" i="4"/>
  <c r="P234" i="4"/>
  <c r="O234" i="4"/>
  <c r="N234" i="4"/>
  <c r="M234" i="4"/>
  <c r="L234" i="4"/>
  <c r="K234" i="4"/>
  <c r="J234" i="4"/>
  <c r="I234" i="4"/>
  <c r="H234" i="4"/>
  <c r="G234" i="4"/>
  <c r="F234" i="4"/>
  <c r="AT233" i="4"/>
  <c r="AS233" i="4"/>
  <c r="AR233" i="4"/>
  <c r="AQ233" i="4"/>
  <c r="AP233" i="4"/>
  <c r="AO233" i="4"/>
  <c r="AN233" i="4"/>
  <c r="AM233" i="4"/>
  <c r="AL233" i="4"/>
  <c r="Z233" i="4"/>
  <c r="Y233" i="4"/>
  <c r="X233" i="4"/>
  <c r="P233" i="4"/>
  <c r="O233" i="4"/>
  <c r="N233" i="4"/>
  <c r="M233" i="4"/>
  <c r="L233" i="4"/>
  <c r="K233" i="4"/>
  <c r="J233" i="4"/>
  <c r="I233" i="4"/>
  <c r="H233" i="4"/>
  <c r="G233" i="4"/>
  <c r="F233" i="4"/>
  <c r="AT232" i="4"/>
  <c r="AS232" i="4"/>
  <c r="AR232" i="4"/>
  <c r="AQ232" i="4"/>
  <c r="AP232" i="4"/>
  <c r="AO232" i="4"/>
  <c r="AN232" i="4"/>
  <c r="AM232" i="4"/>
  <c r="AL232" i="4"/>
  <c r="Z232" i="4"/>
  <c r="Y232" i="4"/>
  <c r="X232" i="4"/>
  <c r="P232" i="4"/>
  <c r="O232" i="4"/>
  <c r="N232" i="4"/>
  <c r="M232" i="4"/>
  <c r="L232" i="4"/>
  <c r="K232" i="4"/>
  <c r="J232" i="4"/>
  <c r="I232" i="4"/>
  <c r="H232" i="4"/>
  <c r="G232" i="4"/>
  <c r="F232" i="4"/>
  <c r="AT231" i="4"/>
  <c r="AS231" i="4"/>
  <c r="AR231" i="4"/>
  <c r="AQ231" i="4"/>
  <c r="AP231" i="4"/>
  <c r="AO231" i="4"/>
  <c r="AN231" i="4"/>
  <c r="AM231" i="4"/>
  <c r="AL231" i="4"/>
  <c r="Z231" i="4"/>
  <c r="Y231" i="4"/>
  <c r="X231" i="4"/>
  <c r="P231" i="4"/>
  <c r="O231" i="4"/>
  <c r="N231" i="4"/>
  <c r="M231" i="4"/>
  <c r="L231" i="4"/>
  <c r="K231" i="4"/>
  <c r="J231" i="4"/>
  <c r="I231" i="4"/>
  <c r="H231" i="4"/>
  <c r="G231" i="4"/>
  <c r="F231" i="4"/>
  <c r="AT230" i="4"/>
  <c r="AS230" i="4"/>
  <c r="AR230" i="4"/>
  <c r="AQ230" i="4"/>
  <c r="AP230" i="4"/>
  <c r="AO230" i="4"/>
  <c r="AN230" i="4"/>
  <c r="AM230" i="4"/>
  <c r="AL230" i="4"/>
  <c r="Z230" i="4"/>
  <c r="Y230" i="4"/>
  <c r="X230" i="4"/>
  <c r="P230" i="4"/>
  <c r="O230" i="4"/>
  <c r="N230" i="4"/>
  <c r="M230" i="4"/>
  <c r="L230" i="4"/>
  <c r="K230" i="4"/>
  <c r="J230" i="4"/>
  <c r="I230" i="4"/>
  <c r="H230" i="4"/>
  <c r="G230" i="4"/>
  <c r="F230" i="4"/>
  <c r="AT229" i="4"/>
  <c r="AS229" i="4"/>
  <c r="AR229" i="4"/>
  <c r="AQ229" i="4"/>
  <c r="AP229" i="4"/>
  <c r="AO229" i="4"/>
  <c r="AN229" i="4"/>
  <c r="AM229" i="4"/>
  <c r="AL229" i="4"/>
  <c r="Z229" i="4"/>
  <c r="Y229" i="4"/>
  <c r="X229" i="4"/>
  <c r="P229" i="4"/>
  <c r="O229" i="4"/>
  <c r="N229" i="4"/>
  <c r="M229" i="4"/>
  <c r="L229" i="4"/>
  <c r="K229" i="4"/>
  <c r="J229" i="4"/>
  <c r="I229" i="4"/>
  <c r="H229" i="4"/>
  <c r="G229" i="4"/>
  <c r="F229" i="4"/>
  <c r="AT228" i="4"/>
  <c r="AS228" i="4"/>
  <c r="AR228" i="4"/>
  <c r="AQ228" i="4"/>
  <c r="AP228" i="4"/>
  <c r="AO228" i="4"/>
  <c r="AN228" i="4"/>
  <c r="AM228" i="4"/>
  <c r="AL228" i="4"/>
  <c r="Z228" i="4"/>
  <c r="Y228" i="4"/>
  <c r="X228" i="4"/>
  <c r="P228" i="4"/>
  <c r="O228" i="4"/>
  <c r="N228" i="4"/>
  <c r="M228" i="4"/>
  <c r="L228" i="4"/>
  <c r="K228" i="4"/>
  <c r="J228" i="4"/>
  <c r="I228" i="4"/>
  <c r="H228" i="4"/>
  <c r="G228" i="4"/>
  <c r="F228" i="4"/>
  <c r="AT227" i="4"/>
  <c r="AS227" i="4"/>
  <c r="AR227" i="4"/>
  <c r="AQ227" i="4"/>
  <c r="AP227" i="4"/>
  <c r="AO227" i="4"/>
  <c r="AN227" i="4"/>
  <c r="AM227" i="4"/>
  <c r="AL227" i="4"/>
  <c r="Z227" i="4"/>
  <c r="Y227" i="4"/>
  <c r="X227" i="4"/>
  <c r="P227" i="4"/>
  <c r="O227" i="4"/>
  <c r="N227" i="4"/>
  <c r="M227" i="4"/>
  <c r="L227" i="4"/>
  <c r="K227" i="4"/>
  <c r="J227" i="4"/>
  <c r="I227" i="4"/>
  <c r="H227" i="4"/>
  <c r="G227" i="4"/>
  <c r="F227" i="4"/>
  <c r="AT226" i="4"/>
  <c r="AS226" i="4"/>
  <c r="AR226" i="4"/>
  <c r="AQ226" i="4"/>
  <c r="AP226" i="4"/>
  <c r="AO226" i="4"/>
  <c r="AN226" i="4"/>
  <c r="AM226" i="4"/>
  <c r="AL226" i="4"/>
  <c r="Z226" i="4"/>
  <c r="Y226" i="4"/>
  <c r="X226" i="4"/>
  <c r="P226" i="4"/>
  <c r="O226" i="4"/>
  <c r="N226" i="4"/>
  <c r="M226" i="4"/>
  <c r="L226" i="4"/>
  <c r="K226" i="4"/>
  <c r="J226" i="4"/>
  <c r="I226" i="4"/>
  <c r="H226" i="4"/>
  <c r="G226" i="4"/>
  <c r="F226" i="4"/>
  <c r="AT225" i="4"/>
  <c r="AS225" i="4"/>
  <c r="AR225" i="4"/>
  <c r="AQ225" i="4"/>
  <c r="AP225" i="4"/>
  <c r="AO225" i="4"/>
  <c r="AN225" i="4"/>
  <c r="AM225" i="4"/>
  <c r="AL225" i="4"/>
  <c r="Z225" i="4"/>
  <c r="Y225" i="4"/>
  <c r="X225" i="4"/>
  <c r="P225" i="4"/>
  <c r="O225" i="4"/>
  <c r="N225" i="4"/>
  <c r="M225" i="4"/>
  <c r="L225" i="4"/>
  <c r="K225" i="4"/>
  <c r="J225" i="4"/>
  <c r="I225" i="4"/>
  <c r="H225" i="4"/>
  <c r="G225" i="4"/>
  <c r="F225" i="4"/>
  <c r="AT224" i="4"/>
  <c r="AS224" i="4"/>
  <c r="AR224" i="4"/>
  <c r="AQ224" i="4"/>
  <c r="AP224" i="4"/>
  <c r="AO224" i="4"/>
  <c r="AN224" i="4"/>
  <c r="AM224" i="4"/>
  <c r="AL224" i="4"/>
  <c r="Z224" i="4"/>
  <c r="Y224" i="4"/>
  <c r="X224" i="4"/>
  <c r="P224" i="4"/>
  <c r="O224" i="4"/>
  <c r="N224" i="4"/>
  <c r="M224" i="4"/>
  <c r="L224" i="4"/>
  <c r="K224" i="4"/>
  <c r="J224" i="4"/>
  <c r="I224" i="4"/>
  <c r="H224" i="4"/>
  <c r="G224" i="4"/>
  <c r="F224" i="4"/>
  <c r="AT223" i="4"/>
  <c r="AS223" i="4"/>
  <c r="AR223" i="4"/>
  <c r="AQ223" i="4"/>
  <c r="AP223" i="4"/>
  <c r="AO223" i="4"/>
  <c r="AN223" i="4"/>
  <c r="AM223" i="4"/>
  <c r="AL223" i="4"/>
  <c r="Z223" i="4"/>
  <c r="Y223" i="4"/>
  <c r="X223" i="4"/>
  <c r="P223" i="4"/>
  <c r="O223" i="4"/>
  <c r="N223" i="4"/>
  <c r="M223" i="4"/>
  <c r="L223" i="4"/>
  <c r="K223" i="4"/>
  <c r="J223" i="4"/>
  <c r="I223" i="4"/>
  <c r="H223" i="4"/>
  <c r="G223" i="4"/>
  <c r="F223" i="4"/>
  <c r="AT222" i="4"/>
  <c r="AS222" i="4"/>
  <c r="AR222" i="4"/>
  <c r="AQ222" i="4"/>
  <c r="AP222" i="4"/>
  <c r="AO222" i="4"/>
  <c r="AN222" i="4"/>
  <c r="AM222" i="4"/>
  <c r="AL222" i="4"/>
  <c r="Z222" i="4"/>
  <c r="Y222" i="4"/>
  <c r="X222" i="4"/>
  <c r="P222" i="4"/>
  <c r="O222" i="4"/>
  <c r="N222" i="4"/>
  <c r="M222" i="4"/>
  <c r="L222" i="4"/>
  <c r="K222" i="4"/>
  <c r="J222" i="4"/>
  <c r="I222" i="4"/>
  <c r="H222" i="4"/>
  <c r="G222" i="4"/>
  <c r="F222" i="4"/>
  <c r="AT221" i="4"/>
  <c r="AS221" i="4"/>
  <c r="AR221" i="4"/>
  <c r="AQ221" i="4"/>
  <c r="AP221" i="4"/>
  <c r="AO221" i="4"/>
  <c r="AN221" i="4"/>
  <c r="AM221" i="4"/>
  <c r="AL221" i="4"/>
  <c r="Z221" i="4"/>
  <c r="Y221" i="4"/>
  <c r="X221" i="4"/>
  <c r="P221" i="4"/>
  <c r="O221" i="4"/>
  <c r="N221" i="4"/>
  <c r="M221" i="4"/>
  <c r="L221" i="4"/>
  <c r="K221" i="4"/>
  <c r="J221" i="4"/>
  <c r="I221" i="4"/>
  <c r="H221" i="4"/>
  <c r="G221" i="4"/>
  <c r="F221" i="4"/>
  <c r="AT220" i="4"/>
  <c r="AS220" i="4"/>
  <c r="AR220" i="4"/>
  <c r="AQ220" i="4"/>
  <c r="AP220" i="4"/>
  <c r="AO220" i="4"/>
  <c r="AN220" i="4"/>
  <c r="AM220" i="4"/>
  <c r="AL220" i="4"/>
  <c r="Z220" i="4"/>
  <c r="Y220" i="4"/>
  <c r="X220" i="4"/>
  <c r="P220" i="4"/>
  <c r="O220" i="4"/>
  <c r="N220" i="4"/>
  <c r="M220" i="4"/>
  <c r="L220" i="4"/>
  <c r="K220" i="4"/>
  <c r="J220" i="4"/>
  <c r="I220" i="4"/>
  <c r="H220" i="4"/>
  <c r="G220" i="4"/>
  <c r="F220" i="4"/>
  <c r="AT219" i="4"/>
  <c r="AS219" i="4"/>
  <c r="AR219" i="4"/>
  <c r="AQ219" i="4"/>
  <c r="AP219" i="4"/>
  <c r="AO219" i="4"/>
  <c r="AN219" i="4"/>
  <c r="AM219" i="4"/>
  <c r="AL219" i="4"/>
  <c r="Z219" i="4"/>
  <c r="Y219" i="4"/>
  <c r="X219" i="4"/>
  <c r="P219" i="4"/>
  <c r="O219" i="4"/>
  <c r="N219" i="4"/>
  <c r="M219" i="4"/>
  <c r="L219" i="4"/>
  <c r="K219" i="4"/>
  <c r="J219" i="4"/>
  <c r="I219" i="4"/>
  <c r="H219" i="4"/>
  <c r="G219" i="4"/>
  <c r="F219" i="4"/>
  <c r="AT218" i="4"/>
  <c r="AS218" i="4"/>
  <c r="AR218" i="4"/>
  <c r="AQ218" i="4"/>
  <c r="AP218" i="4"/>
  <c r="AO218" i="4"/>
  <c r="AN218" i="4"/>
  <c r="AM218" i="4"/>
  <c r="AL218" i="4"/>
  <c r="Z218" i="4"/>
  <c r="Y218" i="4"/>
  <c r="X218" i="4"/>
  <c r="P218" i="4"/>
  <c r="O218" i="4"/>
  <c r="N218" i="4"/>
  <c r="M218" i="4"/>
  <c r="L218" i="4"/>
  <c r="K218" i="4"/>
  <c r="J218" i="4"/>
  <c r="I218" i="4"/>
  <c r="H218" i="4"/>
  <c r="G218" i="4"/>
  <c r="F218" i="4"/>
  <c r="AT217" i="4"/>
  <c r="AS217" i="4"/>
  <c r="AR217" i="4"/>
  <c r="AQ217" i="4"/>
  <c r="AP217" i="4"/>
  <c r="AO217" i="4"/>
  <c r="AN217" i="4"/>
  <c r="AM217" i="4"/>
  <c r="AL217" i="4"/>
  <c r="Z217" i="4"/>
  <c r="Y217" i="4"/>
  <c r="X217" i="4"/>
  <c r="P217" i="4"/>
  <c r="O217" i="4"/>
  <c r="N217" i="4"/>
  <c r="M217" i="4"/>
  <c r="L217" i="4"/>
  <c r="K217" i="4"/>
  <c r="J217" i="4"/>
  <c r="I217" i="4"/>
  <c r="H217" i="4"/>
  <c r="G217" i="4"/>
  <c r="F217" i="4"/>
  <c r="AT216" i="4"/>
  <c r="AS216" i="4"/>
  <c r="AR216" i="4"/>
  <c r="AQ216" i="4"/>
  <c r="AP216" i="4"/>
  <c r="AO216" i="4"/>
  <c r="AN216" i="4"/>
  <c r="AM216" i="4"/>
  <c r="AL216" i="4"/>
  <c r="Z216" i="4"/>
  <c r="Y216" i="4"/>
  <c r="X216" i="4"/>
  <c r="P216" i="4"/>
  <c r="O216" i="4"/>
  <c r="N216" i="4"/>
  <c r="M216" i="4"/>
  <c r="L216" i="4"/>
  <c r="K216" i="4"/>
  <c r="J216" i="4"/>
  <c r="I216" i="4"/>
  <c r="H216" i="4"/>
  <c r="G216" i="4"/>
  <c r="F216" i="4"/>
  <c r="AT215" i="4"/>
  <c r="AS215" i="4"/>
  <c r="AR215" i="4"/>
  <c r="AQ215" i="4"/>
  <c r="AP215" i="4"/>
  <c r="AO215" i="4"/>
  <c r="AN215" i="4"/>
  <c r="AM215" i="4"/>
  <c r="AL215" i="4"/>
  <c r="Z215" i="4"/>
  <c r="Y215" i="4"/>
  <c r="X215" i="4"/>
  <c r="P215" i="4"/>
  <c r="O215" i="4"/>
  <c r="N215" i="4"/>
  <c r="M215" i="4"/>
  <c r="L215" i="4"/>
  <c r="K215" i="4"/>
  <c r="J215" i="4"/>
  <c r="I215" i="4"/>
  <c r="H215" i="4"/>
  <c r="G215" i="4"/>
  <c r="F215" i="4"/>
  <c r="AT214" i="4"/>
  <c r="AS214" i="4"/>
  <c r="AR214" i="4"/>
  <c r="AQ214" i="4"/>
  <c r="AP214" i="4"/>
  <c r="AO214" i="4"/>
  <c r="AN214" i="4"/>
  <c r="AM214" i="4"/>
  <c r="AL214" i="4"/>
  <c r="Z214" i="4"/>
  <c r="Y214" i="4"/>
  <c r="X214" i="4"/>
  <c r="P214" i="4"/>
  <c r="O214" i="4"/>
  <c r="N214" i="4"/>
  <c r="M214" i="4"/>
  <c r="L214" i="4"/>
  <c r="K214" i="4"/>
  <c r="J214" i="4"/>
  <c r="I214" i="4"/>
  <c r="H214" i="4"/>
  <c r="G214" i="4"/>
  <c r="F214" i="4"/>
  <c r="AT213" i="4"/>
  <c r="AS213" i="4"/>
  <c r="AR213" i="4"/>
  <c r="AQ213" i="4"/>
  <c r="AP213" i="4"/>
  <c r="AO213" i="4"/>
  <c r="AN213" i="4"/>
  <c r="AM213" i="4"/>
  <c r="AL213" i="4"/>
  <c r="Z213" i="4"/>
  <c r="Y213" i="4"/>
  <c r="X213" i="4"/>
  <c r="P213" i="4"/>
  <c r="O213" i="4"/>
  <c r="N213" i="4"/>
  <c r="M213" i="4"/>
  <c r="L213" i="4"/>
  <c r="K213" i="4"/>
  <c r="J213" i="4"/>
  <c r="I213" i="4"/>
  <c r="H213" i="4"/>
  <c r="G213" i="4"/>
  <c r="F213" i="4"/>
  <c r="AT212" i="4"/>
  <c r="AS212" i="4"/>
  <c r="AR212" i="4"/>
  <c r="AQ212" i="4"/>
  <c r="AP212" i="4"/>
  <c r="AO212" i="4"/>
  <c r="AN212" i="4"/>
  <c r="AM212" i="4"/>
  <c r="AL212" i="4"/>
  <c r="Z212" i="4"/>
  <c r="Y212" i="4"/>
  <c r="X212" i="4"/>
  <c r="P212" i="4"/>
  <c r="O212" i="4"/>
  <c r="N212" i="4"/>
  <c r="M212" i="4"/>
  <c r="L212" i="4"/>
  <c r="K212" i="4"/>
  <c r="J212" i="4"/>
  <c r="I212" i="4"/>
  <c r="H212" i="4"/>
  <c r="G212" i="4"/>
  <c r="F212" i="4"/>
  <c r="AT211" i="4"/>
  <c r="AS211" i="4"/>
  <c r="AR211" i="4"/>
  <c r="AQ211" i="4"/>
  <c r="AP211" i="4"/>
  <c r="AO211" i="4"/>
  <c r="AN211" i="4"/>
  <c r="AM211" i="4"/>
  <c r="AL211" i="4"/>
  <c r="Z211" i="4"/>
  <c r="Y211" i="4"/>
  <c r="X211" i="4"/>
  <c r="P211" i="4"/>
  <c r="O211" i="4"/>
  <c r="N211" i="4"/>
  <c r="M211" i="4"/>
  <c r="L211" i="4"/>
  <c r="K211" i="4"/>
  <c r="J211" i="4"/>
  <c r="I211" i="4"/>
  <c r="H211" i="4"/>
  <c r="G211" i="4"/>
  <c r="F211" i="4"/>
  <c r="AT210" i="4"/>
  <c r="AS210" i="4"/>
  <c r="AR210" i="4"/>
  <c r="AQ210" i="4"/>
  <c r="AP210" i="4"/>
  <c r="AO210" i="4"/>
  <c r="AN210" i="4"/>
  <c r="AM210" i="4"/>
  <c r="AL210" i="4"/>
  <c r="Z210" i="4"/>
  <c r="Y210" i="4"/>
  <c r="X210" i="4"/>
  <c r="P210" i="4"/>
  <c r="O210" i="4"/>
  <c r="N210" i="4"/>
  <c r="M210" i="4"/>
  <c r="L210" i="4"/>
  <c r="K210" i="4"/>
  <c r="J210" i="4"/>
  <c r="I210" i="4"/>
  <c r="H210" i="4"/>
  <c r="G210" i="4"/>
  <c r="F210" i="4"/>
  <c r="AT209" i="4"/>
  <c r="AS209" i="4"/>
  <c r="AR209" i="4"/>
  <c r="AQ209" i="4"/>
  <c r="AP209" i="4"/>
  <c r="AO209" i="4"/>
  <c r="AN209" i="4"/>
  <c r="AM209" i="4"/>
  <c r="AL209" i="4"/>
  <c r="Z209" i="4"/>
  <c r="Y209" i="4"/>
  <c r="X209" i="4"/>
  <c r="P209" i="4"/>
  <c r="O209" i="4"/>
  <c r="N209" i="4"/>
  <c r="M209" i="4"/>
  <c r="L209" i="4"/>
  <c r="K209" i="4"/>
  <c r="J209" i="4"/>
  <c r="I209" i="4"/>
  <c r="H209" i="4"/>
  <c r="G209" i="4"/>
  <c r="F209" i="4"/>
  <c r="AT208" i="4"/>
  <c r="AS208" i="4"/>
  <c r="AR208" i="4"/>
  <c r="AQ208" i="4"/>
  <c r="AP208" i="4"/>
  <c r="AO208" i="4"/>
  <c r="AN208" i="4"/>
  <c r="AM208" i="4"/>
  <c r="AL208" i="4"/>
  <c r="Z208" i="4"/>
  <c r="Y208" i="4"/>
  <c r="X208" i="4"/>
  <c r="P208" i="4"/>
  <c r="O208" i="4"/>
  <c r="N208" i="4"/>
  <c r="M208" i="4"/>
  <c r="L208" i="4"/>
  <c r="K208" i="4"/>
  <c r="J208" i="4"/>
  <c r="I208" i="4"/>
  <c r="H208" i="4"/>
  <c r="G208" i="4"/>
  <c r="F208" i="4"/>
  <c r="AT207" i="4"/>
  <c r="AS207" i="4"/>
  <c r="AR207" i="4"/>
  <c r="AQ207" i="4"/>
  <c r="AP207" i="4"/>
  <c r="AO207" i="4"/>
  <c r="AN207" i="4"/>
  <c r="AM207" i="4"/>
  <c r="AL207" i="4"/>
  <c r="Z207" i="4"/>
  <c r="Y207" i="4"/>
  <c r="X207" i="4"/>
  <c r="P207" i="4"/>
  <c r="O207" i="4"/>
  <c r="N207" i="4"/>
  <c r="M207" i="4"/>
  <c r="L207" i="4"/>
  <c r="K207" i="4"/>
  <c r="J207" i="4"/>
  <c r="I207" i="4"/>
  <c r="H207" i="4"/>
  <c r="G207" i="4"/>
  <c r="F207" i="4"/>
  <c r="AT206" i="4"/>
  <c r="AS206" i="4"/>
  <c r="AR206" i="4"/>
  <c r="AQ206" i="4"/>
  <c r="AP206" i="4"/>
  <c r="AO206" i="4"/>
  <c r="AN206" i="4"/>
  <c r="AM206" i="4"/>
  <c r="AL206" i="4"/>
  <c r="Z206" i="4"/>
  <c r="Y206" i="4"/>
  <c r="X206" i="4"/>
  <c r="P206" i="4"/>
  <c r="O206" i="4"/>
  <c r="N206" i="4"/>
  <c r="M206" i="4"/>
  <c r="L206" i="4"/>
  <c r="K206" i="4"/>
  <c r="J206" i="4"/>
  <c r="I206" i="4"/>
  <c r="H206" i="4"/>
  <c r="G206" i="4"/>
  <c r="F206" i="4"/>
  <c r="AT205" i="4"/>
  <c r="AS205" i="4"/>
  <c r="AR205" i="4"/>
  <c r="AQ205" i="4"/>
  <c r="AP205" i="4"/>
  <c r="AO205" i="4"/>
  <c r="AN205" i="4"/>
  <c r="AM205" i="4"/>
  <c r="AL205" i="4"/>
  <c r="Z205" i="4"/>
  <c r="Y205" i="4"/>
  <c r="X205" i="4"/>
  <c r="P205" i="4"/>
  <c r="O205" i="4"/>
  <c r="N205" i="4"/>
  <c r="M205" i="4"/>
  <c r="L205" i="4"/>
  <c r="K205" i="4"/>
  <c r="J205" i="4"/>
  <c r="I205" i="4"/>
  <c r="H205" i="4"/>
  <c r="G205" i="4"/>
  <c r="F205" i="4"/>
  <c r="AT204" i="4"/>
  <c r="AS204" i="4"/>
  <c r="AR204" i="4"/>
  <c r="AQ204" i="4"/>
  <c r="AP204" i="4"/>
  <c r="AO204" i="4"/>
  <c r="AN204" i="4"/>
  <c r="AM204" i="4"/>
  <c r="AL204" i="4"/>
  <c r="Z204" i="4"/>
  <c r="Y204" i="4"/>
  <c r="X204" i="4"/>
  <c r="P204" i="4"/>
  <c r="O204" i="4"/>
  <c r="N204" i="4"/>
  <c r="M204" i="4"/>
  <c r="L204" i="4"/>
  <c r="K204" i="4"/>
  <c r="J204" i="4"/>
  <c r="I204" i="4"/>
  <c r="H204" i="4"/>
  <c r="G204" i="4"/>
  <c r="F204" i="4"/>
  <c r="AT203" i="4"/>
  <c r="AS203" i="4"/>
  <c r="AR203" i="4"/>
  <c r="AQ203" i="4"/>
  <c r="AP203" i="4"/>
  <c r="AO203" i="4"/>
  <c r="AN203" i="4"/>
  <c r="AM203" i="4"/>
  <c r="AL203" i="4"/>
  <c r="Z203" i="4"/>
  <c r="Y203" i="4"/>
  <c r="X203" i="4"/>
  <c r="P203" i="4"/>
  <c r="O203" i="4"/>
  <c r="N203" i="4"/>
  <c r="M203" i="4"/>
  <c r="L203" i="4"/>
  <c r="K203" i="4"/>
  <c r="J203" i="4"/>
  <c r="I203" i="4"/>
  <c r="H203" i="4"/>
  <c r="G203" i="4"/>
  <c r="F203" i="4"/>
  <c r="AT202" i="4"/>
  <c r="AS202" i="4"/>
  <c r="AR202" i="4"/>
  <c r="AQ202" i="4"/>
  <c r="AP202" i="4"/>
  <c r="AO202" i="4"/>
  <c r="AN202" i="4"/>
  <c r="AM202" i="4"/>
  <c r="AL202" i="4"/>
  <c r="Z202" i="4"/>
  <c r="Y202" i="4"/>
  <c r="X202" i="4"/>
  <c r="P202" i="4"/>
  <c r="O202" i="4"/>
  <c r="N202" i="4"/>
  <c r="M202" i="4"/>
  <c r="L202" i="4"/>
  <c r="K202" i="4"/>
  <c r="J202" i="4"/>
  <c r="I202" i="4"/>
  <c r="H202" i="4"/>
  <c r="G202" i="4"/>
  <c r="F202" i="4"/>
  <c r="AT201" i="4"/>
  <c r="AS201" i="4"/>
  <c r="AR201" i="4"/>
  <c r="AQ201" i="4"/>
  <c r="AP201" i="4"/>
  <c r="AO201" i="4"/>
  <c r="AN201" i="4"/>
  <c r="AM201" i="4"/>
  <c r="AL201" i="4"/>
  <c r="Z201" i="4"/>
  <c r="Y201" i="4"/>
  <c r="X201" i="4"/>
  <c r="P201" i="4"/>
  <c r="O201" i="4"/>
  <c r="N201" i="4"/>
  <c r="M201" i="4"/>
  <c r="L201" i="4"/>
  <c r="K201" i="4"/>
  <c r="J201" i="4"/>
  <c r="I201" i="4"/>
  <c r="H201" i="4"/>
  <c r="G201" i="4"/>
  <c r="F201" i="4"/>
  <c r="AT200" i="4"/>
  <c r="AS200" i="4"/>
  <c r="AR200" i="4"/>
  <c r="AQ200" i="4"/>
  <c r="AP200" i="4"/>
  <c r="AO200" i="4"/>
  <c r="AN200" i="4"/>
  <c r="AM200" i="4"/>
  <c r="AL200" i="4"/>
  <c r="Z200" i="4"/>
  <c r="Y200" i="4"/>
  <c r="X200" i="4"/>
  <c r="P200" i="4"/>
  <c r="O200" i="4"/>
  <c r="N200" i="4"/>
  <c r="M200" i="4"/>
  <c r="L200" i="4"/>
  <c r="K200" i="4"/>
  <c r="J200" i="4"/>
  <c r="I200" i="4"/>
  <c r="H200" i="4"/>
  <c r="G200" i="4"/>
  <c r="F200" i="4"/>
  <c r="AT199" i="4"/>
  <c r="AS199" i="4"/>
  <c r="AR199" i="4"/>
  <c r="AQ199" i="4"/>
  <c r="AP199" i="4"/>
  <c r="AO199" i="4"/>
  <c r="AN199" i="4"/>
  <c r="AM199" i="4"/>
  <c r="AL199" i="4"/>
  <c r="Z199" i="4"/>
  <c r="Y199" i="4"/>
  <c r="X199" i="4"/>
  <c r="P199" i="4"/>
  <c r="O199" i="4"/>
  <c r="N199" i="4"/>
  <c r="M199" i="4"/>
  <c r="L199" i="4"/>
  <c r="K199" i="4"/>
  <c r="J199" i="4"/>
  <c r="I199" i="4"/>
  <c r="H199" i="4"/>
  <c r="G199" i="4"/>
  <c r="F199" i="4"/>
  <c r="AT198" i="4"/>
  <c r="AS198" i="4"/>
  <c r="AR198" i="4"/>
  <c r="AQ198" i="4"/>
  <c r="AP198" i="4"/>
  <c r="AO198" i="4"/>
  <c r="AN198" i="4"/>
  <c r="AM198" i="4"/>
  <c r="AL198" i="4"/>
  <c r="Z198" i="4"/>
  <c r="Y198" i="4"/>
  <c r="X198" i="4"/>
  <c r="P198" i="4"/>
  <c r="O198" i="4"/>
  <c r="N198" i="4"/>
  <c r="M198" i="4"/>
  <c r="L198" i="4"/>
  <c r="K198" i="4"/>
  <c r="J198" i="4"/>
  <c r="I198" i="4"/>
  <c r="H198" i="4"/>
  <c r="G198" i="4"/>
  <c r="F198" i="4"/>
  <c r="AT197" i="4"/>
  <c r="AS197" i="4"/>
  <c r="AR197" i="4"/>
  <c r="AQ197" i="4"/>
  <c r="AP197" i="4"/>
  <c r="AO197" i="4"/>
  <c r="AN197" i="4"/>
  <c r="AM197" i="4"/>
  <c r="AL197" i="4"/>
  <c r="Z197" i="4"/>
  <c r="Y197" i="4"/>
  <c r="X197" i="4"/>
  <c r="P197" i="4"/>
  <c r="O197" i="4"/>
  <c r="N197" i="4"/>
  <c r="M197" i="4"/>
  <c r="L197" i="4"/>
  <c r="K197" i="4"/>
  <c r="J197" i="4"/>
  <c r="I197" i="4"/>
  <c r="H197" i="4"/>
  <c r="G197" i="4"/>
  <c r="F197" i="4"/>
  <c r="AT196" i="4"/>
  <c r="AS196" i="4"/>
  <c r="AR196" i="4"/>
  <c r="AQ196" i="4"/>
  <c r="AP196" i="4"/>
  <c r="AO196" i="4"/>
  <c r="AN196" i="4"/>
  <c r="AM196" i="4"/>
  <c r="AL196" i="4"/>
  <c r="Z196" i="4"/>
  <c r="Y196" i="4"/>
  <c r="X196" i="4"/>
  <c r="P196" i="4"/>
  <c r="O196" i="4"/>
  <c r="N196" i="4"/>
  <c r="M196" i="4"/>
  <c r="L196" i="4"/>
  <c r="K196" i="4"/>
  <c r="J196" i="4"/>
  <c r="I196" i="4"/>
  <c r="H196" i="4"/>
  <c r="G196" i="4"/>
  <c r="F196" i="4"/>
  <c r="AT195" i="4"/>
  <c r="AS195" i="4"/>
  <c r="AR195" i="4"/>
  <c r="AQ195" i="4"/>
  <c r="AP195" i="4"/>
  <c r="AO195" i="4"/>
  <c r="AN195" i="4"/>
  <c r="AM195" i="4"/>
  <c r="AL195" i="4"/>
  <c r="Z195" i="4"/>
  <c r="Y195" i="4"/>
  <c r="X195" i="4"/>
  <c r="P195" i="4"/>
  <c r="O195" i="4"/>
  <c r="N195" i="4"/>
  <c r="M195" i="4"/>
  <c r="L195" i="4"/>
  <c r="K195" i="4"/>
  <c r="J195" i="4"/>
  <c r="I195" i="4"/>
  <c r="H195" i="4"/>
  <c r="G195" i="4"/>
  <c r="F195" i="4"/>
  <c r="AT194" i="4"/>
  <c r="AS194" i="4"/>
  <c r="AR194" i="4"/>
  <c r="AQ194" i="4"/>
  <c r="AP194" i="4"/>
  <c r="AO194" i="4"/>
  <c r="AN194" i="4"/>
  <c r="AM194" i="4"/>
  <c r="AL194" i="4"/>
  <c r="Z194" i="4"/>
  <c r="Y194" i="4"/>
  <c r="X194" i="4"/>
  <c r="P194" i="4"/>
  <c r="O194" i="4"/>
  <c r="N194" i="4"/>
  <c r="M194" i="4"/>
  <c r="L194" i="4"/>
  <c r="K194" i="4"/>
  <c r="J194" i="4"/>
  <c r="I194" i="4"/>
  <c r="H194" i="4"/>
  <c r="G194" i="4"/>
  <c r="F194" i="4"/>
  <c r="AT193" i="4"/>
  <c r="AS193" i="4"/>
  <c r="AR193" i="4"/>
  <c r="AQ193" i="4"/>
  <c r="AP193" i="4"/>
  <c r="AO193" i="4"/>
  <c r="AN193" i="4"/>
  <c r="AM193" i="4"/>
  <c r="AL193" i="4"/>
  <c r="Z193" i="4"/>
  <c r="Y193" i="4"/>
  <c r="X193" i="4"/>
  <c r="P193" i="4"/>
  <c r="O193" i="4"/>
  <c r="N193" i="4"/>
  <c r="M193" i="4"/>
  <c r="L193" i="4"/>
  <c r="K193" i="4"/>
  <c r="J193" i="4"/>
  <c r="I193" i="4"/>
  <c r="H193" i="4"/>
  <c r="G193" i="4"/>
  <c r="F193" i="4"/>
  <c r="AT192" i="4"/>
  <c r="AS192" i="4"/>
  <c r="AR192" i="4"/>
  <c r="AQ192" i="4"/>
  <c r="AP192" i="4"/>
  <c r="AO192" i="4"/>
  <c r="AN192" i="4"/>
  <c r="AM192" i="4"/>
  <c r="AL192" i="4"/>
  <c r="Z192" i="4"/>
  <c r="Y192" i="4"/>
  <c r="X192" i="4"/>
  <c r="P192" i="4"/>
  <c r="O192" i="4"/>
  <c r="N192" i="4"/>
  <c r="M192" i="4"/>
  <c r="L192" i="4"/>
  <c r="K192" i="4"/>
  <c r="J192" i="4"/>
  <c r="I192" i="4"/>
  <c r="H192" i="4"/>
  <c r="G192" i="4"/>
  <c r="F192" i="4"/>
  <c r="AT191" i="4"/>
  <c r="AS191" i="4"/>
  <c r="AR191" i="4"/>
  <c r="AQ191" i="4"/>
  <c r="AP191" i="4"/>
  <c r="AO191" i="4"/>
  <c r="AN191" i="4"/>
  <c r="AM191" i="4"/>
  <c r="AL191" i="4"/>
  <c r="Z191" i="4"/>
  <c r="Y191" i="4"/>
  <c r="X191" i="4"/>
  <c r="P191" i="4"/>
  <c r="O191" i="4"/>
  <c r="N191" i="4"/>
  <c r="M191" i="4"/>
  <c r="L191" i="4"/>
  <c r="K191" i="4"/>
  <c r="J191" i="4"/>
  <c r="I191" i="4"/>
  <c r="H191" i="4"/>
  <c r="G191" i="4"/>
  <c r="F191" i="4"/>
  <c r="AT190" i="4"/>
  <c r="AS190" i="4"/>
  <c r="AR190" i="4"/>
  <c r="AQ190" i="4"/>
  <c r="AP190" i="4"/>
  <c r="AO190" i="4"/>
  <c r="AN190" i="4"/>
  <c r="AM190" i="4"/>
  <c r="AL190" i="4"/>
  <c r="Z190" i="4"/>
  <c r="Y190" i="4"/>
  <c r="X190" i="4"/>
  <c r="P190" i="4"/>
  <c r="O190" i="4"/>
  <c r="N190" i="4"/>
  <c r="M190" i="4"/>
  <c r="L190" i="4"/>
  <c r="K190" i="4"/>
  <c r="J190" i="4"/>
  <c r="I190" i="4"/>
  <c r="H190" i="4"/>
  <c r="G190" i="4"/>
  <c r="F190" i="4"/>
  <c r="AT189" i="4"/>
  <c r="AS189" i="4"/>
  <c r="AR189" i="4"/>
  <c r="AQ189" i="4"/>
  <c r="AP189" i="4"/>
  <c r="AO189" i="4"/>
  <c r="AN189" i="4"/>
  <c r="AM189" i="4"/>
  <c r="AL189" i="4"/>
  <c r="Z189" i="4"/>
  <c r="Y189" i="4"/>
  <c r="X189" i="4"/>
  <c r="P189" i="4"/>
  <c r="O189" i="4"/>
  <c r="N189" i="4"/>
  <c r="M189" i="4"/>
  <c r="L189" i="4"/>
  <c r="K189" i="4"/>
  <c r="J189" i="4"/>
  <c r="I189" i="4"/>
  <c r="H189" i="4"/>
  <c r="G189" i="4"/>
  <c r="F189" i="4"/>
  <c r="AT188" i="4"/>
  <c r="AS188" i="4"/>
  <c r="AR188" i="4"/>
  <c r="AQ188" i="4"/>
  <c r="AP188" i="4"/>
  <c r="AO188" i="4"/>
  <c r="AN188" i="4"/>
  <c r="AM188" i="4"/>
  <c r="AL188" i="4"/>
  <c r="Z188" i="4"/>
  <c r="Y188" i="4"/>
  <c r="X188" i="4"/>
  <c r="P188" i="4"/>
  <c r="O188" i="4"/>
  <c r="N188" i="4"/>
  <c r="M188" i="4"/>
  <c r="L188" i="4"/>
  <c r="K188" i="4"/>
  <c r="J188" i="4"/>
  <c r="I188" i="4"/>
  <c r="H188" i="4"/>
  <c r="G188" i="4"/>
  <c r="F188" i="4"/>
  <c r="AT187" i="4"/>
  <c r="AS187" i="4"/>
  <c r="AR187" i="4"/>
  <c r="AQ187" i="4"/>
  <c r="AP187" i="4"/>
  <c r="AO187" i="4"/>
  <c r="AN187" i="4"/>
  <c r="AM187" i="4"/>
  <c r="AL187" i="4"/>
  <c r="Z187" i="4"/>
  <c r="Y187" i="4"/>
  <c r="X187" i="4"/>
  <c r="P187" i="4"/>
  <c r="O187" i="4"/>
  <c r="N187" i="4"/>
  <c r="M187" i="4"/>
  <c r="L187" i="4"/>
  <c r="K187" i="4"/>
  <c r="J187" i="4"/>
  <c r="I187" i="4"/>
  <c r="H187" i="4"/>
  <c r="G187" i="4"/>
  <c r="F187" i="4"/>
  <c r="AT186" i="4"/>
  <c r="AS186" i="4"/>
  <c r="AR186" i="4"/>
  <c r="AQ186" i="4"/>
  <c r="AP186" i="4"/>
  <c r="AO186" i="4"/>
  <c r="AN186" i="4"/>
  <c r="AM186" i="4"/>
  <c r="AL186" i="4"/>
  <c r="Z186" i="4"/>
  <c r="Y186" i="4"/>
  <c r="X186" i="4"/>
  <c r="P186" i="4"/>
  <c r="O186" i="4"/>
  <c r="N186" i="4"/>
  <c r="M186" i="4"/>
  <c r="L186" i="4"/>
  <c r="K186" i="4"/>
  <c r="J186" i="4"/>
  <c r="I186" i="4"/>
  <c r="H186" i="4"/>
  <c r="G186" i="4"/>
  <c r="F186" i="4"/>
  <c r="AT185" i="4"/>
  <c r="AS185" i="4"/>
  <c r="AR185" i="4"/>
  <c r="AQ185" i="4"/>
  <c r="AP185" i="4"/>
  <c r="AO185" i="4"/>
  <c r="AN185" i="4"/>
  <c r="AM185" i="4"/>
  <c r="AL185" i="4"/>
  <c r="Z185" i="4"/>
  <c r="Y185" i="4"/>
  <c r="X185" i="4"/>
  <c r="P185" i="4"/>
  <c r="O185" i="4"/>
  <c r="N185" i="4"/>
  <c r="M185" i="4"/>
  <c r="L185" i="4"/>
  <c r="K185" i="4"/>
  <c r="J185" i="4"/>
  <c r="I185" i="4"/>
  <c r="H185" i="4"/>
  <c r="G185" i="4"/>
  <c r="F185" i="4"/>
  <c r="AT184" i="4"/>
  <c r="AS184" i="4"/>
  <c r="AR184" i="4"/>
  <c r="AQ184" i="4"/>
  <c r="AP184" i="4"/>
  <c r="AO184" i="4"/>
  <c r="AN184" i="4"/>
  <c r="AM184" i="4"/>
  <c r="AL184" i="4"/>
  <c r="Z184" i="4"/>
  <c r="Y184" i="4"/>
  <c r="X184" i="4"/>
  <c r="P184" i="4"/>
  <c r="O184" i="4"/>
  <c r="N184" i="4"/>
  <c r="M184" i="4"/>
  <c r="L184" i="4"/>
  <c r="K184" i="4"/>
  <c r="J184" i="4"/>
  <c r="I184" i="4"/>
  <c r="H184" i="4"/>
  <c r="G184" i="4"/>
  <c r="F184" i="4"/>
  <c r="AT183" i="4"/>
  <c r="AS183" i="4"/>
  <c r="AR183" i="4"/>
  <c r="AQ183" i="4"/>
  <c r="AP183" i="4"/>
  <c r="AO183" i="4"/>
  <c r="AN183" i="4"/>
  <c r="AM183" i="4"/>
  <c r="AL183" i="4"/>
  <c r="Z183" i="4"/>
  <c r="Y183" i="4"/>
  <c r="X183" i="4"/>
  <c r="P183" i="4"/>
  <c r="O183" i="4"/>
  <c r="N183" i="4"/>
  <c r="M183" i="4"/>
  <c r="L183" i="4"/>
  <c r="K183" i="4"/>
  <c r="J183" i="4"/>
  <c r="I183" i="4"/>
  <c r="H183" i="4"/>
  <c r="G183" i="4"/>
  <c r="F183" i="4"/>
  <c r="AT182" i="4"/>
  <c r="AS182" i="4"/>
  <c r="AR182" i="4"/>
  <c r="AQ182" i="4"/>
  <c r="AP182" i="4"/>
  <c r="AO182" i="4"/>
  <c r="AN182" i="4"/>
  <c r="AM182" i="4"/>
  <c r="AL182" i="4"/>
  <c r="Z182" i="4"/>
  <c r="Y182" i="4"/>
  <c r="X182" i="4"/>
  <c r="P182" i="4"/>
  <c r="O182" i="4"/>
  <c r="N182" i="4"/>
  <c r="M182" i="4"/>
  <c r="L182" i="4"/>
  <c r="K182" i="4"/>
  <c r="J182" i="4"/>
  <c r="I182" i="4"/>
  <c r="H182" i="4"/>
  <c r="G182" i="4"/>
  <c r="F182" i="4"/>
  <c r="AT181" i="4"/>
  <c r="AS181" i="4"/>
  <c r="AR181" i="4"/>
  <c r="AQ181" i="4"/>
  <c r="AP181" i="4"/>
  <c r="AO181" i="4"/>
  <c r="AN181" i="4"/>
  <c r="AM181" i="4"/>
  <c r="AL181" i="4"/>
  <c r="Z181" i="4"/>
  <c r="Y181" i="4"/>
  <c r="X181" i="4"/>
  <c r="P181" i="4"/>
  <c r="O181" i="4"/>
  <c r="N181" i="4"/>
  <c r="M181" i="4"/>
  <c r="L181" i="4"/>
  <c r="K181" i="4"/>
  <c r="J181" i="4"/>
  <c r="I181" i="4"/>
  <c r="H181" i="4"/>
  <c r="G181" i="4"/>
  <c r="F181" i="4"/>
  <c r="AT180" i="4"/>
  <c r="AS180" i="4"/>
  <c r="AR180" i="4"/>
  <c r="AQ180" i="4"/>
  <c r="AP180" i="4"/>
  <c r="AO180" i="4"/>
  <c r="AN180" i="4"/>
  <c r="AM180" i="4"/>
  <c r="AL180" i="4"/>
  <c r="Z180" i="4"/>
  <c r="Y180" i="4"/>
  <c r="X180" i="4"/>
  <c r="P180" i="4"/>
  <c r="O180" i="4"/>
  <c r="N180" i="4"/>
  <c r="M180" i="4"/>
  <c r="L180" i="4"/>
  <c r="K180" i="4"/>
  <c r="J180" i="4"/>
  <c r="I180" i="4"/>
  <c r="H180" i="4"/>
  <c r="G180" i="4"/>
  <c r="F180" i="4"/>
  <c r="AT179" i="4"/>
  <c r="AS179" i="4"/>
  <c r="AR179" i="4"/>
  <c r="AQ179" i="4"/>
  <c r="AP179" i="4"/>
  <c r="AO179" i="4"/>
  <c r="AN179" i="4"/>
  <c r="AM179" i="4"/>
  <c r="AL179" i="4"/>
  <c r="Z179" i="4"/>
  <c r="Y179" i="4"/>
  <c r="X179" i="4"/>
  <c r="P179" i="4"/>
  <c r="O179" i="4"/>
  <c r="N179" i="4"/>
  <c r="M179" i="4"/>
  <c r="L179" i="4"/>
  <c r="K179" i="4"/>
  <c r="J179" i="4"/>
  <c r="I179" i="4"/>
  <c r="H179" i="4"/>
  <c r="G179" i="4"/>
  <c r="F179" i="4"/>
  <c r="AT178" i="4"/>
  <c r="AS178" i="4"/>
  <c r="AR178" i="4"/>
  <c r="AQ178" i="4"/>
  <c r="AP178" i="4"/>
  <c r="AO178" i="4"/>
  <c r="AN178" i="4"/>
  <c r="AM178" i="4"/>
  <c r="AL178" i="4"/>
  <c r="Z178" i="4"/>
  <c r="Y178" i="4"/>
  <c r="X178" i="4"/>
  <c r="P178" i="4"/>
  <c r="O178" i="4"/>
  <c r="N178" i="4"/>
  <c r="M178" i="4"/>
  <c r="L178" i="4"/>
  <c r="K178" i="4"/>
  <c r="J178" i="4"/>
  <c r="I178" i="4"/>
  <c r="H178" i="4"/>
  <c r="G178" i="4"/>
  <c r="F178" i="4"/>
  <c r="AT177" i="4"/>
  <c r="AS177" i="4"/>
  <c r="AR177" i="4"/>
  <c r="AQ177" i="4"/>
  <c r="AP177" i="4"/>
  <c r="AO177" i="4"/>
  <c r="AN177" i="4"/>
  <c r="AM177" i="4"/>
  <c r="AL177" i="4"/>
  <c r="Z177" i="4"/>
  <c r="Y177" i="4"/>
  <c r="X177" i="4"/>
  <c r="P177" i="4"/>
  <c r="O177" i="4"/>
  <c r="N177" i="4"/>
  <c r="M177" i="4"/>
  <c r="L177" i="4"/>
  <c r="K177" i="4"/>
  <c r="J177" i="4"/>
  <c r="I177" i="4"/>
  <c r="H177" i="4"/>
  <c r="G177" i="4"/>
  <c r="F177" i="4"/>
  <c r="AT176" i="4"/>
  <c r="AS176" i="4"/>
  <c r="AR176" i="4"/>
  <c r="AQ176" i="4"/>
  <c r="AP176" i="4"/>
  <c r="AO176" i="4"/>
  <c r="AN176" i="4"/>
  <c r="AM176" i="4"/>
  <c r="AL176" i="4"/>
  <c r="Z176" i="4"/>
  <c r="Y176" i="4"/>
  <c r="X176" i="4"/>
  <c r="P176" i="4"/>
  <c r="O176" i="4"/>
  <c r="N176" i="4"/>
  <c r="M176" i="4"/>
  <c r="L176" i="4"/>
  <c r="K176" i="4"/>
  <c r="J176" i="4"/>
  <c r="I176" i="4"/>
  <c r="H176" i="4"/>
  <c r="G176" i="4"/>
  <c r="F176" i="4"/>
  <c r="AT175" i="4"/>
  <c r="AS175" i="4"/>
  <c r="AR175" i="4"/>
  <c r="AQ175" i="4"/>
  <c r="AP175" i="4"/>
  <c r="AO175" i="4"/>
  <c r="AN175" i="4"/>
  <c r="AM175" i="4"/>
  <c r="AL175" i="4"/>
  <c r="Z175" i="4"/>
  <c r="Y175" i="4"/>
  <c r="X175" i="4"/>
  <c r="P175" i="4"/>
  <c r="O175" i="4"/>
  <c r="N175" i="4"/>
  <c r="M175" i="4"/>
  <c r="L175" i="4"/>
  <c r="K175" i="4"/>
  <c r="J175" i="4"/>
  <c r="I175" i="4"/>
  <c r="H175" i="4"/>
  <c r="G175" i="4"/>
  <c r="F175" i="4"/>
  <c r="AT174" i="4"/>
  <c r="AS174" i="4"/>
  <c r="AR174" i="4"/>
  <c r="AQ174" i="4"/>
  <c r="AP174" i="4"/>
  <c r="AO174" i="4"/>
  <c r="AN174" i="4"/>
  <c r="AM174" i="4"/>
  <c r="AL174" i="4"/>
  <c r="Z174" i="4"/>
  <c r="Y174" i="4"/>
  <c r="X174" i="4"/>
  <c r="P174" i="4"/>
  <c r="O174" i="4"/>
  <c r="N174" i="4"/>
  <c r="M174" i="4"/>
  <c r="L174" i="4"/>
  <c r="K174" i="4"/>
  <c r="J174" i="4"/>
  <c r="I174" i="4"/>
  <c r="H174" i="4"/>
  <c r="G174" i="4"/>
  <c r="F174" i="4"/>
  <c r="AT173" i="4"/>
  <c r="AS173" i="4"/>
  <c r="AR173" i="4"/>
  <c r="AQ173" i="4"/>
  <c r="AP173" i="4"/>
  <c r="AO173" i="4"/>
  <c r="AN173" i="4"/>
  <c r="AM173" i="4"/>
  <c r="AL173" i="4"/>
  <c r="Z173" i="4"/>
  <c r="Y173" i="4"/>
  <c r="X173" i="4"/>
  <c r="P173" i="4"/>
  <c r="O173" i="4"/>
  <c r="N173" i="4"/>
  <c r="M173" i="4"/>
  <c r="L173" i="4"/>
  <c r="K173" i="4"/>
  <c r="J173" i="4"/>
  <c r="I173" i="4"/>
  <c r="H173" i="4"/>
  <c r="G173" i="4"/>
  <c r="F173" i="4"/>
  <c r="AT172" i="4"/>
  <c r="AS172" i="4"/>
  <c r="AR172" i="4"/>
  <c r="AQ172" i="4"/>
  <c r="AP172" i="4"/>
  <c r="AO172" i="4"/>
  <c r="AN172" i="4"/>
  <c r="AM172" i="4"/>
  <c r="AL172" i="4"/>
  <c r="Z172" i="4"/>
  <c r="Y172" i="4"/>
  <c r="X172" i="4"/>
  <c r="P172" i="4"/>
  <c r="O172" i="4"/>
  <c r="N172" i="4"/>
  <c r="M172" i="4"/>
  <c r="L172" i="4"/>
  <c r="K172" i="4"/>
  <c r="J172" i="4"/>
  <c r="I172" i="4"/>
  <c r="H172" i="4"/>
  <c r="G172" i="4"/>
  <c r="F172" i="4"/>
  <c r="AT171" i="4"/>
  <c r="AS171" i="4"/>
  <c r="AR171" i="4"/>
  <c r="AQ171" i="4"/>
  <c r="AP171" i="4"/>
  <c r="AO171" i="4"/>
  <c r="AN171" i="4"/>
  <c r="AM171" i="4"/>
  <c r="AL171" i="4"/>
  <c r="Z171" i="4"/>
  <c r="Y171" i="4"/>
  <c r="X171" i="4"/>
  <c r="P171" i="4"/>
  <c r="O171" i="4"/>
  <c r="N171" i="4"/>
  <c r="M171" i="4"/>
  <c r="L171" i="4"/>
  <c r="K171" i="4"/>
  <c r="J171" i="4"/>
  <c r="I171" i="4"/>
  <c r="H171" i="4"/>
  <c r="G171" i="4"/>
  <c r="F171" i="4"/>
  <c r="AT170" i="4"/>
  <c r="AS170" i="4"/>
  <c r="AR170" i="4"/>
  <c r="AQ170" i="4"/>
  <c r="AP170" i="4"/>
  <c r="AO170" i="4"/>
  <c r="AN170" i="4"/>
  <c r="AM170" i="4"/>
  <c r="AL170" i="4"/>
  <c r="Z170" i="4"/>
  <c r="Y170" i="4"/>
  <c r="X170" i="4"/>
  <c r="P170" i="4"/>
  <c r="O170" i="4"/>
  <c r="N170" i="4"/>
  <c r="M170" i="4"/>
  <c r="L170" i="4"/>
  <c r="K170" i="4"/>
  <c r="J170" i="4"/>
  <c r="I170" i="4"/>
  <c r="H170" i="4"/>
  <c r="G170" i="4"/>
  <c r="F170" i="4"/>
  <c r="AT169" i="4"/>
  <c r="AS169" i="4"/>
  <c r="AR169" i="4"/>
  <c r="AQ169" i="4"/>
  <c r="AP169" i="4"/>
  <c r="AO169" i="4"/>
  <c r="AN169" i="4"/>
  <c r="AM169" i="4"/>
  <c r="AL169" i="4"/>
  <c r="Z169" i="4"/>
  <c r="X169" i="4"/>
  <c r="P169" i="4"/>
  <c r="O169" i="4"/>
  <c r="N169" i="4"/>
  <c r="M169" i="4"/>
  <c r="L169" i="4"/>
  <c r="K169" i="4"/>
  <c r="J169" i="4"/>
  <c r="I169" i="4"/>
  <c r="H169" i="4"/>
  <c r="G169" i="4"/>
  <c r="F169" i="4"/>
  <c r="AT168" i="4"/>
  <c r="AS168" i="4"/>
  <c r="AR168" i="4"/>
  <c r="AQ168" i="4"/>
  <c r="AP168" i="4"/>
  <c r="AO168" i="4"/>
  <c r="AN168" i="4"/>
  <c r="AM168" i="4"/>
  <c r="AL168" i="4"/>
  <c r="Z168" i="4"/>
  <c r="X168" i="4"/>
  <c r="P168" i="4"/>
  <c r="O168" i="4"/>
  <c r="N168" i="4"/>
  <c r="M168" i="4"/>
  <c r="L168" i="4"/>
  <c r="K168" i="4"/>
  <c r="J168" i="4"/>
  <c r="I168" i="4"/>
  <c r="H168" i="4"/>
  <c r="G168" i="4"/>
  <c r="F168" i="4"/>
  <c r="AT167" i="4"/>
  <c r="AS167" i="4"/>
  <c r="AR167" i="4"/>
  <c r="AQ167" i="4"/>
  <c r="AP167" i="4"/>
  <c r="AO167" i="4"/>
  <c r="AN167" i="4"/>
  <c r="AM167" i="4"/>
  <c r="AL167" i="4"/>
  <c r="Z167" i="4"/>
  <c r="X167" i="4"/>
  <c r="P167" i="4"/>
  <c r="O167" i="4"/>
  <c r="N167" i="4"/>
  <c r="M167" i="4"/>
  <c r="L167" i="4"/>
  <c r="K167" i="4"/>
  <c r="J167" i="4"/>
  <c r="I167" i="4"/>
  <c r="H167" i="4"/>
  <c r="G167" i="4"/>
  <c r="F167" i="4"/>
  <c r="AT166" i="4"/>
  <c r="AS166" i="4"/>
  <c r="AR166" i="4"/>
  <c r="AQ166" i="4"/>
  <c r="AP166" i="4"/>
  <c r="AO166" i="4"/>
  <c r="AN166" i="4"/>
  <c r="AM166" i="4"/>
  <c r="AL166" i="4"/>
  <c r="Z166" i="4"/>
  <c r="X166" i="4"/>
  <c r="P166" i="4"/>
  <c r="O166" i="4"/>
  <c r="N166" i="4"/>
  <c r="M166" i="4"/>
  <c r="L166" i="4"/>
  <c r="K166" i="4"/>
  <c r="J166" i="4"/>
  <c r="I166" i="4"/>
  <c r="H166" i="4"/>
  <c r="G166" i="4"/>
  <c r="F166" i="4"/>
  <c r="AT165" i="4"/>
  <c r="AS165" i="4"/>
  <c r="AR165" i="4"/>
  <c r="AQ165" i="4"/>
  <c r="AP165" i="4"/>
  <c r="AO165" i="4"/>
  <c r="AN165" i="4"/>
  <c r="AM165" i="4"/>
  <c r="AL165" i="4"/>
  <c r="Z165" i="4"/>
  <c r="X165" i="4"/>
  <c r="P165" i="4"/>
  <c r="O165" i="4"/>
  <c r="N165" i="4"/>
  <c r="M165" i="4"/>
  <c r="L165" i="4"/>
  <c r="K165" i="4"/>
  <c r="J165" i="4"/>
  <c r="I165" i="4"/>
  <c r="H165" i="4"/>
  <c r="G165" i="4"/>
  <c r="F165" i="4"/>
  <c r="AT164" i="4"/>
  <c r="AS164" i="4"/>
  <c r="AR164" i="4"/>
  <c r="AQ164" i="4"/>
  <c r="AP164" i="4"/>
  <c r="AO164" i="4"/>
  <c r="AN164" i="4"/>
  <c r="AM164" i="4"/>
  <c r="AL164" i="4"/>
  <c r="Z164" i="4"/>
  <c r="X164" i="4"/>
  <c r="P164" i="4"/>
  <c r="O164" i="4"/>
  <c r="N164" i="4"/>
  <c r="M164" i="4"/>
  <c r="L164" i="4"/>
  <c r="K164" i="4"/>
  <c r="J164" i="4"/>
  <c r="I164" i="4"/>
  <c r="H164" i="4"/>
  <c r="G164" i="4"/>
  <c r="F164" i="4"/>
  <c r="AT163" i="4"/>
  <c r="AS163" i="4"/>
  <c r="AR163" i="4"/>
  <c r="AQ163" i="4"/>
  <c r="AP163" i="4"/>
  <c r="AO163" i="4"/>
  <c r="AN163" i="4"/>
  <c r="AM163" i="4"/>
  <c r="AL163" i="4"/>
  <c r="Z163" i="4"/>
  <c r="X163" i="4"/>
  <c r="P163" i="4"/>
  <c r="O163" i="4"/>
  <c r="N163" i="4"/>
  <c r="M163" i="4"/>
  <c r="L163" i="4"/>
  <c r="K163" i="4"/>
  <c r="J163" i="4"/>
  <c r="I163" i="4"/>
  <c r="H163" i="4"/>
  <c r="G163" i="4"/>
  <c r="F163" i="4"/>
  <c r="AT162" i="4"/>
  <c r="AS162" i="4"/>
  <c r="AR162" i="4"/>
  <c r="AQ162" i="4"/>
  <c r="AP162" i="4"/>
  <c r="AO162" i="4"/>
  <c r="AN162" i="4"/>
  <c r="AM162" i="4"/>
  <c r="AL162" i="4"/>
  <c r="Z162" i="4"/>
  <c r="X162" i="4"/>
  <c r="P162" i="4"/>
  <c r="O162" i="4"/>
  <c r="N162" i="4"/>
  <c r="M162" i="4"/>
  <c r="L162" i="4"/>
  <c r="K162" i="4"/>
  <c r="J162" i="4"/>
  <c r="I162" i="4"/>
  <c r="H162" i="4"/>
  <c r="G162" i="4"/>
  <c r="F162" i="4"/>
  <c r="AT161" i="4"/>
  <c r="AS161" i="4"/>
  <c r="AR161" i="4"/>
  <c r="AQ161" i="4"/>
  <c r="AP161" i="4"/>
  <c r="AO161" i="4"/>
  <c r="AN161" i="4"/>
  <c r="AM161" i="4"/>
  <c r="AL161" i="4"/>
  <c r="Z161" i="4"/>
  <c r="X161" i="4"/>
  <c r="P161" i="4"/>
  <c r="O161" i="4"/>
  <c r="N161" i="4"/>
  <c r="M161" i="4"/>
  <c r="L161" i="4"/>
  <c r="K161" i="4"/>
  <c r="J161" i="4"/>
  <c r="I161" i="4"/>
  <c r="H161" i="4"/>
  <c r="G161" i="4"/>
  <c r="F161" i="4"/>
  <c r="AT160" i="4"/>
  <c r="AS160" i="4"/>
  <c r="AR160" i="4"/>
  <c r="AQ160" i="4"/>
  <c r="AP160" i="4"/>
  <c r="AO160" i="4"/>
  <c r="AN160" i="4"/>
  <c r="AM160" i="4"/>
  <c r="AL160" i="4"/>
  <c r="Z160" i="4"/>
  <c r="X160" i="4"/>
  <c r="P160" i="4"/>
  <c r="O160" i="4"/>
  <c r="N160" i="4"/>
  <c r="M160" i="4"/>
  <c r="L160" i="4"/>
  <c r="K160" i="4"/>
  <c r="J160" i="4"/>
  <c r="I160" i="4"/>
  <c r="H160" i="4"/>
  <c r="G160" i="4"/>
  <c r="F160" i="4"/>
  <c r="AT159" i="4"/>
  <c r="AS159" i="4"/>
  <c r="AR159" i="4"/>
  <c r="AQ159" i="4"/>
  <c r="AP159" i="4"/>
  <c r="AO159" i="4"/>
  <c r="AN159" i="4"/>
  <c r="AM159" i="4"/>
  <c r="AL159" i="4"/>
  <c r="Z159" i="4"/>
  <c r="X159" i="4"/>
  <c r="P159" i="4"/>
  <c r="O159" i="4"/>
  <c r="N159" i="4"/>
  <c r="M159" i="4"/>
  <c r="L159" i="4"/>
  <c r="K159" i="4"/>
  <c r="J159" i="4"/>
  <c r="I159" i="4"/>
  <c r="H159" i="4"/>
  <c r="G159" i="4"/>
  <c r="F159" i="4"/>
  <c r="AT158" i="4"/>
  <c r="AS158" i="4"/>
  <c r="AR158" i="4"/>
  <c r="AQ158" i="4"/>
  <c r="AP158" i="4"/>
  <c r="AO158" i="4"/>
  <c r="AN158" i="4"/>
  <c r="AM158" i="4"/>
  <c r="AL158" i="4"/>
  <c r="Z158" i="4"/>
  <c r="X158" i="4"/>
  <c r="P158" i="4"/>
  <c r="O158" i="4"/>
  <c r="N158" i="4"/>
  <c r="M158" i="4"/>
  <c r="L158" i="4"/>
  <c r="K158" i="4"/>
  <c r="J158" i="4"/>
  <c r="I158" i="4"/>
  <c r="H158" i="4"/>
  <c r="G158" i="4"/>
  <c r="F158" i="4"/>
  <c r="AT157" i="4"/>
  <c r="AS157" i="4"/>
  <c r="AR157" i="4"/>
  <c r="AQ157" i="4"/>
  <c r="AP157" i="4"/>
  <c r="AO157" i="4"/>
  <c r="AN157" i="4"/>
  <c r="AM157" i="4"/>
  <c r="AL157" i="4"/>
  <c r="Z157" i="4"/>
  <c r="X157" i="4"/>
  <c r="P157" i="4"/>
  <c r="O157" i="4"/>
  <c r="N157" i="4"/>
  <c r="M157" i="4"/>
  <c r="L157" i="4"/>
  <c r="K157" i="4"/>
  <c r="J157" i="4"/>
  <c r="I157" i="4"/>
  <c r="H157" i="4"/>
  <c r="G157" i="4"/>
  <c r="F157" i="4"/>
  <c r="AT156" i="4"/>
  <c r="AS156" i="4"/>
  <c r="AR156" i="4"/>
  <c r="AQ156" i="4"/>
  <c r="AP156" i="4"/>
  <c r="AO156" i="4"/>
  <c r="AN156" i="4"/>
  <c r="AM156" i="4"/>
  <c r="AL156" i="4"/>
  <c r="Z156" i="4"/>
  <c r="X156" i="4"/>
  <c r="P156" i="4"/>
  <c r="O156" i="4"/>
  <c r="N156" i="4"/>
  <c r="M156" i="4"/>
  <c r="L156" i="4"/>
  <c r="K156" i="4"/>
  <c r="J156" i="4"/>
  <c r="I156" i="4"/>
  <c r="H156" i="4"/>
  <c r="G156" i="4"/>
  <c r="F156" i="4"/>
  <c r="AT155" i="4"/>
  <c r="AS155" i="4"/>
  <c r="AR155" i="4"/>
  <c r="AQ155" i="4"/>
  <c r="AP155" i="4"/>
  <c r="AO155" i="4"/>
  <c r="AN155" i="4"/>
  <c r="AM155" i="4"/>
  <c r="AL155" i="4"/>
  <c r="Z155" i="4"/>
  <c r="X155" i="4"/>
  <c r="P155" i="4"/>
  <c r="O155" i="4"/>
  <c r="N155" i="4"/>
  <c r="M155" i="4"/>
  <c r="L155" i="4"/>
  <c r="K155" i="4"/>
  <c r="J155" i="4"/>
  <c r="I155" i="4"/>
  <c r="H155" i="4"/>
  <c r="G155" i="4"/>
  <c r="F155" i="4"/>
  <c r="AT154" i="4"/>
  <c r="AS154" i="4"/>
  <c r="AR154" i="4"/>
  <c r="AQ154" i="4"/>
  <c r="AP154" i="4"/>
  <c r="AO154" i="4"/>
  <c r="AN154" i="4"/>
  <c r="AM154" i="4"/>
  <c r="AL154" i="4"/>
  <c r="Z154" i="4"/>
  <c r="X154" i="4"/>
  <c r="P154" i="4"/>
  <c r="O154" i="4"/>
  <c r="N154" i="4"/>
  <c r="M154" i="4"/>
  <c r="L154" i="4"/>
  <c r="K154" i="4"/>
  <c r="J154" i="4"/>
  <c r="I154" i="4"/>
  <c r="H154" i="4"/>
  <c r="G154" i="4"/>
  <c r="F154" i="4"/>
  <c r="AT153" i="4"/>
  <c r="AS153" i="4"/>
  <c r="AR153" i="4"/>
  <c r="AQ153" i="4"/>
  <c r="AP153" i="4"/>
  <c r="AO153" i="4"/>
  <c r="AN153" i="4"/>
  <c r="AM153" i="4"/>
  <c r="AL153" i="4"/>
  <c r="Z153" i="4"/>
  <c r="X153" i="4"/>
  <c r="P153" i="4"/>
  <c r="O153" i="4"/>
  <c r="N153" i="4"/>
  <c r="M153" i="4"/>
  <c r="L153" i="4"/>
  <c r="K153" i="4"/>
  <c r="J153" i="4"/>
  <c r="I153" i="4"/>
  <c r="H153" i="4"/>
  <c r="G153" i="4"/>
  <c r="F153" i="4"/>
  <c r="AT152" i="4"/>
  <c r="AS152" i="4"/>
  <c r="AR152" i="4"/>
  <c r="AQ152" i="4"/>
  <c r="AP152" i="4"/>
  <c r="AO152" i="4"/>
  <c r="AN152" i="4"/>
  <c r="AM152" i="4"/>
  <c r="AL152" i="4"/>
  <c r="Z152" i="4"/>
  <c r="X152" i="4"/>
  <c r="P152" i="4"/>
  <c r="O152" i="4"/>
  <c r="N152" i="4"/>
  <c r="M152" i="4"/>
  <c r="L152" i="4"/>
  <c r="K152" i="4"/>
  <c r="J152" i="4"/>
  <c r="I152" i="4"/>
  <c r="H152" i="4"/>
  <c r="G152" i="4"/>
  <c r="F152" i="4"/>
  <c r="AT151" i="4"/>
  <c r="AS151" i="4"/>
  <c r="AR151" i="4"/>
  <c r="AQ151" i="4"/>
  <c r="AP151" i="4"/>
  <c r="AO151" i="4"/>
  <c r="AN151" i="4"/>
  <c r="AM151" i="4"/>
  <c r="AL151" i="4"/>
  <c r="Z151" i="4"/>
  <c r="X151" i="4"/>
  <c r="P151" i="4"/>
  <c r="O151" i="4"/>
  <c r="N151" i="4"/>
  <c r="M151" i="4"/>
  <c r="L151" i="4"/>
  <c r="K151" i="4"/>
  <c r="J151" i="4"/>
  <c r="I151" i="4"/>
  <c r="H151" i="4"/>
  <c r="G151" i="4"/>
  <c r="F151" i="4"/>
  <c r="AT150" i="4"/>
  <c r="AS150" i="4"/>
  <c r="AR150" i="4"/>
  <c r="AQ150" i="4"/>
  <c r="AP150" i="4"/>
  <c r="AO150" i="4"/>
  <c r="AN150" i="4"/>
  <c r="AM150" i="4"/>
  <c r="AL150" i="4"/>
  <c r="Z150" i="4"/>
  <c r="X150" i="4"/>
  <c r="P150" i="4"/>
  <c r="O150" i="4"/>
  <c r="N150" i="4"/>
  <c r="M150" i="4"/>
  <c r="L150" i="4"/>
  <c r="K150" i="4"/>
  <c r="J150" i="4"/>
  <c r="I150" i="4"/>
  <c r="H150" i="4"/>
  <c r="G150" i="4"/>
  <c r="F150" i="4"/>
  <c r="AT149" i="4"/>
  <c r="AS149" i="4"/>
  <c r="AR149" i="4"/>
  <c r="AQ149" i="4"/>
  <c r="AP149" i="4"/>
  <c r="AO149" i="4"/>
  <c r="AN149" i="4"/>
  <c r="AM149" i="4"/>
  <c r="AL149" i="4"/>
  <c r="Z149" i="4"/>
  <c r="X149" i="4"/>
  <c r="P149" i="4"/>
  <c r="O149" i="4"/>
  <c r="N149" i="4"/>
  <c r="M149" i="4"/>
  <c r="L149" i="4"/>
  <c r="K149" i="4"/>
  <c r="J149" i="4"/>
  <c r="I149" i="4"/>
  <c r="H149" i="4"/>
  <c r="G149" i="4"/>
  <c r="F149" i="4"/>
  <c r="AT148" i="4"/>
  <c r="AS148" i="4"/>
  <c r="AR148" i="4"/>
  <c r="AQ148" i="4"/>
  <c r="AP148" i="4"/>
  <c r="AO148" i="4"/>
  <c r="AN148" i="4"/>
  <c r="AM148" i="4"/>
  <c r="AL148" i="4"/>
  <c r="Z148" i="4"/>
  <c r="X148" i="4"/>
  <c r="P148" i="4"/>
  <c r="O148" i="4"/>
  <c r="N148" i="4"/>
  <c r="M148" i="4"/>
  <c r="L148" i="4"/>
  <c r="K148" i="4"/>
  <c r="J148" i="4"/>
  <c r="I148" i="4"/>
  <c r="H148" i="4"/>
  <c r="G148" i="4"/>
  <c r="F148" i="4"/>
  <c r="AT147" i="4"/>
  <c r="AS147" i="4"/>
  <c r="AR147" i="4"/>
  <c r="AQ147" i="4"/>
  <c r="AP147" i="4"/>
  <c r="AO147" i="4"/>
  <c r="AN147" i="4"/>
  <c r="AM147" i="4"/>
  <c r="AL147" i="4"/>
  <c r="Z147" i="4"/>
  <c r="X147" i="4"/>
  <c r="P147" i="4"/>
  <c r="O147" i="4"/>
  <c r="N147" i="4"/>
  <c r="M147" i="4"/>
  <c r="L147" i="4"/>
  <c r="K147" i="4"/>
  <c r="J147" i="4"/>
  <c r="I147" i="4"/>
  <c r="H147" i="4"/>
  <c r="G147" i="4"/>
  <c r="F147" i="4"/>
  <c r="AT146" i="4"/>
  <c r="AS146" i="4"/>
  <c r="AR146" i="4"/>
  <c r="AQ146" i="4"/>
  <c r="AP146" i="4"/>
  <c r="AO146" i="4"/>
  <c r="AN146" i="4"/>
  <c r="AM146" i="4"/>
  <c r="AL146" i="4"/>
  <c r="Z146" i="4"/>
  <c r="X146" i="4"/>
  <c r="P146" i="4"/>
  <c r="O146" i="4"/>
  <c r="N146" i="4"/>
  <c r="M146" i="4"/>
  <c r="L146" i="4"/>
  <c r="K146" i="4"/>
  <c r="J146" i="4"/>
  <c r="I146" i="4"/>
  <c r="H146" i="4"/>
  <c r="G146" i="4"/>
  <c r="F146" i="4"/>
  <c r="AT145" i="4"/>
  <c r="AS145" i="4"/>
  <c r="AR145" i="4"/>
  <c r="AQ145" i="4"/>
  <c r="AP145" i="4"/>
  <c r="AO145" i="4"/>
  <c r="AN145" i="4"/>
  <c r="AM145" i="4"/>
  <c r="AL145" i="4"/>
  <c r="Z145" i="4"/>
  <c r="X145" i="4"/>
  <c r="P145" i="4"/>
  <c r="O145" i="4"/>
  <c r="N145" i="4"/>
  <c r="M145" i="4"/>
  <c r="L145" i="4"/>
  <c r="K145" i="4"/>
  <c r="J145" i="4"/>
  <c r="I145" i="4"/>
  <c r="H145" i="4"/>
  <c r="G145" i="4"/>
  <c r="F145" i="4"/>
  <c r="AT144" i="4"/>
  <c r="AS144" i="4"/>
  <c r="AR144" i="4"/>
  <c r="AQ144" i="4"/>
  <c r="AP144" i="4"/>
  <c r="AO144" i="4"/>
  <c r="AN144" i="4"/>
  <c r="AM144" i="4"/>
  <c r="AL144" i="4"/>
  <c r="Z144" i="4"/>
  <c r="X144" i="4"/>
  <c r="P144" i="4"/>
  <c r="O144" i="4"/>
  <c r="N144" i="4"/>
  <c r="M144" i="4"/>
  <c r="L144" i="4"/>
  <c r="K144" i="4"/>
  <c r="J144" i="4"/>
  <c r="I144" i="4"/>
  <c r="H144" i="4"/>
  <c r="G144" i="4"/>
  <c r="F144" i="4"/>
  <c r="AT143" i="4"/>
  <c r="AS143" i="4"/>
  <c r="AR143" i="4"/>
  <c r="AQ143" i="4"/>
  <c r="AP143" i="4"/>
  <c r="AO143" i="4"/>
  <c r="AN143" i="4"/>
  <c r="AM143" i="4"/>
  <c r="AL143" i="4"/>
  <c r="Z143" i="4"/>
  <c r="X143" i="4"/>
  <c r="P143" i="4"/>
  <c r="O143" i="4"/>
  <c r="N143" i="4"/>
  <c r="M143" i="4"/>
  <c r="L143" i="4"/>
  <c r="K143" i="4"/>
  <c r="J143" i="4"/>
  <c r="I143" i="4"/>
  <c r="H143" i="4"/>
  <c r="G143" i="4"/>
  <c r="F143" i="4"/>
  <c r="AT142" i="4"/>
  <c r="AS142" i="4"/>
  <c r="AR142" i="4"/>
  <c r="AQ142" i="4"/>
  <c r="AP142" i="4"/>
  <c r="AO142" i="4"/>
  <c r="AN142" i="4"/>
  <c r="AM142" i="4"/>
  <c r="AL142" i="4"/>
  <c r="Z142" i="4"/>
  <c r="X142" i="4"/>
  <c r="P142" i="4"/>
  <c r="O142" i="4"/>
  <c r="N142" i="4"/>
  <c r="M142" i="4"/>
  <c r="L142" i="4"/>
  <c r="K142" i="4"/>
  <c r="J142" i="4"/>
  <c r="I142" i="4"/>
  <c r="H142" i="4"/>
  <c r="G142" i="4"/>
  <c r="F142" i="4"/>
  <c r="AT141" i="4"/>
  <c r="AS141" i="4"/>
  <c r="AR141" i="4"/>
  <c r="AQ141" i="4"/>
  <c r="AP141" i="4"/>
  <c r="AO141" i="4"/>
  <c r="AN141" i="4"/>
  <c r="AM141" i="4"/>
  <c r="AL141" i="4"/>
  <c r="Z141" i="4"/>
  <c r="X141" i="4"/>
  <c r="P141" i="4"/>
  <c r="O141" i="4"/>
  <c r="N141" i="4"/>
  <c r="M141" i="4"/>
  <c r="L141" i="4"/>
  <c r="K141" i="4"/>
  <c r="J141" i="4"/>
  <c r="I141" i="4"/>
  <c r="H141" i="4"/>
  <c r="G141" i="4"/>
  <c r="F141" i="4"/>
  <c r="AT140" i="4"/>
  <c r="AS140" i="4"/>
  <c r="AR140" i="4"/>
  <c r="AQ140" i="4"/>
  <c r="AP140" i="4"/>
  <c r="AO140" i="4"/>
  <c r="AN140" i="4"/>
  <c r="AM140" i="4"/>
  <c r="AL140" i="4"/>
  <c r="Z140" i="4"/>
  <c r="X140" i="4"/>
  <c r="P140" i="4"/>
  <c r="O140" i="4"/>
  <c r="N140" i="4"/>
  <c r="M140" i="4"/>
  <c r="L140" i="4"/>
  <c r="K140" i="4"/>
  <c r="J140" i="4"/>
  <c r="I140" i="4"/>
  <c r="H140" i="4"/>
  <c r="G140" i="4"/>
  <c r="F140" i="4"/>
  <c r="AT139" i="4"/>
  <c r="AS139" i="4"/>
  <c r="AR139" i="4"/>
  <c r="AQ139" i="4"/>
  <c r="AP139" i="4"/>
  <c r="AO139" i="4"/>
  <c r="AN139" i="4"/>
  <c r="AM139" i="4"/>
  <c r="AL139" i="4"/>
  <c r="Z139" i="4"/>
  <c r="X139" i="4"/>
  <c r="P139" i="4"/>
  <c r="O139" i="4"/>
  <c r="N139" i="4"/>
  <c r="M139" i="4"/>
  <c r="L139" i="4"/>
  <c r="K139" i="4"/>
  <c r="J139" i="4"/>
  <c r="I139" i="4"/>
  <c r="H139" i="4"/>
  <c r="G139" i="4"/>
  <c r="F139" i="4"/>
  <c r="AT138" i="4"/>
  <c r="AS138" i="4"/>
  <c r="AR138" i="4"/>
  <c r="AQ138" i="4"/>
  <c r="AP138" i="4"/>
  <c r="AO138" i="4"/>
  <c r="AN138" i="4"/>
  <c r="AM138" i="4"/>
  <c r="AL138" i="4"/>
  <c r="Z138" i="4"/>
  <c r="X138" i="4"/>
  <c r="P138" i="4"/>
  <c r="O138" i="4"/>
  <c r="N138" i="4"/>
  <c r="M138" i="4"/>
  <c r="L138" i="4"/>
  <c r="K138" i="4"/>
  <c r="J138" i="4"/>
  <c r="I138" i="4"/>
  <c r="H138" i="4"/>
  <c r="G138" i="4"/>
  <c r="F138" i="4"/>
  <c r="AT137" i="4"/>
  <c r="AS137" i="4"/>
  <c r="AR137" i="4"/>
  <c r="AQ137" i="4"/>
  <c r="AP137" i="4"/>
  <c r="AO137" i="4"/>
  <c r="AN137" i="4"/>
  <c r="AM137" i="4"/>
  <c r="AL137" i="4"/>
  <c r="Z137" i="4"/>
  <c r="X137" i="4"/>
  <c r="P137" i="4"/>
  <c r="O137" i="4"/>
  <c r="N137" i="4"/>
  <c r="M137" i="4"/>
  <c r="L137" i="4"/>
  <c r="K137" i="4"/>
  <c r="J137" i="4"/>
  <c r="I137" i="4"/>
  <c r="H137" i="4"/>
  <c r="G137" i="4"/>
  <c r="F137" i="4"/>
  <c r="AT136" i="4"/>
  <c r="AS136" i="4"/>
  <c r="AR136" i="4"/>
  <c r="AQ136" i="4"/>
  <c r="AP136" i="4"/>
  <c r="AO136" i="4"/>
  <c r="AN136" i="4"/>
  <c r="AM136" i="4"/>
  <c r="AL136" i="4"/>
  <c r="Z136" i="4"/>
  <c r="X136" i="4"/>
  <c r="P136" i="4"/>
  <c r="O136" i="4"/>
  <c r="N136" i="4"/>
  <c r="M136" i="4"/>
  <c r="L136" i="4"/>
  <c r="K136" i="4"/>
  <c r="J136" i="4"/>
  <c r="I136" i="4"/>
  <c r="H136" i="4"/>
  <c r="G136" i="4"/>
  <c r="F136" i="4"/>
  <c r="AT135" i="4"/>
  <c r="AS135" i="4"/>
  <c r="AR135" i="4"/>
  <c r="AQ135" i="4"/>
  <c r="AP135" i="4"/>
  <c r="AO135" i="4"/>
  <c r="AN135" i="4"/>
  <c r="AM135" i="4"/>
  <c r="AL135" i="4"/>
  <c r="Z135" i="4"/>
  <c r="X135" i="4"/>
  <c r="P135" i="4"/>
  <c r="O135" i="4"/>
  <c r="N135" i="4"/>
  <c r="M135" i="4"/>
  <c r="L135" i="4"/>
  <c r="K135" i="4"/>
  <c r="J135" i="4"/>
  <c r="I135" i="4"/>
  <c r="H135" i="4"/>
  <c r="G135" i="4"/>
  <c r="F135" i="4"/>
  <c r="AT134" i="4"/>
  <c r="AS134" i="4"/>
  <c r="AR134" i="4"/>
  <c r="AQ134" i="4"/>
  <c r="AP134" i="4"/>
  <c r="AO134" i="4"/>
  <c r="AN134" i="4"/>
  <c r="AM134" i="4"/>
  <c r="AL134" i="4"/>
  <c r="Z134" i="4"/>
  <c r="X134" i="4"/>
  <c r="P134" i="4"/>
  <c r="O134" i="4"/>
  <c r="N134" i="4"/>
  <c r="M134" i="4"/>
  <c r="L134" i="4"/>
  <c r="K134" i="4"/>
  <c r="J134" i="4"/>
  <c r="I134" i="4"/>
  <c r="H134" i="4"/>
  <c r="G134" i="4"/>
  <c r="F134" i="4"/>
  <c r="AT133" i="4"/>
  <c r="AS133" i="4"/>
  <c r="AR133" i="4"/>
  <c r="AQ133" i="4"/>
  <c r="AP133" i="4"/>
  <c r="AO133" i="4"/>
  <c r="AN133" i="4"/>
  <c r="AM133" i="4"/>
  <c r="AL133" i="4"/>
  <c r="Z133" i="4"/>
  <c r="X133" i="4"/>
  <c r="P133" i="4"/>
  <c r="O133" i="4"/>
  <c r="N133" i="4"/>
  <c r="M133" i="4"/>
  <c r="L133" i="4"/>
  <c r="K133" i="4"/>
  <c r="J133" i="4"/>
  <c r="I133" i="4"/>
  <c r="H133" i="4"/>
  <c r="G133" i="4"/>
  <c r="F133" i="4"/>
  <c r="AT132" i="4"/>
  <c r="AS132" i="4"/>
  <c r="AR132" i="4"/>
  <c r="AQ132" i="4"/>
  <c r="AP132" i="4"/>
  <c r="AO132" i="4"/>
  <c r="AN132" i="4"/>
  <c r="AM132" i="4"/>
  <c r="AL132" i="4"/>
  <c r="Z132" i="4"/>
  <c r="X132" i="4"/>
  <c r="P132" i="4"/>
  <c r="O132" i="4"/>
  <c r="N132" i="4"/>
  <c r="M132" i="4"/>
  <c r="L132" i="4"/>
  <c r="K132" i="4"/>
  <c r="J132" i="4"/>
  <c r="I132" i="4"/>
  <c r="H132" i="4"/>
  <c r="G132" i="4"/>
  <c r="F132" i="4"/>
  <c r="AT131" i="4"/>
  <c r="AS131" i="4"/>
  <c r="AR131" i="4"/>
  <c r="AQ131" i="4"/>
  <c r="AP131" i="4"/>
  <c r="AO131" i="4"/>
  <c r="AN131" i="4"/>
  <c r="AM131" i="4"/>
  <c r="AL131" i="4"/>
  <c r="Z131" i="4"/>
  <c r="X131" i="4"/>
  <c r="P131" i="4"/>
  <c r="O131" i="4"/>
  <c r="N131" i="4"/>
  <c r="M131" i="4"/>
  <c r="L131" i="4"/>
  <c r="K131" i="4"/>
  <c r="J131" i="4"/>
  <c r="I131" i="4"/>
  <c r="H131" i="4"/>
  <c r="G131" i="4"/>
  <c r="F131" i="4"/>
  <c r="AT130" i="4"/>
  <c r="AS130" i="4"/>
  <c r="AR130" i="4"/>
  <c r="AQ130" i="4"/>
  <c r="AP130" i="4"/>
  <c r="AO130" i="4"/>
  <c r="AN130" i="4"/>
  <c r="AM130" i="4"/>
  <c r="AL130" i="4"/>
  <c r="Z130" i="4"/>
  <c r="X130" i="4"/>
  <c r="P130" i="4"/>
  <c r="O130" i="4"/>
  <c r="N130" i="4"/>
  <c r="M130" i="4"/>
  <c r="L130" i="4"/>
  <c r="K130" i="4"/>
  <c r="J130" i="4"/>
  <c r="I130" i="4"/>
  <c r="H130" i="4"/>
  <c r="G130" i="4"/>
  <c r="F130" i="4"/>
  <c r="AT129" i="4"/>
  <c r="AS129" i="4"/>
  <c r="AR129" i="4"/>
  <c r="AQ129" i="4"/>
  <c r="AP129" i="4"/>
  <c r="AO129" i="4"/>
  <c r="AN129" i="4"/>
  <c r="AM129" i="4"/>
  <c r="AL129" i="4"/>
  <c r="Z129" i="4"/>
  <c r="X129" i="4"/>
  <c r="P129" i="4"/>
  <c r="O129" i="4"/>
  <c r="N129" i="4"/>
  <c r="M129" i="4"/>
  <c r="L129" i="4"/>
  <c r="K129" i="4"/>
  <c r="J129" i="4"/>
  <c r="I129" i="4"/>
  <c r="H129" i="4"/>
  <c r="G129" i="4"/>
  <c r="F129" i="4"/>
  <c r="AT128" i="4"/>
  <c r="AS128" i="4"/>
  <c r="AR128" i="4"/>
  <c r="AQ128" i="4"/>
  <c r="AP128" i="4"/>
  <c r="AO128" i="4"/>
  <c r="AN128" i="4"/>
  <c r="AM128" i="4"/>
  <c r="AL128" i="4"/>
  <c r="Z128" i="4"/>
  <c r="X128" i="4"/>
  <c r="P128" i="4"/>
  <c r="O128" i="4"/>
  <c r="N128" i="4"/>
  <c r="M128" i="4"/>
  <c r="L128" i="4"/>
  <c r="K128" i="4"/>
  <c r="J128" i="4"/>
  <c r="I128" i="4"/>
  <c r="H128" i="4"/>
  <c r="G128" i="4"/>
  <c r="F128" i="4"/>
  <c r="AT127" i="4"/>
  <c r="AS127" i="4"/>
  <c r="AR127" i="4"/>
  <c r="AQ127" i="4"/>
  <c r="AP127" i="4"/>
  <c r="AO127" i="4"/>
  <c r="AN127" i="4"/>
  <c r="AM127" i="4"/>
  <c r="AL127" i="4"/>
  <c r="Z127" i="4"/>
  <c r="X127" i="4"/>
  <c r="P127" i="4"/>
  <c r="O127" i="4"/>
  <c r="N127" i="4"/>
  <c r="M127" i="4"/>
  <c r="L127" i="4"/>
  <c r="K127" i="4"/>
  <c r="J127" i="4"/>
  <c r="I127" i="4"/>
  <c r="H127" i="4"/>
  <c r="G127" i="4"/>
  <c r="F127" i="4"/>
  <c r="AT126" i="4"/>
  <c r="AS126" i="4"/>
  <c r="AR126" i="4"/>
  <c r="AQ126" i="4"/>
  <c r="AP126" i="4"/>
  <c r="AO126" i="4"/>
  <c r="AN126" i="4"/>
  <c r="AM126" i="4"/>
  <c r="AL126" i="4"/>
  <c r="Z126" i="4"/>
  <c r="X126" i="4"/>
  <c r="P126" i="4"/>
  <c r="O126" i="4"/>
  <c r="N126" i="4"/>
  <c r="M126" i="4"/>
  <c r="L126" i="4"/>
  <c r="K126" i="4"/>
  <c r="J126" i="4"/>
  <c r="I126" i="4"/>
  <c r="H126" i="4"/>
  <c r="G126" i="4"/>
  <c r="F126" i="4"/>
  <c r="AT125" i="4"/>
  <c r="AS125" i="4"/>
  <c r="AR125" i="4"/>
  <c r="AQ125" i="4"/>
  <c r="AP125" i="4"/>
  <c r="AO125" i="4"/>
  <c r="AN125" i="4"/>
  <c r="AM125" i="4"/>
  <c r="AL125" i="4"/>
  <c r="Z125" i="4"/>
  <c r="X125" i="4"/>
  <c r="P125" i="4"/>
  <c r="O125" i="4"/>
  <c r="N125" i="4"/>
  <c r="M125" i="4"/>
  <c r="L125" i="4"/>
  <c r="K125" i="4"/>
  <c r="J125" i="4"/>
  <c r="I125" i="4"/>
  <c r="H125" i="4"/>
  <c r="G125" i="4"/>
  <c r="F125" i="4"/>
  <c r="AT124" i="4"/>
  <c r="AS124" i="4"/>
  <c r="AR124" i="4"/>
  <c r="AQ124" i="4"/>
  <c r="AP124" i="4"/>
  <c r="AO124" i="4"/>
  <c r="AN124" i="4"/>
  <c r="AM124" i="4"/>
  <c r="AL124" i="4"/>
  <c r="Z124" i="4"/>
  <c r="X124" i="4"/>
  <c r="P124" i="4"/>
  <c r="O124" i="4"/>
  <c r="N124" i="4"/>
  <c r="M124" i="4"/>
  <c r="L124" i="4"/>
  <c r="K124" i="4"/>
  <c r="J124" i="4"/>
  <c r="I124" i="4"/>
  <c r="H124" i="4"/>
  <c r="G124" i="4"/>
  <c r="F124" i="4"/>
  <c r="AT123" i="4"/>
  <c r="AS123" i="4"/>
  <c r="AR123" i="4"/>
  <c r="AQ123" i="4"/>
  <c r="AP123" i="4"/>
  <c r="AO123" i="4"/>
  <c r="AN123" i="4"/>
  <c r="AM123" i="4"/>
  <c r="AL123" i="4"/>
  <c r="Z123" i="4"/>
  <c r="X123" i="4"/>
  <c r="M123" i="4"/>
  <c r="L123" i="4"/>
  <c r="K123" i="4"/>
  <c r="J123" i="4"/>
  <c r="I123" i="4"/>
  <c r="H123" i="4"/>
  <c r="G123" i="4"/>
  <c r="F123" i="4"/>
  <c r="AT122" i="4"/>
  <c r="AS122" i="4"/>
  <c r="AR122" i="4"/>
  <c r="AQ122" i="4"/>
  <c r="AP122" i="4"/>
  <c r="AO122" i="4"/>
  <c r="AN122" i="4"/>
  <c r="AM122" i="4"/>
  <c r="AL122" i="4"/>
  <c r="Z122" i="4"/>
  <c r="X122" i="4"/>
  <c r="M122" i="4"/>
  <c r="L122" i="4"/>
  <c r="K122" i="4"/>
  <c r="J122" i="4"/>
  <c r="I122" i="4"/>
  <c r="H122" i="4"/>
  <c r="G122" i="4"/>
  <c r="F122" i="4"/>
  <c r="AT121" i="4"/>
  <c r="AS121" i="4"/>
  <c r="AR121" i="4"/>
  <c r="AQ121" i="4"/>
  <c r="AP121" i="4"/>
  <c r="AO121" i="4"/>
  <c r="AN121" i="4"/>
  <c r="AM121" i="4"/>
  <c r="AL121" i="4"/>
  <c r="Z121" i="4"/>
  <c r="X121" i="4"/>
  <c r="M121" i="4"/>
  <c r="L121" i="4"/>
  <c r="K121" i="4"/>
  <c r="J121" i="4"/>
  <c r="I121" i="4"/>
  <c r="H121" i="4"/>
  <c r="G121" i="4"/>
  <c r="F121" i="4"/>
  <c r="AT120" i="4"/>
  <c r="AS120" i="4"/>
  <c r="AR120" i="4"/>
  <c r="AQ120" i="4"/>
  <c r="AP120" i="4"/>
  <c r="AO120" i="4"/>
  <c r="AN120" i="4"/>
  <c r="AM120" i="4"/>
  <c r="AL120" i="4"/>
  <c r="Z120" i="4"/>
  <c r="X120" i="4"/>
  <c r="M120" i="4"/>
  <c r="L120" i="4"/>
  <c r="K120" i="4"/>
  <c r="J120" i="4"/>
  <c r="I120" i="4"/>
  <c r="H120" i="4"/>
  <c r="G120" i="4"/>
  <c r="F120" i="4"/>
  <c r="AT119" i="4"/>
  <c r="AS119" i="4"/>
  <c r="AR119" i="4"/>
  <c r="AQ119" i="4"/>
  <c r="AP119" i="4"/>
  <c r="AO119" i="4"/>
  <c r="AN119" i="4"/>
  <c r="AM119" i="4"/>
  <c r="AL119" i="4"/>
  <c r="Z119" i="4"/>
  <c r="X119" i="4"/>
  <c r="M119" i="4"/>
  <c r="L119" i="4"/>
  <c r="K119" i="4"/>
  <c r="J119" i="4"/>
  <c r="I119" i="4"/>
  <c r="H119" i="4"/>
  <c r="G119" i="4"/>
  <c r="F119" i="4"/>
  <c r="AT118" i="4"/>
  <c r="AS118" i="4"/>
  <c r="AR118" i="4"/>
  <c r="AQ118" i="4"/>
  <c r="AP118" i="4"/>
  <c r="AO118" i="4"/>
  <c r="AN118" i="4"/>
  <c r="AM118" i="4"/>
  <c r="AL118" i="4"/>
  <c r="Z118" i="4"/>
  <c r="X118" i="4"/>
  <c r="M118" i="4"/>
  <c r="L118" i="4"/>
  <c r="K118" i="4"/>
  <c r="J118" i="4"/>
  <c r="I118" i="4"/>
  <c r="H118" i="4"/>
  <c r="G118" i="4"/>
  <c r="F118" i="4"/>
  <c r="AT117" i="4"/>
  <c r="AS117" i="4"/>
  <c r="AR117" i="4"/>
  <c r="AQ117" i="4"/>
  <c r="AP117" i="4"/>
  <c r="AO117" i="4"/>
  <c r="AN117" i="4"/>
  <c r="AM117" i="4"/>
  <c r="AL117" i="4"/>
  <c r="Z117" i="4"/>
  <c r="X117" i="4"/>
  <c r="M117" i="4"/>
  <c r="L117" i="4"/>
  <c r="K117" i="4"/>
  <c r="J117" i="4"/>
  <c r="I117" i="4"/>
  <c r="H117" i="4"/>
  <c r="G117" i="4"/>
  <c r="F117" i="4"/>
  <c r="AT116" i="4"/>
  <c r="AS116" i="4"/>
  <c r="AR116" i="4"/>
  <c r="AQ116" i="4"/>
  <c r="AP116" i="4"/>
  <c r="AO116" i="4"/>
  <c r="AN116" i="4"/>
  <c r="AM116" i="4"/>
  <c r="AL116" i="4"/>
  <c r="Z116" i="4"/>
  <c r="X116" i="4"/>
  <c r="M116" i="4"/>
  <c r="L116" i="4"/>
  <c r="K116" i="4"/>
  <c r="J116" i="4"/>
  <c r="I116" i="4"/>
  <c r="H116" i="4"/>
  <c r="G116" i="4"/>
  <c r="F116" i="4"/>
  <c r="AT115" i="4"/>
  <c r="AS115" i="4"/>
  <c r="AR115" i="4"/>
  <c r="AQ115" i="4"/>
  <c r="AP115" i="4"/>
  <c r="AO115" i="4"/>
  <c r="AN115" i="4"/>
  <c r="AM115" i="4"/>
  <c r="AL115" i="4"/>
  <c r="Z115" i="4"/>
  <c r="X115" i="4"/>
  <c r="M115" i="4"/>
  <c r="L115" i="4"/>
  <c r="K115" i="4"/>
  <c r="J115" i="4"/>
  <c r="I115" i="4"/>
  <c r="H115" i="4"/>
  <c r="G115" i="4"/>
  <c r="F115" i="4"/>
  <c r="AT114" i="4"/>
  <c r="AS114" i="4"/>
  <c r="AR114" i="4"/>
  <c r="AQ114" i="4"/>
  <c r="AP114" i="4"/>
  <c r="AO114" i="4"/>
  <c r="AN114" i="4"/>
  <c r="AM114" i="4"/>
  <c r="AL114" i="4"/>
  <c r="Z114" i="4"/>
  <c r="X114" i="4"/>
  <c r="M114" i="4"/>
  <c r="L114" i="4"/>
  <c r="K114" i="4"/>
  <c r="J114" i="4"/>
  <c r="I114" i="4"/>
  <c r="H114" i="4"/>
  <c r="G114" i="4"/>
  <c r="F114" i="4"/>
  <c r="AT113" i="4"/>
  <c r="AS113" i="4"/>
  <c r="AR113" i="4"/>
  <c r="AQ113" i="4"/>
  <c r="AP113" i="4"/>
  <c r="AO113" i="4"/>
  <c r="AN113" i="4"/>
  <c r="AM113" i="4"/>
  <c r="AL113" i="4"/>
  <c r="Z113" i="4"/>
  <c r="X113" i="4"/>
  <c r="M113" i="4"/>
  <c r="L113" i="4"/>
  <c r="K113" i="4"/>
  <c r="J113" i="4"/>
  <c r="I113" i="4"/>
  <c r="H113" i="4"/>
  <c r="G113" i="4"/>
  <c r="F113" i="4"/>
  <c r="AT112" i="4"/>
  <c r="AS112" i="4"/>
  <c r="AR112" i="4"/>
  <c r="AQ112" i="4"/>
  <c r="AP112" i="4"/>
  <c r="AO112" i="4"/>
  <c r="AN112" i="4"/>
  <c r="AM112" i="4"/>
  <c r="AL112" i="4"/>
  <c r="Z112" i="4"/>
  <c r="X112" i="4"/>
  <c r="M112" i="4"/>
  <c r="L112" i="4"/>
  <c r="K112" i="4"/>
  <c r="J112" i="4"/>
  <c r="I112" i="4"/>
  <c r="H112" i="4"/>
  <c r="G112" i="4"/>
  <c r="F112" i="4"/>
  <c r="AT111" i="4"/>
  <c r="AS111" i="4"/>
  <c r="AR111" i="4"/>
  <c r="AQ111" i="4"/>
  <c r="AP111" i="4"/>
  <c r="AO111" i="4"/>
  <c r="AN111" i="4"/>
  <c r="AM111" i="4"/>
  <c r="AL111" i="4"/>
  <c r="Z111" i="4"/>
  <c r="X111" i="4"/>
  <c r="M111" i="4"/>
  <c r="L111" i="4"/>
  <c r="K111" i="4"/>
  <c r="J111" i="4"/>
  <c r="I111" i="4"/>
  <c r="H111" i="4"/>
  <c r="G111" i="4"/>
  <c r="F111" i="4"/>
  <c r="AT110" i="4"/>
  <c r="AS110" i="4"/>
  <c r="AR110" i="4"/>
  <c r="AQ110" i="4"/>
  <c r="AP110" i="4"/>
  <c r="AO110" i="4"/>
  <c r="AN110" i="4"/>
  <c r="AM110" i="4"/>
  <c r="AL110" i="4"/>
  <c r="Z110" i="4"/>
  <c r="X110" i="4"/>
  <c r="M110" i="4"/>
  <c r="L110" i="4"/>
  <c r="K110" i="4"/>
  <c r="J110" i="4"/>
  <c r="I110" i="4"/>
  <c r="H110" i="4"/>
  <c r="G110" i="4"/>
  <c r="F110" i="4"/>
  <c r="AT109" i="4"/>
  <c r="AS109" i="4"/>
  <c r="AR109" i="4"/>
  <c r="AQ109" i="4"/>
  <c r="AP109" i="4"/>
  <c r="AO109" i="4"/>
  <c r="AN109" i="4"/>
  <c r="AM109" i="4"/>
  <c r="AL109" i="4"/>
  <c r="Z109" i="4"/>
  <c r="X109" i="4"/>
  <c r="M109" i="4"/>
  <c r="L109" i="4"/>
  <c r="K109" i="4"/>
  <c r="J109" i="4"/>
  <c r="I109" i="4"/>
  <c r="H109" i="4"/>
  <c r="G109" i="4"/>
  <c r="F109" i="4"/>
  <c r="AT108" i="4"/>
  <c r="AS108" i="4"/>
  <c r="AR108" i="4"/>
  <c r="AQ108" i="4"/>
  <c r="AP108" i="4"/>
  <c r="AO108" i="4"/>
  <c r="AN108" i="4"/>
  <c r="AM108" i="4"/>
  <c r="AL108" i="4"/>
  <c r="Z108" i="4"/>
  <c r="X108" i="4"/>
  <c r="M108" i="4"/>
  <c r="L108" i="4"/>
  <c r="K108" i="4"/>
  <c r="J108" i="4"/>
  <c r="I108" i="4"/>
  <c r="H108" i="4"/>
  <c r="G108" i="4"/>
  <c r="F108" i="4"/>
  <c r="AT107" i="4"/>
  <c r="AS107" i="4"/>
  <c r="AR107" i="4"/>
  <c r="AQ107" i="4"/>
  <c r="AP107" i="4"/>
  <c r="AO107" i="4"/>
  <c r="AN107" i="4"/>
  <c r="AM107" i="4"/>
  <c r="AL107" i="4"/>
  <c r="Z107" i="4"/>
  <c r="X107" i="4"/>
  <c r="M107" i="4"/>
  <c r="L107" i="4"/>
  <c r="K107" i="4"/>
  <c r="J107" i="4"/>
  <c r="I107" i="4"/>
  <c r="H107" i="4"/>
  <c r="G107" i="4"/>
  <c r="F107" i="4"/>
  <c r="AT106" i="4"/>
  <c r="AS106" i="4"/>
  <c r="AR106" i="4"/>
  <c r="AQ106" i="4"/>
  <c r="AP106" i="4"/>
  <c r="AO106" i="4"/>
  <c r="AN106" i="4"/>
  <c r="AM106" i="4"/>
  <c r="AL106" i="4"/>
  <c r="Z106" i="4"/>
  <c r="X106" i="4"/>
  <c r="M106" i="4"/>
  <c r="L106" i="4"/>
  <c r="K106" i="4"/>
  <c r="J106" i="4"/>
  <c r="I106" i="4"/>
  <c r="H106" i="4"/>
  <c r="G106" i="4"/>
  <c r="F106" i="4"/>
  <c r="AT105" i="4"/>
  <c r="AS105" i="4"/>
  <c r="AR105" i="4"/>
  <c r="AQ105" i="4"/>
  <c r="AP105" i="4"/>
  <c r="AO105" i="4"/>
  <c r="AN105" i="4"/>
  <c r="AM105" i="4"/>
  <c r="AL105" i="4"/>
  <c r="Z105" i="4"/>
  <c r="X105" i="4"/>
  <c r="M105" i="4"/>
  <c r="L105" i="4"/>
  <c r="K105" i="4"/>
  <c r="J105" i="4"/>
  <c r="I105" i="4"/>
  <c r="H105" i="4"/>
  <c r="G105" i="4"/>
  <c r="F105" i="4"/>
  <c r="AT104" i="4"/>
  <c r="AS104" i="4"/>
  <c r="AR104" i="4"/>
  <c r="AQ104" i="4"/>
  <c r="AP104" i="4"/>
  <c r="AO104" i="4"/>
  <c r="AN104" i="4"/>
  <c r="AM104" i="4"/>
  <c r="AL104" i="4"/>
  <c r="Z104" i="4"/>
  <c r="X104" i="4"/>
  <c r="M104" i="4"/>
  <c r="L104" i="4"/>
  <c r="K104" i="4"/>
  <c r="J104" i="4"/>
  <c r="I104" i="4"/>
  <c r="H104" i="4"/>
  <c r="G104" i="4"/>
  <c r="F104" i="4"/>
  <c r="AT103" i="4"/>
  <c r="AS103" i="4"/>
  <c r="AR103" i="4"/>
  <c r="AQ103" i="4"/>
  <c r="AP103" i="4"/>
  <c r="AO103" i="4"/>
  <c r="AN103" i="4"/>
  <c r="AM103" i="4"/>
  <c r="AL103" i="4"/>
  <c r="Z103" i="4"/>
  <c r="X103" i="4"/>
  <c r="M103" i="4"/>
  <c r="L103" i="4"/>
  <c r="K103" i="4"/>
  <c r="J103" i="4"/>
  <c r="I103" i="4"/>
  <c r="H103" i="4"/>
  <c r="G103" i="4"/>
  <c r="F103" i="4"/>
  <c r="AT102" i="4"/>
  <c r="AS102" i="4"/>
  <c r="AR102" i="4"/>
  <c r="AQ102" i="4"/>
  <c r="AP102" i="4"/>
  <c r="AO102" i="4"/>
  <c r="AN102" i="4"/>
  <c r="AM102" i="4"/>
  <c r="AL102" i="4"/>
  <c r="Z102" i="4"/>
  <c r="X102" i="4"/>
  <c r="M102" i="4"/>
  <c r="L102" i="4"/>
  <c r="K102" i="4"/>
  <c r="J102" i="4"/>
  <c r="I102" i="4"/>
  <c r="H102" i="4"/>
  <c r="G102" i="4"/>
  <c r="F102" i="4"/>
  <c r="AT101" i="4"/>
  <c r="AS101" i="4"/>
  <c r="AR101" i="4"/>
  <c r="AQ101" i="4"/>
  <c r="AP101" i="4"/>
  <c r="AO101" i="4"/>
  <c r="AN101" i="4"/>
  <c r="AM101" i="4"/>
  <c r="AL101" i="4"/>
  <c r="Z101" i="4"/>
  <c r="X101" i="4"/>
  <c r="M101" i="4"/>
  <c r="L101" i="4"/>
  <c r="K101" i="4"/>
  <c r="J101" i="4"/>
  <c r="I101" i="4"/>
  <c r="H101" i="4"/>
  <c r="G101" i="4"/>
  <c r="F101" i="4"/>
  <c r="AT100" i="4"/>
  <c r="AS100" i="4"/>
  <c r="AR100" i="4"/>
  <c r="AQ100" i="4"/>
  <c r="AP100" i="4"/>
  <c r="AO100" i="4"/>
  <c r="AN100" i="4"/>
  <c r="AM100" i="4"/>
  <c r="AL100" i="4"/>
  <c r="Z100" i="4"/>
  <c r="X100" i="4"/>
  <c r="M100" i="4"/>
  <c r="L100" i="4"/>
  <c r="K100" i="4"/>
  <c r="J100" i="4"/>
  <c r="I100" i="4"/>
  <c r="H100" i="4"/>
  <c r="G100" i="4"/>
  <c r="F100" i="4"/>
  <c r="AT99" i="4"/>
  <c r="AS99" i="4"/>
  <c r="AR99" i="4"/>
  <c r="AQ99" i="4"/>
  <c r="AP99" i="4"/>
  <c r="AO99" i="4"/>
  <c r="AN99" i="4"/>
  <c r="AM99" i="4"/>
  <c r="AL99" i="4"/>
  <c r="Z99" i="4"/>
  <c r="X99" i="4"/>
  <c r="M99" i="4"/>
  <c r="L99" i="4"/>
  <c r="K99" i="4"/>
  <c r="J99" i="4"/>
  <c r="I99" i="4"/>
  <c r="H99" i="4"/>
  <c r="G99" i="4"/>
  <c r="F99" i="4"/>
  <c r="AT98" i="4"/>
  <c r="AS98" i="4"/>
  <c r="AR98" i="4"/>
  <c r="AQ98" i="4"/>
  <c r="AP98" i="4"/>
  <c r="AO98" i="4"/>
  <c r="AN98" i="4"/>
  <c r="AM98" i="4"/>
  <c r="AL98" i="4"/>
  <c r="Z98" i="4"/>
  <c r="X98" i="4"/>
  <c r="M98" i="4"/>
  <c r="L98" i="4"/>
  <c r="K98" i="4"/>
  <c r="J98" i="4"/>
  <c r="I98" i="4"/>
  <c r="H98" i="4"/>
  <c r="G98" i="4"/>
  <c r="F98" i="4"/>
  <c r="AT97" i="4"/>
  <c r="AS97" i="4"/>
  <c r="AR97" i="4"/>
  <c r="AQ97" i="4"/>
  <c r="AP97" i="4"/>
  <c r="AO97" i="4"/>
  <c r="AN97" i="4"/>
  <c r="AM97" i="4"/>
  <c r="AL97" i="4"/>
  <c r="Z97" i="4"/>
  <c r="X97" i="4"/>
  <c r="M97" i="4"/>
  <c r="L97" i="4"/>
  <c r="K97" i="4"/>
  <c r="J97" i="4"/>
  <c r="I97" i="4"/>
  <c r="H97" i="4"/>
  <c r="G97" i="4"/>
  <c r="F97" i="4"/>
  <c r="AT96" i="4"/>
  <c r="AS96" i="4"/>
  <c r="AR96" i="4"/>
  <c r="AQ96" i="4"/>
  <c r="AP96" i="4"/>
  <c r="AO96" i="4"/>
  <c r="AN96" i="4"/>
  <c r="AM96" i="4"/>
  <c r="AL96" i="4"/>
  <c r="Z96" i="4"/>
  <c r="X96" i="4"/>
  <c r="M96" i="4"/>
  <c r="L96" i="4"/>
  <c r="K96" i="4"/>
  <c r="J96" i="4"/>
  <c r="I96" i="4"/>
  <c r="H96" i="4"/>
  <c r="G96" i="4"/>
  <c r="F96" i="4"/>
  <c r="AT95" i="4"/>
  <c r="AS95" i="4"/>
  <c r="AR95" i="4"/>
  <c r="AQ95" i="4"/>
  <c r="AP95" i="4"/>
  <c r="AO95" i="4"/>
  <c r="AN95" i="4"/>
  <c r="AM95" i="4"/>
  <c r="AL95" i="4"/>
  <c r="Z95" i="4"/>
  <c r="X95" i="4"/>
  <c r="M95" i="4"/>
  <c r="L95" i="4"/>
  <c r="K95" i="4"/>
  <c r="J95" i="4"/>
  <c r="I95" i="4"/>
  <c r="H95" i="4"/>
  <c r="G95" i="4"/>
  <c r="F95" i="4"/>
  <c r="AT94" i="4"/>
  <c r="AS94" i="4"/>
  <c r="AR94" i="4"/>
  <c r="AQ94" i="4"/>
  <c r="AP94" i="4"/>
  <c r="AO94" i="4"/>
  <c r="AN94" i="4"/>
  <c r="AM94" i="4"/>
  <c r="AL94" i="4"/>
  <c r="Z94" i="4"/>
  <c r="X94" i="4"/>
  <c r="M94" i="4"/>
  <c r="L94" i="4"/>
  <c r="K94" i="4"/>
  <c r="J94" i="4"/>
  <c r="I94" i="4"/>
  <c r="H94" i="4"/>
  <c r="G94" i="4"/>
  <c r="F94" i="4"/>
  <c r="AT93" i="4"/>
  <c r="AS93" i="4"/>
  <c r="AR93" i="4"/>
  <c r="AQ93" i="4"/>
  <c r="AP93" i="4"/>
  <c r="AO93" i="4"/>
  <c r="AN93" i="4"/>
  <c r="AM93" i="4"/>
  <c r="AL93" i="4"/>
  <c r="Z93" i="4"/>
  <c r="X93" i="4"/>
  <c r="M93" i="4"/>
  <c r="L93" i="4"/>
  <c r="K93" i="4"/>
  <c r="J93" i="4"/>
  <c r="I93" i="4"/>
  <c r="H93" i="4"/>
  <c r="G93" i="4"/>
  <c r="F93" i="4"/>
  <c r="AT92" i="4"/>
  <c r="AS92" i="4"/>
  <c r="AR92" i="4"/>
  <c r="AQ92" i="4"/>
  <c r="AP92" i="4"/>
  <c r="AO92" i="4"/>
  <c r="AN92" i="4"/>
  <c r="AM92" i="4"/>
  <c r="AL92" i="4"/>
  <c r="Z92" i="4"/>
  <c r="X92" i="4"/>
  <c r="M92" i="4"/>
  <c r="L92" i="4"/>
  <c r="K92" i="4"/>
  <c r="J92" i="4"/>
  <c r="I92" i="4"/>
  <c r="H92" i="4"/>
  <c r="G92" i="4"/>
  <c r="F92" i="4"/>
  <c r="AT91" i="4"/>
  <c r="AS91" i="4"/>
  <c r="AR91" i="4"/>
  <c r="AQ91" i="4"/>
  <c r="AP91" i="4"/>
  <c r="AO91" i="4"/>
  <c r="AN91" i="4"/>
  <c r="AM91" i="4"/>
  <c r="AL91" i="4"/>
  <c r="Z91" i="4"/>
  <c r="X91" i="4"/>
  <c r="M91" i="4"/>
  <c r="L91" i="4"/>
  <c r="K91" i="4"/>
  <c r="J91" i="4"/>
  <c r="I91" i="4"/>
  <c r="H91" i="4"/>
  <c r="G91" i="4"/>
  <c r="F91" i="4"/>
  <c r="AT90" i="4"/>
  <c r="AS90" i="4"/>
  <c r="AR90" i="4"/>
  <c r="AQ90" i="4"/>
  <c r="AP90" i="4"/>
  <c r="AO90" i="4"/>
  <c r="AN90" i="4"/>
  <c r="AM90" i="4"/>
  <c r="AL90" i="4"/>
  <c r="Z90" i="4"/>
  <c r="X90" i="4"/>
  <c r="M90" i="4"/>
  <c r="L90" i="4"/>
  <c r="K90" i="4"/>
  <c r="J90" i="4"/>
  <c r="I90" i="4"/>
  <c r="H90" i="4"/>
  <c r="G90" i="4"/>
  <c r="F90" i="4"/>
  <c r="AT89" i="4"/>
  <c r="AS89" i="4"/>
  <c r="AR89" i="4"/>
  <c r="AQ89" i="4"/>
  <c r="AP89" i="4"/>
  <c r="AO89" i="4"/>
  <c r="AN89" i="4"/>
  <c r="AM89" i="4"/>
  <c r="AL89" i="4"/>
  <c r="Z89" i="4"/>
  <c r="X89" i="4"/>
  <c r="M89" i="4"/>
  <c r="L89" i="4"/>
  <c r="K89" i="4"/>
  <c r="J89" i="4"/>
  <c r="I89" i="4"/>
  <c r="H89" i="4"/>
  <c r="G89" i="4"/>
  <c r="F89" i="4"/>
  <c r="AT88" i="4"/>
  <c r="AS88" i="4"/>
  <c r="AR88" i="4"/>
  <c r="AQ88" i="4"/>
  <c r="AP88" i="4"/>
  <c r="AO88" i="4"/>
  <c r="AN88" i="4"/>
  <c r="AM88" i="4"/>
  <c r="AL88" i="4"/>
  <c r="Z88" i="4"/>
  <c r="X88" i="4"/>
  <c r="M88" i="4"/>
  <c r="L88" i="4"/>
  <c r="K88" i="4"/>
  <c r="J88" i="4"/>
  <c r="I88" i="4"/>
  <c r="H88" i="4"/>
  <c r="G88" i="4"/>
  <c r="F88" i="4"/>
  <c r="AT87" i="4"/>
  <c r="AS87" i="4"/>
  <c r="AR87" i="4"/>
  <c r="AQ87" i="4"/>
  <c r="AP87" i="4"/>
  <c r="AO87" i="4"/>
  <c r="AN87" i="4"/>
  <c r="AM87" i="4"/>
  <c r="AL87" i="4"/>
  <c r="Z87" i="4"/>
  <c r="X87" i="4"/>
  <c r="M87" i="4"/>
  <c r="L87" i="4"/>
  <c r="K87" i="4"/>
  <c r="J87" i="4"/>
  <c r="I87" i="4"/>
  <c r="H87" i="4"/>
  <c r="G87" i="4"/>
  <c r="F87" i="4"/>
  <c r="AT86" i="4"/>
  <c r="AS86" i="4"/>
  <c r="AR86" i="4"/>
  <c r="AQ86" i="4"/>
  <c r="AP86" i="4"/>
  <c r="AO86" i="4"/>
  <c r="AN86" i="4"/>
  <c r="AM86" i="4"/>
  <c r="AL86" i="4"/>
  <c r="Z86" i="4"/>
  <c r="X86" i="4"/>
  <c r="M86" i="4"/>
  <c r="L86" i="4"/>
  <c r="K86" i="4"/>
  <c r="J86" i="4"/>
  <c r="I86" i="4"/>
  <c r="H86" i="4"/>
  <c r="G86" i="4"/>
  <c r="F86" i="4"/>
  <c r="AT85" i="4"/>
  <c r="AS85" i="4"/>
  <c r="AR85" i="4"/>
  <c r="AQ85" i="4"/>
  <c r="AP85" i="4"/>
  <c r="AO85" i="4"/>
  <c r="AN85" i="4"/>
  <c r="AM85" i="4"/>
  <c r="AL85" i="4"/>
  <c r="Z85" i="4"/>
  <c r="X85" i="4"/>
  <c r="M85" i="4"/>
  <c r="L85" i="4"/>
  <c r="K85" i="4"/>
  <c r="J85" i="4"/>
  <c r="I85" i="4"/>
  <c r="H85" i="4"/>
  <c r="G85" i="4"/>
  <c r="F85" i="4"/>
  <c r="AT84" i="4"/>
  <c r="AS84" i="4"/>
  <c r="AR84" i="4"/>
  <c r="AQ84" i="4"/>
  <c r="AP84" i="4"/>
  <c r="AO84" i="4"/>
  <c r="AN84" i="4"/>
  <c r="AM84" i="4"/>
  <c r="AL84" i="4"/>
  <c r="Z84" i="4"/>
  <c r="X84" i="4"/>
  <c r="M84" i="4"/>
  <c r="L84" i="4"/>
  <c r="K84" i="4"/>
  <c r="J84" i="4"/>
  <c r="I84" i="4"/>
  <c r="H84" i="4"/>
  <c r="G84" i="4"/>
  <c r="F84" i="4"/>
  <c r="AT83" i="4"/>
  <c r="AS83" i="4"/>
  <c r="AR83" i="4"/>
  <c r="AQ83" i="4"/>
  <c r="AP83" i="4"/>
  <c r="AO83" i="4"/>
  <c r="AN83" i="4"/>
  <c r="AM83" i="4"/>
  <c r="AL83" i="4"/>
  <c r="Z83" i="4"/>
  <c r="X83" i="4"/>
  <c r="M83" i="4"/>
  <c r="L83" i="4"/>
  <c r="K83" i="4"/>
  <c r="J83" i="4"/>
  <c r="I83" i="4"/>
  <c r="H83" i="4"/>
  <c r="G83" i="4"/>
  <c r="F83" i="4"/>
  <c r="AT82" i="4"/>
  <c r="AS82" i="4"/>
  <c r="AR82" i="4"/>
  <c r="AQ82" i="4"/>
  <c r="AP82" i="4"/>
  <c r="AO82" i="4"/>
  <c r="AN82" i="4"/>
  <c r="AM82" i="4"/>
  <c r="AL82" i="4"/>
  <c r="Z82" i="4"/>
  <c r="X82" i="4"/>
  <c r="M82" i="4"/>
  <c r="L82" i="4"/>
  <c r="K82" i="4"/>
  <c r="J82" i="4"/>
  <c r="I82" i="4"/>
  <c r="H82" i="4"/>
  <c r="G82" i="4"/>
  <c r="F82" i="4"/>
  <c r="AT81" i="4"/>
  <c r="AS81" i="4"/>
  <c r="AR81" i="4"/>
  <c r="AQ81" i="4"/>
  <c r="AP81" i="4"/>
  <c r="AO81" i="4"/>
  <c r="AN81" i="4"/>
  <c r="AM81" i="4"/>
  <c r="AL81" i="4"/>
  <c r="Z81" i="4"/>
  <c r="X81" i="4"/>
  <c r="M81" i="4"/>
  <c r="L81" i="4"/>
  <c r="K81" i="4"/>
  <c r="J81" i="4"/>
  <c r="I81" i="4"/>
  <c r="H81" i="4"/>
  <c r="G81" i="4"/>
  <c r="F81" i="4"/>
  <c r="AT80" i="4"/>
  <c r="AS80" i="4"/>
  <c r="AR80" i="4"/>
  <c r="AQ80" i="4"/>
  <c r="AP80" i="4"/>
  <c r="AO80" i="4"/>
  <c r="AN80" i="4"/>
  <c r="AM80" i="4"/>
  <c r="AL80" i="4"/>
  <c r="Z80" i="4"/>
  <c r="X80" i="4"/>
  <c r="M80" i="4"/>
  <c r="L80" i="4"/>
  <c r="K80" i="4"/>
  <c r="J80" i="4"/>
  <c r="I80" i="4"/>
  <c r="H80" i="4"/>
  <c r="G80" i="4"/>
  <c r="F80" i="4"/>
  <c r="AT79" i="4"/>
  <c r="AS79" i="4"/>
  <c r="AR79" i="4"/>
  <c r="AQ79" i="4"/>
  <c r="AP79" i="4"/>
  <c r="AO79" i="4"/>
  <c r="AN79" i="4"/>
  <c r="AM79" i="4"/>
  <c r="AL79" i="4"/>
  <c r="Z79" i="4"/>
  <c r="X79" i="4"/>
  <c r="M79" i="4"/>
  <c r="L79" i="4"/>
  <c r="K79" i="4"/>
  <c r="J79" i="4"/>
  <c r="I79" i="4"/>
  <c r="H79" i="4"/>
  <c r="G79" i="4"/>
  <c r="F79" i="4"/>
  <c r="AT78" i="4"/>
  <c r="AS78" i="4"/>
  <c r="AR78" i="4"/>
  <c r="AQ78" i="4"/>
  <c r="AP78" i="4"/>
  <c r="AO78" i="4"/>
  <c r="AN78" i="4"/>
  <c r="AM78" i="4"/>
  <c r="AL78" i="4"/>
  <c r="Z78" i="4"/>
  <c r="X78" i="4"/>
  <c r="M78" i="4"/>
  <c r="L78" i="4"/>
  <c r="K78" i="4"/>
  <c r="J78" i="4"/>
  <c r="I78" i="4"/>
  <c r="H78" i="4"/>
  <c r="G78" i="4"/>
  <c r="F78" i="4"/>
  <c r="AT77" i="4"/>
  <c r="AS77" i="4"/>
  <c r="AR77" i="4"/>
  <c r="AQ77" i="4"/>
  <c r="AP77" i="4"/>
  <c r="AO77" i="4"/>
  <c r="AN77" i="4"/>
  <c r="AM77" i="4"/>
  <c r="AL77" i="4"/>
  <c r="Z77" i="4"/>
  <c r="X77" i="4"/>
  <c r="M77" i="4"/>
  <c r="L77" i="4"/>
  <c r="K77" i="4"/>
  <c r="J77" i="4"/>
  <c r="I77" i="4"/>
  <c r="H77" i="4"/>
  <c r="G77" i="4"/>
  <c r="F77" i="4"/>
  <c r="AT76" i="4"/>
  <c r="AS76" i="4"/>
  <c r="AR76" i="4"/>
  <c r="AQ76" i="4"/>
  <c r="AP76" i="4"/>
  <c r="AO76" i="4"/>
  <c r="AN76" i="4"/>
  <c r="AM76" i="4"/>
  <c r="AL76" i="4"/>
  <c r="Z76" i="4"/>
  <c r="X76" i="4"/>
  <c r="M76" i="4"/>
  <c r="L76" i="4"/>
  <c r="K76" i="4"/>
  <c r="J76" i="4"/>
  <c r="I76" i="4"/>
  <c r="H76" i="4"/>
  <c r="G76" i="4"/>
  <c r="F76" i="4"/>
  <c r="AT75" i="4"/>
  <c r="AS75" i="4"/>
  <c r="AR75" i="4"/>
  <c r="AQ75" i="4"/>
  <c r="AP75" i="4"/>
  <c r="AO75" i="4"/>
  <c r="AN75" i="4"/>
  <c r="AM75" i="4"/>
  <c r="AL75" i="4"/>
  <c r="Z75" i="4"/>
  <c r="X75" i="4"/>
  <c r="M75" i="4"/>
  <c r="L75" i="4"/>
  <c r="K75" i="4"/>
  <c r="J75" i="4"/>
  <c r="I75" i="4"/>
  <c r="H75" i="4"/>
  <c r="G75" i="4"/>
  <c r="F75" i="4"/>
  <c r="A75" i="4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T74" i="4"/>
  <c r="AS74" i="4"/>
  <c r="AR74" i="4"/>
  <c r="AQ74" i="4"/>
  <c r="AP74" i="4"/>
  <c r="AO74" i="4"/>
  <c r="AN74" i="4"/>
  <c r="AM74" i="4"/>
  <c r="AL74" i="4"/>
  <c r="Z74" i="4"/>
  <c r="X74" i="4"/>
  <c r="M74" i="4"/>
  <c r="L74" i="4"/>
  <c r="K74" i="4"/>
  <c r="J74" i="4"/>
  <c r="I74" i="4"/>
  <c r="H74" i="4"/>
  <c r="G74" i="4"/>
  <c r="F74" i="4"/>
  <c r="AT73" i="4"/>
  <c r="AS73" i="4"/>
  <c r="AR73" i="4"/>
  <c r="AQ73" i="4"/>
  <c r="AP73" i="4"/>
  <c r="AO73" i="4"/>
  <c r="AN73" i="4"/>
  <c r="AM73" i="4"/>
  <c r="AL73" i="4"/>
  <c r="X73" i="4"/>
  <c r="M73" i="4"/>
  <c r="L73" i="4"/>
  <c r="K73" i="4"/>
  <c r="J73" i="4"/>
  <c r="I73" i="4"/>
  <c r="H73" i="4"/>
  <c r="G73" i="4"/>
  <c r="F73" i="4"/>
  <c r="AT72" i="4"/>
  <c r="AS72" i="4"/>
  <c r="AR72" i="4"/>
  <c r="AQ72" i="4"/>
  <c r="AP72" i="4"/>
  <c r="AO72" i="4"/>
  <c r="AN72" i="4"/>
  <c r="AM72" i="4"/>
  <c r="AL72" i="4"/>
  <c r="X72" i="4"/>
  <c r="M72" i="4"/>
  <c r="L72" i="4"/>
  <c r="K72" i="4"/>
  <c r="J72" i="4"/>
  <c r="I72" i="4"/>
  <c r="H72" i="4"/>
  <c r="G72" i="4"/>
  <c r="F72" i="4"/>
  <c r="AT71" i="4"/>
  <c r="AS71" i="4"/>
  <c r="AR71" i="4"/>
  <c r="AQ71" i="4"/>
  <c r="AP71" i="4"/>
  <c r="AO71" i="4"/>
  <c r="AN71" i="4"/>
  <c r="AM71" i="4"/>
  <c r="AL71" i="4"/>
  <c r="X71" i="4"/>
  <c r="M71" i="4"/>
  <c r="L71" i="4"/>
  <c r="K71" i="4"/>
  <c r="J71" i="4"/>
  <c r="I71" i="4"/>
  <c r="H71" i="4"/>
  <c r="G71" i="4"/>
  <c r="F71" i="4"/>
  <c r="AT70" i="4"/>
  <c r="AS70" i="4"/>
  <c r="AR70" i="4"/>
  <c r="AQ70" i="4"/>
  <c r="AP70" i="4"/>
  <c r="AO70" i="4"/>
  <c r="AN70" i="4"/>
  <c r="AM70" i="4"/>
  <c r="AL70" i="4"/>
  <c r="X70" i="4"/>
  <c r="M70" i="4"/>
  <c r="L70" i="4"/>
  <c r="K70" i="4"/>
  <c r="J70" i="4"/>
  <c r="I70" i="4"/>
  <c r="H70" i="4"/>
  <c r="G70" i="4"/>
  <c r="F70" i="4"/>
  <c r="AT69" i="4"/>
  <c r="AS69" i="4"/>
  <c r="AR69" i="4"/>
  <c r="AQ69" i="4"/>
  <c r="AP69" i="4"/>
  <c r="AO69" i="4"/>
  <c r="AN69" i="4"/>
  <c r="AM69" i="4"/>
  <c r="AL69" i="4"/>
  <c r="X69" i="4"/>
  <c r="M69" i="4"/>
  <c r="L69" i="4"/>
  <c r="K69" i="4"/>
  <c r="J69" i="4"/>
  <c r="I69" i="4"/>
  <c r="H69" i="4"/>
  <c r="G69" i="4"/>
  <c r="F69" i="4"/>
  <c r="AT68" i="4"/>
  <c r="AS68" i="4"/>
  <c r="AR68" i="4"/>
  <c r="AQ68" i="4"/>
  <c r="AP68" i="4"/>
  <c r="AO68" i="4"/>
  <c r="AN68" i="4"/>
  <c r="AM68" i="4"/>
  <c r="AL68" i="4"/>
  <c r="X68" i="4"/>
  <c r="M68" i="4"/>
  <c r="L68" i="4"/>
  <c r="K68" i="4"/>
  <c r="J68" i="4"/>
  <c r="I68" i="4"/>
  <c r="H68" i="4"/>
  <c r="G68" i="4"/>
  <c r="F68" i="4"/>
  <c r="AT67" i="4"/>
  <c r="AS67" i="4"/>
  <c r="AR67" i="4"/>
  <c r="AQ67" i="4"/>
  <c r="AP67" i="4"/>
  <c r="AO67" i="4"/>
  <c r="AN67" i="4"/>
  <c r="AM67" i="4"/>
  <c r="AL67" i="4"/>
  <c r="X67" i="4"/>
  <c r="M67" i="4"/>
  <c r="L67" i="4"/>
  <c r="K67" i="4"/>
  <c r="J67" i="4"/>
  <c r="I67" i="4"/>
  <c r="H67" i="4"/>
  <c r="G67" i="4"/>
  <c r="F67" i="4"/>
  <c r="AT66" i="4"/>
  <c r="AS66" i="4"/>
  <c r="AR66" i="4"/>
  <c r="AQ66" i="4"/>
  <c r="AP66" i="4"/>
  <c r="AO66" i="4"/>
  <c r="AN66" i="4"/>
  <c r="AM66" i="4"/>
  <c r="AL66" i="4"/>
  <c r="X66" i="4"/>
  <c r="M66" i="4"/>
  <c r="L66" i="4"/>
  <c r="K66" i="4"/>
  <c r="J66" i="4"/>
  <c r="I66" i="4"/>
  <c r="H66" i="4"/>
  <c r="G66" i="4"/>
  <c r="F66" i="4"/>
  <c r="AT65" i="4"/>
  <c r="AS65" i="4"/>
  <c r="AR65" i="4"/>
  <c r="AQ65" i="4"/>
  <c r="AP65" i="4"/>
  <c r="AO65" i="4"/>
  <c r="AN65" i="4"/>
  <c r="AM65" i="4"/>
  <c r="AL65" i="4"/>
  <c r="X65" i="4"/>
  <c r="M65" i="4"/>
  <c r="L65" i="4"/>
  <c r="K65" i="4"/>
  <c r="J65" i="4"/>
  <c r="I65" i="4"/>
  <c r="H65" i="4"/>
  <c r="G65" i="4"/>
  <c r="F65" i="4"/>
  <c r="AT64" i="4"/>
  <c r="AS64" i="4"/>
  <c r="AR64" i="4"/>
  <c r="AQ64" i="4"/>
  <c r="AP64" i="4"/>
  <c r="AO64" i="4"/>
  <c r="AN64" i="4"/>
  <c r="AM64" i="4"/>
  <c r="AL64" i="4"/>
  <c r="X64" i="4"/>
  <c r="M64" i="4"/>
  <c r="L64" i="4"/>
  <c r="K64" i="4"/>
  <c r="J64" i="4"/>
  <c r="I64" i="4"/>
  <c r="H64" i="4"/>
  <c r="G64" i="4"/>
  <c r="F64" i="4"/>
  <c r="AT63" i="4"/>
  <c r="AS63" i="4"/>
  <c r="AR63" i="4"/>
  <c r="AQ63" i="4"/>
  <c r="AP63" i="4"/>
  <c r="AO63" i="4"/>
  <c r="AN63" i="4"/>
  <c r="AM63" i="4"/>
  <c r="AL63" i="4"/>
  <c r="X63" i="4"/>
  <c r="M63" i="4"/>
  <c r="L63" i="4"/>
  <c r="K63" i="4"/>
  <c r="J63" i="4"/>
  <c r="I63" i="4"/>
  <c r="H63" i="4"/>
  <c r="G63" i="4"/>
  <c r="F63" i="4"/>
  <c r="AT62" i="4"/>
  <c r="AS62" i="4"/>
  <c r="AR62" i="4"/>
  <c r="AQ62" i="4"/>
  <c r="AP62" i="4"/>
  <c r="AO62" i="4"/>
  <c r="AN62" i="4"/>
  <c r="AM62" i="4"/>
  <c r="AL62" i="4"/>
  <c r="X62" i="4"/>
  <c r="M62" i="4"/>
  <c r="L62" i="4"/>
  <c r="K62" i="4"/>
  <c r="J62" i="4"/>
  <c r="I62" i="4"/>
  <c r="H62" i="4"/>
  <c r="G62" i="4"/>
  <c r="F62" i="4"/>
  <c r="AT61" i="4"/>
  <c r="AS61" i="4"/>
  <c r="AR61" i="4"/>
  <c r="AQ61" i="4"/>
  <c r="AP61" i="4"/>
  <c r="AO61" i="4"/>
  <c r="AN61" i="4"/>
  <c r="AM61" i="4"/>
  <c r="AL61" i="4"/>
  <c r="X61" i="4"/>
  <c r="M61" i="4"/>
  <c r="L61" i="4"/>
  <c r="K61" i="4"/>
  <c r="J61" i="4"/>
  <c r="I61" i="4"/>
  <c r="H61" i="4"/>
  <c r="G61" i="4"/>
  <c r="F61" i="4"/>
  <c r="AT60" i="4"/>
  <c r="AS60" i="4"/>
  <c r="AR60" i="4"/>
  <c r="AQ60" i="4"/>
  <c r="AP60" i="4"/>
  <c r="AO60" i="4"/>
  <c r="AN60" i="4"/>
  <c r="AM60" i="4"/>
  <c r="AL60" i="4"/>
  <c r="X60" i="4"/>
  <c r="M60" i="4"/>
  <c r="L60" i="4"/>
  <c r="K60" i="4"/>
  <c r="J60" i="4"/>
  <c r="I60" i="4"/>
  <c r="H60" i="4"/>
  <c r="G60" i="4"/>
  <c r="F60" i="4"/>
  <c r="AT59" i="4"/>
  <c r="AS59" i="4"/>
  <c r="AR59" i="4"/>
  <c r="AQ59" i="4"/>
  <c r="AP59" i="4"/>
  <c r="AO59" i="4"/>
  <c r="AN59" i="4"/>
  <c r="AM59" i="4"/>
  <c r="AL59" i="4"/>
  <c r="X59" i="4"/>
  <c r="M59" i="4"/>
  <c r="L59" i="4"/>
  <c r="K59" i="4"/>
  <c r="J59" i="4"/>
  <c r="I59" i="4"/>
  <c r="H59" i="4"/>
  <c r="G59" i="4"/>
  <c r="F59" i="4"/>
  <c r="AT58" i="4"/>
  <c r="AS58" i="4"/>
  <c r="AR58" i="4"/>
  <c r="AQ58" i="4"/>
  <c r="AP58" i="4"/>
  <c r="AO58" i="4"/>
  <c r="AN58" i="4"/>
  <c r="AM58" i="4"/>
  <c r="AL58" i="4"/>
  <c r="X58" i="4"/>
  <c r="M58" i="4"/>
  <c r="L58" i="4"/>
  <c r="K58" i="4"/>
  <c r="J58" i="4"/>
  <c r="I58" i="4"/>
  <c r="H58" i="4"/>
  <c r="G58" i="4"/>
  <c r="F58" i="4"/>
  <c r="AT57" i="4"/>
  <c r="AS57" i="4"/>
  <c r="AR57" i="4"/>
  <c r="AQ57" i="4"/>
  <c r="AP57" i="4"/>
  <c r="AO57" i="4"/>
  <c r="AN57" i="4"/>
  <c r="AM57" i="4"/>
  <c r="AL57" i="4"/>
  <c r="X57" i="4"/>
  <c r="M57" i="4"/>
  <c r="L57" i="4"/>
  <c r="K57" i="4"/>
  <c r="J57" i="4"/>
  <c r="I57" i="4"/>
  <c r="H57" i="4"/>
  <c r="G57" i="4"/>
  <c r="F57" i="4"/>
  <c r="AT56" i="4"/>
  <c r="AS56" i="4"/>
  <c r="AR56" i="4"/>
  <c r="AQ56" i="4"/>
  <c r="AP56" i="4"/>
  <c r="AO56" i="4"/>
  <c r="AN56" i="4"/>
  <c r="AM56" i="4"/>
  <c r="AL56" i="4"/>
  <c r="X56" i="4"/>
  <c r="M56" i="4"/>
  <c r="L56" i="4"/>
  <c r="K56" i="4"/>
  <c r="J56" i="4"/>
  <c r="I56" i="4"/>
  <c r="H56" i="4"/>
  <c r="G56" i="4"/>
  <c r="F56" i="4"/>
  <c r="AT55" i="4"/>
  <c r="AS55" i="4"/>
  <c r="AR55" i="4"/>
  <c r="AQ55" i="4"/>
  <c r="AP55" i="4"/>
  <c r="AO55" i="4"/>
  <c r="AN55" i="4"/>
  <c r="AM55" i="4"/>
  <c r="AL55" i="4"/>
  <c r="X55" i="4"/>
  <c r="M55" i="4"/>
  <c r="L55" i="4"/>
  <c r="K55" i="4"/>
  <c r="J55" i="4"/>
  <c r="I55" i="4"/>
  <c r="H55" i="4"/>
  <c r="G55" i="4"/>
  <c r="F55" i="4"/>
  <c r="AT54" i="4"/>
  <c r="AS54" i="4"/>
  <c r="AR54" i="4"/>
  <c r="AQ54" i="4"/>
  <c r="AP54" i="4"/>
  <c r="AO54" i="4"/>
  <c r="AN54" i="4"/>
  <c r="AM54" i="4"/>
  <c r="AL54" i="4"/>
  <c r="X54" i="4"/>
  <c r="M54" i="4"/>
  <c r="L54" i="4"/>
  <c r="K54" i="4"/>
  <c r="J54" i="4"/>
  <c r="I54" i="4"/>
  <c r="H54" i="4"/>
  <c r="G54" i="4"/>
  <c r="F54" i="4"/>
  <c r="AT53" i="4"/>
  <c r="AS53" i="4"/>
  <c r="AR53" i="4"/>
  <c r="AQ53" i="4"/>
  <c r="AP53" i="4"/>
  <c r="AO53" i="4"/>
  <c r="AN53" i="4"/>
  <c r="AM53" i="4"/>
  <c r="AL53" i="4"/>
  <c r="X53" i="4"/>
  <c r="M53" i="4"/>
  <c r="L53" i="4"/>
  <c r="K53" i="4"/>
  <c r="J53" i="4"/>
  <c r="I53" i="4"/>
  <c r="H53" i="4"/>
  <c r="G53" i="4"/>
  <c r="F53" i="4"/>
  <c r="AT52" i="4"/>
  <c r="AS52" i="4"/>
  <c r="AR52" i="4"/>
  <c r="AQ52" i="4"/>
  <c r="AP52" i="4"/>
  <c r="AO52" i="4"/>
  <c r="AN52" i="4"/>
  <c r="AM52" i="4"/>
  <c r="AL52" i="4"/>
  <c r="X52" i="4"/>
  <c r="M52" i="4"/>
  <c r="L52" i="4"/>
  <c r="K52" i="4"/>
  <c r="J52" i="4"/>
  <c r="I52" i="4"/>
  <c r="H52" i="4"/>
  <c r="G52" i="4"/>
  <c r="F52" i="4"/>
  <c r="AT51" i="4"/>
  <c r="AS51" i="4"/>
  <c r="AR51" i="4"/>
  <c r="AQ51" i="4"/>
  <c r="AP51" i="4"/>
  <c r="AO51" i="4"/>
  <c r="AN51" i="4"/>
  <c r="AM51" i="4"/>
  <c r="AL51" i="4"/>
  <c r="X51" i="4"/>
  <c r="M51" i="4"/>
  <c r="L51" i="4"/>
  <c r="K51" i="4"/>
  <c r="J51" i="4"/>
  <c r="I51" i="4"/>
  <c r="H51" i="4"/>
  <c r="G51" i="4"/>
  <c r="F51" i="4"/>
  <c r="AT50" i="4"/>
  <c r="AS50" i="4"/>
  <c r="AR50" i="4"/>
  <c r="AQ50" i="4"/>
  <c r="AP50" i="4"/>
  <c r="AO50" i="4"/>
  <c r="AN50" i="4"/>
  <c r="AM50" i="4"/>
  <c r="AL50" i="4"/>
  <c r="X50" i="4"/>
  <c r="M50" i="4"/>
  <c r="L50" i="4"/>
  <c r="K50" i="4"/>
  <c r="J50" i="4"/>
  <c r="I50" i="4"/>
  <c r="H50" i="4"/>
  <c r="G50" i="4"/>
  <c r="F50" i="4"/>
  <c r="AT49" i="4"/>
  <c r="AS49" i="4"/>
  <c r="AR49" i="4"/>
  <c r="AQ49" i="4"/>
  <c r="AP49" i="4"/>
  <c r="AO49" i="4"/>
  <c r="AN49" i="4"/>
  <c r="AM49" i="4"/>
  <c r="AL49" i="4"/>
  <c r="X49" i="4"/>
  <c r="M49" i="4"/>
  <c r="L49" i="4"/>
  <c r="K49" i="4"/>
  <c r="J49" i="4"/>
  <c r="I49" i="4"/>
  <c r="H49" i="4"/>
  <c r="G49" i="4"/>
  <c r="F49" i="4"/>
  <c r="AT48" i="4"/>
  <c r="AS48" i="4"/>
  <c r="AR48" i="4"/>
  <c r="AQ48" i="4"/>
  <c r="AP48" i="4"/>
  <c r="AO48" i="4"/>
  <c r="AN48" i="4"/>
  <c r="AM48" i="4"/>
  <c r="AL48" i="4"/>
  <c r="X48" i="4"/>
  <c r="M48" i="4"/>
  <c r="L48" i="4"/>
  <c r="K48" i="4"/>
  <c r="J48" i="4"/>
  <c r="I48" i="4"/>
  <c r="H48" i="4"/>
  <c r="G48" i="4"/>
  <c r="F48" i="4"/>
  <c r="AT47" i="4"/>
  <c r="AS47" i="4"/>
  <c r="AR47" i="4"/>
  <c r="AQ47" i="4"/>
  <c r="AP47" i="4"/>
  <c r="AO47" i="4"/>
  <c r="AN47" i="4"/>
  <c r="AM47" i="4"/>
  <c r="AL47" i="4"/>
  <c r="X47" i="4"/>
  <c r="M47" i="4"/>
  <c r="L47" i="4"/>
  <c r="K47" i="4"/>
  <c r="J47" i="4"/>
  <c r="I47" i="4"/>
  <c r="H47" i="4"/>
  <c r="G47" i="4"/>
  <c r="F47" i="4"/>
  <c r="AT46" i="4"/>
  <c r="AS46" i="4"/>
  <c r="AR46" i="4"/>
  <c r="AQ46" i="4"/>
  <c r="AP46" i="4"/>
  <c r="AO46" i="4"/>
  <c r="AN46" i="4"/>
  <c r="AM46" i="4"/>
  <c r="AL46" i="4"/>
  <c r="X46" i="4"/>
  <c r="M46" i="4"/>
  <c r="L46" i="4"/>
  <c r="K46" i="4"/>
  <c r="J46" i="4"/>
  <c r="I46" i="4"/>
  <c r="H46" i="4"/>
  <c r="G46" i="4"/>
  <c r="F46" i="4"/>
  <c r="AT45" i="4"/>
  <c r="AS45" i="4"/>
  <c r="AR45" i="4"/>
  <c r="AQ45" i="4"/>
  <c r="AP45" i="4"/>
  <c r="AO45" i="4"/>
  <c r="AN45" i="4"/>
  <c r="AM45" i="4"/>
  <c r="AL45" i="4"/>
  <c r="X45" i="4"/>
  <c r="M45" i="4"/>
  <c r="L45" i="4"/>
  <c r="K45" i="4"/>
  <c r="J45" i="4"/>
  <c r="I45" i="4"/>
  <c r="H45" i="4"/>
  <c r="G45" i="4"/>
  <c r="F45" i="4"/>
  <c r="AT44" i="4"/>
  <c r="AS44" i="4"/>
  <c r="AR44" i="4"/>
  <c r="AQ44" i="4"/>
  <c r="AP44" i="4"/>
  <c r="AO44" i="4"/>
  <c r="AN44" i="4"/>
  <c r="AM44" i="4"/>
  <c r="AL44" i="4"/>
  <c r="X44" i="4"/>
  <c r="M44" i="4"/>
  <c r="L44" i="4"/>
  <c r="K44" i="4"/>
  <c r="J44" i="4"/>
  <c r="I44" i="4"/>
  <c r="H44" i="4"/>
  <c r="G44" i="4"/>
  <c r="F44" i="4"/>
  <c r="AT43" i="4"/>
  <c r="AS43" i="4"/>
  <c r="AR43" i="4"/>
  <c r="AQ43" i="4"/>
  <c r="AP43" i="4"/>
  <c r="AO43" i="4"/>
  <c r="AN43" i="4"/>
  <c r="AM43" i="4"/>
  <c r="AL43" i="4"/>
  <c r="X43" i="4"/>
  <c r="M43" i="4"/>
  <c r="L43" i="4"/>
  <c r="K43" i="4"/>
  <c r="J43" i="4"/>
  <c r="I43" i="4"/>
  <c r="H43" i="4"/>
  <c r="G43" i="4"/>
  <c r="F43" i="4"/>
  <c r="AT42" i="4"/>
  <c r="AS42" i="4"/>
  <c r="AR42" i="4"/>
  <c r="AQ42" i="4"/>
  <c r="AP42" i="4"/>
  <c r="AO42" i="4"/>
  <c r="AN42" i="4"/>
  <c r="AM42" i="4"/>
  <c r="AL42" i="4"/>
  <c r="X42" i="4"/>
  <c r="M42" i="4"/>
  <c r="L42" i="4"/>
  <c r="K42" i="4"/>
  <c r="J42" i="4"/>
  <c r="I42" i="4"/>
  <c r="H42" i="4"/>
  <c r="G42" i="4"/>
  <c r="F42" i="4"/>
  <c r="AT41" i="4"/>
  <c r="AS41" i="4"/>
  <c r="AR41" i="4"/>
  <c r="AQ41" i="4"/>
  <c r="AP41" i="4"/>
  <c r="AO41" i="4"/>
  <c r="AN41" i="4"/>
  <c r="AM41" i="4"/>
  <c r="AL41" i="4"/>
  <c r="X41" i="4"/>
  <c r="M41" i="4"/>
  <c r="L41" i="4"/>
  <c r="K41" i="4"/>
  <c r="J41" i="4"/>
  <c r="I41" i="4"/>
  <c r="H41" i="4"/>
  <c r="G41" i="4"/>
  <c r="F41" i="4"/>
  <c r="AT40" i="4"/>
  <c r="AS40" i="4"/>
  <c r="AR40" i="4"/>
  <c r="AQ40" i="4"/>
  <c r="AP40" i="4"/>
  <c r="AO40" i="4"/>
  <c r="AN40" i="4"/>
  <c r="AM40" i="4"/>
  <c r="AL40" i="4"/>
  <c r="X40" i="4"/>
  <c r="M40" i="4"/>
  <c r="L40" i="4"/>
  <c r="K40" i="4"/>
  <c r="J40" i="4"/>
  <c r="I40" i="4"/>
  <c r="H40" i="4"/>
  <c r="G40" i="4"/>
  <c r="F40" i="4"/>
  <c r="AT39" i="4"/>
  <c r="AS39" i="4"/>
  <c r="AR39" i="4"/>
  <c r="AQ39" i="4"/>
  <c r="AP39" i="4"/>
  <c r="AO39" i="4"/>
  <c r="AN39" i="4"/>
  <c r="AM39" i="4"/>
  <c r="AL39" i="4"/>
  <c r="X39" i="4"/>
  <c r="M39" i="4"/>
  <c r="L39" i="4"/>
  <c r="K39" i="4"/>
  <c r="J39" i="4"/>
  <c r="I39" i="4"/>
  <c r="H39" i="4"/>
  <c r="G39" i="4"/>
  <c r="F39" i="4"/>
  <c r="AT38" i="4"/>
  <c r="AS38" i="4"/>
  <c r="AR38" i="4"/>
  <c r="AQ38" i="4"/>
  <c r="AP38" i="4"/>
  <c r="AO38" i="4"/>
  <c r="AN38" i="4"/>
  <c r="AM38" i="4"/>
  <c r="AL38" i="4"/>
  <c r="X38" i="4"/>
  <c r="M38" i="4"/>
  <c r="L38" i="4"/>
  <c r="K38" i="4"/>
  <c r="J38" i="4"/>
  <c r="I38" i="4"/>
  <c r="H38" i="4"/>
  <c r="G38" i="4"/>
  <c r="F38" i="4"/>
  <c r="AT37" i="4"/>
  <c r="AS37" i="4"/>
  <c r="AR37" i="4"/>
  <c r="AQ37" i="4"/>
  <c r="AP37" i="4"/>
  <c r="AO37" i="4"/>
  <c r="AN37" i="4"/>
  <c r="AM37" i="4"/>
  <c r="AL37" i="4"/>
  <c r="X37" i="4"/>
  <c r="M37" i="4"/>
  <c r="L37" i="4"/>
  <c r="K37" i="4"/>
  <c r="J37" i="4"/>
  <c r="I37" i="4"/>
  <c r="H37" i="4"/>
  <c r="G37" i="4"/>
  <c r="F37" i="4"/>
  <c r="AT36" i="4"/>
  <c r="AS36" i="4"/>
  <c r="AR36" i="4"/>
  <c r="AQ36" i="4"/>
  <c r="AP36" i="4"/>
  <c r="AO36" i="4"/>
  <c r="AN36" i="4"/>
  <c r="AM36" i="4"/>
  <c r="AL36" i="4"/>
  <c r="X36" i="4"/>
  <c r="M36" i="4"/>
  <c r="L36" i="4"/>
  <c r="K36" i="4"/>
  <c r="J36" i="4"/>
  <c r="I36" i="4"/>
  <c r="H36" i="4"/>
  <c r="G36" i="4"/>
  <c r="F36" i="4"/>
  <c r="AT35" i="4"/>
  <c r="AS35" i="4"/>
  <c r="AR35" i="4"/>
  <c r="AQ35" i="4"/>
  <c r="AP35" i="4"/>
  <c r="AO35" i="4"/>
  <c r="AN35" i="4"/>
  <c r="AM35" i="4"/>
  <c r="AL35" i="4"/>
  <c r="X35" i="4"/>
  <c r="M35" i="4"/>
  <c r="L35" i="4"/>
  <c r="K35" i="4"/>
  <c r="J35" i="4"/>
  <c r="I35" i="4"/>
  <c r="H35" i="4"/>
  <c r="G35" i="4"/>
  <c r="F35" i="4"/>
  <c r="AT34" i="4"/>
  <c r="AS34" i="4"/>
  <c r="AR34" i="4"/>
  <c r="AQ34" i="4"/>
  <c r="AP34" i="4"/>
  <c r="AO34" i="4"/>
  <c r="AN34" i="4"/>
  <c r="AM34" i="4"/>
  <c r="AL34" i="4"/>
  <c r="X34" i="4"/>
  <c r="M34" i="4"/>
  <c r="L34" i="4"/>
  <c r="K34" i="4"/>
  <c r="J34" i="4"/>
  <c r="I34" i="4"/>
  <c r="H34" i="4"/>
  <c r="G34" i="4"/>
  <c r="F34" i="4"/>
  <c r="AT33" i="4"/>
  <c r="AS33" i="4"/>
  <c r="AR33" i="4"/>
  <c r="AQ33" i="4"/>
  <c r="AP33" i="4"/>
  <c r="AO33" i="4"/>
  <c r="AN33" i="4"/>
  <c r="AM33" i="4"/>
  <c r="AL33" i="4"/>
  <c r="X33" i="4"/>
  <c r="M33" i="4"/>
  <c r="L33" i="4"/>
  <c r="K33" i="4"/>
  <c r="J33" i="4"/>
  <c r="I33" i="4"/>
  <c r="H33" i="4"/>
  <c r="G33" i="4"/>
  <c r="F33" i="4"/>
  <c r="AT32" i="4"/>
  <c r="AS32" i="4"/>
  <c r="AR32" i="4"/>
  <c r="AQ32" i="4"/>
  <c r="AP32" i="4"/>
  <c r="AO32" i="4"/>
  <c r="AN32" i="4"/>
  <c r="AM32" i="4"/>
  <c r="AL32" i="4"/>
  <c r="X32" i="4"/>
  <c r="M32" i="4"/>
  <c r="L32" i="4"/>
  <c r="K32" i="4"/>
  <c r="J32" i="4"/>
  <c r="I32" i="4"/>
  <c r="H32" i="4"/>
  <c r="G32" i="4"/>
  <c r="F32" i="4"/>
  <c r="AT31" i="4"/>
  <c r="AS31" i="4"/>
  <c r="AR31" i="4"/>
  <c r="AQ31" i="4"/>
  <c r="AP31" i="4"/>
  <c r="AO31" i="4"/>
  <c r="AN31" i="4"/>
  <c r="AM31" i="4"/>
  <c r="AL31" i="4"/>
  <c r="X31" i="4"/>
  <c r="M31" i="4"/>
  <c r="L31" i="4"/>
  <c r="K31" i="4"/>
  <c r="J31" i="4"/>
  <c r="I31" i="4"/>
  <c r="H31" i="4"/>
  <c r="G31" i="4"/>
  <c r="F31" i="4"/>
  <c r="AT30" i="4"/>
  <c r="AS30" i="4"/>
  <c r="AR30" i="4"/>
  <c r="AQ30" i="4"/>
  <c r="AP30" i="4"/>
  <c r="AO30" i="4"/>
  <c r="AN30" i="4"/>
  <c r="AM30" i="4"/>
  <c r="AL30" i="4"/>
  <c r="X30" i="4"/>
  <c r="M30" i="4"/>
  <c r="L30" i="4"/>
  <c r="K30" i="4"/>
  <c r="J30" i="4"/>
  <c r="I30" i="4"/>
  <c r="H30" i="4"/>
  <c r="G30" i="4"/>
  <c r="F30" i="4"/>
  <c r="AT29" i="4"/>
  <c r="AS29" i="4"/>
  <c r="AR29" i="4"/>
  <c r="AQ29" i="4"/>
  <c r="AP29" i="4"/>
  <c r="AO29" i="4"/>
  <c r="AN29" i="4"/>
  <c r="AM29" i="4"/>
  <c r="AL29" i="4"/>
  <c r="X29" i="4"/>
  <c r="M29" i="4"/>
  <c r="L29" i="4"/>
  <c r="K29" i="4"/>
  <c r="J29" i="4"/>
  <c r="I29" i="4"/>
  <c r="H29" i="4"/>
  <c r="G29" i="4"/>
  <c r="F29" i="4"/>
  <c r="AT28" i="4"/>
  <c r="AS28" i="4"/>
  <c r="AR28" i="4"/>
  <c r="AQ28" i="4"/>
  <c r="AP28" i="4"/>
  <c r="AO28" i="4"/>
  <c r="AN28" i="4"/>
  <c r="AM28" i="4"/>
  <c r="AL28" i="4"/>
  <c r="X28" i="4"/>
  <c r="M28" i="4"/>
  <c r="L28" i="4"/>
  <c r="K28" i="4"/>
  <c r="J28" i="4"/>
  <c r="I28" i="4"/>
  <c r="H28" i="4"/>
  <c r="G28" i="4"/>
  <c r="F28" i="4"/>
  <c r="AT27" i="4"/>
  <c r="AS27" i="4"/>
  <c r="AR27" i="4"/>
  <c r="AQ27" i="4"/>
  <c r="AP27" i="4"/>
  <c r="AO27" i="4"/>
  <c r="AN27" i="4"/>
  <c r="AM27" i="4"/>
  <c r="AL27" i="4"/>
  <c r="X27" i="4"/>
  <c r="M27" i="4"/>
  <c r="L27" i="4"/>
  <c r="K27" i="4"/>
  <c r="J27" i="4"/>
  <c r="I27" i="4"/>
  <c r="H27" i="4"/>
  <c r="G27" i="4"/>
  <c r="F27" i="4"/>
  <c r="AT26" i="4"/>
  <c r="AS26" i="4"/>
  <c r="AR26" i="4"/>
  <c r="AQ26" i="4"/>
  <c r="AP26" i="4"/>
  <c r="AO26" i="4"/>
  <c r="AN26" i="4"/>
  <c r="AM26" i="4"/>
  <c r="AL26" i="4"/>
  <c r="X26" i="4"/>
  <c r="M26" i="4"/>
  <c r="L26" i="4"/>
  <c r="K26" i="4"/>
  <c r="J26" i="4"/>
  <c r="I26" i="4"/>
  <c r="H26" i="4"/>
  <c r="G26" i="4"/>
  <c r="F26" i="4"/>
  <c r="AT25" i="4"/>
  <c r="AS25" i="4"/>
  <c r="AR25" i="4"/>
  <c r="AQ25" i="4"/>
  <c r="AP25" i="4"/>
  <c r="AO25" i="4"/>
  <c r="AN25" i="4"/>
  <c r="AM25" i="4"/>
  <c r="AL25" i="4"/>
  <c r="X25" i="4"/>
  <c r="M25" i="4"/>
  <c r="L25" i="4"/>
  <c r="K25" i="4"/>
  <c r="J25" i="4"/>
  <c r="I25" i="4"/>
  <c r="H25" i="4"/>
  <c r="G25" i="4"/>
  <c r="F25" i="4"/>
  <c r="AT24" i="4"/>
  <c r="AS24" i="4"/>
  <c r="AR24" i="4"/>
  <c r="AQ24" i="4"/>
  <c r="AP24" i="4"/>
  <c r="AO24" i="4"/>
  <c r="AN24" i="4"/>
  <c r="AM24" i="4"/>
  <c r="AL24" i="4"/>
  <c r="X24" i="4"/>
  <c r="M24" i="4"/>
  <c r="L24" i="4"/>
  <c r="K24" i="4"/>
  <c r="J24" i="4"/>
  <c r="I24" i="4"/>
  <c r="H24" i="4"/>
  <c r="G24" i="4"/>
  <c r="F24" i="4"/>
  <c r="AT23" i="4"/>
  <c r="AS23" i="4"/>
  <c r="AR23" i="4"/>
  <c r="AQ23" i="4"/>
  <c r="AP23" i="4"/>
  <c r="AO23" i="4"/>
  <c r="AN23" i="4"/>
  <c r="AM23" i="4"/>
  <c r="AL23" i="4"/>
  <c r="X23" i="4"/>
  <c r="M23" i="4"/>
  <c r="L23" i="4"/>
  <c r="K23" i="4"/>
  <c r="J23" i="4"/>
  <c r="I23" i="4"/>
  <c r="H23" i="4"/>
  <c r="G23" i="4"/>
  <c r="F23" i="4"/>
  <c r="AT22" i="4"/>
  <c r="AS22" i="4"/>
  <c r="AR22" i="4"/>
  <c r="AQ22" i="4"/>
  <c r="AP22" i="4"/>
  <c r="AO22" i="4"/>
  <c r="AN22" i="4"/>
  <c r="AM22" i="4"/>
  <c r="AL22" i="4"/>
  <c r="X22" i="4"/>
  <c r="M22" i="4"/>
  <c r="L22" i="4"/>
  <c r="K22" i="4"/>
  <c r="J22" i="4"/>
  <c r="I22" i="4"/>
  <c r="H22" i="4"/>
  <c r="G22" i="4"/>
  <c r="F22" i="4"/>
  <c r="AT21" i="4"/>
  <c r="AS21" i="4"/>
  <c r="AR21" i="4"/>
  <c r="AQ21" i="4"/>
  <c r="AP21" i="4"/>
  <c r="AO21" i="4"/>
  <c r="AN21" i="4"/>
  <c r="AM21" i="4"/>
  <c r="AL21" i="4"/>
  <c r="X21" i="4"/>
  <c r="M21" i="4"/>
  <c r="L21" i="4"/>
  <c r="K21" i="4"/>
  <c r="J21" i="4"/>
  <c r="I21" i="4"/>
  <c r="H21" i="4"/>
  <c r="G21" i="4"/>
  <c r="F21" i="4"/>
  <c r="AT20" i="4"/>
  <c r="AS20" i="4"/>
  <c r="AR20" i="4"/>
  <c r="AQ20" i="4"/>
  <c r="AP20" i="4"/>
  <c r="AO20" i="4"/>
  <c r="AN20" i="4"/>
  <c r="AM20" i="4"/>
  <c r="AL20" i="4"/>
  <c r="X20" i="4"/>
  <c r="M20" i="4"/>
  <c r="L20" i="4"/>
  <c r="K20" i="4"/>
  <c r="J20" i="4"/>
  <c r="I20" i="4"/>
  <c r="H20" i="4"/>
  <c r="G20" i="4"/>
  <c r="F20" i="4"/>
  <c r="AT19" i="4"/>
  <c r="AS19" i="4"/>
  <c r="AR19" i="4"/>
  <c r="AQ19" i="4"/>
  <c r="AP19" i="4"/>
  <c r="AO19" i="4"/>
  <c r="AN19" i="4"/>
  <c r="AM19" i="4"/>
  <c r="AL19" i="4"/>
  <c r="X19" i="4"/>
  <c r="M19" i="4"/>
  <c r="L19" i="4"/>
  <c r="K19" i="4"/>
  <c r="J19" i="4"/>
  <c r="I19" i="4"/>
  <c r="H19" i="4"/>
  <c r="G19" i="4"/>
  <c r="F19" i="4"/>
  <c r="AT18" i="4"/>
  <c r="AS18" i="4"/>
  <c r="AR18" i="4"/>
  <c r="AQ18" i="4"/>
  <c r="AP18" i="4"/>
  <c r="AO18" i="4"/>
  <c r="AN18" i="4"/>
  <c r="AM18" i="4"/>
  <c r="AL18" i="4"/>
  <c r="X18" i="4"/>
  <c r="M18" i="4"/>
  <c r="L18" i="4"/>
  <c r="K18" i="4"/>
  <c r="J18" i="4"/>
  <c r="I18" i="4"/>
  <c r="H18" i="4"/>
  <c r="G18" i="4"/>
  <c r="F18" i="4"/>
  <c r="AT17" i="4"/>
  <c r="AS17" i="4"/>
  <c r="AR17" i="4"/>
  <c r="AQ17" i="4"/>
  <c r="AP17" i="4"/>
  <c r="AO17" i="4"/>
  <c r="AN17" i="4"/>
  <c r="AM17" i="4"/>
  <c r="AL17" i="4"/>
  <c r="X17" i="4"/>
  <c r="M17" i="4"/>
  <c r="L17" i="4"/>
  <c r="K17" i="4"/>
  <c r="J17" i="4"/>
  <c r="I17" i="4"/>
  <c r="H17" i="4"/>
  <c r="G17" i="4"/>
  <c r="F17" i="4"/>
  <c r="AT16" i="4"/>
  <c r="AS16" i="4"/>
  <c r="AR16" i="4"/>
  <c r="AQ16" i="4"/>
  <c r="AP16" i="4"/>
  <c r="AO16" i="4"/>
  <c r="AN16" i="4"/>
  <c r="AM16" i="4"/>
  <c r="AL16" i="4"/>
  <c r="X16" i="4"/>
  <c r="M16" i="4"/>
  <c r="L16" i="4"/>
  <c r="K16" i="4"/>
  <c r="J16" i="4"/>
  <c r="I16" i="4"/>
  <c r="H16" i="4"/>
  <c r="G16" i="4"/>
  <c r="F16" i="4"/>
  <c r="AT15" i="4"/>
  <c r="AS15" i="4"/>
  <c r="AR15" i="4"/>
  <c r="AQ15" i="4"/>
  <c r="AP15" i="4"/>
  <c r="AO15" i="4"/>
  <c r="AN15" i="4"/>
  <c r="AM15" i="4"/>
  <c r="AL15" i="4"/>
  <c r="X15" i="4"/>
  <c r="M15" i="4"/>
  <c r="L15" i="4"/>
  <c r="K15" i="4"/>
  <c r="J15" i="4"/>
  <c r="I15" i="4"/>
  <c r="H15" i="4"/>
  <c r="G15" i="4"/>
  <c r="F15" i="4"/>
  <c r="AT14" i="4"/>
  <c r="AS14" i="4"/>
  <c r="AR14" i="4"/>
  <c r="AQ14" i="4"/>
  <c r="AP14" i="4"/>
  <c r="AO14" i="4"/>
  <c r="AN14" i="4"/>
  <c r="AM14" i="4"/>
  <c r="AL14" i="4"/>
  <c r="X14" i="4"/>
  <c r="M14" i="4"/>
  <c r="L14" i="4"/>
  <c r="K14" i="4"/>
  <c r="J14" i="4"/>
  <c r="I14" i="4"/>
  <c r="H14" i="4"/>
  <c r="G14" i="4"/>
  <c r="F14" i="4"/>
  <c r="AO13" i="4"/>
  <c r="AN13" i="4"/>
  <c r="AM13" i="4"/>
  <c r="AL13" i="4"/>
  <c r="X13" i="4"/>
  <c r="M13" i="4"/>
  <c r="L13" i="4"/>
  <c r="K13" i="4"/>
  <c r="J13" i="4"/>
  <c r="I13" i="4"/>
  <c r="H13" i="4"/>
  <c r="G13" i="4"/>
  <c r="F13" i="4"/>
  <c r="AO12" i="4"/>
  <c r="AN12" i="4"/>
  <c r="AM12" i="4"/>
  <c r="AL12" i="4"/>
  <c r="X12" i="4"/>
  <c r="M12" i="4"/>
  <c r="L12" i="4"/>
  <c r="K12" i="4"/>
  <c r="J12" i="4"/>
  <c r="I12" i="4"/>
  <c r="H12" i="4"/>
  <c r="G12" i="4"/>
  <c r="F12" i="4"/>
  <c r="AO11" i="4"/>
  <c r="AN11" i="4"/>
  <c r="AM11" i="4"/>
  <c r="AL11" i="4"/>
  <c r="X11" i="4"/>
  <c r="M11" i="4"/>
  <c r="L11" i="4"/>
  <c r="K11" i="4"/>
  <c r="J11" i="4"/>
  <c r="I11" i="4"/>
  <c r="H11" i="4"/>
  <c r="G11" i="4"/>
  <c r="F11" i="4"/>
  <c r="AO10" i="4"/>
  <c r="AN10" i="4"/>
  <c r="AM10" i="4"/>
  <c r="AL10" i="4"/>
  <c r="X10" i="4"/>
  <c r="M10" i="4"/>
  <c r="L10" i="4"/>
  <c r="K10" i="4"/>
  <c r="J10" i="4"/>
  <c r="I10" i="4"/>
  <c r="H10" i="4"/>
  <c r="G10" i="4"/>
  <c r="F10" i="4"/>
  <c r="AO9" i="4"/>
  <c r="AN9" i="4"/>
  <c r="AM9" i="4"/>
  <c r="AL9" i="4"/>
  <c r="X9" i="4"/>
  <c r="M9" i="4"/>
  <c r="L9" i="4"/>
  <c r="K9" i="4"/>
  <c r="J9" i="4"/>
  <c r="I9" i="4"/>
  <c r="H9" i="4"/>
  <c r="G9" i="4"/>
  <c r="F9" i="4"/>
  <c r="AO8" i="4"/>
  <c r="AN8" i="4"/>
  <c r="AM8" i="4"/>
  <c r="AL8" i="4"/>
  <c r="X8" i="4"/>
  <c r="M8" i="4"/>
  <c r="L8" i="4"/>
  <c r="K8" i="4"/>
  <c r="J8" i="4"/>
  <c r="I8" i="4"/>
  <c r="H8" i="4"/>
  <c r="G8" i="4"/>
  <c r="F8" i="4"/>
  <c r="AO7" i="4"/>
  <c r="AN7" i="4"/>
  <c r="AM7" i="4"/>
  <c r="AL7" i="4"/>
  <c r="X7" i="4"/>
  <c r="M7" i="4"/>
  <c r="L7" i="4"/>
  <c r="K7" i="4"/>
  <c r="J7" i="4"/>
  <c r="I7" i="4"/>
  <c r="H7" i="4"/>
  <c r="G7" i="4"/>
  <c r="F7" i="4"/>
  <c r="AO6" i="4"/>
  <c r="AN6" i="4"/>
  <c r="AM6" i="4"/>
  <c r="AL6" i="4"/>
  <c r="X6" i="4"/>
  <c r="M6" i="4"/>
  <c r="L6" i="4"/>
  <c r="K6" i="4"/>
  <c r="J6" i="4"/>
  <c r="I6" i="4"/>
  <c r="H6" i="4"/>
  <c r="G6" i="4"/>
  <c r="F6" i="4"/>
  <c r="AO5" i="4"/>
  <c r="AN5" i="4"/>
  <c r="AM5" i="4"/>
  <c r="AL5" i="4"/>
  <c r="X5" i="4"/>
  <c r="M5" i="4"/>
  <c r="L5" i="4"/>
  <c r="K5" i="4"/>
  <c r="J5" i="4"/>
  <c r="I5" i="4"/>
  <c r="H5" i="4"/>
  <c r="G5" i="4"/>
  <c r="F5" i="4"/>
  <c r="AO4" i="4"/>
  <c r="AN4" i="4"/>
  <c r="AM4" i="4"/>
  <c r="AL4" i="4"/>
  <c r="X4" i="4"/>
  <c r="M4" i="4"/>
  <c r="L4" i="4"/>
  <c r="K4" i="4"/>
  <c r="J4" i="4"/>
  <c r="I4" i="4"/>
  <c r="H4" i="4"/>
  <c r="G4" i="4"/>
  <c r="F4" i="4"/>
  <c r="AO3" i="4"/>
  <c r="AN3" i="4"/>
  <c r="AM3" i="4"/>
  <c r="AL3" i="4"/>
  <c r="X3" i="4"/>
  <c r="M3" i="4"/>
  <c r="L3" i="4"/>
  <c r="K3" i="4"/>
  <c r="J3" i="4"/>
  <c r="I3" i="4"/>
  <c r="H3" i="4"/>
  <c r="G3" i="4"/>
  <c r="F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O2" i="4"/>
  <c r="AN2" i="4"/>
  <c r="AM2" i="4"/>
  <c r="AL2" i="4"/>
  <c r="X2" i="4"/>
  <c r="M2" i="4"/>
  <c r="L2" i="4"/>
  <c r="K2" i="4"/>
  <c r="J2" i="4"/>
  <c r="I2" i="4"/>
  <c r="H2" i="4"/>
  <c r="G2" i="4"/>
  <c r="F2" i="4"/>
  <c r="AT1" i="4"/>
  <c r="AS1" i="4"/>
  <c r="AR1" i="4"/>
  <c r="AQ1" i="4"/>
  <c r="AP1" i="4"/>
  <c r="AB304" i="4" l="1"/>
  <c r="AB305" i="4" s="1"/>
  <c r="AB306" i="4" s="1"/>
  <c r="AB307" i="4" s="1"/>
  <c r="AB308" i="4" s="1"/>
  <c r="AB309" i="4" s="1"/>
  <c r="AB310" i="4" s="1"/>
  <c r="AB311" i="4" s="1"/>
  <c r="AB312" i="4" s="1"/>
  <c r="AB313" i="4" s="1"/>
  <c r="AB314" i="4" s="1"/>
  <c r="AB315" i="4" s="1"/>
  <c r="AB316" i="4" s="1"/>
  <c r="AB317" i="4" s="1"/>
  <c r="AB318" i="4" s="1"/>
  <c r="AB319" i="4" s="1"/>
  <c r="AB320" i="4" s="1"/>
  <c r="AB321" i="4" s="1"/>
  <c r="AB322" i="4" s="1"/>
  <c r="AB323" i="4" s="1"/>
  <c r="AB324" i="4" s="1"/>
  <c r="AB325" i="4" s="1"/>
  <c r="AB326" i="4" s="1"/>
  <c r="AB327" i="4" s="1"/>
  <c r="AB328" i="4" s="1"/>
  <c r="AB329" i="4" s="1"/>
  <c r="AB330" i="4" s="1"/>
  <c r="AB331" i="4" s="1"/>
  <c r="AB332" i="4" s="1"/>
  <c r="AB333" i="4" s="1"/>
  <c r="AB334" i="4" s="1"/>
  <c r="AB335" i="4" s="1"/>
  <c r="AB336" i="4" s="1"/>
  <c r="AB337" i="4" s="1"/>
  <c r="AB338" i="4" s="1"/>
  <c r="AB339" i="4" s="1"/>
  <c r="AB340" i="4" s="1"/>
  <c r="AB341" i="4" s="1"/>
  <c r="AB342" i="4" s="1"/>
  <c r="AB343" i="4" s="1"/>
  <c r="AB344" i="4" s="1"/>
  <c r="AB345" i="4" s="1"/>
  <c r="AB346" i="4" s="1"/>
  <c r="AB347" i="4" s="1"/>
  <c r="AB348" i="4" s="1"/>
  <c r="AB349" i="4" s="1"/>
  <c r="AB350" i="4" s="1"/>
  <c r="AB351" i="4" s="1"/>
  <c r="AB352" i="4" s="1"/>
  <c r="AB353" i="4" s="1"/>
  <c r="AB354" i="4" s="1"/>
  <c r="AB355" i="4" s="1"/>
  <c r="AB356" i="4" s="1"/>
  <c r="AB357" i="4" s="1"/>
  <c r="AB358" i="4" s="1"/>
  <c r="AB359" i="4" s="1"/>
  <c r="AB360" i="4" s="1"/>
  <c r="AB361" i="4" s="1"/>
  <c r="AB362" i="4" s="1"/>
  <c r="AB363" i="4" s="1"/>
  <c r="AB364" i="4" s="1"/>
  <c r="AB365" i="4" s="1"/>
  <c r="AB366" i="4" s="1"/>
  <c r="AB367" i="4" s="1"/>
  <c r="AB368" i="4" s="1"/>
  <c r="AB369" i="4" s="1"/>
  <c r="AB370" i="4" s="1"/>
  <c r="AB371" i="4" s="1"/>
  <c r="AB372" i="4" s="1"/>
  <c r="AB373" i="4" s="1"/>
  <c r="AB374" i="4" s="1"/>
  <c r="AB375" i="4" s="1"/>
  <c r="AB376" i="4" s="1"/>
  <c r="AB377" i="4" s="1"/>
  <c r="AB378" i="4" s="1"/>
  <c r="AB379" i="4" s="1"/>
  <c r="AB380" i="4" s="1"/>
  <c r="AB381" i="4" s="1"/>
  <c r="AB382" i="4" s="1"/>
  <c r="AB383" i="4" s="1"/>
  <c r="AB384" i="4" s="1"/>
  <c r="AB385" i="4" s="1"/>
  <c r="AB386" i="4" s="1"/>
  <c r="AB387" i="4" s="1"/>
  <c r="AB388" i="4" s="1"/>
  <c r="AB389" i="4" s="1"/>
  <c r="AB390" i="4" s="1"/>
  <c r="AB391" i="4" s="1"/>
  <c r="AB392" i="4" s="1"/>
  <c r="AB393" i="4" s="1"/>
  <c r="AB394" i="4" s="1"/>
  <c r="AB395" i="4" s="1"/>
  <c r="AB396" i="4" s="1"/>
  <c r="AB397" i="4" s="1"/>
  <c r="AB398" i="4" s="1"/>
  <c r="AB399" i="4" s="1"/>
  <c r="AB400" i="4" s="1"/>
  <c r="AB401" i="4" s="1"/>
  <c r="AB402" i="4" s="1"/>
  <c r="AB403" i="4" s="1"/>
  <c r="AB404" i="4" s="1"/>
  <c r="AB405" i="4" s="1"/>
  <c r="AB406" i="4" s="1"/>
  <c r="AB407" i="4" s="1"/>
  <c r="AB408" i="4" s="1"/>
  <c r="AB409" i="4" s="1"/>
  <c r="AB410" i="4" s="1"/>
  <c r="AB411" i="4" s="1"/>
  <c r="AB412" i="4" s="1"/>
  <c r="AB413" i="4" s="1"/>
  <c r="AB414" i="4" s="1"/>
  <c r="AB415" i="4" s="1"/>
  <c r="AB416" i="4" s="1"/>
  <c r="AB417" i="4" s="1"/>
  <c r="AB418" i="4" s="1"/>
  <c r="AB419" i="4" s="1"/>
  <c r="AB420" i="4" s="1"/>
  <c r="AB421" i="4" s="1"/>
  <c r="AB422" i="4" s="1"/>
  <c r="AB423" i="4" s="1"/>
  <c r="AB424" i="4" s="1"/>
  <c r="AB425" i="4" s="1"/>
  <c r="AB426" i="4" s="1"/>
  <c r="AB427" i="4" s="1"/>
  <c r="AB428" i="4" s="1"/>
  <c r="AB429" i="4" s="1"/>
  <c r="AB430" i="4" s="1"/>
  <c r="AB431" i="4" s="1"/>
  <c r="AB432" i="4" s="1"/>
  <c r="AB433" i="4" s="1"/>
  <c r="AB434" i="4" s="1"/>
  <c r="AB435" i="4" s="1"/>
  <c r="AB436" i="4" s="1"/>
  <c r="AB437" i="4" s="1"/>
  <c r="AB438" i="4" s="1"/>
  <c r="AB439" i="4" s="1"/>
  <c r="AB440" i="4" s="1"/>
  <c r="AB441" i="4" s="1"/>
  <c r="AB442" i="4" s="1"/>
  <c r="AB443" i="4" s="1"/>
  <c r="AB444" i="4" s="1"/>
  <c r="AB445" i="4" s="1"/>
  <c r="AB446" i="4" s="1"/>
  <c r="AB447" i="4" s="1"/>
  <c r="AB448" i="4" s="1"/>
  <c r="AB449" i="4" s="1"/>
  <c r="AB450" i="4" s="1"/>
  <c r="AB451" i="4" s="1"/>
  <c r="AB452" i="4" s="1"/>
  <c r="AB453" i="4" s="1"/>
  <c r="AB454" i="4" s="1"/>
  <c r="AB455" i="4" s="1"/>
  <c r="AB456" i="4" s="1"/>
  <c r="AB457" i="4" s="1"/>
  <c r="AB458" i="4" s="1"/>
  <c r="AB459" i="4" s="1"/>
  <c r="AB460" i="4" s="1"/>
  <c r="AB461" i="4" s="1"/>
  <c r="AB462" i="4" s="1"/>
  <c r="AB463" i="4" s="1"/>
  <c r="AB464" i="4" s="1"/>
  <c r="AB465" i="4" s="1"/>
  <c r="AB466" i="4" s="1"/>
  <c r="AB467" i="4" s="1"/>
  <c r="AB468" i="4" s="1"/>
  <c r="AB469" i="4" s="1"/>
  <c r="AB470" i="4" s="1"/>
  <c r="AB471" i="4" s="1"/>
  <c r="AB472" i="4" s="1"/>
  <c r="AB473" i="4" s="1"/>
  <c r="AB474" i="4" s="1"/>
  <c r="AB475" i="4" s="1"/>
  <c r="AB476" i="4" s="1"/>
  <c r="AB477" i="4" s="1"/>
  <c r="AB478" i="4" s="1"/>
  <c r="AB479" i="4" s="1"/>
  <c r="AB480" i="4" s="1"/>
  <c r="AB481" i="4" s="1"/>
  <c r="AB482" i="4" s="1"/>
  <c r="AB483" i="4" s="1"/>
  <c r="AB484" i="4" s="1"/>
  <c r="AB485" i="4" s="1"/>
  <c r="AB486" i="4" s="1"/>
  <c r="AB487" i="4" s="1"/>
  <c r="AB488" i="4" s="1"/>
  <c r="AB489" i="4" s="1"/>
  <c r="AB490" i="4" s="1"/>
  <c r="AB491" i="4" s="1"/>
  <c r="AB492" i="4" s="1"/>
  <c r="AB493" i="4" s="1"/>
  <c r="AB494" i="4" s="1"/>
  <c r="AB495" i="4" s="1"/>
  <c r="AB496" i="4" s="1"/>
  <c r="AB497" i="4" s="1"/>
  <c r="AB498" i="4" s="1"/>
  <c r="AB499" i="4" s="1"/>
  <c r="AB500" i="4" s="1"/>
  <c r="AB501" i="4" s="1"/>
  <c r="AB502" i="4" s="1"/>
  <c r="AB503" i="4" s="1"/>
  <c r="AB504" i="4" s="1"/>
  <c r="AB505" i="4" s="1"/>
  <c r="AB506" i="4" s="1"/>
  <c r="AB507" i="4" s="1"/>
  <c r="AB508" i="4" s="1"/>
  <c r="AB509" i="4" s="1"/>
  <c r="AB510" i="4" s="1"/>
  <c r="AB511" i="4" s="1"/>
  <c r="AB512" i="4" s="1"/>
  <c r="AB513" i="4" s="1"/>
  <c r="AB514" i="4" s="1"/>
  <c r="AB515" i="4" s="1"/>
  <c r="AB516" i="4" s="1"/>
  <c r="AB517" i="4" s="1"/>
  <c r="AB518" i="4" s="1"/>
  <c r="AB519" i="4" s="1"/>
  <c r="AB520" i="4" s="1"/>
  <c r="AB521" i="4" s="1"/>
  <c r="AB522" i="4" s="1"/>
  <c r="AB523" i="4" s="1"/>
  <c r="AB524" i="4" s="1"/>
  <c r="AB525" i="4" s="1"/>
  <c r="AB526" i="4" s="1"/>
  <c r="AB527" i="4" s="1"/>
  <c r="AB528" i="4" s="1"/>
  <c r="AB529" i="4" s="1"/>
  <c r="AB530" i="4" s="1"/>
  <c r="AB531" i="4" s="1"/>
  <c r="AB532" i="4" s="1"/>
  <c r="AB533" i="4" s="1"/>
  <c r="AB534" i="4" s="1"/>
  <c r="AB535" i="4" s="1"/>
  <c r="AB536" i="4" s="1"/>
  <c r="AB537" i="4" s="1"/>
  <c r="AB538" i="4" s="1"/>
  <c r="AB539" i="4" s="1"/>
  <c r="AB540" i="4" s="1"/>
  <c r="AB541" i="4" s="1"/>
  <c r="AB542" i="4" s="1"/>
  <c r="AB543" i="4" s="1"/>
  <c r="AB544" i="4" s="1"/>
  <c r="AB545" i="4" s="1"/>
  <c r="AB546" i="4" s="1"/>
  <c r="AB547" i="4" s="1"/>
  <c r="AB548" i="4" s="1"/>
  <c r="AB549" i="4" s="1"/>
  <c r="AB550" i="4" s="1"/>
  <c r="AB551" i="4" s="1"/>
  <c r="AB552" i="4" s="1"/>
  <c r="AB553" i="4" s="1"/>
  <c r="AB554" i="4" s="1"/>
  <c r="AB555" i="4" s="1"/>
  <c r="AB556" i="4" s="1"/>
  <c r="AB557" i="4" s="1"/>
  <c r="AB558" i="4" s="1"/>
  <c r="AB559" i="4" s="1"/>
  <c r="AB560" i="4" s="1"/>
  <c r="AB561" i="4" s="1"/>
  <c r="AB562" i="4" s="1"/>
  <c r="AB563" i="4" s="1"/>
  <c r="AB564" i="4" s="1"/>
  <c r="AB565" i="4" s="1"/>
  <c r="AB566" i="4" s="1"/>
  <c r="AB567" i="4" s="1"/>
  <c r="AB568" i="4" s="1"/>
  <c r="AB569" i="4" s="1"/>
  <c r="AB570" i="4" s="1"/>
  <c r="AB571" i="4" s="1"/>
  <c r="AB572" i="4" s="1"/>
  <c r="AB573" i="4" s="1"/>
  <c r="AB574" i="4" s="1"/>
  <c r="AB575" i="4" s="1"/>
  <c r="AB576" i="4" s="1"/>
  <c r="AB577" i="4" s="1"/>
  <c r="AB578" i="4" s="1"/>
  <c r="AB579" i="4" s="1"/>
  <c r="AB580" i="4" s="1"/>
  <c r="AB581" i="4" s="1"/>
  <c r="AB582" i="4" s="1"/>
  <c r="AB583" i="4" s="1"/>
  <c r="AB584" i="4" s="1"/>
  <c r="AB585" i="4" s="1"/>
  <c r="AB586" i="4" s="1"/>
  <c r="AB587" i="4" s="1"/>
  <c r="AB588" i="4" s="1"/>
  <c r="AB58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Jaulín Méndez Oscar Fernando</author>
  </authors>
  <commentList>
    <comment ref="D1" authorId="0" shapeId="0" xr:uid="{CF71B7C1-09FB-446F-A9B9-DCC3BDE4FCE6}">
      <text>
        <r>
          <rPr>
            <b/>
            <sz val="9"/>
            <color indexed="81"/>
            <rFont val="Tahoma"/>
            <family val="2"/>
          </rPr>
          <t>Jaulín Méndez Oscar Fernando:</t>
        </r>
        <r>
          <rPr>
            <sz val="9"/>
            <color indexed="81"/>
            <rFont val="Tahoma"/>
            <family val="2"/>
          </rPr>
          <t xml:space="preserve">
Kanzig (2021) oil price surprises
</t>
        </r>
      </text>
    </comment>
    <comment ref="E1" authorId="0" shapeId="0" xr:uid="{8375F54B-02D1-4DB5-A6B1-4058A02583AB}">
      <text>
        <r>
          <rPr>
            <b/>
            <sz val="9"/>
            <color indexed="81"/>
            <rFont val="Tahoma"/>
            <family val="2"/>
          </rPr>
          <t>Jaulín Méndez Oscar Fernando:</t>
        </r>
        <r>
          <rPr>
            <sz val="9"/>
            <color indexed="81"/>
            <rFont val="Tahoma"/>
            <family val="2"/>
          </rPr>
          <t xml:space="preserve">
Oil price Expectation Shocks
</t>
        </r>
      </text>
    </comment>
    <comment ref="F1" authorId="0" shapeId="0" xr:uid="{A5607CDA-1400-4CC5-B640-F02FB2D0C661}">
      <text>
        <r>
          <rPr>
            <b/>
            <sz val="9"/>
            <color indexed="81"/>
            <rFont val="Tahoma"/>
            <family val="2"/>
          </rPr>
          <t>Jaulín Méndez Oscar Fernando:</t>
        </r>
        <r>
          <rPr>
            <sz val="9"/>
            <color indexed="81"/>
            <rFont val="Tahoma"/>
            <family val="2"/>
          </rPr>
          <t xml:space="preserve">
Oil price news shocks Baumeister and Hamilton (2019)</t>
        </r>
      </text>
    </comment>
    <comment ref="G1" authorId="0" shapeId="0" xr:uid="{81D8736A-8295-473F-918C-F4F93782FCC6}">
      <text>
        <r>
          <rPr>
            <b/>
            <sz val="9"/>
            <color indexed="81"/>
            <rFont val="Tahoma"/>
            <family val="2"/>
          </rPr>
          <t>Jaulín Méndez Oscar Fernando:</t>
        </r>
        <r>
          <rPr>
            <sz val="9"/>
            <color indexed="81"/>
            <rFont val="Tahoma"/>
            <family val="2"/>
          </rPr>
          <t xml:space="preserve">
Oil Supply Baunmeinster (2023)}</t>
        </r>
      </text>
    </comment>
  </commentList>
</comments>
</file>

<file path=xl/sharedStrings.xml><?xml version="1.0" encoding="utf-8"?>
<sst xmlns="http://schemas.openxmlformats.org/spreadsheetml/2006/main" count="150" uniqueCount="115">
  <si>
    <t>Date</t>
  </si>
  <si>
    <t>inst1</t>
  </si>
  <si>
    <t>inst2</t>
  </si>
  <si>
    <t>Oil1</t>
  </si>
  <si>
    <t>Oil2</t>
  </si>
  <si>
    <t>Oil3</t>
  </si>
  <si>
    <t>Oil 5</t>
  </si>
  <si>
    <t>quarter</t>
  </si>
  <si>
    <t>ngdp</t>
  </si>
  <si>
    <t>rgdp</t>
  </si>
  <si>
    <t>pgdp</t>
  </si>
  <si>
    <t>ncons</t>
  </si>
  <si>
    <t>ntotinv</t>
  </si>
  <si>
    <t>rcons</t>
  </si>
  <si>
    <t>rnri</t>
  </si>
  <si>
    <t>tothours</t>
  </si>
  <si>
    <t>ybus</t>
  </si>
  <si>
    <t>xbus</t>
  </si>
  <si>
    <t>nbus</t>
  </si>
  <si>
    <t>ltfp</t>
  </si>
  <si>
    <t>ltfp_I</t>
  </si>
  <si>
    <t>ltfp_util</t>
  </si>
  <si>
    <t>ltfp_I_util</t>
  </si>
  <si>
    <t>relp</t>
  </si>
  <si>
    <t>pop</t>
  </si>
  <si>
    <t>civpop</t>
  </si>
  <si>
    <t>baa</t>
  </si>
  <si>
    <t>tbond10</t>
  </si>
  <si>
    <t>tbill3</t>
  </si>
  <si>
    <t>stockp_sh</t>
  </si>
  <si>
    <t>stockp_ff</t>
  </si>
  <si>
    <t>ford_tfp</t>
  </si>
  <si>
    <t>bp_tfp_news_sr</t>
  </si>
  <si>
    <t>bp_tfp_news_lr</t>
  </si>
  <si>
    <t>bs_tfp_news</t>
  </si>
  <si>
    <t>bzk_ist_news</t>
  </si>
  <si>
    <t>bzk_ist</t>
  </si>
  <si>
    <t>bzk_tfp</t>
  </si>
  <si>
    <t>jpt_tfp</t>
  </si>
  <si>
    <t>jpt_mei</t>
  </si>
  <si>
    <t>jpt_ist</t>
  </si>
  <si>
    <t>mn_tfp_p</t>
  </si>
  <si>
    <t>mn_ist_p</t>
  </si>
  <si>
    <t>mn_tfp_s</t>
  </si>
  <si>
    <t>mn_ist_s</t>
  </si>
  <si>
    <t>mn_tfp_p_n4</t>
  </si>
  <si>
    <t>mn_tfp_p_n8</t>
  </si>
  <si>
    <t>mn_ist_p_n4</t>
  </si>
  <si>
    <t>mn_ist_p_n8</t>
  </si>
  <si>
    <t>mn_tfp_s_n4</t>
  </si>
  <si>
    <t>mn_tfp_s_n8</t>
  </si>
  <si>
    <t>mn_ist_s_n4</t>
  </si>
  <si>
    <t>mn_ist_s_n8</t>
  </si>
  <si>
    <t>rameynews</t>
  </si>
  <si>
    <t>mfev</t>
  </si>
  <si>
    <t>rcndsv</t>
  </si>
  <si>
    <t>rcdur</t>
  </si>
  <si>
    <t>rinv</t>
  </si>
  <si>
    <t>rres</t>
  </si>
  <si>
    <t>ngov</t>
  </si>
  <si>
    <t>nfed</t>
  </si>
  <si>
    <t>ntaxrev</t>
  </si>
  <si>
    <t>nfedtaxrev</t>
  </si>
  <si>
    <t>ffr</t>
  </si>
  <si>
    <t>aftr15</t>
  </si>
  <si>
    <t>pubdebt</t>
  </si>
  <si>
    <t>ENDOGNRRATIO</t>
  </si>
  <si>
    <t>EXOGENRRATIO</t>
  </si>
  <si>
    <t>rrtaxu</t>
  </si>
  <si>
    <t>TAXU</t>
  </si>
  <si>
    <t>taxnews</t>
  </si>
  <si>
    <t>DATES</t>
  </si>
  <si>
    <t>LIP</t>
  </si>
  <si>
    <t>UNEMP</t>
  </si>
  <si>
    <t>LCPI</t>
  </si>
  <si>
    <t>FFR</t>
  </si>
  <si>
    <t>LPCOM</t>
  </si>
  <si>
    <t>LRCDUR</t>
  </si>
  <si>
    <t>LRCND</t>
  </si>
  <si>
    <t>LRCSV</t>
  </si>
  <si>
    <t>RRSHOCK</t>
  </si>
  <si>
    <t>CUMRRSHOCK</t>
  </si>
  <si>
    <t>CUMRRSHOCKORIG</t>
  </si>
  <si>
    <t>BCSHOCK</t>
  </si>
  <si>
    <t>CUMBCSHOCK</t>
  </si>
  <si>
    <t>MP1_TC</t>
  </si>
  <si>
    <t>FF4_TC</t>
  </si>
  <si>
    <t>ED2_TC</t>
  </si>
  <si>
    <t>ED3_TC</t>
  </si>
  <si>
    <t>ED4_TC</t>
  </si>
  <si>
    <t>GS1</t>
  </si>
  <si>
    <t>EBP</t>
  </si>
  <si>
    <t>szshock</t>
  </si>
  <si>
    <t>rrshock83</t>
  </si>
  <si>
    <t>cumrrshock83</t>
  </si>
  <si>
    <t>rrshock83b</t>
  </si>
  <si>
    <t>mp1_vr</t>
  </si>
  <si>
    <t>ff1_vr</t>
  </si>
  <si>
    <t>ff4_vr</t>
  </si>
  <si>
    <t>ed2_vr</t>
  </si>
  <si>
    <t>ff1_gkgreen</t>
  </si>
  <si>
    <t>ff4_gkgreen</t>
  </si>
  <si>
    <t>ed2_gkgreen</t>
  </si>
  <si>
    <t>wu_xia</t>
  </si>
  <si>
    <t>lm1</t>
  </si>
  <si>
    <t>lm2</t>
  </si>
  <si>
    <t>ltr</t>
  </si>
  <si>
    <t>lnbr</t>
  </si>
  <si>
    <t>año</t>
  </si>
  <si>
    <t>mes</t>
  </si>
  <si>
    <t>trim</t>
  </si>
  <si>
    <t>Total general</t>
  </si>
  <si>
    <t>Promedio de RRSHOCK</t>
  </si>
  <si>
    <t>Promedio de BCSHOCK</t>
  </si>
  <si>
    <t>Promedio de MP1_TC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</si>
</sst>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14" fontId="0" fillId="0" borderId="0" xfId="0" applyNumberFormat="1"/>
    <xf numFmtId="0" fontId="3" fillId="0" borderId="0" xfId="1"/>
    <xf numFmtId="0" fontId="4" fillId="0" borderId="0" xfId="0" applyFont="1"/>
    <xf numFmtId="0" fontId="5" fillId="0" borderId="0" xfId="0" applyFont="1"/>
    <xf numFmtId="2" fontId="0" fillId="0" borderId="0" xfId="0" applyNumberFormat="1"/>
    <xf numFmtId="11" fontId="0" fillId="0" borderId="0" xfId="0" applyNumberFormat="1"/>
    <xf numFmtId="0" fontId="0" fillId="0" borderId="0" xfId="0" applyNumberFormat="1"/>
    <xf numFmtId="0" fontId="0" fillId="0" borderId="0" xfId="0" pivotButton="1"/>
  </cellXfs>
  <cellStyles count="2">
    <cellStyle name="Normal" xfId="0" builtinId="0"/>
    <cellStyle name="Normal 2" xfId="1" xr:uid="{C839E8EE-EAF5-4B70-AC98-F67EEAC009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jaulime\AppData\Local\Temp\1ea7fdf9-82d3-408e-ac8d-4e2decbbae7d_Ramey_HOM_monetary.zip.e7d\Monetarydat.xlsx" TargetMode="External"/><Relationship Id="rId1" Type="http://schemas.openxmlformats.org/officeDocument/2006/relationships/externalLinkPath" Target="file:///C:\Users\ojaulime\AppData\Local\Temp\1ea7fdf9-82d3-408e-ac8d-4e2decbbae7d_Ramey_HOM_monetary.zip.e7d\Monetaryd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Monthlydat83b"/>
      <sheetName val="Monthlydat83"/>
      <sheetName val="Monthlydat6907"/>
      <sheetName val="Monthly"/>
      <sheetName val="Monthlydat6996"/>
      <sheetName val="Coibion_update"/>
      <sheetName val="misc"/>
      <sheetName val="pcom"/>
      <sheetName val="Factors"/>
      <sheetName val="Table 2.8.3A"/>
      <sheetName val="Table 2.8.3B"/>
      <sheetName val="Table 2.8.3C"/>
      <sheetName val="Wieland"/>
      <sheetName val="Barakchian_Crowe"/>
      <sheetName val="Gertler_Karadi"/>
      <sheetName val="Gilchrist_Zak"/>
      <sheetName val="Sims_Zh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O8">
            <v>3.1236284430920382</v>
          </cell>
          <cell r="P8">
            <v>6</v>
          </cell>
          <cell r="Q8">
            <v>3.3676405981333128</v>
          </cell>
          <cell r="W8">
            <v>2.48</v>
          </cell>
          <cell r="X8">
            <v>4.6074675450367746</v>
          </cell>
          <cell r="Y8">
            <v>2.027490136047736</v>
          </cell>
          <cell r="Z8">
            <v>3.3653283785812445</v>
          </cell>
          <cell r="AA8">
            <v>2.8482758040861156</v>
          </cell>
        </row>
        <row r="9">
          <cell r="O9">
            <v>3.1430223301760165</v>
          </cell>
          <cell r="P9">
            <v>5.9</v>
          </cell>
          <cell r="Q9">
            <v>3.3672958299864741</v>
          </cell>
          <cell r="W9">
            <v>2.4300000000000002</v>
          </cell>
          <cell r="X9">
            <v>4.5984476402272643</v>
          </cell>
          <cell r="Y9">
            <v>2.0711573220921382</v>
          </cell>
          <cell r="Z9">
            <v>3.3670889120287057</v>
          </cell>
          <cell r="AA9">
            <v>2.8560678264260164</v>
          </cell>
        </row>
        <row r="10">
          <cell r="O10">
            <v>3.1573237731215484</v>
          </cell>
          <cell r="P10">
            <v>5.6</v>
          </cell>
          <cell r="Q10">
            <v>3.3662608117812591</v>
          </cell>
          <cell r="W10">
            <v>2.8</v>
          </cell>
          <cell r="X10">
            <v>4.6165056956518367</v>
          </cell>
          <cell r="Y10">
            <v>2.0753080103982291</v>
          </cell>
          <cell r="Z10">
            <v>3.3862190984814422</v>
          </cell>
          <cell r="AA10">
            <v>2.8584796801276142</v>
          </cell>
        </row>
        <row r="11">
          <cell r="O11">
            <v>3.1784037691122338</v>
          </cell>
          <cell r="P11">
            <v>5.2</v>
          </cell>
          <cell r="Q11">
            <v>3.3666059368925363</v>
          </cell>
          <cell r="W11">
            <v>2.96</v>
          </cell>
          <cell r="X11">
            <v>4.6306429819611221</v>
          </cell>
          <cell r="Y11">
            <v>2.0881534822818573</v>
          </cell>
          <cell r="Z11">
            <v>3.3690184832979204</v>
          </cell>
          <cell r="AA11">
            <v>2.8618008009081284</v>
          </cell>
        </row>
        <row r="12">
          <cell r="O12">
            <v>3.1933569710345227</v>
          </cell>
          <cell r="P12">
            <v>5.0999999999999996</v>
          </cell>
          <cell r="Q12">
            <v>3.3686741899565953</v>
          </cell>
          <cell r="W12">
            <v>2.9</v>
          </cell>
          <cell r="X12">
            <v>4.6408268631961258</v>
          </cell>
          <cell r="Y12">
            <v>2.0929745559624204</v>
          </cell>
          <cell r="Z12">
            <v>3.3886861077250838</v>
          </cell>
          <cell r="AA12">
            <v>2.8692048670822325</v>
          </cell>
        </row>
        <row r="13">
          <cell r="O13">
            <v>3.1944970630215317</v>
          </cell>
          <cell r="P13">
            <v>5</v>
          </cell>
          <cell r="Q13">
            <v>3.371081757757532</v>
          </cell>
          <cell r="W13">
            <v>3.39</v>
          </cell>
          <cell r="X13">
            <v>4.6382180400342916</v>
          </cell>
          <cell r="Y13">
            <v>2.1043780269698673</v>
          </cell>
          <cell r="Z13">
            <v>3.3857114241267077</v>
          </cell>
          <cell r="AA13">
            <v>2.876272833516663</v>
          </cell>
        </row>
        <row r="14">
          <cell r="O14">
            <v>3.1702568460457212</v>
          </cell>
          <cell r="P14">
            <v>5.0999999999999996</v>
          </cell>
          <cell r="Q14">
            <v>3.3724549127965013</v>
          </cell>
          <cell r="W14">
            <v>3.47</v>
          </cell>
          <cell r="X14">
            <v>4.6233047561835736</v>
          </cell>
          <cell r="Y14">
            <v>2.0916171176099696</v>
          </cell>
          <cell r="Z14">
            <v>3.38017801443808</v>
          </cell>
          <cell r="AA14">
            <v>2.8777929756893044</v>
          </cell>
        </row>
        <row r="15">
          <cell r="O15">
            <v>3.1357941709381478</v>
          </cell>
          <cell r="P15">
            <v>5.2</v>
          </cell>
          <cell r="Q15">
            <v>3.3734835430946397</v>
          </cell>
          <cell r="W15">
            <v>3.5</v>
          </cell>
          <cell r="X15">
            <v>4.6239919402286791</v>
          </cell>
          <cell r="Y15">
            <v>2.1133597598832967</v>
          </cell>
          <cell r="Z15">
            <v>3.3827957724816029</v>
          </cell>
          <cell r="AA15">
            <v>2.8817793934779599</v>
          </cell>
        </row>
        <row r="16">
          <cell r="O16">
            <v>3.1345851071627995</v>
          </cell>
          <cell r="P16">
            <v>5.5</v>
          </cell>
          <cell r="Q16">
            <v>3.3758795736778655</v>
          </cell>
          <cell r="W16">
            <v>3.76</v>
          </cell>
          <cell r="X16">
            <v>4.6228136211606863</v>
          </cell>
          <cell r="Y16">
            <v>2.1377104498038118</v>
          </cell>
          <cell r="Z16">
            <v>3.3919884425768454</v>
          </cell>
          <cell r="AA16">
            <v>2.8879243209196859</v>
          </cell>
        </row>
        <row r="17">
          <cell r="O17">
            <v>3.1272954805713078</v>
          </cell>
          <cell r="P17">
            <v>5.7</v>
          </cell>
          <cell r="Q17">
            <v>3.3792925462741055</v>
          </cell>
          <cell r="W17">
            <v>3.98</v>
          </cell>
          <cell r="X17">
            <v>4.6166045636137545</v>
          </cell>
          <cell r="Y17">
            <v>2.0815642870608144</v>
          </cell>
          <cell r="Z17">
            <v>3.3923584329949512</v>
          </cell>
          <cell r="AA17">
            <v>2.8900939415309939</v>
          </cell>
        </row>
        <row r="18">
          <cell r="O18">
            <v>3.1333745797824677</v>
          </cell>
          <cell r="P18">
            <v>5.8</v>
          </cell>
          <cell r="Q18">
            <v>3.3792925462741055</v>
          </cell>
          <cell r="W18">
            <v>4</v>
          </cell>
          <cell r="X18">
            <v>4.6124436699545894</v>
          </cell>
          <cell r="Y18">
            <v>2.0789414166381537</v>
          </cell>
          <cell r="Z18">
            <v>3.3879770434913006</v>
          </cell>
          <cell r="AA18">
            <v>2.8937549174415267</v>
          </cell>
        </row>
        <row r="19">
          <cell r="O19">
            <v>3.193352867637115</v>
          </cell>
          <cell r="P19">
            <v>5.3</v>
          </cell>
          <cell r="Q19">
            <v>3.3813347525659037</v>
          </cell>
          <cell r="W19">
            <v>3.99</v>
          </cell>
          <cell r="X19">
            <v>4.5914768588560886</v>
          </cell>
          <cell r="Y19">
            <v>2.0349670515780063</v>
          </cell>
          <cell r="Z19">
            <v>3.393165209964891</v>
          </cell>
          <cell r="AA19">
            <v>2.8996618048032574</v>
          </cell>
        </row>
        <row r="20">
          <cell r="O20">
            <v>3.2192717464808944</v>
          </cell>
          <cell r="P20">
            <v>5.2</v>
          </cell>
          <cell r="Q20">
            <v>3.379973745210529</v>
          </cell>
          <cell r="W20">
            <v>3.99</v>
          </cell>
          <cell r="X20">
            <v>4.6001576441645469</v>
          </cell>
          <cell r="Y20">
            <v>2.046918349974276</v>
          </cell>
          <cell r="Z20">
            <v>3.3943741563140297</v>
          </cell>
          <cell r="AA20">
            <v>2.90109186939987</v>
          </cell>
        </row>
        <row r="21">
          <cell r="O21">
            <v>3.2103314252304078</v>
          </cell>
          <cell r="P21">
            <v>4.8</v>
          </cell>
          <cell r="Q21">
            <v>3.3813347525659037</v>
          </cell>
          <cell r="W21">
            <v>3.97</v>
          </cell>
          <cell r="X21">
            <v>4.595927604621159</v>
          </cell>
          <cell r="Y21">
            <v>2.1019366195072067</v>
          </cell>
          <cell r="Z21">
            <v>3.3846614130220556</v>
          </cell>
          <cell r="AA21">
            <v>2.9026296552916668</v>
          </cell>
        </row>
        <row r="22">
          <cell r="O22">
            <v>3.2013145239224978</v>
          </cell>
          <cell r="P22">
            <v>5.4</v>
          </cell>
          <cell r="Q22">
            <v>3.3813347525659037</v>
          </cell>
          <cell r="W22">
            <v>3.84</v>
          </cell>
          <cell r="X22">
            <v>4.5943114426532157</v>
          </cell>
          <cell r="Y22">
            <v>2.1401838036352219</v>
          </cell>
          <cell r="Z22">
            <v>3.4018971367764288</v>
          </cell>
          <cell r="AA22">
            <v>2.9066277984711704</v>
          </cell>
        </row>
        <row r="23">
          <cell r="O23">
            <v>3.1933569710345227</v>
          </cell>
          <cell r="P23">
            <v>5.2</v>
          </cell>
          <cell r="Q23">
            <v>3.3857452771032337</v>
          </cell>
          <cell r="W23">
            <v>3.92</v>
          </cell>
          <cell r="X23">
            <v>4.6146253447588466</v>
          </cell>
          <cell r="Y23">
            <v>2.174751721484161</v>
          </cell>
          <cell r="Z23">
            <v>3.4202153874979171</v>
          </cell>
          <cell r="AA23">
            <v>2.9133827405369659</v>
          </cell>
        </row>
        <row r="24">
          <cell r="O24">
            <v>3.1922114696703581</v>
          </cell>
          <cell r="P24">
            <v>5.0999999999999996</v>
          </cell>
          <cell r="Q24">
            <v>3.3867603338643857</v>
          </cell>
          <cell r="W24">
            <v>3.85</v>
          </cell>
          <cell r="X24">
            <v>4.6172963657859318</v>
          </cell>
          <cell r="Y24">
            <v>2.1034021791246795</v>
          </cell>
          <cell r="Z24">
            <v>3.3917529228341556</v>
          </cell>
          <cell r="AA24">
            <v>2.9156603987884324</v>
          </cell>
        </row>
        <row r="25">
          <cell r="O25">
            <v>3.1795610272891186</v>
          </cell>
          <cell r="P25">
            <v>5.4</v>
          </cell>
          <cell r="Q25">
            <v>3.3881121421135001</v>
          </cell>
          <cell r="W25">
            <v>3.32</v>
          </cell>
          <cell r="X25">
            <v>4.6104561904173291</v>
          </cell>
          <cell r="Y25">
            <v>2.0779404155535688</v>
          </cell>
          <cell r="Z25">
            <v>3.4014306877775002</v>
          </cell>
          <cell r="AA25">
            <v>2.914359515088254</v>
          </cell>
        </row>
        <row r="26">
          <cell r="O26">
            <v>3.1760852272531008</v>
          </cell>
          <cell r="P26">
            <v>5.5</v>
          </cell>
          <cell r="Q26">
            <v>3.3860837438521072</v>
          </cell>
          <cell r="W26">
            <v>3.23</v>
          </cell>
          <cell r="X26">
            <v>4.6126422008267927</v>
          </cell>
          <cell r="Y26">
            <v>2.0866653867691554</v>
          </cell>
          <cell r="Z26">
            <v>3.404923763402969</v>
          </cell>
          <cell r="AA26">
            <v>2.9131655498970286</v>
          </cell>
        </row>
        <row r="27">
          <cell r="O27">
            <v>3.1749197576019652</v>
          </cell>
          <cell r="P27">
            <v>5.6</v>
          </cell>
          <cell r="Q27">
            <v>3.3881121421135001</v>
          </cell>
          <cell r="W27">
            <v>2.98</v>
          </cell>
          <cell r="X27">
            <v>4.6093613906065594</v>
          </cell>
          <cell r="Y27">
            <v>2.1065702090680887</v>
          </cell>
          <cell r="Z27">
            <v>3.396955062404023</v>
          </cell>
          <cell r="AA27">
            <v>2.9120788885567377</v>
          </cell>
        </row>
        <row r="28">
          <cell r="O28">
            <v>3.1644027434700668</v>
          </cell>
          <cell r="P28">
            <v>5.5</v>
          </cell>
          <cell r="Q28">
            <v>3.3881121421135001</v>
          </cell>
          <cell r="W28">
            <v>2.6</v>
          </cell>
          <cell r="X28">
            <v>4.5941092386286666</v>
          </cell>
          <cell r="Y28">
            <v>2.1406542258478254</v>
          </cell>
          <cell r="Z28">
            <v>3.3941056278483992</v>
          </cell>
          <cell r="AA28">
            <v>2.914522218128448</v>
          </cell>
        </row>
        <row r="29">
          <cell r="O29">
            <v>3.1632235703183236</v>
          </cell>
          <cell r="P29">
            <v>6.1</v>
          </cell>
          <cell r="Q29">
            <v>3.3928291319916388</v>
          </cell>
          <cell r="W29">
            <v>2.4700000000000002</v>
          </cell>
          <cell r="X29">
            <v>4.5885325448350684</v>
          </cell>
          <cell r="Y29">
            <v>2.1315594959419428</v>
          </cell>
          <cell r="Z29">
            <v>3.4035945062618769</v>
          </cell>
          <cell r="AA29">
            <v>2.9197147871300753</v>
          </cell>
        </row>
        <row r="30">
          <cell r="O30">
            <v>3.149006855433778</v>
          </cell>
          <cell r="P30">
            <v>6.1</v>
          </cell>
          <cell r="Q30">
            <v>3.3938370272558629</v>
          </cell>
          <cell r="W30">
            <v>2.44</v>
          </cell>
          <cell r="X30">
            <v>4.5804675733477191</v>
          </cell>
          <cell r="Y30">
            <v>2.0897630907517075</v>
          </cell>
          <cell r="Z30">
            <v>3.4038937432098981</v>
          </cell>
          <cell r="AA30">
            <v>2.9242899760996255</v>
          </cell>
        </row>
        <row r="31">
          <cell r="O31">
            <v>3.1297298075177564</v>
          </cell>
          <cell r="P31">
            <v>6.6</v>
          </cell>
          <cell r="Q31">
            <v>3.3948439076899799</v>
          </cell>
          <cell r="W31">
            <v>1.98</v>
          </cell>
          <cell r="X31">
            <v>4.5674683188040799</v>
          </cell>
          <cell r="Y31">
            <v>2.034574920339729</v>
          </cell>
          <cell r="Z31">
            <v>3.3905071104539646</v>
          </cell>
          <cell r="AA31">
            <v>2.924665825120131</v>
          </cell>
        </row>
        <row r="32">
          <cell r="O32">
            <v>3.1309447523609983</v>
          </cell>
          <cell r="P32">
            <v>6.6</v>
          </cell>
          <cell r="Q32">
            <v>3.3958497753355603</v>
          </cell>
          <cell r="W32">
            <v>1.45</v>
          </cell>
          <cell r="X32">
            <v>4.5806725543876912</v>
          </cell>
          <cell r="Y32">
            <v>2.0149030205422647</v>
          </cell>
          <cell r="Z32">
            <v>3.3966872261842691</v>
          </cell>
          <cell r="AA32">
            <v>2.9300731247477168</v>
          </cell>
        </row>
        <row r="33">
          <cell r="O33">
            <v>3.1297298075177564</v>
          </cell>
          <cell r="P33">
            <v>6.9</v>
          </cell>
          <cell r="Q33">
            <v>3.3958497753355603</v>
          </cell>
          <cell r="W33">
            <v>2.54</v>
          </cell>
          <cell r="X33">
            <v>4.6021656769677923</v>
          </cell>
          <cell r="Y33">
            <v>2.0220772242902649</v>
          </cell>
          <cell r="Z33">
            <v>3.4035612521840926</v>
          </cell>
          <cell r="AA33">
            <v>2.9301799053137554</v>
          </cell>
        </row>
        <row r="34">
          <cell r="O34">
            <v>3.1357941709381478</v>
          </cell>
          <cell r="P34">
            <v>6.9</v>
          </cell>
          <cell r="Q34">
            <v>3.3958497753355603</v>
          </cell>
          <cell r="W34">
            <v>2.02</v>
          </cell>
          <cell r="X34">
            <v>4.6195660662718234</v>
          </cell>
          <cell r="Y34">
            <v>2.0514277952246371</v>
          </cell>
          <cell r="Z34">
            <v>3.4154618256758598</v>
          </cell>
          <cell r="AA34">
            <v>2.9383679561644205</v>
          </cell>
        </row>
        <row r="35">
          <cell r="O35">
            <v>3.1561404770360544</v>
          </cell>
          <cell r="P35">
            <v>7</v>
          </cell>
          <cell r="Q35">
            <v>3.3948439076899799</v>
          </cell>
          <cell r="W35">
            <v>1.49</v>
          </cell>
          <cell r="X35">
            <v>4.6293748746849088</v>
          </cell>
          <cell r="Y35">
            <v>2.0386195471595809</v>
          </cell>
          <cell r="Z35">
            <v>3.4148043850683725</v>
          </cell>
          <cell r="AA35">
            <v>2.9434384788328569</v>
          </cell>
        </row>
        <row r="36">
          <cell r="O36">
            <v>3.1714277596808897</v>
          </cell>
          <cell r="P36">
            <v>7.1</v>
          </cell>
          <cell r="Q36">
            <v>3.3958497753355603</v>
          </cell>
          <cell r="W36">
            <v>1.98</v>
          </cell>
          <cell r="X36">
            <v>4.6234029542491513</v>
          </cell>
          <cell r="Y36">
            <v>2.053097566340234</v>
          </cell>
          <cell r="Z36">
            <v>3.4186770515428004</v>
          </cell>
          <cell r="AA36">
            <v>2.9490598653555602</v>
          </cell>
        </row>
        <row r="37">
          <cell r="O37">
            <v>3.1853314507763213</v>
          </cell>
          <cell r="P37">
            <v>6.9</v>
          </cell>
          <cell r="Q37">
            <v>3.3958497753355603</v>
          </cell>
          <cell r="W37">
            <v>1.73</v>
          </cell>
          <cell r="X37">
            <v>4.5910712616085894</v>
          </cell>
          <cell r="Y37">
            <v>2.0587285000822946</v>
          </cell>
          <cell r="Z37">
            <v>3.4222084288516195</v>
          </cell>
          <cell r="AA37">
            <v>2.9496883350525844</v>
          </cell>
        </row>
        <row r="38">
          <cell r="O38">
            <v>3.1967733549602535</v>
          </cell>
          <cell r="P38">
            <v>7</v>
          </cell>
          <cell r="Q38">
            <v>3.3985271531062766</v>
          </cell>
          <cell r="W38">
            <v>1.17</v>
          </cell>
          <cell r="X38">
            <v>4.5984476402272643</v>
          </cell>
          <cell r="Y38">
            <v>2.0664829405154439</v>
          </cell>
          <cell r="Z38">
            <v>3.4142123187396503</v>
          </cell>
          <cell r="AA38">
            <v>2.9479066440713861</v>
          </cell>
        </row>
        <row r="39">
          <cell r="O39">
            <v>3.2058351638598488</v>
          </cell>
          <cell r="P39">
            <v>6.6</v>
          </cell>
          <cell r="Q39">
            <v>3.3991953789914824</v>
          </cell>
          <cell r="W39">
            <v>2</v>
          </cell>
          <cell r="X39">
            <v>4.604169685654508</v>
          </cell>
          <cell r="Y39">
            <v>2.0750569433620116</v>
          </cell>
          <cell r="Z39">
            <v>3.4189718097613198</v>
          </cell>
          <cell r="AA39">
            <v>2.9491646377376561</v>
          </cell>
        </row>
        <row r="40">
          <cell r="O40">
            <v>3.2047079325932271</v>
          </cell>
          <cell r="P40">
            <v>6.7</v>
          </cell>
          <cell r="Q40">
            <v>3.4005304926744517</v>
          </cell>
          <cell r="W40">
            <v>1.88</v>
          </cell>
          <cell r="X40">
            <v>4.6001576441645469</v>
          </cell>
          <cell r="Y40">
            <v>2.0811900122139528</v>
          </cell>
          <cell r="Z40">
            <v>3.424783691468297</v>
          </cell>
          <cell r="AA40">
            <v>2.9543371981876052</v>
          </cell>
        </row>
        <row r="41">
          <cell r="O41">
            <v>3.2237121111596512</v>
          </cell>
          <cell r="P41">
            <v>6.5</v>
          </cell>
          <cell r="Q41">
            <v>3.4005304926744517</v>
          </cell>
          <cell r="W41">
            <v>2.2599999999999998</v>
          </cell>
          <cell r="X41">
            <v>4.5900565481780431</v>
          </cell>
          <cell r="Y41">
            <v>2.095929859184638</v>
          </cell>
          <cell r="Z41">
            <v>3.426182634356064</v>
          </cell>
          <cell r="AA41">
            <v>2.9621754900251482</v>
          </cell>
        </row>
        <row r="42">
          <cell r="O42">
            <v>3.2390979719967659</v>
          </cell>
          <cell r="P42">
            <v>6.1</v>
          </cell>
          <cell r="Q42">
            <v>3.4005304926744517</v>
          </cell>
          <cell r="W42">
            <v>2.61</v>
          </cell>
          <cell r="X42">
            <v>4.5793394259535702</v>
          </cell>
          <cell r="Y42">
            <v>2.1239367815663872</v>
          </cell>
          <cell r="Z42">
            <v>3.4335677616926059</v>
          </cell>
          <cell r="AA42">
            <v>2.9685666054812212</v>
          </cell>
        </row>
        <row r="43">
          <cell r="O43">
            <v>3.2477819870020475</v>
          </cell>
          <cell r="P43">
            <v>6</v>
          </cell>
          <cell r="Q43">
            <v>3.4015306594522756</v>
          </cell>
          <cell r="W43">
            <v>2.33</v>
          </cell>
          <cell r="X43">
            <v>4.6011621645905523</v>
          </cell>
          <cell r="Y43">
            <v>2.144292513999452</v>
          </cell>
          <cell r="Z43">
            <v>3.4387179324093351</v>
          </cell>
          <cell r="AA43">
            <v>2.9730775829891849</v>
          </cell>
        </row>
        <row r="44">
          <cell r="O44">
            <v>3.2390940520652864</v>
          </cell>
          <cell r="P44">
            <v>5.8</v>
          </cell>
          <cell r="Q44">
            <v>3.4025298268959339</v>
          </cell>
          <cell r="W44">
            <v>2.15</v>
          </cell>
          <cell r="X44">
            <v>4.6089629842267872</v>
          </cell>
          <cell r="Y44">
            <v>2.1410068973379905</v>
          </cell>
          <cell r="Z44">
            <v>3.439263582468612</v>
          </cell>
          <cell r="AA44">
            <v>2.9742532418768666</v>
          </cell>
        </row>
        <row r="45">
          <cell r="O45">
            <v>3.2553196089974983</v>
          </cell>
          <cell r="P45">
            <v>5.5</v>
          </cell>
          <cell r="Q45">
            <v>3.4048573424936426</v>
          </cell>
          <cell r="W45">
            <v>2.37</v>
          </cell>
          <cell r="X45">
            <v>4.5875152507493704</v>
          </cell>
          <cell r="Y45">
            <v>2.136412437939462</v>
          </cell>
          <cell r="Z45">
            <v>3.4365645254994468</v>
          </cell>
          <cell r="AA45">
            <v>2.976804263668472</v>
          </cell>
        </row>
        <row r="46">
          <cell r="O46">
            <v>3.2606739827858986</v>
          </cell>
          <cell r="P46">
            <v>5.6</v>
          </cell>
          <cell r="Q46">
            <v>3.4068480531709699</v>
          </cell>
          <cell r="W46">
            <v>2.85</v>
          </cell>
          <cell r="X46">
            <v>4.5918822916611557</v>
          </cell>
          <cell r="Y46">
            <v>2.1516459174287594</v>
          </cell>
          <cell r="Z46">
            <v>3.4474128054591184</v>
          </cell>
          <cell r="AA46">
            <v>2.9810753842103574</v>
          </cell>
        </row>
        <row r="47">
          <cell r="O47">
            <v>3.2628046681318663</v>
          </cell>
          <cell r="P47">
            <v>5.6</v>
          </cell>
          <cell r="Q47">
            <v>3.4081729953985804</v>
          </cell>
          <cell r="W47">
            <v>2.78</v>
          </cell>
          <cell r="X47">
            <v>4.5788262106484892</v>
          </cell>
          <cell r="Y47">
            <v>2.158021641802693</v>
          </cell>
          <cell r="Z47">
            <v>3.4452461644968362</v>
          </cell>
          <cell r="AA47">
            <v>2.9882040071331994</v>
          </cell>
        </row>
        <row r="48">
          <cell r="O48">
            <v>3.2617398929362804</v>
          </cell>
          <cell r="P48">
            <v>5.5</v>
          </cell>
          <cell r="Q48">
            <v>3.4091655513113324</v>
          </cell>
          <cell r="W48">
            <v>2.36</v>
          </cell>
          <cell r="X48">
            <v>4.5682987112121864</v>
          </cell>
          <cell r="Y48">
            <v>2.180982271234797</v>
          </cell>
          <cell r="Z48">
            <v>3.450019291359439</v>
          </cell>
          <cell r="AA48">
            <v>2.9937302708833178</v>
          </cell>
        </row>
        <row r="49">
          <cell r="O49">
            <v>3.2596030949022334</v>
          </cell>
          <cell r="P49">
            <v>5.5</v>
          </cell>
          <cell r="Q49">
            <v>3.4081729953985804</v>
          </cell>
          <cell r="W49">
            <v>2.68</v>
          </cell>
          <cell r="X49">
            <v>4.5533504372582954</v>
          </cell>
          <cell r="Y49">
            <v>2.1692822456796255</v>
          </cell>
          <cell r="Z49">
            <v>3.4399692761626937</v>
          </cell>
          <cell r="AA49">
            <v>2.9946316681099581</v>
          </cell>
        </row>
        <row r="50">
          <cell r="O50">
            <v>3.2691734237154297</v>
          </cell>
          <cell r="P50">
            <v>5.4</v>
          </cell>
          <cell r="Q50">
            <v>3.4085039568445934</v>
          </cell>
          <cell r="W50">
            <v>2.71</v>
          </cell>
          <cell r="X50">
            <v>4.5466932562291156</v>
          </cell>
          <cell r="Y50">
            <v>2.1689394081241273</v>
          </cell>
          <cell r="Z50">
            <v>3.4457563848593193</v>
          </cell>
          <cell r="AA50">
            <v>2.996931554129473</v>
          </cell>
        </row>
        <row r="51">
          <cell r="O51">
            <v>3.2702303173831075</v>
          </cell>
          <cell r="P51">
            <v>5.7</v>
          </cell>
          <cell r="Q51">
            <v>3.4104874285692479</v>
          </cell>
          <cell r="W51">
            <v>2.93</v>
          </cell>
          <cell r="X51">
            <v>4.5485998344996972</v>
          </cell>
          <cell r="Y51">
            <v>2.165504552445678</v>
          </cell>
          <cell r="Z51">
            <v>3.4505588111998797</v>
          </cell>
          <cell r="AA51">
            <v>2.9999234781724589</v>
          </cell>
        </row>
        <row r="52">
          <cell r="O52">
            <v>3.2765521045924619</v>
          </cell>
          <cell r="P52">
            <v>5.6</v>
          </cell>
          <cell r="Q52">
            <v>3.4151002868311466</v>
          </cell>
          <cell r="W52">
            <v>2.9</v>
          </cell>
          <cell r="X52">
            <v>4.5473291862982412</v>
          </cell>
          <cell r="Y52">
            <v>2.1955565202355225</v>
          </cell>
          <cell r="Z52">
            <v>3.4621043165656769</v>
          </cell>
          <cell r="AA52">
            <v>3.0054350490153761</v>
          </cell>
        </row>
        <row r="53">
          <cell r="O53">
            <v>3.2776050044095251</v>
          </cell>
          <cell r="P53">
            <v>5.4</v>
          </cell>
          <cell r="Q53">
            <v>3.4137844971676268</v>
          </cell>
          <cell r="W53">
            <v>2.9</v>
          </cell>
          <cell r="X53">
            <v>4.5513473792905845</v>
          </cell>
          <cell r="Y53">
            <v>2.1698533805400873</v>
          </cell>
          <cell r="Z53">
            <v>3.4540428042086808</v>
          </cell>
          <cell r="AA53">
            <v>3.0088952600802719</v>
          </cell>
        </row>
        <row r="54">
          <cell r="O54">
            <v>3.2817905283271651</v>
          </cell>
          <cell r="P54">
            <v>5.7</v>
          </cell>
          <cell r="Q54">
            <v>3.4137844971676268</v>
          </cell>
          <cell r="W54">
            <v>2.94</v>
          </cell>
          <cell r="X54">
            <v>4.5544030689344384</v>
          </cell>
          <cell r="Y54">
            <v>2.2300144001592104</v>
          </cell>
          <cell r="Z54">
            <v>3.4591203179951071</v>
          </cell>
          <cell r="AA54">
            <v>3.0149955397348371</v>
          </cell>
        </row>
        <row r="55">
          <cell r="O55">
            <v>3.2817905283271651</v>
          </cell>
          <cell r="P55">
            <v>5.5</v>
          </cell>
          <cell r="Q55">
            <v>3.4137844971676268</v>
          </cell>
          <cell r="W55">
            <v>2.93</v>
          </cell>
          <cell r="X55">
            <v>4.5494460372157297</v>
          </cell>
          <cell r="Y55">
            <v>2.25758772706331</v>
          </cell>
          <cell r="Z55">
            <v>3.4621043165656769</v>
          </cell>
          <cell r="AA55">
            <v>3.0159759800310333</v>
          </cell>
        </row>
        <row r="56">
          <cell r="O56">
            <v>3.289080761507321</v>
          </cell>
          <cell r="P56">
            <v>5.7</v>
          </cell>
          <cell r="Q56">
            <v>3.4157575329934851</v>
          </cell>
          <cell r="W56">
            <v>2.92</v>
          </cell>
          <cell r="X56">
            <v>4.5557698356929643</v>
          </cell>
          <cell r="Y56">
            <v>2.2504493385735174</v>
          </cell>
          <cell r="Z56">
            <v>3.465454613241528</v>
          </cell>
          <cell r="AA56">
            <v>3.0144558875520935</v>
          </cell>
        </row>
        <row r="57">
          <cell r="O57">
            <v>3.3004263183381362</v>
          </cell>
          <cell r="P57">
            <v>5.9</v>
          </cell>
          <cell r="Q57">
            <v>3.4170707308184456</v>
          </cell>
          <cell r="W57">
            <v>3</v>
          </cell>
          <cell r="X57">
            <v>4.5559799417973199</v>
          </cell>
          <cell r="Y57">
            <v>2.2358040593036943</v>
          </cell>
          <cell r="Z57">
            <v>3.4583650547184965</v>
          </cell>
          <cell r="AA57">
            <v>3.016563783133924</v>
          </cell>
        </row>
        <row r="58">
          <cell r="O58">
            <v>3.306560641712966</v>
          </cell>
          <cell r="P58">
            <v>5.7</v>
          </cell>
          <cell r="Q58">
            <v>3.4180544987285781</v>
          </cell>
          <cell r="W58">
            <v>2.98</v>
          </cell>
          <cell r="X58">
            <v>4.5443580465913342</v>
          </cell>
          <cell r="Y58">
            <v>2.2323771979505489</v>
          </cell>
          <cell r="Z58">
            <v>3.4677962787666456</v>
          </cell>
          <cell r="AA58">
            <v>3.0207662912736328</v>
          </cell>
        </row>
        <row r="59">
          <cell r="O59">
            <v>3.3156939580482141</v>
          </cell>
          <cell r="P59">
            <v>5.7</v>
          </cell>
          <cell r="Q59">
            <v>3.4170707308184456</v>
          </cell>
          <cell r="W59">
            <v>2.9</v>
          </cell>
          <cell r="X59">
            <v>4.554297855614335</v>
          </cell>
          <cell r="Y59">
            <v>2.249606168203159</v>
          </cell>
          <cell r="Z59">
            <v>3.4647979630717503</v>
          </cell>
          <cell r="AA59">
            <v>3.0257278735893713</v>
          </cell>
        </row>
        <row r="60">
          <cell r="O60">
            <v>3.327740992054208</v>
          </cell>
          <cell r="P60">
            <v>5.9</v>
          </cell>
          <cell r="Q60">
            <v>3.4180544987285781</v>
          </cell>
          <cell r="W60">
            <v>3</v>
          </cell>
          <cell r="X60">
            <v>4.576256175823449</v>
          </cell>
          <cell r="Y60">
            <v>2.253394848803274</v>
          </cell>
          <cell r="Z60">
            <v>3.4652045116364478</v>
          </cell>
          <cell r="AA60">
            <v>3.0257763949023677</v>
          </cell>
        </row>
        <row r="61">
          <cell r="O61">
            <v>3.3307319979896506</v>
          </cell>
          <cell r="P61">
            <v>5.6</v>
          </cell>
          <cell r="Q61">
            <v>3.421326752957321</v>
          </cell>
          <cell r="W61">
            <v>2.99</v>
          </cell>
          <cell r="X61">
            <v>4.5586025501717566</v>
          </cell>
          <cell r="Y61">
            <v>2.2792141066708056</v>
          </cell>
          <cell r="Z61">
            <v>3.4718422212314874</v>
          </cell>
          <cell r="AA61">
            <v>3.0329798875806575</v>
          </cell>
        </row>
        <row r="62">
          <cell r="O62">
            <v>3.3267431957372078</v>
          </cell>
          <cell r="P62">
            <v>5.6</v>
          </cell>
          <cell r="Q62">
            <v>3.4239368686316447</v>
          </cell>
          <cell r="W62">
            <v>3.02</v>
          </cell>
          <cell r="X62">
            <v>4.561009290202322</v>
          </cell>
          <cell r="Y62">
            <v>2.2886889878019345</v>
          </cell>
          <cell r="Z62">
            <v>3.4733009654185296</v>
          </cell>
          <cell r="AA62">
            <v>3.039749158970765</v>
          </cell>
        </row>
        <row r="63">
          <cell r="O63">
            <v>3.3287377937660487</v>
          </cell>
          <cell r="P63">
            <v>5.4</v>
          </cell>
          <cell r="Q63">
            <v>3.4258899942525267</v>
          </cell>
          <cell r="W63">
            <v>3.49</v>
          </cell>
          <cell r="X63">
            <v>4.5480705939475188</v>
          </cell>
          <cell r="Y63">
            <v>2.2636363428554711</v>
          </cell>
          <cell r="Z63">
            <v>3.48317667448207</v>
          </cell>
          <cell r="AA63">
            <v>3.0467580321570349</v>
          </cell>
        </row>
        <row r="64">
          <cell r="O64">
            <v>3.3386586374150027</v>
          </cell>
          <cell r="P64">
            <v>5.5</v>
          </cell>
          <cell r="Q64">
            <v>3.4249139082794713</v>
          </cell>
          <cell r="W64">
            <v>3.48</v>
          </cell>
          <cell r="X64">
            <v>4.5517694092609764</v>
          </cell>
          <cell r="Y64">
            <v>2.2668542830382465</v>
          </cell>
          <cell r="Z64">
            <v>3.4726494490687947</v>
          </cell>
          <cell r="AA64">
            <v>3.0501731092322375</v>
          </cell>
        </row>
        <row r="65">
          <cell r="O65">
            <v>3.3455472415699883</v>
          </cell>
          <cell r="P65">
            <v>5.5</v>
          </cell>
          <cell r="Q65">
            <v>3.4258899942525267</v>
          </cell>
          <cell r="W65">
            <v>3.5</v>
          </cell>
          <cell r="X65">
            <v>4.5827200571504996</v>
          </cell>
          <cell r="Y65">
            <v>2.2592599682556722</v>
          </cell>
          <cell r="Z65">
            <v>3.4683574635046783</v>
          </cell>
          <cell r="AA65">
            <v>3.0545199150370794</v>
          </cell>
        </row>
        <row r="66">
          <cell r="O66">
            <v>3.3504372784362637</v>
          </cell>
          <cell r="P66">
            <v>5.7</v>
          </cell>
          <cell r="Q66">
            <v>3.426865128410733</v>
          </cell>
          <cell r="W66">
            <v>3.48</v>
          </cell>
          <cell r="X66">
            <v>4.5834356938420848</v>
          </cell>
          <cell r="Y66">
            <v>2.2870652813360088</v>
          </cell>
          <cell r="Z66">
            <v>3.4731148611996305</v>
          </cell>
          <cell r="AA66">
            <v>3.0580495796188525</v>
          </cell>
        </row>
        <row r="67">
          <cell r="O67">
            <v>3.3484820239901607</v>
          </cell>
          <cell r="P67">
            <v>5.5</v>
          </cell>
          <cell r="Q67">
            <v>3.4301087251565754</v>
          </cell>
          <cell r="W67">
            <v>3.38</v>
          </cell>
          <cell r="X67">
            <v>4.5738858959483251</v>
          </cell>
          <cell r="Y67">
            <v>2.3191471812930238</v>
          </cell>
          <cell r="Z67">
            <v>3.4838520597843439</v>
          </cell>
          <cell r="AA67">
            <v>3.0647451448409448</v>
          </cell>
        </row>
        <row r="68">
          <cell r="O68">
            <v>3.357242011019975</v>
          </cell>
          <cell r="P68">
            <v>5.6</v>
          </cell>
          <cell r="Q68">
            <v>3.43204984514492</v>
          </cell>
          <cell r="W68">
            <v>3.48</v>
          </cell>
          <cell r="X68">
            <v>4.580877493419047</v>
          </cell>
          <cell r="Y68">
            <v>2.3268873855170105</v>
          </cell>
          <cell r="Z68">
            <v>3.4823779033182478</v>
          </cell>
          <cell r="AA68">
            <v>3.070375816549757</v>
          </cell>
        </row>
        <row r="69">
          <cell r="O69">
            <v>3.3640042116533864</v>
          </cell>
          <cell r="P69">
            <v>5.4</v>
          </cell>
          <cell r="Q69">
            <v>3.4310797561440252</v>
          </cell>
          <cell r="W69">
            <v>3.48</v>
          </cell>
          <cell r="X69">
            <v>4.5682987112121864</v>
          </cell>
          <cell r="Y69">
            <v>2.3335021956287672</v>
          </cell>
          <cell r="Z69">
            <v>3.4938980991731912</v>
          </cell>
          <cell r="AA69">
            <v>3.0741274709813644</v>
          </cell>
        </row>
        <row r="70">
          <cell r="O70">
            <v>3.3640042116533864</v>
          </cell>
          <cell r="P70">
            <v>5.4</v>
          </cell>
          <cell r="Q70">
            <v>3.43204984514492</v>
          </cell>
          <cell r="W70">
            <v>3.43</v>
          </cell>
          <cell r="X70">
            <v>4.5674683188040799</v>
          </cell>
          <cell r="Y70">
            <v>2.3205232381250585</v>
          </cell>
          <cell r="Z70">
            <v>3.4999561536854191</v>
          </cell>
          <cell r="AA70">
            <v>3.0805788089641095</v>
          </cell>
        </row>
        <row r="71">
          <cell r="O71">
            <v>3.3802324791857856</v>
          </cell>
          <cell r="P71">
            <v>5.3</v>
          </cell>
          <cell r="Q71">
            <v>3.4323729991306049</v>
          </cell>
          <cell r="W71">
            <v>3.47</v>
          </cell>
          <cell r="X71">
            <v>4.5885325448350684</v>
          </cell>
          <cell r="Y71">
            <v>2.3294217469476055</v>
          </cell>
          <cell r="Z71">
            <v>3.4970528673056767</v>
          </cell>
          <cell r="AA71">
            <v>3.0836515715918744</v>
          </cell>
        </row>
        <row r="72">
          <cell r="O72">
            <v>3.3858976013171547</v>
          </cell>
          <cell r="P72">
            <v>5.0999999999999996</v>
          </cell>
          <cell r="Q72">
            <v>3.4333418349887226</v>
          </cell>
          <cell r="W72">
            <v>3.5</v>
          </cell>
          <cell r="X72">
            <v>4.577284982498556</v>
          </cell>
          <cell r="Y72">
            <v>2.356220642159955</v>
          </cell>
          <cell r="Z72">
            <v>3.5176758630538285</v>
          </cell>
          <cell r="AA72">
            <v>3.0880835346181774</v>
          </cell>
        </row>
        <row r="73">
          <cell r="O73">
            <v>3.3887198601510429</v>
          </cell>
          <cell r="P73">
            <v>5.2</v>
          </cell>
          <cell r="Q73">
            <v>3.4343097331123578</v>
          </cell>
          <cell r="W73">
            <v>3.5</v>
          </cell>
          <cell r="X73">
            <v>4.5759473273111881</v>
          </cell>
          <cell r="Y73">
            <v>2.372111155642656</v>
          </cell>
          <cell r="Z73">
            <v>3.5181207886844343</v>
          </cell>
          <cell r="AA73">
            <v>3.0947627970169451</v>
          </cell>
        </row>
        <row r="74">
          <cell r="O74">
            <v>3.3952698484973562</v>
          </cell>
          <cell r="P74">
            <v>4.9000000000000004</v>
          </cell>
          <cell r="Q74">
            <v>3.4346321577483927</v>
          </cell>
          <cell r="W74">
            <v>3.42</v>
          </cell>
          <cell r="X74">
            <v>4.5829245770407718</v>
          </cell>
          <cell r="Y74">
            <v>2.3883957494071568</v>
          </cell>
          <cell r="Z74">
            <v>3.5272424885128144</v>
          </cell>
          <cell r="AA74">
            <v>3.0979277858686607</v>
          </cell>
        </row>
        <row r="75">
          <cell r="O75">
            <v>3.4017772135271644</v>
          </cell>
          <cell r="P75">
            <v>5</v>
          </cell>
          <cell r="Q75">
            <v>3.4355988083794879</v>
          </cell>
          <cell r="W75">
            <v>3.5</v>
          </cell>
          <cell r="X75">
            <v>4.6029677624328915</v>
          </cell>
          <cell r="Y75">
            <v>2.3978952727983707</v>
          </cell>
          <cell r="Z75">
            <v>3.5358448179448745</v>
          </cell>
          <cell r="AA75">
            <v>3.1007677363878718</v>
          </cell>
        </row>
        <row r="76">
          <cell r="O76">
            <v>3.4054782058456303</v>
          </cell>
          <cell r="P76">
            <v>5.0999999999999996</v>
          </cell>
          <cell r="Q76">
            <v>3.4365645254994468</v>
          </cell>
          <cell r="W76">
            <v>3.45</v>
          </cell>
          <cell r="X76">
            <v>4.6243844049118961</v>
          </cell>
          <cell r="Y76">
            <v>2.3693087250369538</v>
          </cell>
          <cell r="Z76">
            <v>3.5279474999984521</v>
          </cell>
          <cell r="AA76">
            <v>3.1068263210595779</v>
          </cell>
        </row>
        <row r="77">
          <cell r="O77">
            <v>3.391530810545385</v>
          </cell>
          <cell r="P77">
            <v>5.0999999999999996</v>
          </cell>
          <cell r="Q77">
            <v>3.4378506993101907</v>
          </cell>
          <cell r="W77">
            <v>3.36</v>
          </cell>
          <cell r="X77">
            <v>4.6482296754485386</v>
          </cell>
          <cell r="Y77">
            <v>2.386466576974748</v>
          </cell>
          <cell r="Z77">
            <v>3.5341536089107808</v>
          </cell>
          <cell r="AA77">
            <v>3.1103547643906886</v>
          </cell>
        </row>
        <row r="78">
          <cell r="O78">
            <v>3.421963596845957</v>
          </cell>
          <cell r="P78">
            <v>4.8</v>
          </cell>
          <cell r="Q78">
            <v>3.440738556282688</v>
          </cell>
          <cell r="W78">
            <v>3.52</v>
          </cell>
          <cell r="X78">
            <v>4.6501435516308227</v>
          </cell>
          <cell r="Y78">
            <v>2.3458361349883607</v>
          </cell>
          <cell r="Z78">
            <v>3.5181207886844343</v>
          </cell>
          <cell r="AA78">
            <v>3.1157350659486873</v>
          </cell>
        </row>
        <row r="79">
          <cell r="O79">
            <v>3.433700066490784</v>
          </cell>
          <cell r="P79">
            <v>5</v>
          </cell>
          <cell r="Q79">
            <v>3.4420193761824107</v>
          </cell>
          <cell r="W79">
            <v>3.85</v>
          </cell>
          <cell r="X79">
            <v>4.6566234675770071</v>
          </cell>
          <cell r="Y79">
            <v>2.329032263008894</v>
          </cell>
          <cell r="Z79">
            <v>3.5443448908806401</v>
          </cell>
          <cell r="AA79">
            <v>3.1203364367785218</v>
          </cell>
        </row>
        <row r="80">
          <cell r="O80">
            <v>3.4444165007821321</v>
          </cell>
          <cell r="P80">
            <v>4.9000000000000004</v>
          </cell>
          <cell r="Q80">
            <v>3.4429789156771102</v>
          </cell>
          <cell r="W80">
            <v>3.9</v>
          </cell>
          <cell r="X80">
            <v>4.6487084880025744</v>
          </cell>
          <cell r="Y80">
            <v>2.3805641343106343</v>
          </cell>
          <cell r="Z80">
            <v>3.5391896431333314</v>
          </cell>
          <cell r="AA80">
            <v>3.1238616012645188</v>
          </cell>
        </row>
        <row r="81">
          <cell r="O81">
            <v>3.4506127471778867</v>
          </cell>
          <cell r="P81">
            <v>5.0999999999999996</v>
          </cell>
          <cell r="Q81">
            <v>3.4429789156771102</v>
          </cell>
          <cell r="W81">
            <v>3.98</v>
          </cell>
          <cell r="X81">
            <v>4.6485169904914576</v>
          </cell>
          <cell r="Y81">
            <v>2.4501426573516603</v>
          </cell>
          <cell r="Z81">
            <v>3.5503068042499963</v>
          </cell>
          <cell r="AA81">
            <v>3.1268921062520132</v>
          </cell>
        </row>
        <row r="82">
          <cell r="O82">
            <v>3.4637652122640739</v>
          </cell>
          <cell r="P82">
            <v>4.7</v>
          </cell>
          <cell r="Q82">
            <v>3.4439375353383141</v>
          </cell>
          <cell r="W82">
            <v>4.04</v>
          </cell>
          <cell r="X82">
            <v>4.655673168161198</v>
          </cell>
          <cell r="Y82">
            <v>2.4950219835290932</v>
          </cell>
          <cell r="Z82">
            <v>3.5358156833869163</v>
          </cell>
          <cell r="AA82">
            <v>3.1299571756452225</v>
          </cell>
        </row>
        <row r="83">
          <cell r="O83">
            <v>3.4681112045356328</v>
          </cell>
          <cell r="P83">
            <v>4.8</v>
          </cell>
          <cell r="Q83">
            <v>3.4461707473048864</v>
          </cell>
          <cell r="W83">
            <v>4.09</v>
          </cell>
          <cell r="X83">
            <v>4.6777698784024349</v>
          </cell>
          <cell r="Y83">
            <v>2.480814956884744</v>
          </cell>
          <cell r="Z83">
            <v>3.5519135990407791</v>
          </cell>
          <cell r="AA83">
            <v>3.137188432107985</v>
          </cell>
        </row>
        <row r="84">
          <cell r="O84">
            <v>3.4758873272935995</v>
          </cell>
          <cell r="P84">
            <v>4.5999999999999996</v>
          </cell>
          <cell r="Q84">
            <v>3.4493524235492026</v>
          </cell>
          <cell r="W84">
            <v>4.0999999999999996</v>
          </cell>
          <cell r="X84">
            <v>4.6760945243247898</v>
          </cell>
          <cell r="Y84">
            <v>2.4468585821504703</v>
          </cell>
          <cell r="Z84">
            <v>3.5569467828531107</v>
          </cell>
          <cell r="AA84">
            <v>3.1421243617690613</v>
          </cell>
        </row>
        <row r="85">
          <cell r="O85">
            <v>3.4836034482477949</v>
          </cell>
          <cell r="P85">
            <v>4.5999999999999996</v>
          </cell>
          <cell r="Q85">
            <v>3.4534735262275262</v>
          </cell>
          <cell r="W85">
            <v>4.04</v>
          </cell>
          <cell r="X85">
            <v>4.6662652853479019</v>
          </cell>
          <cell r="Y85">
            <v>2.4047806053087153</v>
          </cell>
          <cell r="Z85">
            <v>3.544980214917258</v>
          </cell>
          <cell r="AA85">
            <v>3.1466491588708516</v>
          </cell>
        </row>
        <row r="86">
          <cell r="O86">
            <v>3.4929527658120127</v>
          </cell>
          <cell r="P86">
            <v>4.4000000000000004</v>
          </cell>
          <cell r="Q86">
            <v>3.452524008827496</v>
          </cell>
          <cell r="W86">
            <v>4.09</v>
          </cell>
          <cell r="X86">
            <v>4.6572881402501976</v>
          </cell>
          <cell r="Y86">
            <v>2.4296581755575217</v>
          </cell>
          <cell r="Z86">
            <v>3.5623804192535453</v>
          </cell>
          <cell r="AA86">
            <v>3.1516242935109653</v>
          </cell>
        </row>
        <row r="87">
          <cell r="O87">
            <v>3.4971740060096406</v>
          </cell>
          <cell r="P87">
            <v>4.4000000000000004</v>
          </cell>
          <cell r="Q87">
            <v>3.4515735889872223</v>
          </cell>
          <cell r="W87">
            <v>4.12</v>
          </cell>
          <cell r="X87">
            <v>4.6702085821673132</v>
          </cell>
          <cell r="Y87">
            <v>2.4673365285945361</v>
          </cell>
          <cell r="Z87">
            <v>3.5624087900599872</v>
          </cell>
          <cell r="AA87">
            <v>3.1553820910835286</v>
          </cell>
        </row>
        <row r="88">
          <cell r="O88">
            <v>3.4996964110707669</v>
          </cell>
          <cell r="P88">
            <v>4.3</v>
          </cell>
          <cell r="Q88">
            <v>3.453789831781326</v>
          </cell>
          <cell r="W88">
            <v>4.01</v>
          </cell>
          <cell r="X88">
            <v>4.678420647727684</v>
          </cell>
          <cell r="Y88">
            <v>2.5348073082414597</v>
          </cell>
          <cell r="Z88">
            <v>3.5736369386016595</v>
          </cell>
          <cell r="AA88">
            <v>3.1599322892342507</v>
          </cell>
        </row>
        <row r="89">
          <cell r="O89">
            <v>3.5097318549830483</v>
          </cell>
          <cell r="P89">
            <v>4.2</v>
          </cell>
          <cell r="Q89">
            <v>3.4547381485901854</v>
          </cell>
          <cell r="W89">
            <v>4.08</v>
          </cell>
          <cell r="X89">
            <v>4.6805559128939809</v>
          </cell>
          <cell r="Y89">
            <v>2.5269279248837377</v>
          </cell>
          <cell r="Z89">
            <v>3.6054434958719019</v>
          </cell>
          <cell r="AA89">
            <v>3.1670350121988147</v>
          </cell>
        </row>
        <row r="90">
          <cell r="O90">
            <v>3.513883003105049</v>
          </cell>
          <cell r="P90">
            <v>4.0999999999999996</v>
          </cell>
          <cell r="Q90">
            <v>3.4578927253387008</v>
          </cell>
          <cell r="W90">
            <v>4.0999999999999996</v>
          </cell>
          <cell r="X90">
            <v>4.6854590172168944</v>
          </cell>
          <cell r="Y90">
            <v>2.5209974699323539</v>
          </cell>
          <cell r="Z90">
            <v>3.5990914987229146</v>
          </cell>
          <cell r="AA90">
            <v>3.1730412885244013</v>
          </cell>
        </row>
        <row r="91">
          <cell r="O91">
            <v>3.5262340460298467</v>
          </cell>
          <cell r="P91">
            <v>4</v>
          </cell>
          <cell r="Q91">
            <v>3.4610373820181723</v>
          </cell>
          <cell r="W91">
            <v>4.32</v>
          </cell>
          <cell r="X91">
            <v>4.7122292582814991</v>
          </cell>
          <cell r="Y91">
            <v>2.5105743965365779</v>
          </cell>
          <cell r="Z91">
            <v>3.6031853909035738</v>
          </cell>
          <cell r="AA91">
            <v>3.177386941360242</v>
          </cell>
        </row>
        <row r="92">
          <cell r="O92">
            <v>3.5360050428427097</v>
          </cell>
          <cell r="P92">
            <v>4</v>
          </cell>
          <cell r="Q92">
            <v>3.4619788539220142</v>
          </cell>
          <cell r="W92">
            <v>4.42</v>
          </cell>
          <cell r="X92">
            <v>4.7377761505361136</v>
          </cell>
          <cell r="Y92">
            <v>2.5388422834536386</v>
          </cell>
          <cell r="Z92">
            <v>3.6069912946412521</v>
          </cell>
          <cell r="AA92">
            <v>3.1788451838118474</v>
          </cell>
        </row>
        <row r="93">
          <cell r="O93">
            <v>3.5424683298426816</v>
          </cell>
          <cell r="P93">
            <v>3.8</v>
          </cell>
          <cell r="Q93">
            <v>3.4682327829983137</v>
          </cell>
          <cell r="W93">
            <v>4.5999999999999996</v>
          </cell>
          <cell r="X93">
            <v>4.7529865606823103</v>
          </cell>
          <cell r="Y93">
            <v>2.5644107509005996</v>
          </cell>
          <cell r="Z93">
            <v>3.6105124250398308</v>
          </cell>
          <cell r="AA93">
            <v>3.181921341874435</v>
          </cell>
        </row>
        <row r="94">
          <cell r="O94">
            <v>3.5560620922230708</v>
          </cell>
          <cell r="P94">
            <v>3.8</v>
          </cell>
          <cell r="Q94">
            <v>3.4713451415642371</v>
          </cell>
          <cell r="W94">
            <v>4.6500000000000004</v>
          </cell>
          <cell r="X94">
            <v>4.7544518887038461</v>
          </cell>
          <cell r="Y94">
            <v>2.5939852448142373</v>
          </cell>
          <cell r="Z94">
            <v>3.6119714115733577</v>
          </cell>
          <cell r="AA94">
            <v>3.1874264365946106</v>
          </cell>
        </row>
        <row r="95">
          <cell r="O95">
            <v>3.5576482711205424</v>
          </cell>
          <cell r="P95">
            <v>3.8</v>
          </cell>
          <cell r="Q95">
            <v>3.4744478434017481</v>
          </cell>
          <cell r="W95">
            <v>4.67</v>
          </cell>
          <cell r="X95">
            <v>4.7438881052999138</v>
          </cell>
          <cell r="Y95">
            <v>2.5643337834193223</v>
          </cell>
          <cell r="Z95">
            <v>3.6215637468290693</v>
          </cell>
          <cell r="AA95">
            <v>3.1906820904974187</v>
          </cell>
        </row>
        <row r="96">
          <cell r="O96">
            <v>3.5671213407944715</v>
          </cell>
          <cell r="P96">
            <v>3.9</v>
          </cell>
          <cell r="Q96">
            <v>3.4766140209469096</v>
          </cell>
          <cell r="W96">
            <v>4.9000000000000004</v>
          </cell>
          <cell r="X96">
            <v>4.7272108118971161</v>
          </cell>
          <cell r="Y96">
            <v>2.5105743965365779</v>
          </cell>
          <cell r="Z96">
            <v>3.6138864750725062</v>
          </cell>
          <cell r="AA96">
            <v>3.1937631240531252</v>
          </cell>
        </row>
        <row r="97">
          <cell r="O97">
            <v>3.5718230294118647</v>
          </cell>
          <cell r="P97">
            <v>3.8</v>
          </cell>
          <cell r="Q97">
            <v>3.477540948249489</v>
          </cell>
          <cell r="W97">
            <v>5.17</v>
          </cell>
          <cell r="X97">
            <v>4.7325074344492863</v>
          </cell>
          <cell r="Y97">
            <v>2.4996310451863826</v>
          </cell>
          <cell r="Z97">
            <v>3.622312209841823</v>
          </cell>
          <cell r="AA97">
            <v>3.1959756049818679</v>
          </cell>
        </row>
        <row r="98">
          <cell r="O98">
            <v>3.5772800726986738</v>
          </cell>
          <cell r="P98">
            <v>3.8</v>
          </cell>
          <cell r="Q98">
            <v>3.4797004431500991</v>
          </cell>
          <cell r="W98">
            <v>5.3</v>
          </cell>
          <cell r="X98">
            <v>4.7486642856268206</v>
          </cell>
          <cell r="Y98">
            <v>2.5193885885620566</v>
          </cell>
          <cell r="Z98">
            <v>3.6318857325938159</v>
          </cell>
          <cell r="AA98">
            <v>3.2004674251848457</v>
          </cell>
        </row>
        <row r="99">
          <cell r="O99">
            <v>3.5780568260207679</v>
          </cell>
          <cell r="P99">
            <v>3.8</v>
          </cell>
          <cell r="Q99">
            <v>3.4858448557224402</v>
          </cell>
          <cell r="W99">
            <v>5.53</v>
          </cell>
          <cell r="X99">
            <v>4.7252616662459115</v>
          </cell>
          <cell r="Y99">
            <v>2.5566845284287005</v>
          </cell>
          <cell r="Z99">
            <v>3.6214567777965021</v>
          </cell>
          <cell r="AA99">
            <v>3.2003451882487659</v>
          </cell>
        </row>
        <row r="100">
          <cell r="O100">
            <v>3.5873394089337411</v>
          </cell>
          <cell r="P100">
            <v>3.7</v>
          </cell>
          <cell r="Q100">
            <v>3.4889029620812608</v>
          </cell>
          <cell r="W100">
            <v>5.4</v>
          </cell>
          <cell r="X100">
            <v>4.6963810660414751</v>
          </cell>
          <cell r="Y100">
            <v>2.5950308012948486</v>
          </cell>
          <cell r="Z100">
            <v>3.6259130299174775</v>
          </cell>
          <cell r="AA100">
            <v>3.2039246104149885</v>
          </cell>
        </row>
        <row r="101">
          <cell r="O101">
            <v>3.5942417981147727</v>
          </cell>
          <cell r="P101">
            <v>3.7</v>
          </cell>
          <cell r="Q101">
            <v>3.4919517449306197</v>
          </cell>
          <cell r="W101">
            <v>5.53</v>
          </cell>
          <cell r="X101">
            <v>4.6667355416462462</v>
          </cell>
          <cell r="Y101">
            <v>2.5697072514804655</v>
          </cell>
          <cell r="Z101">
            <v>3.6216974420309476</v>
          </cell>
          <cell r="AA101">
            <v>3.2059121584763419</v>
          </cell>
        </row>
        <row r="102">
          <cell r="O102">
            <v>3.5873394089337411</v>
          </cell>
          <cell r="P102">
            <v>3.6</v>
          </cell>
          <cell r="Q102">
            <v>3.492864570187979</v>
          </cell>
          <cell r="W102">
            <v>5.76</v>
          </cell>
          <cell r="X102">
            <v>4.6505258877088886</v>
          </cell>
          <cell r="Y102">
            <v>2.5534216293250043</v>
          </cell>
          <cell r="Z102">
            <v>3.6254070311583626</v>
          </cell>
          <cell r="AA102">
            <v>3.2124552570652778</v>
          </cell>
        </row>
        <row r="103">
          <cell r="O103">
            <v>3.5896445827733765</v>
          </cell>
          <cell r="P103">
            <v>3.8</v>
          </cell>
          <cell r="Q103">
            <v>3.4940803758088692</v>
          </cell>
          <cell r="W103">
            <v>5.4</v>
          </cell>
          <cell r="X103">
            <v>4.6539603501575231</v>
          </cell>
          <cell r="Y103">
            <v>2.5481161631858846</v>
          </cell>
          <cell r="Z103">
            <v>3.6238074573702215</v>
          </cell>
          <cell r="AA103">
            <v>3.2186357960635918</v>
          </cell>
        </row>
        <row r="104">
          <cell r="O104">
            <v>3.5943517181205995</v>
          </cell>
          <cell r="P104">
            <v>3.9</v>
          </cell>
          <cell r="Q104">
            <v>3.493472657771326</v>
          </cell>
          <cell r="W104">
            <v>4.9400000000000004</v>
          </cell>
          <cell r="X104">
            <v>4.6526261271443863</v>
          </cell>
          <cell r="Y104">
            <v>2.5560638441043282</v>
          </cell>
          <cell r="Z104">
            <v>3.6300048626008037</v>
          </cell>
          <cell r="AA104">
            <v>3.221272949467922</v>
          </cell>
        </row>
        <row r="105">
          <cell r="O105">
            <v>3.5829465524522695</v>
          </cell>
          <cell r="P105">
            <v>3.8</v>
          </cell>
          <cell r="Q105">
            <v>3.4965075614664802</v>
          </cell>
          <cell r="W105">
            <v>5</v>
          </cell>
          <cell r="X105">
            <v>4.6439100143040219</v>
          </cell>
          <cell r="Y105">
            <v>2.5209974699323539</v>
          </cell>
          <cell r="Z105">
            <v>3.6361904493335144</v>
          </cell>
          <cell r="AA105">
            <v>3.2194356681267147</v>
          </cell>
        </row>
        <row r="106">
          <cell r="O106">
            <v>3.5772912532847041</v>
          </cell>
          <cell r="P106">
            <v>3.8</v>
          </cell>
          <cell r="Q106">
            <v>3.4965075614664802</v>
          </cell>
          <cell r="W106">
            <v>4.53</v>
          </cell>
          <cell r="X106">
            <v>4.6242863031803214</v>
          </cell>
          <cell r="Y106">
            <v>2.5367872716649891</v>
          </cell>
          <cell r="Z106">
            <v>3.6382438381453563</v>
          </cell>
          <cell r="AA106">
            <v>3.223942965201219</v>
          </cell>
        </row>
        <row r="107">
          <cell r="O107">
            <v>3.5866778327806066</v>
          </cell>
          <cell r="P107">
            <v>3.8</v>
          </cell>
          <cell r="Q107">
            <v>3.4995332823830174</v>
          </cell>
          <cell r="W107">
            <v>4.05</v>
          </cell>
          <cell r="X107">
            <v>4.6056700610297421</v>
          </cell>
          <cell r="Y107">
            <v>2.5798379699552876</v>
          </cell>
          <cell r="Z107">
            <v>3.6422070459155056</v>
          </cell>
          <cell r="AA107">
            <v>3.2273993958090776</v>
          </cell>
        </row>
        <row r="108">
          <cell r="O108">
            <v>3.5779171666776102</v>
          </cell>
          <cell r="P108">
            <v>3.8</v>
          </cell>
          <cell r="Q108">
            <v>3.4995332823830174</v>
          </cell>
          <cell r="W108">
            <v>3.94</v>
          </cell>
          <cell r="X108">
            <v>4.6159122825199939</v>
          </cell>
          <cell r="Y108">
            <v>2.5727648903096845</v>
          </cell>
          <cell r="Z108">
            <v>3.6405029543735754</v>
          </cell>
          <cell r="AA108">
            <v>3.2306462804671163</v>
          </cell>
        </row>
        <row r="109">
          <cell r="O109">
            <v>3.5777914565900484</v>
          </cell>
          <cell r="P109">
            <v>3.9</v>
          </cell>
          <cell r="Q109">
            <v>3.505557396986398</v>
          </cell>
          <cell r="W109">
            <v>3.98</v>
          </cell>
          <cell r="X109">
            <v>4.6151205168412597</v>
          </cell>
          <cell r="Y109">
            <v>2.587688844431026</v>
          </cell>
          <cell r="Z109">
            <v>3.6439866852231995</v>
          </cell>
          <cell r="AA109">
            <v>3.2354969258844366</v>
          </cell>
        </row>
        <row r="110">
          <cell r="O110">
            <v>3.5755119680541938</v>
          </cell>
          <cell r="P110">
            <v>3.8</v>
          </cell>
          <cell r="Q110">
            <v>3.5085558999826545</v>
          </cell>
          <cell r="W110">
            <v>3.79</v>
          </cell>
          <cell r="X110">
            <v>4.5969363810609876</v>
          </cell>
          <cell r="Y110">
            <v>2.5721541100188996</v>
          </cell>
          <cell r="Z110">
            <v>3.6333138886642278</v>
          </cell>
          <cell r="AA110">
            <v>3.240832992220243</v>
          </cell>
        </row>
        <row r="111">
          <cell r="O111">
            <v>3.5944891011391755</v>
          </cell>
          <cell r="P111">
            <v>3.8</v>
          </cell>
          <cell r="Q111">
            <v>3.5115454388310208</v>
          </cell>
          <cell r="W111">
            <v>3.9</v>
          </cell>
          <cell r="X111">
            <v>4.5918822916611557</v>
          </cell>
          <cell r="Y111">
            <v>2.5577697998530509</v>
          </cell>
          <cell r="Z111">
            <v>3.6407915433068814</v>
          </cell>
          <cell r="AA111">
            <v>3.2456735372535785</v>
          </cell>
        </row>
        <row r="112">
          <cell r="O112">
            <v>3.5928640256802487</v>
          </cell>
          <cell r="P112">
            <v>3.8</v>
          </cell>
          <cell r="Q112">
            <v>3.5145260669691587</v>
          </cell>
          <cell r="W112">
            <v>3.99</v>
          </cell>
          <cell r="X112">
            <v>4.5847633762104287</v>
          </cell>
          <cell r="Y112">
            <v>2.5861838400081902</v>
          </cell>
          <cell r="Z112">
            <v>3.6497227389127422</v>
          </cell>
          <cell r="AA112">
            <v>3.2475410240819653</v>
          </cell>
        </row>
        <row r="113">
          <cell r="O113">
            <v>3.6009767709380252</v>
          </cell>
          <cell r="P113">
            <v>4</v>
          </cell>
          <cell r="Q113">
            <v>3.5174978373583161</v>
          </cell>
          <cell r="W113">
            <v>3.88</v>
          </cell>
          <cell r="X113">
            <v>4.5730601320698581</v>
          </cell>
          <cell r="Y113">
            <v>2.5555204291159916</v>
          </cell>
          <cell r="Z113">
            <v>3.6340007926039468</v>
          </cell>
          <cell r="AA113">
            <v>3.2490946034521975</v>
          </cell>
        </row>
        <row r="114">
          <cell r="O114">
            <v>3.615176399969851</v>
          </cell>
          <cell r="P114">
            <v>3.9</v>
          </cell>
          <cell r="Q114">
            <v>3.5234150143864045</v>
          </cell>
          <cell r="W114">
            <v>4.13</v>
          </cell>
          <cell r="X114">
            <v>4.5741953816886607</v>
          </cell>
          <cell r="Y114">
            <v>2.5661025384465286</v>
          </cell>
          <cell r="Z114">
            <v>3.6442481299683425</v>
          </cell>
          <cell r="AA114">
            <v>3.2522332285221971</v>
          </cell>
        </row>
        <row r="115">
          <cell r="O115">
            <v>3.6258890673310615</v>
          </cell>
          <cell r="P115">
            <v>3.8</v>
          </cell>
          <cell r="Q115">
            <v>3.5263605246161616</v>
          </cell>
          <cell r="W115">
            <v>4.51</v>
          </cell>
          <cell r="X115">
            <v>4.5868025286299066</v>
          </cell>
          <cell r="Y115">
            <v>2.6016521103123904</v>
          </cell>
          <cell r="Z115">
            <v>3.6590643690347506</v>
          </cell>
          <cell r="AA115">
            <v>3.2575579314605445</v>
          </cell>
        </row>
        <row r="116">
          <cell r="O116">
            <v>3.624812821619404</v>
          </cell>
          <cell r="P116">
            <v>3.7</v>
          </cell>
          <cell r="Q116">
            <v>3.529297384289471</v>
          </cell>
          <cell r="W116">
            <v>4.5999999999999996</v>
          </cell>
          <cell r="X116">
            <v>4.5876170267405021</v>
          </cell>
          <cell r="Y116">
            <v>2.6230731171710042</v>
          </cell>
          <cell r="Z116">
            <v>3.6570275246647541</v>
          </cell>
          <cell r="AA116">
            <v>3.265301290578845</v>
          </cell>
        </row>
        <row r="117">
          <cell r="O117">
            <v>3.6283887295828596</v>
          </cell>
          <cell r="P117">
            <v>3.8</v>
          </cell>
          <cell r="Q117">
            <v>3.5322256440685598</v>
          </cell>
          <cell r="W117">
            <v>4.71</v>
          </cell>
          <cell r="X117">
            <v>4.5890408040582074</v>
          </cell>
          <cell r="Y117">
            <v>2.6177607297547492</v>
          </cell>
          <cell r="Z117">
            <v>3.6617137860411666</v>
          </cell>
          <cell r="AA117">
            <v>3.2654540206287792</v>
          </cell>
        </row>
        <row r="118">
          <cell r="O118">
            <v>3.6315045462526125</v>
          </cell>
          <cell r="P118">
            <v>3.7</v>
          </cell>
          <cell r="Q118">
            <v>3.535145354171894</v>
          </cell>
          <cell r="W118">
            <v>5.05</v>
          </cell>
          <cell r="X118">
            <v>4.594614672048575</v>
          </cell>
          <cell r="Y118">
            <v>2.6632620183120759</v>
          </cell>
          <cell r="Z118">
            <v>3.6770345797460129</v>
          </cell>
          <cell r="AA118">
            <v>3.2740834482642951</v>
          </cell>
        </row>
        <row r="119">
          <cell r="O119">
            <v>3.6329517532242601</v>
          </cell>
          <cell r="P119">
            <v>3.5</v>
          </cell>
          <cell r="Q119">
            <v>3.5380565643793527</v>
          </cell>
          <cell r="W119">
            <v>5.76</v>
          </cell>
          <cell r="X119">
            <v>4.5849674786705723</v>
          </cell>
          <cell r="Y119">
            <v>2.6379138189131797</v>
          </cell>
          <cell r="Z119">
            <v>3.6708173112955276</v>
          </cell>
          <cell r="AA119">
            <v>3.279029747687948</v>
          </cell>
        </row>
        <row r="120">
          <cell r="O120">
            <v>3.6441069582955112</v>
          </cell>
          <cell r="P120">
            <v>3.5</v>
          </cell>
          <cell r="Q120">
            <v>3.5409593240373143</v>
          </cell>
          <cell r="W120">
            <v>6.11</v>
          </cell>
          <cell r="X120">
            <v>4.5714065558352823</v>
          </cell>
          <cell r="Y120">
            <v>2.6670893080471112</v>
          </cell>
          <cell r="Z120">
            <v>3.6743747679110546</v>
          </cell>
          <cell r="AA120">
            <v>3.2814373931215508</v>
          </cell>
        </row>
        <row r="121">
          <cell r="O121">
            <v>3.6477735651327952</v>
          </cell>
          <cell r="P121">
            <v>3.7</v>
          </cell>
          <cell r="Q121">
            <v>3.5467396869528134</v>
          </cell>
          <cell r="W121">
            <v>6.07</v>
          </cell>
          <cell r="X121">
            <v>4.566221435849517</v>
          </cell>
          <cell r="Y121">
            <v>2.6628436082641307</v>
          </cell>
          <cell r="Z121">
            <v>3.687303212497568</v>
          </cell>
          <cell r="AA121">
            <v>3.290749875103919</v>
          </cell>
        </row>
        <row r="122">
          <cell r="O122">
            <v>3.6462380972238808</v>
          </cell>
          <cell r="P122">
            <v>3.7</v>
          </cell>
          <cell r="Q122">
            <v>3.5524868292083815</v>
          </cell>
          <cell r="W122">
            <v>6.02</v>
          </cell>
          <cell r="X122">
            <v>4.5587073115777503</v>
          </cell>
          <cell r="Y122">
            <v>2.6965172852884858</v>
          </cell>
          <cell r="Z122">
            <v>3.6958550678503617</v>
          </cell>
          <cell r="AA122">
            <v>3.2929066511891163</v>
          </cell>
        </row>
        <row r="123">
          <cell r="O123">
            <v>3.6490257406582294</v>
          </cell>
          <cell r="P123">
            <v>3.5</v>
          </cell>
          <cell r="Q123">
            <v>3.5553480614894135</v>
          </cell>
          <cell r="W123">
            <v>6.03</v>
          </cell>
          <cell r="X123">
            <v>4.5596496706862819</v>
          </cell>
          <cell r="Y123">
            <v>2.7013612129514133</v>
          </cell>
          <cell r="Z123">
            <v>3.6970460167803298</v>
          </cell>
          <cell r="AA123">
            <v>3.2961331184135467</v>
          </cell>
        </row>
        <row r="124">
          <cell r="O124">
            <v>3.652806581308528</v>
          </cell>
          <cell r="P124">
            <v>3.4</v>
          </cell>
          <cell r="Q124">
            <v>3.55820113047182</v>
          </cell>
          <cell r="W124">
            <v>5.78</v>
          </cell>
          <cell r="X124">
            <v>4.5682987112121864</v>
          </cell>
          <cell r="Y124">
            <v>2.7022333157806453</v>
          </cell>
          <cell r="Z124">
            <v>3.6870277407504619</v>
          </cell>
          <cell r="AA124">
            <v>3.3003452066657535</v>
          </cell>
        </row>
        <row r="125">
          <cell r="O125">
            <v>3.6547899537425224</v>
          </cell>
          <cell r="P125">
            <v>3.4</v>
          </cell>
          <cell r="Q125">
            <v>3.5638829639392511</v>
          </cell>
          <cell r="W125">
            <v>5.91</v>
          </cell>
          <cell r="X125">
            <v>4.5767707114663931</v>
          </cell>
          <cell r="Y125">
            <v>2.6994130077065464</v>
          </cell>
          <cell r="Z125">
            <v>3.6885293928496408</v>
          </cell>
          <cell r="AA125">
            <v>3.3035478009253993</v>
          </cell>
        </row>
        <row r="126">
          <cell r="O126">
            <v>3.6676404957880355</v>
          </cell>
          <cell r="P126">
            <v>3.4</v>
          </cell>
          <cell r="Q126">
            <v>3.5667118201397288</v>
          </cell>
          <cell r="W126">
            <v>5.82</v>
          </cell>
          <cell r="X126">
            <v>4.6051701859880918</v>
          </cell>
          <cell r="Y126">
            <v>2.687983538951896</v>
          </cell>
          <cell r="Z126">
            <v>3.7027330484024721</v>
          </cell>
          <cell r="AA126">
            <v>3.3080215890986131</v>
          </cell>
        </row>
        <row r="127">
          <cell r="O127">
            <v>3.6707944009424653</v>
          </cell>
          <cell r="P127">
            <v>3.4</v>
          </cell>
          <cell r="Q127">
            <v>3.572345637857985</v>
          </cell>
          <cell r="W127">
            <v>6.02</v>
          </cell>
          <cell r="X127">
            <v>4.6125429403175042</v>
          </cell>
          <cell r="Y127">
            <v>2.6948974145239095</v>
          </cell>
          <cell r="Z127">
            <v>3.6893043638270169</v>
          </cell>
          <cell r="AA127">
            <v>3.31072547849808</v>
          </cell>
        </row>
        <row r="128">
          <cell r="O128">
            <v>3.6768271155897616</v>
          </cell>
          <cell r="P128">
            <v>3.4</v>
          </cell>
          <cell r="Q128">
            <v>3.5751506887855933</v>
          </cell>
          <cell r="W128">
            <v>6.3</v>
          </cell>
          <cell r="X128">
            <v>4.6335632604893089</v>
          </cell>
          <cell r="Y128">
            <v>2.7182645235091818</v>
          </cell>
          <cell r="Z128">
            <v>3.6990277851657516</v>
          </cell>
          <cell r="AA128">
            <v>3.3129124667945837</v>
          </cell>
        </row>
        <row r="129">
          <cell r="O129">
            <v>3.6832058898430846</v>
          </cell>
          <cell r="P129">
            <v>3.4</v>
          </cell>
          <cell r="Q129">
            <v>3.5779478934066544</v>
          </cell>
          <cell r="W129">
            <v>6.61</v>
          </cell>
          <cell r="X129">
            <v>4.6553879021487088</v>
          </cell>
          <cell r="Y129">
            <v>2.7214269981438486</v>
          </cell>
          <cell r="Z129">
            <v>3.7079219886912522</v>
          </cell>
          <cell r="AA129">
            <v>3.3184677340631592</v>
          </cell>
        </row>
        <row r="130">
          <cell r="O130">
            <v>3.6910171675754833</v>
          </cell>
          <cell r="P130">
            <v>3.4</v>
          </cell>
          <cell r="Q130">
            <v>3.5862928653388351</v>
          </cell>
          <cell r="W130">
            <v>6.79</v>
          </cell>
          <cell r="X130">
            <v>4.6656065547919221</v>
          </cell>
          <cell r="Y130">
            <v>2.6984711346552159</v>
          </cell>
          <cell r="Z130">
            <v>3.706793043398815</v>
          </cell>
          <cell r="AA130">
            <v>3.3175258756345398</v>
          </cell>
          <cell r="AB130">
            <v>-0.23169790000000001</v>
          </cell>
          <cell r="AC130">
            <v>-0.23169790000000001</v>
          </cell>
          <cell r="AD130">
            <v>-0.2459423</v>
          </cell>
        </row>
        <row r="131">
          <cell r="O131">
            <v>3.6873282516211998</v>
          </cell>
          <cell r="P131">
            <v>3.4</v>
          </cell>
          <cell r="Q131">
            <v>3.591817741270805</v>
          </cell>
          <cell r="W131">
            <v>7.41</v>
          </cell>
          <cell r="X131">
            <v>4.680092112505351</v>
          </cell>
          <cell r="Y131">
            <v>2.7107133185216936</v>
          </cell>
          <cell r="Z131">
            <v>3.7052448082002005</v>
          </cell>
          <cell r="AA131">
            <v>3.3230196005981312</v>
          </cell>
          <cell r="AB131">
            <v>0.45687309999999998</v>
          </cell>
          <cell r="AC131">
            <v>0.22517519999999996</v>
          </cell>
          <cell r="AD131">
            <v>0.15895670000000001</v>
          </cell>
        </row>
        <row r="132">
          <cell r="O132">
            <v>3.6835427391489417</v>
          </cell>
          <cell r="P132">
            <v>3.4</v>
          </cell>
          <cell r="Q132">
            <v>3.5945687746426951</v>
          </cell>
          <cell r="W132">
            <v>8.67</v>
          </cell>
          <cell r="X132">
            <v>4.69866052907543</v>
          </cell>
          <cell r="Y132">
            <v>2.7109127667156865</v>
          </cell>
          <cell r="Z132">
            <v>3.7143035064540948</v>
          </cell>
          <cell r="AA132">
            <v>3.3299161796571917</v>
          </cell>
          <cell r="AB132">
            <v>0.21062710000000001</v>
          </cell>
          <cell r="AC132">
            <v>0.43580229999999998</v>
          </cell>
          <cell r="AD132">
            <v>0.36210810000000004</v>
          </cell>
        </row>
        <row r="133">
          <cell r="O133">
            <v>3.6932648243064627</v>
          </cell>
          <cell r="P133">
            <v>3.5</v>
          </cell>
          <cell r="Q133">
            <v>3.6000482404073204</v>
          </cell>
          <cell r="W133">
            <v>8.9</v>
          </cell>
          <cell r="X133">
            <v>4.71240893665769</v>
          </cell>
          <cell r="Y133">
            <v>2.7085833922638689</v>
          </cell>
          <cell r="Z133">
            <v>3.7007586166440141</v>
          </cell>
          <cell r="AA133">
            <v>3.3325615892720171</v>
          </cell>
          <cell r="AB133">
            <v>1.0019E-3</v>
          </cell>
          <cell r="AC133">
            <v>0.43680419999999998</v>
          </cell>
          <cell r="AD133">
            <v>0.34161340000000007</v>
          </cell>
        </row>
        <row r="134">
          <cell r="O134">
            <v>3.6985302351560443</v>
          </cell>
          <cell r="P134">
            <v>3.5</v>
          </cell>
          <cell r="Q134">
            <v>3.6054978451748854</v>
          </cell>
          <cell r="W134">
            <v>8.61</v>
          </cell>
          <cell r="X134">
            <v>4.71240893665769</v>
          </cell>
          <cell r="Y134">
            <v>2.686349774122871</v>
          </cell>
          <cell r="Z134">
            <v>3.7071367703847673</v>
          </cell>
          <cell r="AA134">
            <v>3.3319544789199944</v>
          </cell>
          <cell r="AB134">
            <v>0.1707941</v>
          </cell>
          <cell r="AC134">
            <v>0.60759830000000004</v>
          </cell>
          <cell r="AD134">
            <v>0.52178270000000004</v>
          </cell>
        </row>
        <row r="135">
          <cell r="O135">
            <v>3.7008253173198153</v>
          </cell>
          <cell r="P135">
            <v>3.5</v>
          </cell>
          <cell r="Q135">
            <v>3.6082115510464816</v>
          </cell>
          <cell r="W135">
            <v>9.19</v>
          </cell>
          <cell r="X135">
            <v>4.7294211483259483</v>
          </cell>
          <cell r="Y135">
            <v>2.7070497007686263</v>
          </cell>
          <cell r="Z135">
            <v>3.7176369645331322</v>
          </cell>
          <cell r="AA135">
            <v>3.336694415448056</v>
          </cell>
          <cell r="AB135">
            <v>0.2883907</v>
          </cell>
          <cell r="AC135">
            <v>0.89598900000000004</v>
          </cell>
          <cell r="AD135">
            <v>0.8302737</v>
          </cell>
        </row>
        <row r="136">
          <cell r="O136">
            <v>3.7006004935646328</v>
          </cell>
          <cell r="P136">
            <v>3.7</v>
          </cell>
          <cell r="Q136">
            <v>3.6136169696133895</v>
          </cell>
          <cell r="W136">
            <v>9.15</v>
          </cell>
          <cell r="X136">
            <v>4.7351452624098371</v>
          </cell>
          <cell r="Y136">
            <v>2.7277874667852418</v>
          </cell>
          <cell r="Z136">
            <v>3.7067439298975033</v>
          </cell>
          <cell r="AA136">
            <v>3.3407040012331928</v>
          </cell>
          <cell r="AB136">
            <v>6.3639999999999999E-3</v>
          </cell>
          <cell r="AC136">
            <v>0.90235300000000007</v>
          </cell>
          <cell r="AD136">
            <v>0.85838210000000004</v>
          </cell>
        </row>
        <row r="137">
          <cell r="O137">
            <v>3.7008944836921409</v>
          </cell>
          <cell r="P137">
            <v>3.7</v>
          </cell>
          <cell r="Q137">
            <v>3.6189933266497696</v>
          </cell>
          <cell r="W137">
            <v>9</v>
          </cell>
          <cell r="X137">
            <v>4.7328595471289807</v>
          </cell>
          <cell r="Y137">
            <v>2.7109792406080899</v>
          </cell>
          <cell r="Z137">
            <v>3.7204265696120657</v>
          </cell>
          <cell r="AA137">
            <v>3.3464243558148636</v>
          </cell>
          <cell r="AB137">
            <v>9.5922300000000002E-2</v>
          </cell>
          <cell r="AC137">
            <v>0.99827530000000009</v>
          </cell>
          <cell r="AD137">
            <v>0.94596049999999998</v>
          </cell>
        </row>
        <row r="138">
          <cell r="O138">
            <v>3.6914237147361884</v>
          </cell>
          <cell r="P138">
            <v>3.5</v>
          </cell>
          <cell r="Q138">
            <v>3.6243409329763652</v>
          </cell>
          <cell r="W138">
            <v>8.85</v>
          </cell>
          <cell r="X138">
            <v>4.7382139597458561</v>
          </cell>
          <cell r="Y138">
            <v>2.7006898466959175</v>
          </cell>
          <cell r="Z138">
            <v>3.7153753179179012</v>
          </cell>
          <cell r="AA138">
            <v>3.3507458381660573</v>
          </cell>
          <cell r="AB138">
            <v>9.4979999999999999E-4</v>
          </cell>
          <cell r="AC138">
            <v>0.99922510000000009</v>
          </cell>
          <cell r="AD138">
            <v>0.94148520000000002</v>
          </cell>
        </row>
        <row r="139">
          <cell r="O139">
            <v>3.6887344436004201</v>
          </cell>
          <cell r="P139">
            <v>3.5</v>
          </cell>
          <cell r="Q139">
            <v>3.629660094453965</v>
          </cell>
          <cell r="W139">
            <v>8.9700000000000006</v>
          </cell>
          <cell r="X139">
            <v>4.7412732689804313</v>
          </cell>
          <cell r="Y139">
            <v>2.6983365089145708</v>
          </cell>
          <cell r="Z139">
            <v>3.7157647828953184</v>
          </cell>
          <cell r="AA139">
            <v>3.3493425261198784</v>
          </cell>
          <cell r="AB139">
            <v>6.1897899999999999E-2</v>
          </cell>
          <cell r="AC139">
            <v>1.061123</v>
          </cell>
          <cell r="AD139">
            <v>1.0063683999999999</v>
          </cell>
        </row>
        <row r="140">
          <cell r="O140">
            <v>3.6700431597676415</v>
          </cell>
          <cell r="P140">
            <v>3.9</v>
          </cell>
          <cell r="Q140">
            <v>3.6349511120883808</v>
          </cell>
          <cell r="W140">
            <v>8.98</v>
          </cell>
          <cell r="X140">
            <v>4.7542796085759322</v>
          </cell>
          <cell r="Y140">
            <v>2.685940915514109</v>
          </cell>
          <cell r="Z140">
            <v>3.7285327659905878</v>
          </cell>
          <cell r="AA140">
            <v>3.3556419800026527</v>
          </cell>
          <cell r="AB140">
            <v>-0.13148779999999999</v>
          </cell>
          <cell r="AC140">
            <v>0.92963520000000011</v>
          </cell>
          <cell r="AD140">
            <v>0.84663999999999995</v>
          </cell>
        </row>
        <row r="141">
          <cell r="O141">
            <v>3.6693856791179744</v>
          </cell>
          <cell r="P141">
            <v>4.2</v>
          </cell>
          <cell r="Q141">
            <v>3.6402142821326553</v>
          </cell>
          <cell r="W141">
            <v>8.98</v>
          </cell>
          <cell r="X141">
            <v>4.7587492739163917</v>
          </cell>
          <cell r="Y141">
            <v>2.7031046587091958</v>
          </cell>
          <cell r="Z141">
            <v>3.7221207878937381</v>
          </cell>
          <cell r="AA141">
            <v>3.3639453959592664</v>
          </cell>
          <cell r="AB141">
            <v>-0.34753339999999999</v>
          </cell>
          <cell r="AC141">
            <v>0.58210180000000011</v>
          </cell>
          <cell r="AD141">
            <v>0.48687069999999993</v>
          </cell>
        </row>
        <row r="142">
          <cell r="O142">
            <v>3.668084734857231</v>
          </cell>
          <cell r="P142">
            <v>4.4000000000000004</v>
          </cell>
          <cell r="Q142">
            <v>3.6454498961866002</v>
          </cell>
          <cell r="W142">
            <v>7.76</v>
          </cell>
          <cell r="X142">
            <v>4.7616609827475243</v>
          </cell>
          <cell r="Y142">
            <v>2.6743555245781132</v>
          </cell>
          <cell r="Z142">
            <v>3.7265123689207873</v>
          </cell>
          <cell r="AA142">
            <v>3.3588464411216252</v>
          </cell>
          <cell r="AB142">
            <v>-9.1493900000000003E-2</v>
          </cell>
          <cell r="AC142">
            <v>0.4906079000000001</v>
          </cell>
          <cell r="AD142">
            <v>0.34879169999999993</v>
          </cell>
        </row>
        <row r="143">
          <cell r="O143">
            <v>3.6655110269029914</v>
          </cell>
          <cell r="P143">
            <v>4.5999999999999996</v>
          </cell>
          <cell r="Q143">
            <v>3.6506582412937387</v>
          </cell>
          <cell r="W143">
            <v>8.1</v>
          </cell>
          <cell r="X143">
            <v>4.7561730595246186</v>
          </cell>
          <cell r="Y143">
            <v>2.6895467295376503</v>
          </cell>
          <cell r="Z143">
            <v>3.7185110692385392</v>
          </cell>
          <cell r="AA143">
            <v>3.3618326581398787</v>
          </cell>
          <cell r="AB143">
            <v>-9.5471600000000004E-2</v>
          </cell>
          <cell r="AC143">
            <v>0.39513630000000011</v>
          </cell>
          <cell r="AD143">
            <v>0.20701929999999993</v>
          </cell>
        </row>
        <row r="144">
          <cell r="O144">
            <v>3.6643459538645247</v>
          </cell>
          <cell r="P144">
            <v>4.8</v>
          </cell>
          <cell r="Q144">
            <v>3.6532522764707851</v>
          </cell>
          <cell r="W144">
            <v>7.94</v>
          </cell>
          <cell r="X144">
            <v>4.7447582001951449</v>
          </cell>
          <cell r="Y144">
            <v>2.7008913039037306</v>
          </cell>
          <cell r="Z144">
            <v>3.7274509180890365</v>
          </cell>
          <cell r="AA144">
            <v>3.3659846259064108</v>
          </cell>
          <cell r="AB144">
            <v>0.21766289999999999</v>
          </cell>
          <cell r="AC144">
            <v>0.6127992000000001</v>
          </cell>
          <cell r="AD144">
            <v>0.50269279999999994</v>
          </cell>
        </row>
        <row r="145">
          <cell r="O145">
            <v>3.6611047843610804</v>
          </cell>
          <cell r="P145">
            <v>4.9000000000000004</v>
          </cell>
          <cell r="Q145">
            <v>3.6584202466292277</v>
          </cell>
          <cell r="W145">
            <v>7.6</v>
          </cell>
          <cell r="X145">
            <v>4.7342667593225016</v>
          </cell>
          <cell r="Y145">
            <v>2.7076501210808703</v>
          </cell>
          <cell r="Z145">
            <v>3.7293013686128518</v>
          </cell>
          <cell r="AA145">
            <v>3.3695347011533139</v>
          </cell>
          <cell r="AB145">
            <v>-0.1733587</v>
          </cell>
          <cell r="AC145">
            <v>0.43944050000000012</v>
          </cell>
          <cell r="AD145">
            <v>0.32281549999999992</v>
          </cell>
        </row>
        <row r="146">
          <cell r="O146">
            <v>3.6635565179113692</v>
          </cell>
          <cell r="P146">
            <v>5</v>
          </cell>
          <cell r="Q146">
            <v>3.6609942506244004</v>
          </cell>
          <cell r="W146">
            <v>7.21</v>
          </cell>
          <cell r="X146">
            <v>4.7267681577355791</v>
          </cell>
          <cell r="Y146">
            <v>2.698942182071483</v>
          </cell>
          <cell r="Z146">
            <v>3.7282924564707711</v>
          </cell>
          <cell r="AA146">
            <v>3.3722147467376726</v>
          </cell>
          <cell r="AB146">
            <v>-0.23188049999999999</v>
          </cell>
          <cell r="AC146">
            <v>0.20756000000000013</v>
          </cell>
          <cell r="AD146">
            <v>8.0228099999999913E-2</v>
          </cell>
        </row>
        <row r="147">
          <cell r="O147">
            <v>3.6617728677318966</v>
          </cell>
          <cell r="P147">
            <v>5.0999999999999996</v>
          </cell>
          <cell r="Q147">
            <v>3.6635616461296463</v>
          </cell>
          <cell r="W147">
            <v>6.61</v>
          </cell>
          <cell r="X147">
            <v>4.7265024711556167</v>
          </cell>
          <cell r="Y147">
            <v>2.7067159780890733</v>
          </cell>
          <cell r="Z147">
            <v>3.7310045991645833</v>
          </cell>
          <cell r="AA147">
            <v>3.3764606014297414</v>
          </cell>
          <cell r="AB147">
            <v>-0.44976830000000001</v>
          </cell>
          <cell r="AC147">
            <v>-0.24220829999999988</v>
          </cell>
          <cell r="AD147">
            <v>-0.40177930000000006</v>
          </cell>
        </row>
        <row r="148">
          <cell r="O148">
            <v>3.6548546189770925</v>
          </cell>
          <cell r="P148">
            <v>5.4</v>
          </cell>
          <cell r="Q148">
            <v>3.6686767467964168</v>
          </cell>
          <cell r="W148">
            <v>6.29</v>
          </cell>
          <cell r="X148">
            <v>4.7192129020287519</v>
          </cell>
          <cell r="Y148">
            <v>2.703372611551099</v>
          </cell>
          <cell r="Z148">
            <v>3.7374791239499987</v>
          </cell>
          <cell r="AA148">
            <v>3.3825920373365861</v>
          </cell>
          <cell r="AB148">
            <v>-0.2516544</v>
          </cell>
          <cell r="AC148">
            <v>-0.49386269999999988</v>
          </cell>
          <cell r="AD148">
            <v>-0.67409800000000009</v>
          </cell>
        </row>
        <row r="149">
          <cell r="O149">
            <v>3.6346502752847987</v>
          </cell>
          <cell r="P149">
            <v>5.5</v>
          </cell>
          <cell r="Q149">
            <v>3.673765816303888</v>
          </cell>
          <cell r="W149">
            <v>6.2</v>
          </cell>
          <cell r="X149">
            <v>4.7086288943563215</v>
          </cell>
          <cell r="Y149">
            <v>2.6679224100114309</v>
          </cell>
          <cell r="Z149">
            <v>3.7370027292956647</v>
          </cell>
          <cell r="AA149">
            <v>3.3806204546733243</v>
          </cell>
          <cell r="AB149">
            <v>-8.3306000000000005E-3</v>
          </cell>
          <cell r="AC149">
            <v>-0.50219329999999984</v>
          </cell>
          <cell r="AD149">
            <v>-0.68478670000000008</v>
          </cell>
        </row>
        <row r="150">
          <cell r="O150">
            <v>3.6285746249083934</v>
          </cell>
          <cell r="P150">
            <v>5.9</v>
          </cell>
          <cell r="Q150">
            <v>3.6788291182604347</v>
          </cell>
          <cell r="W150">
            <v>5.6</v>
          </cell>
          <cell r="X150">
            <v>4.6931810633108046</v>
          </cell>
          <cell r="Y150">
            <v>2.6084508358794554</v>
          </cell>
          <cell r="Z150">
            <v>3.740118997056904</v>
          </cell>
          <cell r="AA150">
            <v>3.3810286873716286</v>
          </cell>
          <cell r="AB150">
            <v>-0.35977350000000002</v>
          </cell>
          <cell r="AC150">
            <v>-0.86196679999999981</v>
          </cell>
          <cell r="AD150">
            <v>-1.0324806</v>
          </cell>
        </row>
        <row r="151">
          <cell r="O151">
            <v>3.6512788279108026</v>
          </cell>
          <cell r="P151">
            <v>6.1</v>
          </cell>
          <cell r="Q151">
            <v>3.6838669122903918</v>
          </cell>
          <cell r="W151">
            <v>4.9000000000000004</v>
          </cell>
          <cell r="X151">
            <v>4.6752557935547792</v>
          </cell>
          <cell r="Y151">
            <v>2.6256101777178227</v>
          </cell>
          <cell r="Z151">
            <v>3.7544330848533751</v>
          </cell>
          <cell r="AA151">
            <v>3.3848308442418578</v>
          </cell>
          <cell r="AB151">
            <v>-0.25860080000000002</v>
          </cell>
          <cell r="AC151">
            <v>-1.1205675999999998</v>
          </cell>
          <cell r="AD151">
            <v>-1.2635087999999999</v>
          </cell>
        </row>
        <row r="152">
          <cell r="O152">
            <v>3.6589433056862739</v>
          </cell>
          <cell r="P152">
            <v>5.9</v>
          </cell>
          <cell r="Q152">
            <v>3.6863763238958178</v>
          </cell>
          <cell r="W152">
            <v>4.1399999999999997</v>
          </cell>
          <cell r="X152">
            <v>4.6740430502744665</v>
          </cell>
          <cell r="Y152">
            <v>2.7324175575505043</v>
          </cell>
          <cell r="Z152">
            <v>3.7514551125964171</v>
          </cell>
          <cell r="AA152">
            <v>3.3848647270412577</v>
          </cell>
          <cell r="AB152">
            <v>-0.68867829999999997</v>
          </cell>
          <cell r="AC152">
            <v>-1.8092458999999996</v>
          </cell>
          <cell r="AD152">
            <v>-1.9443079999999999</v>
          </cell>
        </row>
        <row r="153">
          <cell r="O153">
            <v>3.6570352673695132</v>
          </cell>
          <cell r="P153">
            <v>5.9</v>
          </cell>
          <cell r="Q153">
            <v>3.6863763238958178</v>
          </cell>
          <cell r="W153">
            <v>3.72</v>
          </cell>
          <cell r="X153">
            <v>4.6992978487127894</v>
          </cell>
          <cell r="Y153">
            <v>2.7265447837383743</v>
          </cell>
          <cell r="Z153">
            <v>3.7515960039694018</v>
          </cell>
          <cell r="AA153">
            <v>3.3902038401872896</v>
          </cell>
          <cell r="AB153">
            <v>-6.9735800000000001E-2</v>
          </cell>
          <cell r="AC153">
            <v>-1.8789816999999995</v>
          </cell>
          <cell r="AD153">
            <v>-1.9725747999999999</v>
          </cell>
        </row>
        <row r="154">
          <cell r="O154">
            <v>3.6559507049744648</v>
          </cell>
          <cell r="P154">
            <v>6</v>
          </cell>
          <cell r="Q154">
            <v>3.6888794541139363</v>
          </cell>
          <cell r="W154">
            <v>3.71</v>
          </cell>
          <cell r="X154">
            <v>4.6944622934668532</v>
          </cell>
          <cell r="Y154">
            <v>2.7495119909098045</v>
          </cell>
          <cell r="Z154">
            <v>3.7407838117642971</v>
          </cell>
          <cell r="AA154">
            <v>3.3920220837267032</v>
          </cell>
          <cell r="AB154">
            <v>-0.106141</v>
          </cell>
          <cell r="AC154">
            <v>-1.9851226999999996</v>
          </cell>
          <cell r="AD154">
            <v>-2.0382259</v>
          </cell>
        </row>
        <row r="155">
          <cell r="O155">
            <v>3.6615519357061301</v>
          </cell>
          <cell r="P155">
            <v>5.9</v>
          </cell>
          <cell r="Q155">
            <v>3.6913763343125234</v>
          </cell>
          <cell r="W155">
            <v>4.1500000000000004</v>
          </cell>
          <cell r="X155">
            <v>4.6980228030027078</v>
          </cell>
          <cell r="Y155">
            <v>2.7540428049526828</v>
          </cell>
          <cell r="Z155">
            <v>3.7511262888429844</v>
          </cell>
          <cell r="AA155">
            <v>3.3954475496815482</v>
          </cell>
          <cell r="AB155">
            <v>0.41698780000000002</v>
          </cell>
          <cell r="AC155">
            <v>-1.5681348999999996</v>
          </cell>
          <cell r="AD155">
            <v>-1.5770033000000001</v>
          </cell>
        </row>
        <row r="156">
          <cell r="O156">
            <v>3.6666133950597639</v>
          </cell>
          <cell r="P156">
            <v>5.9</v>
          </cell>
          <cell r="Q156">
            <v>3.6963514689526371</v>
          </cell>
          <cell r="W156">
            <v>4.63</v>
          </cell>
          <cell r="X156">
            <v>4.6893274939948144</v>
          </cell>
          <cell r="Y156">
            <v>2.7454102098592874</v>
          </cell>
          <cell r="Z156">
            <v>3.7462517339718064</v>
          </cell>
          <cell r="AA156">
            <v>3.3997964007465273</v>
          </cell>
          <cell r="AB156">
            <v>6.5412999999999999E-2</v>
          </cell>
          <cell r="AC156">
            <v>-1.5027218999999996</v>
          </cell>
          <cell r="AD156">
            <v>-1.5705694000000001</v>
          </cell>
        </row>
        <row r="157">
          <cell r="O157">
            <v>3.6707969465631707</v>
          </cell>
          <cell r="P157">
            <v>5.9</v>
          </cell>
          <cell r="Q157">
            <v>3.7013019741124933</v>
          </cell>
          <cell r="W157">
            <v>4.91</v>
          </cell>
          <cell r="X157">
            <v>4.6834266839538587</v>
          </cell>
          <cell r="Y157">
            <v>2.7764562337662704</v>
          </cell>
          <cell r="Z157">
            <v>3.7532851539311465</v>
          </cell>
          <cell r="AA157">
            <v>3.4018971367764288</v>
          </cell>
          <cell r="AB157">
            <v>0.43965110000000002</v>
          </cell>
          <cell r="AC157">
            <v>-1.0630707999999995</v>
          </cell>
          <cell r="AD157">
            <v>-1.2225631000000001</v>
          </cell>
        </row>
        <row r="158">
          <cell r="O158">
            <v>3.6678907236754514</v>
          </cell>
          <cell r="P158">
            <v>6</v>
          </cell>
          <cell r="Q158">
            <v>3.7037680666076871</v>
          </cell>
          <cell r="W158">
            <v>5.31</v>
          </cell>
          <cell r="X158">
            <v>4.6851821239574765</v>
          </cell>
          <cell r="Y158">
            <v>2.7548701717461008</v>
          </cell>
          <cell r="Z158">
            <v>3.7464877667342495</v>
          </cell>
          <cell r="AA158">
            <v>3.4041928906419536</v>
          </cell>
          <cell r="AB158">
            <v>-0.1096186</v>
          </cell>
          <cell r="AC158">
            <v>-1.1726893999999994</v>
          </cell>
          <cell r="AD158">
            <v>-1.3403499000000001</v>
          </cell>
        </row>
        <row r="159">
          <cell r="O159">
            <v>3.6620707917686079</v>
          </cell>
          <cell r="P159">
            <v>6.1</v>
          </cell>
          <cell r="Q159">
            <v>3.7062280924485496</v>
          </cell>
          <cell r="W159">
            <v>5.56</v>
          </cell>
          <cell r="X159">
            <v>4.6845357413688316</v>
          </cell>
          <cell r="Y159">
            <v>2.7737130899014906</v>
          </cell>
          <cell r="Z159">
            <v>3.7469124853645459</v>
          </cell>
          <cell r="AA159">
            <v>3.4096614600742847</v>
          </cell>
          <cell r="AB159">
            <v>0</v>
          </cell>
          <cell r="AC159">
            <v>-1.1726893999999994</v>
          </cell>
          <cell r="AD159">
            <v>-1.3403499000000001</v>
          </cell>
        </row>
        <row r="160">
          <cell r="O160">
            <v>3.6781925520587913</v>
          </cell>
          <cell r="P160">
            <v>6</v>
          </cell>
          <cell r="Q160">
            <v>3.708682081410116</v>
          </cell>
          <cell r="W160">
            <v>5.55</v>
          </cell>
          <cell r="X160">
            <v>4.6770256230885199</v>
          </cell>
          <cell r="Y160">
            <v>2.8250625695004836</v>
          </cell>
          <cell r="Z160">
            <v>3.7511497798400608</v>
          </cell>
          <cell r="AA160">
            <v>3.4114776910697118</v>
          </cell>
          <cell r="AB160">
            <v>0</v>
          </cell>
          <cell r="AC160">
            <v>-1.1726893999999994</v>
          </cell>
          <cell r="AD160">
            <v>-1.3403499000000001</v>
          </cell>
        </row>
        <row r="161">
          <cell r="O161">
            <v>3.6856492425936511</v>
          </cell>
          <cell r="P161">
            <v>5.8</v>
          </cell>
          <cell r="Q161">
            <v>3.7111300630487558</v>
          </cell>
          <cell r="W161">
            <v>5.2</v>
          </cell>
          <cell r="X161">
            <v>4.6698336993138136</v>
          </cell>
          <cell r="Y161">
            <v>2.8277277373548295</v>
          </cell>
          <cell r="Z161">
            <v>3.7474077625530051</v>
          </cell>
          <cell r="AA161">
            <v>3.41795616547711</v>
          </cell>
          <cell r="AB161">
            <v>-0.29955159999999997</v>
          </cell>
          <cell r="AC161">
            <v>-1.4722409999999995</v>
          </cell>
          <cell r="AD161">
            <v>-1.6625306000000002</v>
          </cell>
        </row>
        <row r="162">
          <cell r="O162">
            <v>3.6898839494395399</v>
          </cell>
          <cell r="P162">
            <v>6</v>
          </cell>
          <cell r="Q162">
            <v>3.713572066704308</v>
          </cell>
          <cell r="W162">
            <v>4.91</v>
          </cell>
          <cell r="X162">
            <v>4.6619285198067004</v>
          </cell>
          <cell r="Y162">
            <v>2.8275502803137558</v>
          </cell>
          <cell r="Z162">
            <v>3.7577289819943505</v>
          </cell>
          <cell r="AA162">
            <v>3.4210980433684917</v>
          </cell>
          <cell r="AB162">
            <v>-0.3463425</v>
          </cell>
          <cell r="AC162">
            <v>-1.8185834999999995</v>
          </cell>
          <cell r="AD162">
            <v>-2.0045754000000002</v>
          </cell>
        </row>
        <row r="163">
          <cell r="O163">
            <v>3.7013612316159921</v>
          </cell>
          <cell r="P163">
            <v>6</v>
          </cell>
          <cell r="Q163">
            <v>3.7160081215021892</v>
          </cell>
          <cell r="W163">
            <v>4.1399999999999997</v>
          </cell>
          <cell r="X163">
            <v>4.6695524449173593</v>
          </cell>
          <cell r="Y163">
            <v>2.8251218726880474</v>
          </cell>
          <cell r="Z163">
            <v>3.7597339250821609</v>
          </cell>
          <cell r="AA163">
            <v>3.4329867041515629</v>
          </cell>
          <cell r="AB163">
            <v>-0.89109919999999998</v>
          </cell>
          <cell r="AC163">
            <v>-2.7096826999999992</v>
          </cell>
          <cell r="AD163">
            <v>-2.9254285000000002</v>
          </cell>
        </row>
        <row r="164">
          <cell r="O164">
            <v>3.7251077135712132</v>
          </cell>
          <cell r="P164">
            <v>5.8</v>
          </cell>
          <cell r="Q164">
            <v>3.7184382563554808</v>
          </cell>
          <cell r="W164">
            <v>3.5</v>
          </cell>
          <cell r="X164">
            <v>4.7034758747722147</v>
          </cell>
          <cell r="Y164">
            <v>2.8486234085157789</v>
          </cell>
          <cell r="Z164">
            <v>3.7466293596548401</v>
          </cell>
          <cell r="AA164">
            <v>3.434890022628625</v>
          </cell>
          <cell r="AB164">
            <v>-0.26992919999999998</v>
          </cell>
          <cell r="AC164">
            <v>-2.9796118999999992</v>
          </cell>
          <cell r="AD164">
            <v>-3.1567563000000001</v>
          </cell>
        </row>
        <row r="165">
          <cell r="O165">
            <v>3.7345337542161601</v>
          </cell>
          <cell r="P165">
            <v>5.7</v>
          </cell>
          <cell r="Q165">
            <v>3.7232808808312687</v>
          </cell>
          <cell r="W165">
            <v>3.29</v>
          </cell>
          <cell r="X165">
            <v>4.7215299871042866</v>
          </cell>
          <cell r="Y165">
            <v>2.8367365420635329</v>
          </cell>
          <cell r="Z165">
            <v>3.7543628412250287</v>
          </cell>
          <cell r="AA165">
            <v>3.4380434827828181</v>
          </cell>
          <cell r="AB165">
            <v>-8.2486199999999996E-2</v>
          </cell>
          <cell r="AC165">
            <v>-3.0620980999999992</v>
          </cell>
          <cell r="AD165">
            <v>-3.2416377999999999</v>
          </cell>
        </row>
        <row r="166">
          <cell r="O166">
            <v>3.7418015462898806</v>
          </cell>
          <cell r="P166">
            <v>5.8</v>
          </cell>
          <cell r="Q166">
            <v>3.7232808808312687</v>
          </cell>
          <cell r="W166">
            <v>3.83</v>
          </cell>
          <cell r="X166">
            <v>4.7395262384871701</v>
          </cell>
          <cell r="Y166">
            <v>2.8628292548897636</v>
          </cell>
          <cell r="Z166">
            <v>3.7735881820408905</v>
          </cell>
          <cell r="AA166">
            <v>3.449257120405715</v>
          </cell>
          <cell r="AB166">
            <v>0.23055020000000001</v>
          </cell>
          <cell r="AC166">
            <v>-2.831547899999999</v>
          </cell>
          <cell r="AD166">
            <v>-2.9879769</v>
          </cell>
        </row>
        <row r="167">
          <cell r="O167">
            <v>3.752206303974261</v>
          </cell>
          <cell r="P167">
            <v>5.7</v>
          </cell>
          <cell r="Q167">
            <v>3.7256934272366524</v>
          </cell>
          <cell r="W167">
            <v>4.17</v>
          </cell>
          <cell r="X167">
            <v>4.7501359562382772</v>
          </cell>
          <cell r="Y167">
            <v>2.864712011115587</v>
          </cell>
          <cell r="Z167">
            <v>3.7776455406998273</v>
          </cell>
          <cell r="AA167">
            <v>3.4517637452328431</v>
          </cell>
          <cell r="AB167">
            <v>-0.14241419999999999</v>
          </cell>
          <cell r="AC167">
            <v>-2.9739620999999992</v>
          </cell>
          <cell r="AD167">
            <v>-3.0921608000000003</v>
          </cell>
        </row>
        <row r="168">
          <cell r="O168">
            <v>3.7517462662242758</v>
          </cell>
          <cell r="P168">
            <v>5.7</v>
          </cell>
          <cell r="Q168">
            <v>3.7281001672672178</v>
          </cell>
          <cell r="W168">
            <v>4.2699999999999996</v>
          </cell>
          <cell r="X168">
            <v>4.7828141532309347</v>
          </cell>
          <cell r="Y168">
            <v>2.8779617378194833</v>
          </cell>
          <cell r="Z168">
            <v>3.7886342872509284</v>
          </cell>
          <cell r="AA168">
            <v>3.4504953533834417</v>
          </cell>
          <cell r="AB168">
            <v>-0.13742199999999999</v>
          </cell>
          <cell r="AC168">
            <v>-3.1113840999999991</v>
          </cell>
          <cell r="AD168">
            <v>-3.2061368000000003</v>
          </cell>
        </row>
        <row r="169">
          <cell r="O169">
            <v>3.7544962999004503</v>
          </cell>
          <cell r="P169">
            <v>5.7</v>
          </cell>
          <cell r="Q169">
            <v>3.730501128804756</v>
          </cell>
          <cell r="W169">
            <v>4.46</v>
          </cell>
          <cell r="X169">
            <v>4.7803832035447513</v>
          </cell>
          <cell r="Y169">
            <v>2.8800407990577996</v>
          </cell>
          <cell r="Z169">
            <v>3.7885211484408021</v>
          </cell>
          <cell r="AA169">
            <v>3.4563166808832348</v>
          </cell>
          <cell r="AB169">
            <v>-9.3250600000000003E-2</v>
          </cell>
          <cell r="AC169">
            <v>-3.2046346999999993</v>
          </cell>
          <cell r="AD169">
            <v>-3.2570259000000004</v>
          </cell>
        </row>
        <row r="170">
          <cell r="O170">
            <v>3.7541567647793053</v>
          </cell>
          <cell r="P170">
            <v>5.6</v>
          </cell>
          <cell r="Q170">
            <v>3.7328963395307104</v>
          </cell>
          <cell r="W170">
            <v>4.55</v>
          </cell>
          <cell r="X170">
            <v>4.7860740716944257</v>
          </cell>
          <cell r="Y170">
            <v>2.8937549174415267</v>
          </cell>
          <cell r="Z170">
            <v>3.7947023628516034</v>
          </cell>
          <cell r="AA170">
            <v>3.4625119614812481</v>
          </cell>
          <cell r="AB170">
            <v>0</v>
          </cell>
          <cell r="AC170">
            <v>-3.2046346999999993</v>
          </cell>
          <cell r="AD170">
            <v>-3.2570259000000004</v>
          </cell>
        </row>
        <row r="171">
          <cell r="O171">
            <v>3.7672446016237715</v>
          </cell>
          <cell r="P171">
            <v>5.6</v>
          </cell>
          <cell r="Q171">
            <v>3.735285826928092</v>
          </cell>
          <cell r="W171">
            <v>4.8</v>
          </cell>
          <cell r="X171">
            <v>4.7954599124312232</v>
          </cell>
          <cell r="Y171">
            <v>2.9054245605224573</v>
          </cell>
          <cell r="Z171">
            <v>3.7982494211682791</v>
          </cell>
          <cell r="AA171">
            <v>3.4672347789234625</v>
          </cell>
          <cell r="AB171">
            <v>0</v>
          </cell>
          <cell r="AC171">
            <v>-3.2046346999999993</v>
          </cell>
          <cell r="AD171">
            <v>-3.2570259000000004</v>
          </cell>
        </row>
        <row r="172">
          <cell r="O172">
            <v>3.7746924049443855</v>
          </cell>
          <cell r="P172">
            <v>5.5</v>
          </cell>
          <cell r="Q172">
            <v>3.7400477406883357</v>
          </cell>
          <cell r="W172">
            <v>4.87</v>
          </cell>
          <cell r="X172">
            <v>4.8097423517168654</v>
          </cell>
          <cell r="Y172">
            <v>2.8997718824080798</v>
          </cell>
          <cell r="Z172">
            <v>3.8028998644097509</v>
          </cell>
          <cell r="AA172">
            <v>3.4692297920539823</v>
          </cell>
          <cell r="AB172">
            <v>0</v>
          </cell>
          <cell r="AC172">
            <v>-3.2046346999999993</v>
          </cell>
          <cell r="AD172">
            <v>-3.2570259000000004</v>
          </cell>
        </row>
        <row r="173">
          <cell r="O173">
            <v>3.788355942787677</v>
          </cell>
          <cell r="P173">
            <v>5.6</v>
          </cell>
          <cell r="Q173">
            <v>3.7424202210419661</v>
          </cell>
          <cell r="W173">
            <v>5.04</v>
          </cell>
          <cell r="X173">
            <v>4.8241450604300811</v>
          </cell>
          <cell r="Y173">
            <v>2.9412232880535982</v>
          </cell>
          <cell r="Z173">
            <v>3.8193812621780943</v>
          </cell>
          <cell r="AA173">
            <v>3.4780966924979464</v>
          </cell>
          <cell r="AB173">
            <v>0</v>
          </cell>
          <cell r="AC173">
            <v>-3.2046346999999993</v>
          </cell>
          <cell r="AD173">
            <v>-3.2570259000000004</v>
          </cell>
        </row>
        <row r="174">
          <cell r="O174">
            <v>3.7997318616886915</v>
          </cell>
          <cell r="P174">
            <v>5.3</v>
          </cell>
          <cell r="Q174">
            <v>3.7471483622379123</v>
          </cell>
          <cell r="W174">
            <v>5.0599999999999996</v>
          </cell>
          <cell r="X174">
            <v>4.8377094589426637</v>
          </cell>
          <cell r="Y174">
            <v>2.951623633927928</v>
          </cell>
          <cell r="Z174">
            <v>3.8166788250458081</v>
          </cell>
          <cell r="AA174">
            <v>3.484404308678541</v>
          </cell>
          <cell r="AB174">
            <v>1.24695E-2</v>
          </cell>
          <cell r="AC174">
            <v>-3.1921651999999994</v>
          </cell>
          <cell r="AD174">
            <v>-3.2215014000000002</v>
          </cell>
        </row>
        <row r="175">
          <cell r="O175">
            <v>3.8110815999926011</v>
          </cell>
          <cell r="P175">
            <v>5.2</v>
          </cell>
          <cell r="Q175">
            <v>3.7495040759303713</v>
          </cell>
          <cell r="W175">
            <v>5.33</v>
          </cell>
          <cell r="X175">
            <v>4.87351652213313</v>
          </cell>
          <cell r="Y175">
            <v>2.9608302215447262</v>
          </cell>
          <cell r="Z175">
            <v>3.8159525366774125</v>
          </cell>
          <cell r="AA175">
            <v>3.4896660296497637</v>
          </cell>
          <cell r="AB175">
            <v>-2.2706199999999999E-2</v>
          </cell>
          <cell r="AC175">
            <v>-3.2148713999999994</v>
          </cell>
          <cell r="AD175">
            <v>-3.2496506000000003</v>
          </cell>
        </row>
        <row r="176">
          <cell r="O176">
            <v>3.8176705668432467</v>
          </cell>
          <cell r="P176">
            <v>4.9000000000000004</v>
          </cell>
          <cell r="Q176">
            <v>3.7541989202345789</v>
          </cell>
          <cell r="W176">
            <v>5.94</v>
          </cell>
          <cell r="X176">
            <v>4.9009692265418199</v>
          </cell>
          <cell r="Y176">
            <v>2.9961321935753178</v>
          </cell>
          <cell r="Z176">
            <v>3.8232792195935916</v>
          </cell>
          <cell r="AA176">
            <v>3.4931686602009657</v>
          </cell>
          <cell r="AB176">
            <v>0.26632749999999999</v>
          </cell>
          <cell r="AC176">
            <v>-2.9485438999999993</v>
          </cell>
          <cell r="AD176">
            <v>-2.9700395000000004</v>
          </cell>
        </row>
        <row r="177">
          <cell r="O177">
            <v>3.8324320290419998</v>
          </cell>
          <cell r="P177">
            <v>5</v>
          </cell>
          <cell r="Q177">
            <v>3.7612001156935624</v>
          </cell>
          <cell r="W177">
            <v>6.58</v>
          </cell>
          <cell r="X177">
            <v>4.962844630259907</v>
          </cell>
          <cell r="Y177">
            <v>3.0128351814536534</v>
          </cell>
          <cell r="Z177">
            <v>3.8277932107943307</v>
          </cell>
          <cell r="AA177">
            <v>3.497022580336643</v>
          </cell>
          <cell r="AB177">
            <v>0.20039209999999999</v>
          </cell>
          <cell r="AC177">
            <v>-2.7481517999999991</v>
          </cell>
          <cell r="AD177">
            <v>-2.7445412000000005</v>
          </cell>
        </row>
        <row r="178">
          <cell r="O178">
            <v>3.8329516591636588</v>
          </cell>
          <cell r="P178">
            <v>4.9000000000000004</v>
          </cell>
          <cell r="Q178">
            <v>3.7704594411063592</v>
          </cell>
          <cell r="W178">
            <v>7.09</v>
          </cell>
          <cell r="X178">
            <v>5.0097682516569044</v>
          </cell>
          <cell r="Y178">
            <v>3.0296988231172639</v>
          </cell>
          <cell r="Z178">
            <v>3.8189423384121044</v>
          </cell>
          <cell r="AA178">
            <v>3.5001977141672991</v>
          </cell>
          <cell r="AB178">
            <v>3.8923899999999997E-2</v>
          </cell>
          <cell r="AC178">
            <v>-2.7092278999999992</v>
          </cell>
          <cell r="AD178">
            <v>-2.6799824000000005</v>
          </cell>
        </row>
        <row r="179">
          <cell r="O179">
            <v>3.8313182453129149</v>
          </cell>
          <cell r="P179">
            <v>5</v>
          </cell>
          <cell r="Q179">
            <v>3.7773481021015445</v>
          </cell>
          <cell r="W179">
            <v>7.12</v>
          </cell>
          <cell r="X179">
            <v>5.0295878870129425</v>
          </cell>
          <cell r="Y179">
            <v>3.0120976276402551</v>
          </cell>
          <cell r="Z179">
            <v>3.8147408826215923</v>
          </cell>
          <cell r="AA179">
            <v>3.5008617047751005</v>
          </cell>
          <cell r="AB179">
            <v>-9.2673000000000005E-2</v>
          </cell>
          <cell r="AC179">
            <v>-2.8019008999999993</v>
          </cell>
          <cell r="AD179">
            <v>-2.7439434000000005</v>
          </cell>
        </row>
        <row r="180">
          <cell r="O180">
            <v>3.8377023952839537</v>
          </cell>
          <cell r="P180">
            <v>4.9000000000000004</v>
          </cell>
          <cell r="Q180">
            <v>3.7819143200811256</v>
          </cell>
          <cell r="W180">
            <v>7.84</v>
          </cell>
          <cell r="X180">
            <v>5.0825217528963655</v>
          </cell>
          <cell r="Y180">
            <v>3.0157799688577689</v>
          </cell>
          <cell r="Z180">
            <v>3.813020015586138</v>
          </cell>
          <cell r="AA180">
            <v>3.5050167103011525</v>
          </cell>
          <cell r="AB180">
            <v>0.28743600000000002</v>
          </cell>
          <cell r="AC180">
            <v>-2.5144648999999992</v>
          </cell>
          <cell r="AD180">
            <v>-2.4267627000000003</v>
          </cell>
        </row>
        <row r="181">
          <cell r="O181">
            <v>3.8383613951785871</v>
          </cell>
          <cell r="P181">
            <v>4.9000000000000004</v>
          </cell>
          <cell r="Q181">
            <v>3.7887247890836524</v>
          </cell>
          <cell r="W181">
            <v>8.49</v>
          </cell>
          <cell r="X181">
            <v>5.1431244771423348</v>
          </cell>
          <cell r="Y181">
            <v>2.9749171338400711</v>
          </cell>
          <cell r="Z181">
            <v>3.816810820822135</v>
          </cell>
          <cell r="AA181">
            <v>3.5100517865742376</v>
          </cell>
          <cell r="AB181">
            <v>0.35885600000000001</v>
          </cell>
          <cell r="AC181">
            <v>-2.1556088999999994</v>
          </cell>
          <cell r="AD181">
            <v>-2.0175988</v>
          </cell>
        </row>
        <row r="182">
          <cell r="O182">
            <v>3.8427543816393088</v>
          </cell>
          <cell r="P182">
            <v>4.8</v>
          </cell>
          <cell r="Q182">
            <v>3.7887247890836524</v>
          </cell>
          <cell r="W182">
            <v>10.4</v>
          </cell>
          <cell r="X182">
            <v>5.204446150937966</v>
          </cell>
          <cell r="Y182">
            <v>2.9879520862350288</v>
          </cell>
          <cell r="Z182">
            <v>3.8355522440852359</v>
          </cell>
          <cell r="AA182">
            <v>3.50927420481421</v>
          </cell>
          <cell r="AB182">
            <v>8.2284899999999994E-2</v>
          </cell>
          <cell r="AC182">
            <v>-2.0733239999999995</v>
          </cell>
          <cell r="AD182">
            <v>-1.9059519</v>
          </cell>
        </row>
        <row r="183">
          <cell r="O183">
            <v>3.840915757364483</v>
          </cell>
          <cell r="P183">
            <v>4.8</v>
          </cell>
          <cell r="Q183">
            <v>3.8066624897703196</v>
          </cell>
          <cell r="W183">
            <v>10.5</v>
          </cell>
          <cell r="X183">
            <v>5.3365760786651268</v>
          </cell>
          <cell r="Y183">
            <v>2.9751723595886297</v>
          </cell>
          <cell r="Z183">
            <v>3.8033458848002764</v>
          </cell>
          <cell r="AA183">
            <v>3.5099919940542641</v>
          </cell>
          <cell r="AB183">
            <v>0.24591160000000001</v>
          </cell>
          <cell r="AC183">
            <v>-1.8274123999999996</v>
          </cell>
          <cell r="AD183">
            <v>-1.5865507999999999</v>
          </cell>
        </row>
        <row r="184">
          <cell r="O184">
            <v>3.8497900910022098</v>
          </cell>
          <cell r="P184">
            <v>4.8</v>
          </cell>
          <cell r="Q184">
            <v>3.8110970868381857</v>
          </cell>
          <cell r="W184">
            <v>10.78</v>
          </cell>
          <cell r="X184">
            <v>5.2740246739789924</v>
          </cell>
          <cell r="Y184">
            <v>3.0129826269605187</v>
          </cell>
          <cell r="Z184">
            <v>3.8194251439605797</v>
          </cell>
          <cell r="AA184">
            <v>3.5166369327616458</v>
          </cell>
          <cell r="AB184">
            <v>-0.60312739999999998</v>
          </cell>
          <cell r="AC184">
            <v>-2.4305397999999996</v>
          </cell>
          <cell r="AD184">
            <v>-2.1589483</v>
          </cell>
        </row>
        <row r="185">
          <cell r="O185">
            <v>3.8566138842127295</v>
          </cell>
          <cell r="P185">
            <v>4.5999999999999996</v>
          </cell>
          <cell r="Q185">
            <v>3.8199077165203406</v>
          </cell>
          <cell r="W185">
            <v>10.01</v>
          </cell>
          <cell r="X185">
            <v>5.2578078232098271</v>
          </cell>
          <cell r="Y185">
            <v>2.9794504409797082</v>
          </cell>
          <cell r="Z185">
            <v>3.8144983755380948</v>
          </cell>
          <cell r="AA185">
            <v>3.5164290171152448</v>
          </cell>
          <cell r="AB185">
            <v>-0.87293960000000004</v>
          </cell>
          <cell r="AC185">
            <v>-3.3034793999999996</v>
          </cell>
          <cell r="AD185">
            <v>-3.0083080999999998</v>
          </cell>
        </row>
        <row r="186">
          <cell r="O186">
            <v>3.8617733767583298</v>
          </cell>
          <cell r="P186">
            <v>4.8</v>
          </cell>
          <cell r="Q186">
            <v>3.8264651170664994</v>
          </cell>
          <cell r="W186">
            <v>10.029999999999999</v>
          </cell>
          <cell r="X186">
            <v>5.2577557547919138</v>
          </cell>
          <cell r="Y186">
            <v>2.9747639671177946</v>
          </cell>
          <cell r="Z186">
            <v>3.819841924882434</v>
          </cell>
          <cell r="AA186">
            <v>3.5178241935938748</v>
          </cell>
          <cell r="AB186">
            <v>-0.1196041</v>
          </cell>
          <cell r="AC186">
            <v>-3.4230834999999997</v>
          </cell>
          <cell r="AD186">
            <v>-3.1046247</v>
          </cell>
        </row>
        <row r="187">
          <cell r="O187">
            <v>3.8594109471167362</v>
          </cell>
          <cell r="P187">
            <v>4.9000000000000004</v>
          </cell>
          <cell r="Q187">
            <v>3.8351419610921882</v>
          </cell>
          <cell r="W187">
            <v>9.9499999999999993</v>
          </cell>
          <cell r="X187">
            <v>5.3197363339213366</v>
          </cell>
          <cell r="Y187">
            <v>2.9511532301560237</v>
          </cell>
          <cell r="Z187">
            <v>3.8124015453965656</v>
          </cell>
          <cell r="AA187">
            <v>3.5129772491221654</v>
          </cell>
          <cell r="AB187">
            <v>-0.19873830000000001</v>
          </cell>
          <cell r="AC187">
            <v>-3.6218217999999998</v>
          </cell>
          <cell r="AD187">
            <v>-3.2697718999999998</v>
          </cell>
        </row>
        <row r="188">
          <cell r="O188">
            <v>3.8523558001422011</v>
          </cell>
          <cell r="P188">
            <v>5.0999999999999996</v>
          </cell>
          <cell r="Q188">
            <v>3.8458832029236012</v>
          </cell>
          <cell r="W188">
            <v>9.65</v>
          </cell>
          <cell r="X188">
            <v>5.3628871371973368</v>
          </cell>
          <cell r="Y188">
            <v>2.950368731802461</v>
          </cell>
          <cell r="Z188">
            <v>3.809901682361386</v>
          </cell>
          <cell r="AA188">
            <v>3.51390087157524</v>
          </cell>
          <cell r="AB188">
            <v>-0.2057967</v>
          </cell>
          <cell r="AC188">
            <v>-3.8276184999999998</v>
          </cell>
          <cell r="AD188">
            <v>-3.4732729</v>
          </cell>
        </row>
        <row r="189">
          <cell r="O189">
            <v>3.8492471964668944</v>
          </cell>
          <cell r="P189">
            <v>5.2</v>
          </cell>
          <cell r="Q189">
            <v>3.8565102954978872</v>
          </cell>
          <cell r="W189">
            <v>8.9700000000000006</v>
          </cell>
          <cell r="X189">
            <v>5.4469528656871846</v>
          </cell>
          <cell r="Y189">
            <v>2.9309270501878752</v>
          </cell>
          <cell r="Z189">
            <v>3.8024982758987091</v>
          </cell>
          <cell r="AA189">
            <v>3.5130666692328076</v>
          </cell>
          <cell r="AB189">
            <v>0.20245959999999999</v>
          </cell>
          <cell r="AC189">
            <v>-3.6251588999999997</v>
          </cell>
          <cell r="AD189">
            <v>-3.2714387999999999</v>
          </cell>
        </row>
        <row r="190">
          <cell r="O190">
            <v>3.8495069710181151</v>
          </cell>
          <cell r="P190">
            <v>5.0999999999999996</v>
          </cell>
          <cell r="Q190">
            <v>3.8670256394974101</v>
          </cell>
          <cell r="W190">
            <v>9.35</v>
          </cell>
          <cell r="X190">
            <v>5.4510384535657002</v>
          </cell>
          <cell r="Y190">
            <v>2.9530335190208756</v>
          </cell>
          <cell r="Z190">
            <v>3.793757353331181</v>
          </cell>
          <cell r="AA190">
            <v>3.5158941782969686</v>
          </cell>
          <cell r="AB190">
            <v>0.75529069999999998</v>
          </cell>
          <cell r="AC190">
            <v>-2.8698682</v>
          </cell>
          <cell r="AD190">
            <v>-2.5358248999999997</v>
          </cell>
        </row>
        <row r="191">
          <cell r="O191">
            <v>3.846553918114811</v>
          </cell>
          <cell r="P191">
            <v>5.0999999999999996</v>
          </cell>
          <cell r="Q191">
            <v>3.8732821771117156</v>
          </cell>
          <cell r="W191">
            <v>10.51</v>
          </cell>
          <cell r="X191">
            <v>5.4416381859922591</v>
          </cell>
          <cell r="Y191">
            <v>2.950264085506844</v>
          </cell>
          <cell r="Z191">
            <v>3.7961855758521779</v>
          </cell>
          <cell r="AA191">
            <v>3.5214071001701877</v>
          </cell>
          <cell r="AB191">
            <v>0.39193080000000002</v>
          </cell>
          <cell r="AC191">
            <v>-2.4779374000000001</v>
          </cell>
          <cell r="AD191">
            <v>-2.1493357</v>
          </cell>
        </row>
        <row r="192">
          <cell r="O192">
            <v>3.8538619714855415</v>
          </cell>
          <cell r="P192">
            <v>5.0999999999999996</v>
          </cell>
          <cell r="Q192">
            <v>3.8836235309064482</v>
          </cell>
          <cell r="W192">
            <v>11.31</v>
          </cell>
          <cell r="X192">
            <v>5.4012349005547229</v>
          </cell>
          <cell r="Y192">
            <v>2.9622788972947713</v>
          </cell>
          <cell r="Z192">
            <v>3.795354348620942</v>
          </cell>
          <cell r="AA192">
            <v>3.524181682073531</v>
          </cell>
          <cell r="AB192">
            <v>0.34379110000000002</v>
          </cell>
          <cell r="AC192">
            <v>-2.1341463000000003</v>
          </cell>
          <cell r="AD192">
            <v>-1.758057</v>
          </cell>
        </row>
        <row r="193">
          <cell r="O193">
            <v>3.8531770508448822</v>
          </cell>
          <cell r="P193">
            <v>5.4</v>
          </cell>
          <cell r="Q193">
            <v>3.8918202981106265</v>
          </cell>
          <cell r="W193">
            <v>11.93</v>
          </cell>
          <cell r="X193">
            <v>5.4134301736485408</v>
          </cell>
          <cell r="Y193">
            <v>2.9378912738641412</v>
          </cell>
          <cell r="Z193">
            <v>3.7946798730001481</v>
          </cell>
          <cell r="AA193">
            <v>3.5266251954700936</v>
          </cell>
          <cell r="AB193">
            <v>0.23393800000000001</v>
          </cell>
          <cell r="AC193">
            <v>-1.9002083000000003</v>
          </cell>
          <cell r="AD193">
            <v>-1.4805796</v>
          </cell>
        </row>
        <row r="194">
          <cell r="O194">
            <v>3.8531515958366076</v>
          </cell>
          <cell r="P194">
            <v>5.5</v>
          </cell>
          <cell r="Q194">
            <v>3.8979240810486444</v>
          </cell>
          <cell r="W194">
            <v>12.92</v>
          </cell>
          <cell r="X194">
            <v>5.4683976369196374</v>
          </cell>
          <cell r="Y194">
            <v>2.9445442367845578</v>
          </cell>
          <cell r="Z194">
            <v>3.8012255139454747</v>
          </cell>
          <cell r="AA194">
            <v>3.5266545990191038</v>
          </cell>
          <cell r="AB194">
            <v>-0.13442570000000001</v>
          </cell>
          <cell r="AC194">
            <v>-2.0346340000000005</v>
          </cell>
          <cell r="AD194">
            <v>-1.5714170000000001</v>
          </cell>
        </row>
        <row r="195">
          <cell r="O195">
            <v>3.8434293399621522</v>
          </cell>
          <cell r="P195">
            <v>5.5</v>
          </cell>
          <cell r="Q195">
            <v>3.9100210027574729</v>
          </cell>
          <cell r="W195">
            <v>12.01</v>
          </cell>
          <cell r="X195">
            <v>5.484091290392243</v>
          </cell>
          <cell r="Y195">
            <v>2.9900159665578818</v>
          </cell>
          <cell r="Z195">
            <v>3.8002419219673973</v>
          </cell>
          <cell r="AA195">
            <v>3.5288867428030448</v>
          </cell>
          <cell r="AB195">
            <v>-4.4339299999999998E-2</v>
          </cell>
          <cell r="AC195">
            <v>-2.0789733000000004</v>
          </cell>
          <cell r="AD195">
            <v>-1.5925907000000001</v>
          </cell>
        </row>
        <row r="196">
          <cell r="O196">
            <v>3.8439390065056536</v>
          </cell>
          <cell r="P196">
            <v>5.9</v>
          </cell>
          <cell r="Q196">
            <v>3.9239515762934198</v>
          </cell>
          <cell r="W196">
            <v>11.34</v>
          </cell>
          <cell r="X196">
            <v>5.440337626568466</v>
          </cell>
          <cell r="Y196">
            <v>2.9324196673422249</v>
          </cell>
          <cell r="Z196">
            <v>3.7912329532257525</v>
          </cell>
          <cell r="AA196">
            <v>3.5314358585858847</v>
          </cell>
          <cell r="AB196">
            <v>-0.43687920000000002</v>
          </cell>
          <cell r="AC196">
            <v>-2.5158525000000003</v>
          </cell>
          <cell r="AD196">
            <v>-2.0222003000000002</v>
          </cell>
        </row>
        <row r="197">
          <cell r="O197">
            <v>3.8400994150053331</v>
          </cell>
          <cell r="P197">
            <v>6</v>
          </cell>
          <cell r="Q197">
            <v>3.9318256327243257</v>
          </cell>
          <cell r="W197">
            <v>10.06</v>
          </cell>
          <cell r="X197">
            <v>5.4446662628831737</v>
          </cell>
          <cell r="Y197">
            <v>2.8918706340199005</v>
          </cell>
          <cell r="Z197">
            <v>3.7899005681726643</v>
          </cell>
          <cell r="AA197">
            <v>3.537765824444175</v>
          </cell>
          <cell r="AB197">
            <v>-0.30897160000000001</v>
          </cell>
          <cell r="AC197">
            <v>-2.8248241000000003</v>
          </cell>
          <cell r="AD197">
            <v>-2.3024849000000001</v>
          </cell>
        </row>
        <row r="198">
          <cell r="O198">
            <v>3.8066113773529913</v>
          </cell>
          <cell r="P198">
            <v>6.6</v>
          </cell>
          <cell r="Q198">
            <v>3.9415818076696905</v>
          </cell>
          <cell r="W198">
            <v>9.4499999999999993</v>
          </cell>
          <cell r="X198">
            <v>5.4284680510130814</v>
          </cell>
          <cell r="Y198">
            <v>2.8418815487357305</v>
          </cell>
          <cell r="Z198">
            <v>3.7813674735490879</v>
          </cell>
          <cell r="AA198">
            <v>3.5358156833869163</v>
          </cell>
          <cell r="AB198">
            <v>0.28582649999999998</v>
          </cell>
          <cell r="AC198">
            <v>-2.5389976000000001</v>
          </cell>
          <cell r="AD198">
            <v>-1.9645721</v>
          </cell>
        </row>
        <row r="199">
          <cell r="O199">
            <v>3.7708464629779255</v>
          </cell>
          <cell r="P199">
            <v>7.2</v>
          </cell>
          <cell r="Q199">
            <v>3.949318790171843</v>
          </cell>
          <cell r="W199">
            <v>8.5299999999999994</v>
          </cell>
          <cell r="X199">
            <v>5.3618553873520245</v>
          </cell>
          <cell r="Y199">
            <v>2.8330368578952143</v>
          </cell>
          <cell r="Z199">
            <v>3.7672977662480429</v>
          </cell>
          <cell r="AA199">
            <v>3.5434489759037304</v>
          </cell>
          <cell r="AB199">
            <v>-0.25133319999999998</v>
          </cell>
          <cell r="AC199">
            <v>-2.7903308</v>
          </cell>
          <cell r="AD199">
            <v>-2.1926879000000001</v>
          </cell>
        </row>
        <row r="200">
          <cell r="O200">
            <v>3.7568721589342489</v>
          </cell>
          <cell r="P200">
            <v>8.1</v>
          </cell>
          <cell r="Q200">
            <v>3.9569963710708773</v>
          </cell>
          <cell r="W200">
            <v>7.13</v>
          </cell>
          <cell r="X200">
            <v>5.3234001469154997</v>
          </cell>
          <cell r="Y200">
            <v>2.8676147707735482</v>
          </cell>
          <cell r="Z200">
            <v>3.7771650189812966</v>
          </cell>
          <cell r="AA200">
            <v>3.5437380684442652</v>
          </cell>
          <cell r="AB200">
            <v>-0.36870839999999999</v>
          </cell>
          <cell r="AC200">
            <v>-3.1590392</v>
          </cell>
          <cell r="AD200">
            <v>-2.5446814</v>
          </cell>
        </row>
        <row r="201">
          <cell r="O201">
            <v>3.7335420640201256</v>
          </cell>
          <cell r="P201">
            <v>8.1</v>
          </cell>
          <cell r="Q201">
            <v>3.9627161197436642</v>
          </cell>
          <cell r="W201">
            <v>6.24</v>
          </cell>
          <cell r="X201">
            <v>5.3079211026907318</v>
          </cell>
          <cell r="Y201">
            <v>2.9002670817359246</v>
          </cell>
          <cell r="Z201">
            <v>3.7802272485732118</v>
          </cell>
          <cell r="AA201">
            <v>3.5499334287879147</v>
          </cell>
          <cell r="AB201">
            <v>0.23399809999999999</v>
          </cell>
          <cell r="AC201">
            <v>-2.9250411000000001</v>
          </cell>
          <cell r="AD201">
            <v>-2.3022002000000001</v>
          </cell>
        </row>
        <row r="202">
          <cell r="O202">
            <v>3.7228725849294535</v>
          </cell>
          <cell r="P202">
            <v>8.6</v>
          </cell>
          <cell r="Q202">
            <v>3.9665111907122159</v>
          </cell>
          <cell r="W202">
            <v>5.54</v>
          </cell>
          <cell r="X202">
            <v>5.2912927516110724</v>
          </cell>
          <cell r="Y202">
            <v>2.8628863602205619</v>
          </cell>
          <cell r="Z202">
            <v>3.7870038521071354</v>
          </cell>
          <cell r="AA202">
            <v>3.5511679082384506</v>
          </cell>
          <cell r="AB202">
            <v>-0.4145509</v>
          </cell>
          <cell r="AC202">
            <v>-3.3395920000000001</v>
          </cell>
          <cell r="AD202">
            <v>-2.7962224</v>
          </cell>
        </row>
        <row r="203">
          <cell r="O203">
            <v>3.724041461081983</v>
          </cell>
          <cell r="P203">
            <v>8.8000000000000007</v>
          </cell>
          <cell r="Q203">
            <v>3.970291913552122</v>
          </cell>
          <cell r="W203">
            <v>5.49</v>
          </cell>
          <cell r="X203">
            <v>5.3043988368639043</v>
          </cell>
          <cell r="Y203">
            <v>2.8623151601136394</v>
          </cell>
          <cell r="Z203">
            <v>3.78200543210342</v>
          </cell>
          <cell r="AA203">
            <v>3.5568612018292241</v>
          </cell>
          <cell r="AB203">
            <v>-0.57693289999999997</v>
          </cell>
          <cell r="AC203">
            <v>-3.9165249000000002</v>
          </cell>
          <cell r="AD203">
            <v>-3.4336625000000001</v>
          </cell>
        </row>
        <row r="204">
          <cell r="O204">
            <v>3.7214023058194385</v>
          </cell>
          <cell r="P204">
            <v>9</v>
          </cell>
          <cell r="Q204">
            <v>3.9721769282478934</v>
          </cell>
          <cell r="W204">
            <v>5.22</v>
          </cell>
          <cell r="X204">
            <v>5.2705863928097259</v>
          </cell>
          <cell r="Y204">
            <v>2.9073927422304675</v>
          </cell>
          <cell r="Z204">
            <v>3.8163707671284839</v>
          </cell>
          <cell r="AA204">
            <v>3.5609324397833144</v>
          </cell>
          <cell r="AB204">
            <v>0.13552330000000001</v>
          </cell>
          <cell r="AC204">
            <v>-3.7810016000000002</v>
          </cell>
          <cell r="AD204">
            <v>-3.2978095999999999</v>
          </cell>
        </row>
        <row r="205">
          <cell r="O205">
            <v>3.7283597489575904</v>
          </cell>
          <cell r="P205">
            <v>8.8000000000000007</v>
          </cell>
          <cell r="Q205">
            <v>3.9796816539019608</v>
          </cell>
          <cell r="W205">
            <v>5.55</v>
          </cell>
          <cell r="X205">
            <v>5.2323378076140612</v>
          </cell>
          <cell r="Y205">
            <v>2.9183111265854063</v>
          </cell>
          <cell r="Z205">
            <v>3.8114288901924436</v>
          </cell>
          <cell r="AA205">
            <v>3.5641662099402951</v>
          </cell>
          <cell r="AB205">
            <v>0.18274399999999999</v>
          </cell>
          <cell r="AC205">
            <v>-3.5982576000000002</v>
          </cell>
          <cell r="AD205">
            <v>-3.1268422999999999</v>
          </cell>
        </row>
        <row r="206">
          <cell r="O206">
            <v>3.7375648508906947</v>
          </cell>
          <cell r="P206">
            <v>8.6</v>
          </cell>
          <cell r="Q206">
            <v>3.9889840465642745</v>
          </cell>
          <cell r="W206">
            <v>6.1</v>
          </cell>
          <cell r="X206">
            <v>5.2755603794254204</v>
          </cell>
          <cell r="Y206">
            <v>2.9491122529187646</v>
          </cell>
          <cell r="Z206">
            <v>3.8105881077727921</v>
          </cell>
          <cell r="AA206">
            <v>3.564364434416003</v>
          </cell>
          <cell r="AB206">
            <v>4.5389400000000003E-2</v>
          </cell>
          <cell r="AC206">
            <v>-3.5528682000000003</v>
          </cell>
          <cell r="AD206">
            <v>-3.0555083999999999</v>
          </cell>
        </row>
        <row r="207">
          <cell r="O207">
            <v>3.7481337256644802</v>
          </cell>
          <cell r="P207">
            <v>8.4</v>
          </cell>
          <cell r="Q207">
            <v>3.9926809084456005</v>
          </cell>
          <cell r="W207">
            <v>6.14</v>
          </cell>
          <cell r="X207">
            <v>5.3261756946764329</v>
          </cell>
          <cell r="Y207">
            <v>2.9478017397964411</v>
          </cell>
          <cell r="Z207">
            <v>3.8159085022424772</v>
          </cell>
          <cell r="AA207">
            <v>3.5661749528884505</v>
          </cell>
          <cell r="AB207">
            <v>-0.14411979999999999</v>
          </cell>
          <cell r="AC207">
            <v>-3.6969880000000002</v>
          </cell>
          <cell r="AD207">
            <v>-3.1902562999999997</v>
          </cell>
        </row>
        <row r="208">
          <cell r="O208">
            <v>3.7605021977869035</v>
          </cell>
          <cell r="P208">
            <v>8.4</v>
          </cell>
          <cell r="Q208">
            <v>4.0000338827508592</v>
          </cell>
          <cell r="W208">
            <v>6.24</v>
          </cell>
          <cell r="X208">
            <v>5.3294283615730897</v>
          </cell>
          <cell r="Y208">
            <v>2.9735377880442222</v>
          </cell>
          <cell r="Z208">
            <v>3.8128654338949275</v>
          </cell>
          <cell r="AA208">
            <v>3.5660336241150903</v>
          </cell>
          <cell r="AB208">
            <v>-0.11214780000000001</v>
          </cell>
          <cell r="AC208">
            <v>-3.8091358</v>
          </cell>
          <cell r="AD208">
            <v>-3.3063752999999996</v>
          </cell>
        </row>
        <row r="209">
          <cell r="O209">
            <v>3.7647264490049968</v>
          </cell>
          <cell r="P209">
            <v>8.4</v>
          </cell>
          <cell r="Q209">
            <v>4.0055133485154846</v>
          </cell>
          <cell r="W209">
            <v>5.82</v>
          </cell>
          <cell r="X209">
            <v>5.3051936704874691</v>
          </cell>
          <cell r="Y209">
            <v>2.9556912240168072</v>
          </cell>
          <cell r="Z209">
            <v>3.8034127707040972</v>
          </cell>
          <cell r="AA209">
            <v>3.5765782407767786</v>
          </cell>
          <cell r="AB209">
            <v>-0.19803680000000001</v>
          </cell>
          <cell r="AC209">
            <v>-4.0071725999999996</v>
          </cell>
          <cell r="AD209">
            <v>-3.5070339999999995</v>
          </cell>
        </row>
        <row r="210">
          <cell r="O210">
            <v>3.766987984780207</v>
          </cell>
          <cell r="P210">
            <v>8.3000000000000007</v>
          </cell>
          <cell r="Q210">
            <v>4.0127729085282891</v>
          </cell>
          <cell r="W210">
            <v>5.22</v>
          </cell>
          <cell r="X210">
            <v>5.2556707918265637</v>
          </cell>
          <cell r="Y210">
            <v>2.9860858965021855</v>
          </cell>
          <cell r="Z210">
            <v>3.8124015453965656</v>
          </cell>
          <cell r="AA210">
            <v>3.5769697615603473</v>
          </cell>
          <cell r="AB210">
            <v>-0.31537799999999999</v>
          </cell>
          <cell r="AC210">
            <v>-4.3225505999999996</v>
          </cell>
          <cell r="AD210">
            <v>-3.7884554999999995</v>
          </cell>
        </row>
        <row r="211">
          <cell r="O211">
            <v>3.7793552397704748</v>
          </cell>
          <cell r="P211">
            <v>8.1999999999999993</v>
          </cell>
          <cell r="Q211">
            <v>4.0181832012565364</v>
          </cell>
          <cell r="W211">
            <v>5.2</v>
          </cell>
          <cell r="X211">
            <v>5.2452329954555816</v>
          </cell>
          <cell r="Y211">
            <v>3.0141123208354204</v>
          </cell>
          <cell r="Z211">
            <v>3.8161946914154727</v>
          </cell>
          <cell r="AA211">
            <v>3.5849900780216735</v>
          </cell>
          <cell r="AB211">
            <v>0.2369289</v>
          </cell>
          <cell r="AC211">
            <v>-4.0856216999999999</v>
          </cell>
          <cell r="AD211">
            <v>-3.5069712999999996</v>
          </cell>
        </row>
        <row r="212">
          <cell r="O212">
            <v>3.7939081647305577</v>
          </cell>
          <cell r="P212">
            <v>7.9</v>
          </cell>
          <cell r="Q212">
            <v>4.0217738693872649</v>
          </cell>
          <cell r="W212">
            <v>4.87</v>
          </cell>
          <cell r="X212">
            <v>5.2490220748231593</v>
          </cell>
          <cell r="Y212">
            <v>3.0236392268069987</v>
          </cell>
          <cell r="Z212">
            <v>3.832005297442115</v>
          </cell>
          <cell r="AA212">
            <v>3.5911839316404826</v>
          </cell>
          <cell r="AB212">
            <v>-9.9544599999999997E-2</v>
          </cell>
          <cell r="AC212">
            <v>-4.1851662999999997</v>
          </cell>
          <cell r="AD212">
            <v>-3.5964328999999995</v>
          </cell>
        </row>
        <row r="213">
          <cell r="O213">
            <v>3.8036312334849272</v>
          </cell>
          <cell r="P213">
            <v>7.7</v>
          </cell>
          <cell r="Q213">
            <v>4.0235643801610532</v>
          </cell>
          <cell r="W213">
            <v>4.7699999999999996</v>
          </cell>
          <cell r="X213">
            <v>5.2638811892269093</v>
          </cell>
          <cell r="Y213">
            <v>3.038935430854639</v>
          </cell>
          <cell r="Z213">
            <v>3.8274667938699793</v>
          </cell>
          <cell r="AA213">
            <v>3.5882300459640066</v>
          </cell>
          <cell r="AB213">
            <v>-0.46224710000000002</v>
          </cell>
          <cell r="AC213">
            <v>-4.6474133999999996</v>
          </cell>
          <cell r="AD213">
            <v>-4.0639905999999995</v>
          </cell>
        </row>
        <row r="214">
          <cell r="O214">
            <v>3.8045246506643204</v>
          </cell>
          <cell r="P214">
            <v>7.6</v>
          </cell>
          <cell r="Q214">
            <v>4.0253516907351496</v>
          </cell>
          <cell r="W214">
            <v>4.84</v>
          </cell>
          <cell r="X214">
            <v>5.2783187200413471</v>
          </cell>
          <cell r="Y214">
            <v>3.0404666048941618</v>
          </cell>
          <cell r="Z214">
            <v>3.8327849739158917</v>
          </cell>
          <cell r="AA214">
            <v>3.5939092165227096</v>
          </cell>
          <cell r="AB214">
            <v>-0.26525880000000002</v>
          </cell>
          <cell r="AC214">
            <v>-4.9126721999999994</v>
          </cell>
          <cell r="AD214">
            <v>-4.3037371999999996</v>
          </cell>
        </row>
        <row r="215">
          <cell r="O215">
            <v>3.8102493825056301</v>
          </cell>
          <cell r="P215">
            <v>7.7</v>
          </cell>
          <cell r="Q215">
            <v>4.0271358125286509</v>
          </cell>
          <cell r="W215">
            <v>4.82</v>
          </cell>
          <cell r="X215">
            <v>5.3099000277911035</v>
          </cell>
          <cell r="Y215">
            <v>3.0531045534118615</v>
          </cell>
          <cell r="Z215">
            <v>3.8455626387278761</v>
          </cell>
          <cell r="AA215">
            <v>3.5958591505407149</v>
          </cell>
          <cell r="AB215">
            <v>0.13636960000000001</v>
          </cell>
          <cell r="AC215">
            <v>-4.7763025999999993</v>
          </cell>
          <cell r="AD215">
            <v>-4.1642786999999997</v>
          </cell>
        </row>
        <row r="216">
          <cell r="O216">
            <v>3.8148422772385064</v>
          </cell>
          <cell r="P216">
            <v>7.4</v>
          </cell>
          <cell r="Q216">
            <v>4.0324691585040133</v>
          </cell>
          <cell r="W216">
            <v>5.29</v>
          </cell>
          <cell r="X216">
            <v>5.3120723317803726</v>
          </cell>
          <cell r="Y216">
            <v>3.0151917047102099</v>
          </cell>
          <cell r="Z216">
            <v>3.838634774198773</v>
          </cell>
          <cell r="AA216">
            <v>3.5971204613742347</v>
          </cell>
          <cell r="AB216">
            <v>-0.25743759999999999</v>
          </cell>
          <cell r="AC216">
            <v>-5.0337401999999996</v>
          </cell>
          <cell r="AD216">
            <v>-4.4614732999999998</v>
          </cell>
        </row>
        <row r="217">
          <cell r="O217">
            <v>3.8147519042736278</v>
          </cell>
          <cell r="P217">
            <v>7.6</v>
          </cell>
          <cell r="Q217">
            <v>4.0377742107337067</v>
          </cell>
          <cell r="W217">
            <v>5.48</v>
          </cell>
          <cell r="X217">
            <v>5.3348421412304088</v>
          </cell>
          <cell r="Y217">
            <v>3.0478976875346704</v>
          </cell>
          <cell r="Z217">
            <v>3.8537156965668715</v>
          </cell>
          <cell r="AA217">
            <v>3.6002394789506655</v>
          </cell>
          <cell r="AB217">
            <v>-2.7014699999999999E-2</v>
          </cell>
          <cell r="AC217">
            <v>-5.0607548999999992</v>
          </cell>
          <cell r="AD217">
            <v>-4.5007158</v>
          </cell>
        </row>
        <row r="218">
          <cell r="O218">
            <v>3.8207910981536917</v>
          </cell>
          <cell r="P218">
            <v>7.8</v>
          </cell>
          <cell r="Q218">
            <v>4.0430512678345503</v>
          </cell>
          <cell r="W218">
            <v>5.31</v>
          </cell>
          <cell r="X218">
            <v>5.3755098623779425</v>
          </cell>
          <cell r="Y218">
            <v>3.0531517644214774</v>
          </cell>
          <cell r="Z218">
            <v>3.8508707444346402</v>
          </cell>
          <cell r="AA218">
            <v>3.6060954926350148</v>
          </cell>
          <cell r="AB218">
            <v>-0.14407690000000001</v>
          </cell>
          <cell r="AC218">
            <v>-5.2048317999999991</v>
          </cell>
          <cell r="AD218">
            <v>-4.6408094999999996</v>
          </cell>
        </row>
        <row r="219">
          <cell r="O219">
            <v>3.827747518838609</v>
          </cell>
          <cell r="P219">
            <v>7.8</v>
          </cell>
          <cell r="Q219">
            <v>4.048300623720694</v>
          </cell>
          <cell r="W219">
            <v>5.29</v>
          </cell>
          <cell r="X219">
            <v>5.3321389150235472</v>
          </cell>
          <cell r="Y219">
            <v>3.0454267905778427</v>
          </cell>
          <cell r="Z219">
            <v>3.8545210031566874</v>
          </cell>
          <cell r="AA219">
            <v>3.6094032526121396</v>
          </cell>
          <cell r="AB219">
            <v>-5.0372599999999997E-2</v>
          </cell>
          <cell r="AC219">
            <v>-5.2552043999999993</v>
          </cell>
          <cell r="AD219">
            <v>-4.6842774999999994</v>
          </cell>
        </row>
        <row r="220">
          <cell r="O220">
            <v>3.8305222352979849</v>
          </cell>
          <cell r="P220">
            <v>7.6</v>
          </cell>
          <cell r="Q220">
            <v>4.0535225677018456</v>
          </cell>
          <cell r="W220">
            <v>5.25</v>
          </cell>
          <cell r="X220">
            <v>5.3135999900791937</v>
          </cell>
          <cell r="Y220">
            <v>3.0518762841720308</v>
          </cell>
          <cell r="Z220">
            <v>3.8554738177369612</v>
          </cell>
          <cell r="AA220">
            <v>3.6142097857769069</v>
          </cell>
          <cell r="AB220">
            <v>-7.7815999999999996E-3</v>
          </cell>
          <cell r="AC220">
            <v>-5.2629859999999997</v>
          </cell>
          <cell r="AD220">
            <v>-4.6672610999999993</v>
          </cell>
        </row>
        <row r="221">
          <cell r="O221">
            <v>3.8308715166172633</v>
          </cell>
          <cell r="P221">
            <v>7.7</v>
          </cell>
          <cell r="Q221">
            <v>4.0587173845789497</v>
          </cell>
          <cell r="W221">
            <v>5.0199999999999996</v>
          </cell>
          <cell r="X221">
            <v>5.2806624313093158</v>
          </cell>
          <cell r="Y221">
            <v>3.0418999543989984</v>
          </cell>
          <cell r="Z221">
            <v>3.8622233318755401</v>
          </cell>
          <cell r="AA221">
            <v>3.6158247732080255</v>
          </cell>
          <cell r="AB221">
            <v>-8.2301700000000005E-2</v>
          </cell>
          <cell r="AC221">
            <v>-5.3452877000000001</v>
          </cell>
          <cell r="AD221">
            <v>-4.7086834999999994</v>
          </cell>
        </row>
        <row r="222">
          <cell r="O222">
            <v>3.8452932853667057</v>
          </cell>
          <cell r="P222">
            <v>7.8</v>
          </cell>
          <cell r="Q222">
            <v>4.0621656638578658</v>
          </cell>
          <cell r="W222">
            <v>4.95</v>
          </cell>
          <cell r="X222">
            <v>5.2841170171468956</v>
          </cell>
          <cell r="Y222">
            <v>3.0536237519697687</v>
          </cell>
          <cell r="Z222">
            <v>3.8604770475449151</v>
          </cell>
          <cell r="AA222">
            <v>3.6245809041809722</v>
          </cell>
          <cell r="AB222">
            <v>1.6443E-3</v>
          </cell>
          <cell r="AC222">
            <v>-5.3436434000000004</v>
          </cell>
          <cell r="AD222">
            <v>-4.6781172999999994</v>
          </cell>
        </row>
        <row r="223">
          <cell r="O223">
            <v>3.855693894680134</v>
          </cell>
          <cell r="P223">
            <v>7.8</v>
          </cell>
          <cell r="Q223">
            <v>4.0673158898341812</v>
          </cell>
          <cell r="W223">
            <v>4.6500000000000004</v>
          </cell>
          <cell r="X223">
            <v>5.3014624156921091</v>
          </cell>
          <cell r="Y223">
            <v>3.1009027711595305</v>
          </cell>
          <cell r="Z223">
            <v>3.8695746891633069</v>
          </cell>
          <cell r="AA223">
            <v>3.6306145459819605</v>
          </cell>
          <cell r="AB223">
            <v>-0.1194494</v>
          </cell>
          <cell r="AC223">
            <v>-5.4630928000000001</v>
          </cell>
          <cell r="AD223">
            <v>-4.8075897999999997</v>
          </cell>
        </row>
        <row r="224">
          <cell r="O224">
            <v>3.8501582399513445</v>
          </cell>
          <cell r="P224">
            <v>7.5</v>
          </cell>
          <cell r="Q224">
            <v>4.0724397268340509</v>
          </cell>
          <cell r="W224">
            <v>4.6100000000000003</v>
          </cell>
          <cell r="X224">
            <v>5.3340705362538543</v>
          </cell>
          <cell r="Y224">
            <v>3.0682389643407393</v>
          </cell>
          <cell r="Z224">
            <v>3.8680293197422557</v>
          </cell>
          <cell r="AA224">
            <v>3.6347400080132881</v>
          </cell>
          <cell r="AB224">
            <v>-0.12247810000000001</v>
          </cell>
          <cell r="AC224">
            <v>-5.5855709000000004</v>
          </cell>
          <cell r="AD224">
            <v>-4.9052015999999998</v>
          </cell>
        </row>
        <row r="225">
          <cell r="O225">
            <v>3.8653149721190379</v>
          </cell>
          <cell r="P225">
            <v>7.6</v>
          </cell>
          <cell r="Q225">
            <v>4.0826093060036799</v>
          </cell>
          <cell r="W225">
            <v>4.68</v>
          </cell>
          <cell r="X225">
            <v>5.3610573963692225</v>
          </cell>
          <cell r="Y225">
            <v>3.1031506703212615</v>
          </cell>
          <cell r="Z225">
            <v>3.863525798342597</v>
          </cell>
          <cell r="AA225">
            <v>3.6381123370602833</v>
          </cell>
          <cell r="AB225">
            <v>-0.13953479999999999</v>
          </cell>
          <cell r="AC225">
            <v>-5.7251057000000003</v>
          </cell>
          <cell r="AD225">
            <v>-4.9932505000000003</v>
          </cell>
        </row>
        <row r="226">
          <cell r="O226">
            <v>3.8777441411997251</v>
          </cell>
          <cell r="P226">
            <v>7.4</v>
          </cell>
          <cell r="Q226">
            <v>4.0876555740713041</v>
          </cell>
          <cell r="W226">
            <v>4.6900000000000004</v>
          </cell>
          <cell r="X226">
            <v>5.3864198147695825</v>
          </cell>
          <cell r="Y226">
            <v>3.1329692918590761</v>
          </cell>
          <cell r="Z226">
            <v>3.8587066133262025</v>
          </cell>
          <cell r="AA226">
            <v>3.633815903338883</v>
          </cell>
          <cell r="AB226">
            <v>-0.2478156</v>
          </cell>
          <cell r="AC226">
            <v>-5.9729213000000003</v>
          </cell>
          <cell r="AD226">
            <v>-5.2207578000000003</v>
          </cell>
        </row>
        <row r="227">
          <cell r="O227">
            <v>3.8866149369602447</v>
          </cell>
          <cell r="P227">
            <v>7.2</v>
          </cell>
          <cell r="Q227">
            <v>4.0943445622221004</v>
          </cell>
          <cell r="W227">
            <v>4.7300000000000004</v>
          </cell>
          <cell r="X227">
            <v>5.3972573144029399</v>
          </cell>
          <cell r="Y227">
            <v>3.1262779634006344</v>
          </cell>
          <cell r="Z227">
            <v>3.8646797939176256</v>
          </cell>
          <cell r="AA227">
            <v>3.6349247265160103</v>
          </cell>
          <cell r="AB227">
            <v>-8.5264999999999994E-2</v>
          </cell>
          <cell r="AC227">
            <v>-6.0581863</v>
          </cell>
          <cell r="AD227">
            <v>-5.2712219000000005</v>
          </cell>
        </row>
        <row r="228">
          <cell r="O228">
            <v>3.8952389376935557</v>
          </cell>
          <cell r="P228">
            <v>7</v>
          </cell>
          <cell r="Q228">
            <v>4.0976723523147758</v>
          </cell>
          <cell r="W228">
            <v>5.35</v>
          </cell>
          <cell r="X228">
            <v>5.3875180120063391</v>
          </cell>
          <cell r="Y228">
            <v>3.1215275695982987</v>
          </cell>
          <cell r="Z228">
            <v>3.8655601310178049</v>
          </cell>
          <cell r="AA228">
            <v>3.6411324956162017</v>
          </cell>
          <cell r="AB228">
            <v>-8.4138500000000005E-2</v>
          </cell>
          <cell r="AC228">
            <v>-6.1423247999999999</v>
          </cell>
          <cell r="AD228">
            <v>-5.3211125000000008</v>
          </cell>
        </row>
        <row r="229">
          <cell r="O229">
            <v>3.9025886414411781</v>
          </cell>
          <cell r="P229">
            <v>7.2</v>
          </cell>
          <cell r="Q229">
            <v>4.1026433650367959</v>
          </cell>
          <cell r="W229">
            <v>5.39</v>
          </cell>
          <cell r="X229">
            <v>5.3399390412388561</v>
          </cell>
          <cell r="Y229">
            <v>3.127593522264287</v>
          </cell>
          <cell r="Z229">
            <v>3.8598661804105814</v>
          </cell>
          <cell r="AA229">
            <v>3.6422332400401651</v>
          </cell>
          <cell r="AB229">
            <v>-0.1610702</v>
          </cell>
          <cell r="AC229">
            <v>-6.3033950000000001</v>
          </cell>
          <cell r="AD229">
            <v>-5.4659285000000004</v>
          </cell>
        </row>
        <row r="230">
          <cell r="O230">
            <v>3.9043798709493145</v>
          </cell>
          <cell r="P230">
            <v>6.9</v>
          </cell>
          <cell r="Q230">
            <v>4.1075897889721213</v>
          </cell>
          <cell r="W230">
            <v>5.42</v>
          </cell>
          <cell r="X230">
            <v>5.3183650618518143</v>
          </cell>
          <cell r="Y230">
            <v>3.1306127557478094</v>
          </cell>
          <cell r="Z230">
            <v>3.8704090307076817</v>
          </cell>
          <cell r="AA230">
            <v>3.6502685549862806</v>
          </cell>
          <cell r="AB230">
            <v>-0.2676827</v>
          </cell>
          <cell r="AC230">
            <v>-6.5710777</v>
          </cell>
          <cell r="AD230">
            <v>-5.7061043000000007</v>
          </cell>
        </row>
        <row r="231">
          <cell r="O231">
            <v>3.9045531755870577</v>
          </cell>
          <cell r="P231">
            <v>7</v>
          </cell>
          <cell r="Q231">
            <v>4.1125118661775497</v>
          </cell>
          <cell r="W231">
            <v>5.9</v>
          </cell>
          <cell r="X231">
            <v>5.3025085711665048</v>
          </cell>
          <cell r="Y231">
            <v>3.1402654242862895</v>
          </cell>
          <cell r="Z231">
            <v>3.8655391796145842</v>
          </cell>
          <cell r="AA231">
            <v>3.6494107102035698</v>
          </cell>
          <cell r="AB231">
            <v>2.4756000000000001E-3</v>
          </cell>
          <cell r="AC231">
            <v>-6.5686020999999997</v>
          </cell>
          <cell r="AD231">
            <v>-5.6756526000000003</v>
          </cell>
        </row>
        <row r="232">
          <cell r="O232">
            <v>3.9091749535760107</v>
          </cell>
          <cell r="P232">
            <v>6.8</v>
          </cell>
          <cell r="Q232">
            <v>4.1157798429421657</v>
          </cell>
          <cell r="W232">
            <v>6.14</v>
          </cell>
          <cell r="X232">
            <v>5.3047963326457461</v>
          </cell>
          <cell r="Y232">
            <v>3.1482387452687601</v>
          </cell>
          <cell r="Z232">
            <v>3.8689902356107262</v>
          </cell>
          <cell r="AA232">
            <v>3.6509439147708993</v>
          </cell>
          <cell r="AB232">
            <v>4.4124900000000002E-2</v>
          </cell>
          <cell r="AC232">
            <v>-6.5244771999999998</v>
          </cell>
          <cell r="AD232">
            <v>-5.6049795000000007</v>
          </cell>
        </row>
        <row r="233">
          <cell r="O233">
            <v>3.911420824153391</v>
          </cell>
          <cell r="P233">
            <v>6.8</v>
          </cell>
          <cell r="Q233">
            <v>4.1206618705394744</v>
          </cell>
          <cell r="W233">
            <v>6.47</v>
          </cell>
          <cell r="X233">
            <v>5.31483027492225</v>
          </cell>
          <cell r="Y233">
            <v>3.1480240838962494</v>
          </cell>
          <cell r="Z233">
            <v>3.8839732639813893</v>
          </cell>
          <cell r="AA233">
            <v>3.6576725444892255</v>
          </cell>
          <cell r="AB233">
            <v>-3.7270900000000003E-2</v>
          </cell>
          <cell r="AC233">
            <v>-6.5617481</v>
          </cell>
          <cell r="AD233">
            <v>-5.6301380000000005</v>
          </cell>
        </row>
        <row r="234">
          <cell r="O234">
            <v>3.9121250002264998</v>
          </cell>
          <cell r="P234">
            <v>6.8</v>
          </cell>
          <cell r="Q234">
            <v>4.1271343850450917</v>
          </cell>
          <cell r="W234">
            <v>6.51</v>
          </cell>
          <cell r="X234">
            <v>5.3273906140337441</v>
          </cell>
          <cell r="Y234">
            <v>3.1623901258813385</v>
          </cell>
          <cell r="Z234">
            <v>3.8953446923753328</v>
          </cell>
          <cell r="AA234">
            <v>3.6582655954961001</v>
          </cell>
          <cell r="AB234">
            <v>-6.5982600000000002E-2</v>
          </cell>
          <cell r="AC234">
            <v>-6.6277306999999999</v>
          </cell>
          <cell r="AD234">
            <v>-5.6790066000000001</v>
          </cell>
        </row>
        <row r="235">
          <cell r="O235">
            <v>3.9137115789850458</v>
          </cell>
          <cell r="P235">
            <v>6.4</v>
          </cell>
          <cell r="Q235">
            <v>4.1319614257934072</v>
          </cell>
          <cell r="W235">
            <v>6.56</v>
          </cell>
          <cell r="X235">
            <v>5.3597886886361374</v>
          </cell>
          <cell r="Y235">
            <v>3.1710292154109814</v>
          </cell>
          <cell r="Z235">
            <v>3.8893069381844128</v>
          </cell>
          <cell r="AA235">
            <v>3.6632539064749636</v>
          </cell>
          <cell r="AB235">
            <v>-0.1152749</v>
          </cell>
          <cell r="AC235">
            <v>-6.7430056</v>
          </cell>
          <cell r="AD235">
            <v>-5.8010283999999999</v>
          </cell>
        </row>
        <row r="236">
          <cell r="O236">
            <v>3.8999322054044336</v>
          </cell>
          <cell r="P236">
            <v>6.4</v>
          </cell>
          <cell r="Q236">
            <v>4.138361447638875</v>
          </cell>
          <cell r="W236">
            <v>6.7</v>
          </cell>
          <cell r="X236">
            <v>5.3844950627890888</v>
          </cell>
          <cell r="Y236">
            <v>3.1015776716373313</v>
          </cell>
          <cell r="Z236">
            <v>3.8817287327945453</v>
          </cell>
          <cell r="AA236">
            <v>3.6670427595047621</v>
          </cell>
          <cell r="AB236">
            <v>-0.21650739999999999</v>
          </cell>
          <cell r="AC236">
            <v>-6.9595130000000003</v>
          </cell>
          <cell r="AD236">
            <v>-6.0054167999999999</v>
          </cell>
        </row>
        <row r="237">
          <cell r="O237">
            <v>3.9049097662217704</v>
          </cell>
          <cell r="P237">
            <v>6.3</v>
          </cell>
          <cell r="Q237">
            <v>4.1431347263915326</v>
          </cell>
          <cell r="W237">
            <v>6.78</v>
          </cell>
          <cell r="X237">
            <v>5.3951264224760971</v>
          </cell>
          <cell r="Y237">
            <v>3.1364502804928702</v>
          </cell>
          <cell r="Z237">
            <v>3.8961171757443691</v>
          </cell>
          <cell r="AA237">
            <v>3.6761234410127357</v>
          </cell>
          <cell r="AB237">
            <v>5.7347200000000001E-2</v>
          </cell>
          <cell r="AC237">
            <v>-6.9021658000000006</v>
          </cell>
          <cell r="AD237">
            <v>-5.9000620000000001</v>
          </cell>
        </row>
        <row r="238">
          <cell r="O238">
            <v>3.923753928303845</v>
          </cell>
          <cell r="P238">
            <v>6.3</v>
          </cell>
          <cell r="Q238">
            <v>4.1494638614431798</v>
          </cell>
          <cell r="W238">
            <v>6.79</v>
          </cell>
          <cell r="X238">
            <v>5.4221708287150348</v>
          </cell>
          <cell r="Y238">
            <v>3.1620514728704396</v>
          </cell>
          <cell r="Z238">
            <v>3.9034866744058596</v>
          </cell>
          <cell r="AA238">
            <v>3.6832637153283008</v>
          </cell>
          <cell r="AB238">
            <v>-1.4195E-3</v>
          </cell>
          <cell r="AC238">
            <v>-6.9035853000000005</v>
          </cell>
          <cell r="AD238">
            <v>-5.8583221000000005</v>
          </cell>
        </row>
        <row r="239">
          <cell r="O239">
            <v>3.9443081848110202</v>
          </cell>
          <cell r="P239">
            <v>6.1</v>
          </cell>
          <cell r="Q239">
            <v>4.1573193613834887</v>
          </cell>
          <cell r="W239">
            <v>6.89</v>
          </cell>
          <cell r="X239">
            <v>5.4293456289544411</v>
          </cell>
          <cell r="Y239">
            <v>3.1988771783615109</v>
          </cell>
          <cell r="Z239">
            <v>3.8966047526997656</v>
          </cell>
          <cell r="AA239">
            <v>3.6881541911743412</v>
          </cell>
          <cell r="AB239">
            <v>-9.2141899999999999E-2</v>
          </cell>
          <cell r="AC239">
            <v>-6.9957272000000001</v>
          </cell>
          <cell r="AD239">
            <v>-5.924269100000001</v>
          </cell>
        </row>
        <row r="240">
          <cell r="O240">
            <v>3.9477472283622506</v>
          </cell>
          <cell r="P240">
            <v>6</v>
          </cell>
          <cell r="Q240">
            <v>4.1666652238017265</v>
          </cell>
          <cell r="W240">
            <v>7.36</v>
          </cell>
          <cell r="X240">
            <v>5.4297841292903426</v>
          </cell>
          <cell r="Y240">
            <v>3.2092698347229658</v>
          </cell>
          <cell r="Z240">
            <v>3.9031638789948215</v>
          </cell>
          <cell r="AA240">
            <v>3.6887544463007851</v>
          </cell>
          <cell r="AB240">
            <v>-0.23910219999999999</v>
          </cell>
          <cell r="AC240">
            <v>-7.2348293999999997</v>
          </cell>
          <cell r="AD240">
            <v>-6.1394669000000013</v>
          </cell>
        </row>
        <row r="241">
          <cell r="O241">
            <v>3.9546916139068737</v>
          </cell>
          <cell r="P241">
            <v>5.9</v>
          </cell>
          <cell r="Q241">
            <v>4.1743872698956368</v>
          </cell>
          <cell r="W241">
            <v>7.6</v>
          </cell>
          <cell r="X241">
            <v>5.4365564107718027</v>
          </cell>
          <cell r="Y241">
            <v>3.2085426207284091</v>
          </cell>
          <cell r="Z241">
            <v>3.9046962300416852</v>
          </cell>
          <cell r="AA241">
            <v>3.6941654585431736</v>
          </cell>
          <cell r="AB241">
            <v>0.19889570000000001</v>
          </cell>
          <cell r="AC241">
            <v>-7.0359336999999993</v>
          </cell>
          <cell r="AD241">
            <v>-5.8972620000000013</v>
          </cell>
        </row>
        <row r="242">
          <cell r="O242">
            <v>3.9544117719199328</v>
          </cell>
          <cell r="P242">
            <v>6.2</v>
          </cell>
          <cell r="Q242">
            <v>4.1820501426412067</v>
          </cell>
          <cell r="W242">
            <v>7.81</v>
          </cell>
          <cell r="X242">
            <v>5.4331541567702475</v>
          </cell>
          <cell r="Y242">
            <v>3.1906820904974187</v>
          </cell>
          <cell r="Z242">
            <v>3.9020938743502613</v>
          </cell>
          <cell r="AA242">
            <v>3.6918500375587691</v>
          </cell>
          <cell r="AB242">
            <v>-0.15078800000000001</v>
          </cell>
          <cell r="AC242">
            <v>-7.1867216999999997</v>
          </cell>
          <cell r="AD242">
            <v>-6.0409553000000011</v>
          </cell>
        </row>
        <row r="243">
          <cell r="O243">
            <v>3.9579538475343967</v>
          </cell>
          <cell r="P243">
            <v>5.9</v>
          </cell>
          <cell r="Q243">
            <v>4.1881384415084613</v>
          </cell>
          <cell r="W243">
            <v>8.0399999999999991</v>
          </cell>
          <cell r="X243">
            <v>5.4650175424390346</v>
          </cell>
          <cell r="Y243">
            <v>3.2150284331393069</v>
          </cell>
          <cell r="Z243">
            <v>3.9068094383752587</v>
          </cell>
          <cell r="AA243">
            <v>3.6989287899669376</v>
          </cell>
          <cell r="AB243">
            <v>-9.5032900000000003E-2</v>
          </cell>
          <cell r="AC243">
            <v>-7.2817545999999993</v>
          </cell>
          <cell r="AD243">
            <v>-6.1042961000000009</v>
          </cell>
        </row>
        <row r="244">
          <cell r="O244">
            <v>3.9606112444501629</v>
          </cell>
          <cell r="P244">
            <v>6</v>
          </cell>
          <cell r="Q244">
            <v>4.1972019476618083</v>
          </cell>
          <cell r="W244">
            <v>8.4499999999999993</v>
          </cell>
          <cell r="X244">
            <v>5.4932671834914641</v>
          </cell>
          <cell r="Y244">
            <v>3.1698116231539104</v>
          </cell>
          <cell r="Z244">
            <v>3.9187006601813867</v>
          </cell>
          <cell r="AA244">
            <v>3.7015735421728211</v>
          </cell>
          <cell r="AB244">
            <v>-0.17525379999999999</v>
          </cell>
          <cell r="AC244">
            <v>-7.4570083999999994</v>
          </cell>
          <cell r="AD244">
            <v>-6.2620704000000007</v>
          </cell>
        </row>
        <row r="245">
          <cell r="O245">
            <v>3.9687095301681667</v>
          </cell>
          <cell r="P245">
            <v>5.8</v>
          </cell>
          <cell r="Q245">
            <v>4.2061840439776361</v>
          </cell>
          <cell r="W245">
            <v>8.9600000000000009</v>
          </cell>
          <cell r="X245">
            <v>5.5256122889847221</v>
          </cell>
          <cell r="Y245">
            <v>3.1965075090061923</v>
          </cell>
          <cell r="Z245">
            <v>3.9115228803864639</v>
          </cell>
          <cell r="AA245">
            <v>3.7015735421728211</v>
          </cell>
          <cell r="AB245">
            <v>0.12440379999999999</v>
          </cell>
          <cell r="AC245">
            <v>-7.3326045999999998</v>
          </cell>
          <cell r="AD245">
            <v>-6.1306789000000004</v>
          </cell>
        </row>
        <row r="246">
          <cell r="O246">
            <v>3.9759963668930709</v>
          </cell>
          <cell r="P246">
            <v>5.9</v>
          </cell>
          <cell r="Q246">
            <v>4.2121275978784842</v>
          </cell>
          <cell r="W246">
            <v>9.76</v>
          </cell>
          <cell r="X246">
            <v>5.5302224235308195</v>
          </cell>
          <cell r="Y246">
            <v>3.1997337793398342</v>
          </cell>
          <cell r="Z246">
            <v>3.9220129394574941</v>
          </cell>
          <cell r="AA246">
            <v>3.7012032038027685</v>
          </cell>
          <cell r="AB246">
            <v>0.14845059999999999</v>
          </cell>
          <cell r="AC246">
            <v>-7.1841539999999995</v>
          </cell>
          <cell r="AD246">
            <v>-5.9638349000000002</v>
          </cell>
        </row>
        <row r="247">
          <cell r="O247">
            <v>3.9815807839917117</v>
          </cell>
          <cell r="P247">
            <v>6</v>
          </cell>
          <cell r="Q247">
            <v>4.2180360345646504</v>
          </cell>
          <cell r="W247">
            <v>10.029999999999999</v>
          </cell>
          <cell r="X247">
            <v>5.5244564268420451</v>
          </cell>
          <cell r="Y247">
            <v>3.2033966380197407</v>
          </cell>
          <cell r="Z247">
            <v>3.9324528869396542</v>
          </cell>
          <cell r="AA247">
            <v>3.705121829659801</v>
          </cell>
          <cell r="AB247">
            <v>-6.0163700000000001E-2</v>
          </cell>
          <cell r="AC247">
            <v>-7.2443176999999999</v>
          </cell>
          <cell r="AD247">
            <v>-6.0068871000000001</v>
          </cell>
        </row>
        <row r="248">
          <cell r="O248">
            <v>3.9750353625696708</v>
          </cell>
          <cell r="P248">
            <v>5.9</v>
          </cell>
          <cell r="Q248">
            <v>4.2268337452681797</v>
          </cell>
          <cell r="W248">
            <v>10.07</v>
          </cell>
          <cell r="X248">
            <v>5.5425959903922051</v>
          </cell>
          <cell r="Y248">
            <v>3.18333154534331</v>
          </cell>
          <cell r="Z248">
            <v>3.9245047829302018</v>
          </cell>
          <cell r="AA248">
            <v>3.7085840373882717</v>
          </cell>
          <cell r="AB248">
            <v>0</v>
          </cell>
          <cell r="AC248">
            <v>-7.2443176999999999</v>
          </cell>
          <cell r="AD248">
            <v>-6.0068871000000001</v>
          </cell>
        </row>
        <row r="249">
          <cell r="O249">
            <v>3.9803786072352354</v>
          </cell>
          <cell r="P249">
            <v>5.9</v>
          </cell>
          <cell r="Q249">
            <v>4.2370008626236242</v>
          </cell>
          <cell r="W249">
            <v>10.06</v>
          </cell>
          <cell r="X249">
            <v>5.5911735302735464</v>
          </cell>
          <cell r="Y249">
            <v>3.1901470780353289</v>
          </cell>
          <cell r="Z249">
            <v>3.9267145541711357</v>
          </cell>
          <cell r="AA249">
            <v>3.7144009913440139</v>
          </cell>
          <cell r="AB249">
            <v>-0.18177650000000001</v>
          </cell>
          <cell r="AC249">
            <v>-7.4260941999999996</v>
          </cell>
          <cell r="AD249">
            <v>-6.1581399000000001</v>
          </cell>
        </row>
        <row r="250">
          <cell r="O250">
            <v>3.9837276633629908</v>
          </cell>
          <cell r="P250">
            <v>5.8</v>
          </cell>
          <cell r="Q250">
            <v>4.2470656492397643</v>
          </cell>
          <cell r="W250">
            <v>10.09</v>
          </cell>
          <cell r="X250">
            <v>5.6252802465012435</v>
          </cell>
          <cell r="Y250">
            <v>3.1904351972363507</v>
          </cell>
          <cell r="Z250">
            <v>3.9280931856056407</v>
          </cell>
          <cell r="AA250">
            <v>3.7153266241287848</v>
          </cell>
          <cell r="AB250">
            <v>7.3706199999999999E-2</v>
          </cell>
          <cell r="AC250">
            <v>-7.3523879999999995</v>
          </cell>
          <cell r="AD250">
            <v>-6.0261852999999999</v>
          </cell>
        </row>
        <row r="251">
          <cell r="O251">
            <v>3.972805732392362</v>
          </cell>
          <cell r="P251">
            <v>5.8</v>
          </cell>
          <cell r="Q251">
            <v>4.257030144499196</v>
          </cell>
          <cell r="W251">
            <v>10.01</v>
          </cell>
          <cell r="X251">
            <v>5.6214872319293709</v>
          </cell>
          <cell r="Y251">
            <v>3.170735449540266</v>
          </cell>
          <cell r="Z251">
            <v>3.9143802250018243</v>
          </cell>
          <cell r="AA251">
            <v>3.7183897114878772</v>
          </cell>
          <cell r="AB251">
            <v>-0.1019559</v>
          </cell>
          <cell r="AC251">
            <v>-7.4543438999999996</v>
          </cell>
          <cell r="AD251">
            <v>-6.0899901999999999</v>
          </cell>
        </row>
        <row r="252">
          <cell r="O252">
            <v>3.9805336273181173</v>
          </cell>
          <cell r="P252">
            <v>5.6</v>
          </cell>
          <cell r="Q252">
            <v>4.2682978693455391</v>
          </cell>
          <cell r="W252">
            <v>10.24</v>
          </cell>
          <cell r="X252">
            <v>5.6244506253740703</v>
          </cell>
          <cell r="Y252">
            <v>3.1750911124971788</v>
          </cell>
          <cell r="Z252">
            <v>3.9230420719105794</v>
          </cell>
          <cell r="AA252">
            <v>3.7173940220121375</v>
          </cell>
          <cell r="AB252">
            <v>6.8625500000000006E-2</v>
          </cell>
          <cell r="AC252">
            <v>-7.3857184</v>
          </cell>
          <cell r="AD252">
            <v>-5.9840089000000001</v>
          </cell>
        </row>
        <row r="253">
          <cell r="O253">
            <v>3.9802814739739283</v>
          </cell>
          <cell r="P253">
            <v>5.7</v>
          </cell>
          <cell r="Q253">
            <v>4.2794400458987809</v>
          </cell>
          <cell r="W253">
            <v>10.29</v>
          </cell>
          <cell r="X253">
            <v>5.6278009536335727</v>
          </cell>
          <cell r="Y253">
            <v>3.1493542422095553</v>
          </cell>
          <cell r="Z253">
            <v>3.9359738795839325</v>
          </cell>
          <cell r="AA253">
            <v>3.7212014255760608</v>
          </cell>
          <cell r="AB253">
            <v>0</v>
          </cell>
          <cell r="AC253">
            <v>-7.3857184</v>
          </cell>
          <cell r="AD253">
            <v>-5.9840089000000001</v>
          </cell>
        </row>
        <row r="254">
          <cell r="O254">
            <v>3.9788794630740392</v>
          </cell>
          <cell r="P254">
            <v>5.7</v>
          </cell>
          <cell r="Q254">
            <v>4.290459441148391</v>
          </cell>
          <cell r="W254">
            <v>10.47</v>
          </cell>
          <cell r="X254">
            <v>5.639208397330961</v>
          </cell>
          <cell r="Y254">
            <v>3.175508928162988</v>
          </cell>
          <cell r="Z254">
            <v>3.9237736948608077</v>
          </cell>
          <cell r="AA254">
            <v>3.7199419795657542</v>
          </cell>
          <cell r="AB254">
            <v>0.69753030000000005</v>
          </cell>
          <cell r="AC254">
            <v>-6.6881880999999996</v>
          </cell>
          <cell r="AD254">
            <v>-5.2198102000000004</v>
          </cell>
        </row>
        <row r="255">
          <cell r="O255">
            <v>3.9720978290744382</v>
          </cell>
          <cell r="P255">
            <v>6</v>
          </cell>
          <cell r="Q255">
            <v>4.3000027991952914</v>
          </cell>
          <cell r="W255">
            <v>10.94</v>
          </cell>
          <cell r="X255">
            <v>5.6328233857157075</v>
          </cell>
          <cell r="Y255">
            <v>3.1947060755609957</v>
          </cell>
          <cell r="Z255">
            <v>3.9409796846824499</v>
          </cell>
          <cell r="AA255">
            <v>3.724584378734713</v>
          </cell>
          <cell r="AB255">
            <v>0.35981590000000002</v>
          </cell>
          <cell r="AC255">
            <v>-6.3283721999999996</v>
          </cell>
          <cell r="AD255">
            <v>-4.8993259</v>
          </cell>
        </row>
        <row r="256">
          <cell r="O256">
            <v>3.9731632589895631</v>
          </cell>
          <cell r="P256">
            <v>5.9</v>
          </cell>
          <cell r="Q256">
            <v>4.3094559418390466</v>
          </cell>
          <cell r="W256">
            <v>11.43</v>
          </cell>
          <cell r="X256">
            <v>5.6387816244387867</v>
          </cell>
          <cell r="Y256">
            <v>3.2073294209678287</v>
          </cell>
          <cell r="Z256">
            <v>3.9435798103323636</v>
          </cell>
          <cell r="AA256">
            <v>3.7243913751152959</v>
          </cell>
          <cell r="AB256">
            <v>-0.1433239</v>
          </cell>
          <cell r="AC256">
            <v>-6.4716961</v>
          </cell>
          <cell r="AD256">
            <v>-5.1222611999999996</v>
          </cell>
        </row>
        <row r="257">
          <cell r="O257">
            <v>3.9784378900941237</v>
          </cell>
          <cell r="P257">
            <v>6</v>
          </cell>
          <cell r="Q257">
            <v>4.3201512309557941</v>
          </cell>
          <cell r="W257">
            <v>13.77</v>
          </cell>
          <cell r="X257">
            <v>5.6484106991212144</v>
          </cell>
          <cell r="Y257">
            <v>3.1701896552911437</v>
          </cell>
          <cell r="Z257">
            <v>3.939774349958971</v>
          </cell>
          <cell r="AA257">
            <v>3.7303332490062968</v>
          </cell>
          <cell r="AB257">
            <v>0</v>
          </cell>
          <cell r="AC257">
            <v>-6.4716961</v>
          </cell>
          <cell r="AD257">
            <v>-5.1222611999999996</v>
          </cell>
        </row>
        <row r="258">
          <cell r="O258">
            <v>3.9776759054148965</v>
          </cell>
          <cell r="P258">
            <v>5.9</v>
          </cell>
          <cell r="Q258">
            <v>4.3307333402863311</v>
          </cell>
          <cell r="W258">
            <v>13.18</v>
          </cell>
          <cell r="X258">
            <v>5.6384614252009717</v>
          </cell>
          <cell r="Y258">
            <v>3.1660234209639726</v>
          </cell>
          <cell r="Z258">
            <v>3.9450321590350916</v>
          </cell>
          <cell r="AA258">
            <v>3.7330159496020214</v>
          </cell>
          <cell r="AB258">
            <v>0.1038529</v>
          </cell>
          <cell r="AC258">
            <v>-6.3678432000000003</v>
          </cell>
          <cell r="AD258">
            <v>-5.0760777999999993</v>
          </cell>
        </row>
        <row r="259">
          <cell r="O259">
            <v>3.9785426877692087</v>
          </cell>
          <cell r="P259">
            <v>6</v>
          </cell>
          <cell r="Q259">
            <v>4.3425058765115985</v>
          </cell>
          <cell r="W259">
            <v>13.78</v>
          </cell>
          <cell r="X259">
            <v>5.6555371620282067</v>
          </cell>
          <cell r="Y259">
            <v>3.1633208307458811</v>
          </cell>
          <cell r="Z259">
            <v>3.9394436010041383</v>
          </cell>
          <cell r="AA259">
            <v>3.7315317725689137</v>
          </cell>
          <cell r="AB259">
            <v>0</v>
          </cell>
          <cell r="AC259">
            <v>-6.3678432000000003</v>
          </cell>
          <cell r="AD259">
            <v>-5.0760777999999993</v>
          </cell>
        </row>
        <row r="260">
          <cell r="O260">
            <v>3.9831373583145697</v>
          </cell>
          <cell r="P260">
            <v>6.3</v>
          </cell>
          <cell r="Q260">
            <v>4.3567088266895917</v>
          </cell>
          <cell r="W260">
            <v>13.82</v>
          </cell>
          <cell r="X260">
            <v>5.6582270729966986</v>
          </cell>
          <cell r="Y260">
            <v>3.1939271795042359</v>
          </cell>
          <cell r="Z260">
            <v>3.9432503178447185</v>
          </cell>
          <cell r="AA260">
            <v>3.7360492585903264</v>
          </cell>
          <cell r="AB260">
            <v>8.47353E-2</v>
          </cell>
          <cell r="AC260">
            <v>-6.2831079000000001</v>
          </cell>
          <cell r="AD260">
            <v>-5.0889508999999995</v>
          </cell>
        </row>
        <row r="261">
          <cell r="O261">
            <v>3.9833683077786386</v>
          </cell>
          <cell r="P261">
            <v>6.3</v>
          </cell>
          <cell r="Q261">
            <v>4.3694478524670215</v>
          </cell>
          <cell r="W261">
            <v>14.13</v>
          </cell>
          <cell r="X261">
            <v>5.6839878473280212</v>
          </cell>
          <cell r="Y261">
            <v>3.153504957426533</v>
          </cell>
          <cell r="Z261">
            <v>3.9436573222014073</v>
          </cell>
          <cell r="AA261">
            <v>3.7305251093325684</v>
          </cell>
          <cell r="AB261">
            <v>0.2826824</v>
          </cell>
          <cell r="AC261">
            <v>-6.0004255000000004</v>
          </cell>
          <cell r="AD261">
            <v>-4.8941266999999993</v>
          </cell>
        </row>
        <row r="262">
          <cell r="O262">
            <v>3.9802123541771506</v>
          </cell>
          <cell r="P262">
            <v>6.3</v>
          </cell>
          <cell r="Q262">
            <v>4.3832758540743137</v>
          </cell>
          <cell r="W262">
            <v>17.190000000000001</v>
          </cell>
          <cell r="X262">
            <v>5.6537865838905113</v>
          </cell>
          <cell r="Y262">
            <v>3.1024768309839788</v>
          </cell>
          <cell r="Z262">
            <v>3.9358371835274011</v>
          </cell>
          <cell r="AA262">
            <v>3.7327767151511195</v>
          </cell>
          <cell r="AB262">
            <v>1.4334549999999999</v>
          </cell>
          <cell r="AC262">
            <v>-4.5669705</v>
          </cell>
          <cell r="AD262">
            <v>-3.4715006999999991</v>
          </cell>
        </row>
        <row r="263">
          <cell r="O263">
            <v>3.9597764419048982</v>
          </cell>
          <cell r="P263">
            <v>6.9</v>
          </cell>
          <cell r="Q263">
            <v>4.3932138240644463</v>
          </cell>
          <cell r="W263">
            <v>17.61</v>
          </cell>
          <cell r="X263">
            <v>5.6077853923216745</v>
          </cell>
          <cell r="Y263">
            <v>3.0442366826136058</v>
          </cell>
          <cell r="Z263">
            <v>3.9309625152475407</v>
          </cell>
          <cell r="AA263">
            <v>3.725886179743032</v>
          </cell>
          <cell r="AB263">
            <v>-3.2502490000000002</v>
          </cell>
          <cell r="AC263">
            <v>-7.8172195000000002</v>
          </cell>
          <cell r="AD263">
            <v>-6.6908516999999996</v>
          </cell>
        </row>
        <row r="264">
          <cell r="O264">
            <v>3.9352140033544463</v>
          </cell>
          <cell r="P264">
            <v>7.5</v>
          </cell>
          <cell r="Q264">
            <v>4.4030540018659572</v>
          </cell>
          <cell r="W264">
            <v>10.98</v>
          </cell>
          <cell r="X264">
            <v>5.5753807598516767</v>
          </cell>
          <cell r="Y264">
            <v>3.0209125720842893</v>
          </cell>
          <cell r="Z264">
            <v>3.927856983730674</v>
          </cell>
          <cell r="AA264">
            <v>3.7241017998236972</v>
          </cell>
          <cell r="AB264">
            <v>-0.79619989999999996</v>
          </cell>
          <cell r="AC264">
            <v>-8.6134193999999997</v>
          </cell>
          <cell r="AD264">
            <v>-7.4568898999999993</v>
          </cell>
        </row>
        <row r="265">
          <cell r="O265">
            <v>3.9228758991459132</v>
          </cell>
          <cell r="P265">
            <v>7.6</v>
          </cell>
          <cell r="Q265">
            <v>4.4127982933406349</v>
          </cell>
          <cell r="W265">
            <v>9.4700000000000006</v>
          </cell>
          <cell r="X265">
            <v>5.5618348120005194</v>
          </cell>
          <cell r="Y265">
            <v>3.0442366826136058</v>
          </cell>
          <cell r="Z265">
            <v>3.9230618525433623</v>
          </cell>
          <cell r="AA265">
            <v>3.7302373050375008</v>
          </cell>
          <cell r="AB265">
            <v>0</v>
          </cell>
          <cell r="AC265">
            <v>-8.6134193999999997</v>
          </cell>
          <cell r="AD265">
            <v>-7.4568898999999993</v>
          </cell>
        </row>
        <row r="266">
          <cell r="O266">
            <v>3.9150005680853948</v>
          </cell>
          <cell r="P266">
            <v>7.8</v>
          </cell>
          <cell r="Q266">
            <v>4.4140096805269327</v>
          </cell>
          <cell r="W266">
            <v>9.0299999999999994</v>
          </cell>
          <cell r="X266">
            <v>5.6153154933338705</v>
          </cell>
          <cell r="Y266">
            <v>3.0951250174320259</v>
          </cell>
          <cell r="Z266">
            <v>3.9225870093316226</v>
          </cell>
          <cell r="AA266">
            <v>3.7342590469866463</v>
          </cell>
          <cell r="AB266">
            <v>0.4034276</v>
          </cell>
          <cell r="AC266">
            <v>-8.2099917999999992</v>
          </cell>
          <cell r="AD266">
            <v>-7.0527244999999992</v>
          </cell>
        </row>
        <row r="267">
          <cell r="O267">
            <v>3.9189191721159875</v>
          </cell>
          <cell r="P267">
            <v>7.7</v>
          </cell>
          <cell r="Q267">
            <v>4.4212473478271628</v>
          </cell>
          <cell r="W267">
            <v>9.61</v>
          </cell>
          <cell r="X267">
            <v>5.665388086668889</v>
          </cell>
          <cell r="Y267">
            <v>3.0734337812178429</v>
          </cell>
          <cell r="Z267">
            <v>3.9293126739651068</v>
          </cell>
          <cell r="AA267">
            <v>3.7373362293821306</v>
          </cell>
          <cell r="AB267">
            <v>-8.7841799999999998E-2</v>
          </cell>
          <cell r="AC267">
            <v>-8.2978335999999988</v>
          </cell>
          <cell r="AD267">
            <v>-7.2524307999999991</v>
          </cell>
        </row>
        <row r="268">
          <cell r="O268">
            <v>3.9349892506547581</v>
          </cell>
          <cell r="P268">
            <v>7.5</v>
          </cell>
          <cell r="Q268">
            <v>4.4296256134731609</v>
          </cell>
          <cell r="W268">
            <v>10.87</v>
          </cell>
          <cell r="X268">
            <v>5.6794214737432656</v>
          </cell>
          <cell r="Y268">
            <v>3.0710252575894224</v>
          </cell>
          <cell r="Z268">
            <v>3.9225870093316226</v>
          </cell>
          <cell r="AA268">
            <v>3.7420172962767886</v>
          </cell>
          <cell r="AB268">
            <v>0.86276059999999999</v>
          </cell>
          <cell r="AC268">
            <v>-7.4350729999999992</v>
          </cell>
          <cell r="AD268">
            <v>-6.4809054999999987</v>
          </cell>
        </row>
        <row r="269">
          <cell r="O269">
            <v>3.9473631218731735</v>
          </cell>
          <cell r="P269">
            <v>7.5</v>
          </cell>
          <cell r="Q269">
            <v>4.4391156016580089</v>
          </cell>
          <cell r="W269">
            <v>12.81</v>
          </cell>
          <cell r="X269">
            <v>5.6923844297038322</v>
          </cell>
          <cell r="Y269">
            <v>3.1156463702193284</v>
          </cell>
          <cell r="Z269">
            <v>3.9301772160081883</v>
          </cell>
          <cell r="AA269">
            <v>3.749339356482515</v>
          </cell>
          <cell r="AB269">
            <v>1.2827059999999999</v>
          </cell>
          <cell r="AC269">
            <v>-6.152366999999999</v>
          </cell>
          <cell r="AD269">
            <v>-5.2645944999999985</v>
          </cell>
        </row>
        <row r="270">
          <cell r="O270">
            <v>3.9644807216134228</v>
          </cell>
          <cell r="P270">
            <v>7.5</v>
          </cell>
          <cell r="Q270">
            <v>4.4496852831476961</v>
          </cell>
          <cell r="W270">
            <v>15.85</v>
          </cell>
          <cell r="X270">
            <v>5.6986024146146592</v>
          </cell>
          <cell r="Y270">
            <v>3.1105330890311684</v>
          </cell>
          <cell r="Z270">
            <v>3.924445525426703</v>
          </cell>
          <cell r="AA270">
            <v>3.7488685799279073</v>
          </cell>
          <cell r="AB270">
            <v>1.875421</v>
          </cell>
          <cell r="AC270">
            <v>-4.2769459999999988</v>
          </cell>
          <cell r="AD270">
            <v>-3.3897514999999983</v>
          </cell>
        </row>
        <row r="271">
          <cell r="O271">
            <v>3.970331535408675</v>
          </cell>
          <cell r="P271">
            <v>7.2</v>
          </cell>
          <cell r="Q271">
            <v>4.4589876758100102</v>
          </cell>
          <cell r="W271">
            <v>18.899999999999999</v>
          </cell>
          <cell r="X271">
            <v>5.661501082399595</v>
          </cell>
          <cell r="Y271">
            <v>3.1035996444229981</v>
          </cell>
          <cell r="Z271">
            <v>3.931570698270515</v>
          </cell>
          <cell r="AA271">
            <v>3.7595009985927077</v>
          </cell>
          <cell r="AB271">
            <v>-0.64430989999999999</v>
          </cell>
          <cell r="AC271">
            <v>-4.9212558999999985</v>
          </cell>
          <cell r="AD271">
            <v>-4.0234319999999979</v>
          </cell>
        </row>
        <row r="272">
          <cell r="O272">
            <v>3.9647881161624365</v>
          </cell>
          <cell r="P272">
            <v>7.5</v>
          </cell>
          <cell r="Q272">
            <v>4.4682043309149337</v>
          </cell>
          <cell r="W272">
            <v>19.079999999999998</v>
          </cell>
          <cell r="X272">
            <v>5.640842674882327</v>
          </cell>
          <cell r="Y272">
            <v>3.116577283246194</v>
          </cell>
          <cell r="Z272">
            <v>3.9433860043702857</v>
          </cell>
          <cell r="AA272">
            <v>3.7528631338554841</v>
          </cell>
          <cell r="AB272">
            <v>0</v>
          </cell>
          <cell r="AC272">
            <v>-4.9212558999999985</v>
          </cell>
          <cell r="AD272">
            <v>-4.0234319999999979</v>
          </cell>
        </row>
        <row r="273">
          <cell r="O273">
            <v>3.9599175305373926</v>
          </cell>
          <cell r="P273">
            <v>7.4</v>
          </cell>
          <cell r="Q273">
            <v>4.4773368144782069</v>
          </cell>
          <cell r="W273">
            <v>15.93</v>
          </cell>
          <cell r="X273">
            <v>5.6111187897927817</v>
          </cell>
          <cell r="Y273">
            <v>3.1421675517835368</v>
          </cell>
          <cell r="Z273">
            <v>3.9360129321682424</v>
          </cell>
          <cell r="AA273">
            <v>3.7470304307559665</v>
          </cell>
          <cell r="AB273">
            <v>-0.74530169999999996</v>
          </cell>
          <cell r="AC273">
            <v>-5.6665575999999982</v>
          </cell>
          <cell r="AD273">
            <v>-4.8022977999999981</v>
          </cell>
        </row>
        <row r="274">
          <cell r="O274">
            <v>3.9651561063332847</v>
          </cell>
          <cell r="P274">
            <v>7.4</v>
          </cell>
          <cell r="Q274">
            <v>4.4841318576110352</v>
          </cell>
          <cell r="W274">
            <v>14.7</v>
          </cell>
          <cell r="X274">
            <v>5.6172073661240107</v>
          </cell>
          <cell r="Y274">
            <v>3.1546572525415497</v>
          </cell>
          <cell r="Z274">
            <v>3.9331972406595526</v>
          </cell>
          <cell r="AA274">
            <v>3.751102797294068</v>
          </cell>
          <cell r="AB274">
            <v>0.30915510000000002</v>
          </cell>
          <cell r="AC274">
            <v>-5.3574024999999983</v>
          </cell>
          <cell r="AD274">
            <v>-4.4970117999999983</v>
          </cell>
        </row>
        <row r="275">
          <cell r="O275">
            <v>3.960735071309891</v>
          </cell>
          <cell r="P275">
            <v>7.2</v>
          </cell>
          <cell r="Q275">
            <v>4.4897593344767639</v>
          </cell>
          <cell r="W275">
            <v>15.72</v>
          </cell>
          <cell r="X275">
            <v>5.6204008657171496</v>
          </cell>
          <cell r="Y275">
            <v>3.1085251010291133</v>
          </cell>
          <cell r="Z275">
            <v>3.9393657618198534</v>
          </cell>
          <cell r="AA275">
            <v>3.7514785958704562</v>
          </cell>
          <cell r="AB275">
            <v>0</v>
          </cell>
          <cell r="AC275">
            <v>-5.3574024999999983</v>
          </cell>
          <cell r="AD275">
            <v>-4.4970117999999983</v>
          </cell>
        </row>
        <row r="276">
          <cell r="O276">
            <v>3.9668425751922527</v>
          </cell>
          <cell r="P276">
            <v>7.5</v>
          </cell>
          <cell r="Q276">
            <v>4.4964707690647501</v>
          </cell>
          <cell r="W276">
            <v>18.52</v>
          </cell>
          <cell r="X276">
            <v>5.5995324532824018</v>
          </cell>
          <cell r="Y276">
            <v>3.0921781718222432</v>
          </cell>
          <cell r="Z276">
            <v>3.9389375379690277</v>
          </cell>
          <cell r="AA276">
            <v>3.7559771976464305</v>
          </cell>
          <cell r="AB276">
            <v>1.508348</v>
          </cell>
          <cell r="AC276">
            <v>-3.8490544999999985</v>
          </cell>
          <cell r="AD276">
            <v>-2.9839347999999983</v>
          </cell>
        </row>
        <row r="277">
          <cell r="O277">
            <v>3.9713630378068721</v>
          </cell>
          <cell r="P277">
            <v>7.5</v>
          </cell>
          <cell r="Q277">
            <v>4.5053498507058807</v>
          </cell>
          <cell r="W277">
            <v>19.100000000000001</v>
          </cell>
          <cell r="X277">
            <v>5.5899416582324415</v>
          </cell>
          <cell r="Y277">
            <v>3.0939473210509458</v>
          </cell>
          <cell r="Z277">
            <v>3.947583180826697</v>
          </cell>
          <cell r="AA277">
            <v>3.7624319148569043</v>
          </cell>
          <cell r="AB277">
            <v>0</v>
          </cell>
          <cell r="AC277">
            <v>-3.8490544999999985</v>
          </cell>
          <cell r="AD277">
            <v>-2.9839347999999983</v>
          </cell>
        </row>
        <row r="278">
          <cell r="O278">
            <v>3.9779118644490086</v>
          </cell>
          <cell r="P278">
            <v>7.2</v>
          </cell>
          <cell r="Q278">
            <v>4.516338972281476</v>
          </cell>
          <cell r="W278">
            <v>19.04</v>
          </cell>
          <cell r="X278">
            <v>5.6147690949958982</v>
          </cell>
          <cell r="Y278">
            <v>3.105348719877314</v>
          </cell>
          <cell r="Z278">
            <v>3.9438898217665179</v>
          </cell>
          <cell r="AA278">
            <v>3.757868992261999</v>
          </cell>
          <cell r="AB278">
            <v>-0.66479129999999997</v>
          </cell>
          <cell r="AC278">
            <v>-4.5138457999999986</v>
          </cell>
          <cell r="AD278">
            <v>-3.5974531999999986</v>
          </cell>
        </row>
        <row r="279">
          <cell r="O279">
            <v>3.9775260612525445</v>
          </cell>
          <cell r="P279">
            <v>7.4</v>
          </cell>
          <cell r="Q279">
            <v>4.5239601305625481</v>
          </cell>
          <cell r="W279">
            <v>17.82</v>
          </cell>
          <cell r="X279">
            <v>5.6074184063731174</v>
          </cell>
          <cell r="Y279">
            <v>3.16145855399825</v>
          </cell>
          <cell r="Z279">
            <v>3.9453417206209713</v>
          </cell>
          <cell r="AA279">
            <v>3.7549714554760247</v>
          </cell>
          <cell r="AB279">
            <v>-8.0223600000000006E-2</v>
          </cell>
          <cell r="AC279">
            <v>-4.5940693999999986</v>
          </cell>
          <cell r="AD279">
            <v>-3.6415115999999985</v>
          </cell>
        </row>
        <row r="280">
          <cell r="O280">
            <v>3.9712801043759813</v>
          </cell>
          <cell r="P280">
            <v>7.6</v>
          </cell>
          <cell r="Q280">
            <v>4.5336741842830213</v>
          </cell>
          <cell r="W280">
            <v>15.87</v>
          </cell>
          <cell r="X280">
            <v>5.5848863197123455</v>
          </cell>
          <cell r="Y280">
            <v>3.1169316889558356</v>
          </cell>
          <cell r="Z280">
            <v>3.9433278552565585</v>
          </cell>
          <cell r="AA280">
            <v>3.7543160093981105</v>
          </cell>
          <cell r="AB280">
            <v>0</v>
          </cell>
          <cell r="AC280">
            <v>-4.5940693999999986</v>
          </cell>
          <cell r="AD280">
            <v>-3.6415115999999985</v>
          </cell>
        </row>
        <row r="281">
          <cell r="O281">
            <v>3.9644067051077081</v>
          </cell>
          <cell r="P281">
            <v>7.9</v>
          </cell>
          <cell r="Q281">
            <v>4.536891345234797</v>
          </cell>
          <cell r="W281">
            <v>15.08</v>
          </cell>
          <cell r="X281">
            <v>5.561488997315319</v>
          </cell>
          <cell r="Y281">
            <v>3.0589417869518751</v>
          </cell>
          <cell r="Z281">
            <v>3.9457672113923068</v>
          </cell>
          <cell r="AA281">
            <v>3.7559070624022728</v>
          </cell>
          <cell r="AB281">
            <v>-0.54621699999999995</v>
          </cell>
          <cell r="AC281">
            <v>-5.140286399999999</v>
          </cell>
          <cell r="AD281">
            <v>-4.2146972999999983</v>
          </cell>
        </row>
        <row r="282">
          <cell r="O282">
            <v>3.9529192371927486</v>
          </cell>
          <cell r="P282">
            <v>8.3000000000000007</v>
          </cell>
          <cell r="Q282">
            <v>4.5411648560121787</v>
          </cell>
          <cell r="W282">
            <v>13.31</v>
          </cell>
          <cell r="X282">
            <v>5.5413027600757854</v>
          </cell>
          <cell r="Y282">
            <v>3.0536709384744372</v>
          </cell>
          <cell r="Z282">
            <v>3.94495475366312</v>
          </cell>
          <cell r="AA282">
            <v>3.7536367013292149</v>
          </cell>
          <cell r="AB282">
            <v>-0.40944390000000003</v>
          </cell>
          <cell r="AC282">
            <v>-5.5497302999999993</v>
          </cell>
          <cell r="AD282">
            <v>-4.5691349999999984</v>
          </cell>
        </row>
        <row r="283">
          <cell r="O283">
            <v>3.9417720808287409</v>
          </cell>
          <cell r="P283">
            <v>8.5</v>
          </cell>
          <cell r="Q283">
            <v>4.5443580465913342</v>
          </cell>
          <cell r="W283">
            <v>12.37</v>
          </cell>
          <cell r="X283">
            <v>5.5179748485774143</v>
          </cell>
          <cell r="Y283">
            <v>3.0483721608781704</v>
          </cell>
          <cell r="Z283">
            <v>3.9532801052763475</v>
          </cell>
          <cell r="AA283">
            <v>3.7603625557358007</v>
          </cell>
          <cell r="AB283">
            <v>0.1070532</v>
          </cell>
          <cell r="AC283">
            <v>-5.4426770999999992</v>
          </cell>
          <cell r="AD283">
            <v>-4.4681484999999981</v>
          </cell>
        </row>
        <row r="284">
          <cell r="O284">
            <v>3.9218763018706575</v>
          </cell>
          <cell r="P284">
            <v>8.6</v>
          </cell>
          <cell r="Q284">
            <v>4.5475410731514554</v>
          </cell>
          <cell r="W284">
            <v>13.22</v>
          </cell>
          <cell r="X284">
            <v>5.5300638066695145</v>
          </cell>
          <cell r="Y284">
            <v>3.0643250650196028</v>
          </cell>
          <cell r="Z284">
            <v>3.9465017238443885</v>
          </cell>
          <cell r="AA284">
            <v>3.7569585749245307</v>
          </cell>
          <cell r="AB284">
            <v>0</v>
          </cell>
          <cell r="AC284">
            <v>-5.4426770999999992</v>
          </cell>
          <cell r="AD284">
            <v>-4.4681484999999981</v>
          </cell>
        </row>
        <row r="285">
          <cell r="O285">
            <v>3.9416439416616642</v>
          </cell>
          <cell r="P285">
            <v>8.9</v>
          </cell>
          <cell r="Q285">
            <v>4.5507140001920323</v>
          </cell>
          <cell r="W285">
            <v>14.78</v>
          </cell>
          <cell r="X285">
            <v>5.5326382184523712</v>
          </cell>
          <cell r="Y285">
            <v>3.0963917566531682</v>
          </cell>
          <cell r="Z285">
            <v>3.9539324085053558</v>
          </cell>
          <cell r="AA285">
            <v>3.7617348564151851</v>
          </cell>
          <cell r="AB285">
            <v>1.0144770000000001</v>
          </cell>
          <cell r="AC285">
            <v>-4.4282000999999989</v>
          </cell>
          <cell r="AD285">
            <v>-3.4483414999999979</v>
          </cell>
        </row>
        <row r="286">
          <cell r="O286">
            <v>3.9340819089470922</v>
          </cell>
          <cell r="P286">
            <v>9</v>
          </cell>
          <cell r="Q286">
            <v>4.5507140001920323</v>
          </cell>
          <cell r="W286">
            <v>14.68</v>
          </cell>
          <cell r="X286">
            <v>5.51128936254075</v>
          </cell>
          <cell r="Y286">
            <v>3.0945816375961601</v>
          </cell>
          <cell r="Z286">
            <v>3.9491068216580083</v>
          </cell>
          <cell r="AA286">
            <v>3.7630820646464485</v>
          </cell>
          <cell r="AB286">
            <v>-0.41202620000000001</v>
          </cell>
          <cell r="AC286">
            <v>-4.8402262999999985</v>
          </cell>
          <cell r="AD286">
            <v>-3.8885501999999978</v>
          </cell>
        </row>
        <row r="287">
          <cell r="O287">
            <v>3.9251682271778332</v>
          </cell>
          <cell r="P287">
            <v>9.3000000000000007</v>
          </cell>
          <cell r="Q287">
            <v>4.5538768916005408</v>
          </cell>
          <cell r="W287">
            <v>14.94</v>
          </cell>
          <cell r="X287">
            <v>5.5045181971319348</v>
          </cell>
          <cell r="Y287">
            <v>3.0752363746665901</v>
          </cell>
          <cell r="Z287">
            <v>3.9537789636684733</v>
          </cell>
          <cell r="AA287">
            <v>3.7661645168234785</v>
          </cell>
          <cell r="AB287">
            <v>0</v>
          </cell>
          <cell r="AC287">
            <v>-4.8402262999999985</v>
          </cell>
          <cell r="AD287">
            <v>-3.8885501999999978</v>
          </cell>
        </row>
        <row r="288">
          <cell r="O288">
            <v>3.9189390344698758</v>
          </cell>
          <cell r="P288">
            <v>9.4</v>
          </cell>
          <cell r="Q288">
            <v>4.5633059818893926</v>
          </cell>
          <cell r="W288">
            <v>14.45</v>
          </cell>
          <cell r="X288">
            <v>5.5153623594003767</v>
          </cell>
          <cell r="Y288">
            <v>3.1180383979379589</v>
          </cell>
          <cell r="Z288">
            <v>3.9499351704980072</v>
          </cell>
          <cell r="AA288">
            <v>3.7648909705200317</v>
          </cell>
          <cell r="AB288">
            <v>-9.7880999999999996E-2</v>
          </cell>
          <cell r="AC288">
            <v>-4.9381072999999986</v>
          </cell>
          <cell r="AD288">
            <v>-3.9476841999999976</v>
          </cell>
        </row>
        <row r="289">
          <cell r="O289">
            <v>3.9156563966605669</v>
          </cell>
          <cell r="P289">
            <v>9.6</v>
          </cell>
          <cell r="Q289">
            <v>4.5747109785033828</v>
          </cell>
          <cell r="W289">
            <v>14.15</v>
          </cell>
          <cell r="X289">
            <v>5.4785116623258174</v>
          </cell>
          <cell r="Y289">
            <v>3.0726470173221165</v>
          </cell>
          <cell r="Z289">
            <v>3.9406104622800586</v>
          </cell>
          <cell r="AA289">
            <v>3.7708741016665637</v>
          </cell>
          <cell r="AB289">
            <v>0</v>
          </cell>
          <cell r="AC289">
            <v>-4.9381072999999986</v>
          </cell>
          <cell r="AD289">
            <v>-3.9476841999999976</v>
          </cell>
        </row>
        <row r="290">
          <cell r="O290">
            <v>3.9126707955668012</v>
          </cell>
          <cell r="P290">
            <v>9.8000000000000007</v>
          </cell>
          <cell r="Q290">
            <v>4.5798523780038014</v>
          </cell>
          <cell r="W290">
            <v>12.59</v>
          </cell>
          <cell r="X290">
            <v>5.4855020790079791</v>
          </cell>
          <cell r="Y290">
            <v>3.0778190445521001</v>
          </cell>
          <cell r="Z290">
            <v>3.9555230108739972</v>
          </cell>
          <cell r="AA290">
            <v>3.7724160510417284</v>
          </cell>
          <cell r="AB290">
            <v>-0.1981146</v>
          </cell>
          <cell r="AC290">
            <v>-5.1362218999999989</v>
          </cell>
          <cell r="AD290">
            <v>-4.1449481999999973</v>
          </cell>
        </row>
        <row r="291">
          <cell r="O291">
            <v>3.9041077623783322</v>
          </cell>
          <cell r="P291">
            <v>9.8000000000000007</v>
          </cell>
          <cell r="Q291">
            <v>4.5819015590487373</v>
          </cell>
          <cell r="W291">
            <v>10.119999999999999</v>
          </cell>
          <cell r="X291">
            <v>5.473656267914107</v>
          </cell>
          <cell r="Y291">
            <v>3.0840178384213512</v>
          </cell>
          <cell r="Z291">
            <v>3.948663469523138</v>
          </cell>
          <cell r="AA291">
            <v>3.7767300621839626</v>
          </cell>
          <cell r="AB291">
            <v>-0.2438593</v>
          </cell>
          <cell r="AC291">
            <v>-5.3800811999999993</v>
          </cell>
          <cell r="AD291">
            <v>-4.3545790999999969</v>
          </cell>
        </row>
        <row r="292">
          <cell r="O292">
            <v>3.9009398131296966</v>
          </cell>
          <cell r="P292">
            <v>10.1</v>
          </cell>
          <cell r="Q292">
            <v>4.5819015590487373</v>
          </cell>
          <cell r="W292">
            <v>10.31</v>
          </cell>
          <cell r="X292">
            <v>5.4723547037542941</v>
          </cell>
          <cell r="Y292">
            <v>3.1281192615973166</v>
          </cell>
          <cell r="Z292">
            <v>3.9529537940301105</v>
          </cell>
          <cell r="AA292">
            <v>3.7812535095387987</v>
          </cell>
          <cell r="AB292">
            <v>0</v>
          </cell>
          <cell r="AC292">
            <v>-5.3800811999999993</v>
          </cell>
          <cell r="AD292">
            <v>-4.3545790999999969</v>
          </cell>
        </row>
        <row r="293">
          <cell r="O293">
            <v>3.8920712870184389</v>
          </cell>
          <cell r="P293">
            <v>10.4</v>
          </cell>
          <cell r="Q293">
            <v>4.5859873665713176</v>
          </cell>
          <cell r="W293">
            <v>9.7100000000000009</v>
          </cell>
          <cell r="X293">
            <v>5.450566239085699</v>
          </cell>
          <cell r="Y293">
            <v>3.1012627747634549</v>
          </cell>
          <cell r="Z293">
            <v>3.9615938171938909</v>
          </cell>
          <cell r="AA293">
            <v>3.7904427695233776</v>
          </cell>
          <cell r="AB293">
            <v>-0.25935229999999998</v>
          </cell>
          <cell r="AC293">
            <v>-5.6394334999999991</v>
          </cell>
          <cell r="AD293">
            <v>-4.5950620999999972</v>
          </cell>
        </row>
        <row r="294">
          <cell r="O294">
            <v>3.8881277748442273</v>
          </cell>
          <cell r="P294">
            <v>10.8</v>
          </cell>
          <cell r="Q294">
            <v>4.5849674786705723</v>
          </cell>
          <cell r="W294">
            <v>9.1999999999999993</v>
          </cell>
          <cell r="X294">
            <v>5.4303977069052447</v>
          </cell>
          <cell r="Y294">
            <v>3.1564044989428894</v>
          </cell>
          <cell r="Z294">
            <v>3.9589256751143655</v>
          </cell>
          <cell r="AA294">
            <v>3.7943649619599138</v>
          </cell>
          <cell r="AB294">
            <v>8.9975399999999997E-2</v>
          </cell>
          <cell r="AC294">
            <v>-5.549458099999999</v>
          </cell>
          <cell r="AD294">
            <v>-4.4683188999999972</v>
          </cell>
        </row>
        <row r="295">
          <cell r="O295">
            <v>3.8809945637954684</v>
          </cell>
          <cell r="P295">
            <v>10.8</v>
          </cell>
          <cell r="Q295">
            <v>4.5819015590487373</v>
          </cell>
          <cell r="W295">
            <v>8.9499999999999993</v>
          </cell>
          <cell r="X295">
            <v>5.4239362879721948</v>
          </cell>
          <cell r="Y295">
            <v>3.1657703631810952</v>
          </cell>
          <cell r="Z295">
            <v>3.9672495544182684</v>
          </cell>
          <cell r="AA295">
            <v>3.7954217711693148</v>
          </cell>
          <cell r="AB295">
            <v>0.63151409999999997</v>
          </cell>
          <cell r="AC295">
            <v>-4.9179439999999985</v>
          </cell>
          <cell r="AD295">
            <v>-3.8163025999999971</v>
          </cell>
        </row>
        <row r="296">
          <cell r="O296">
            <v>3.899903864405533</v>
          </cell>
          <cell r="P296">
            <v>10.4</v>
          </cell>
          <cell r="Q296">
            <v>4.5839465495364644</v>
          </cell>
          <cell r="W296">
            <v>8.68</v>
          </cell>
          <cell r="X296">
            <v>5.4402942454435861</v>
          </cell>
          <cell r="Y296">
            <v>3.1517954091855787</v>
          </cell>
          <cell r="Z296">
            <v>3.9611940494345954</v>
          </cell>
          <cell r="AA296">
            <v>3.8032120995699663</v>
          </cell>
          <cell r="AB296">
            <v>0</v>
          </cell>
          <cell r="AC296">
            <v>-4.9179439999999985</v>
          </cell>
          <cell r="AD296">
            <v>-3.8163025999999971</v>
          </cell>
          <cell r="AI296">
            <v>0</v>
          </cell>
        </row>
        <row r="297">
          <cell r="O297">
            <v>3.8937347908299667</v>
          </cell>
          <cell r="P297">
            <v>10.4</v>
          </cell>
          <cell r="Q297">
            <v>4.5849674786705723</v>
          </cell>
          <cell r="W297">
            <v>8.51</v>
          </cell>
          <cell r="X297">
            <v>5.4765053920603846</v>
          </cell>
          <cell r="Y297">
            <v>3.1435486482482098</v>
          </cell>
          <cell r="Z297">
            <v>3.960927448781749</v>
          </cell>
          <cell r="AA297">
            <v>3.8043932503262767</v>
          </cell>
          <cell r="AB297">
            <v>0.2108304</v>
          </cell>
          <cell r="AC297">
            <v>-4.7071135999999987</v>
          </cell>
          <cell r="AD297">
            <v>-3.6282944999999973</v>
          </cell>
          <cell r="AI297">
            <v>0.19391949999999999</v>
          </cell>
        </row>
        <row r="298">
          <cell r="O298">
            <v>3.9017888142904593</v>
          </cell>
          <cell r="P298">
            <v>10.3</v>
          </cell>
          <cell r="Q298">
            <v>4.5859873665713176</v>
          </cell>
          <cell r="W298">
            <v>8.77</v>
          </cell>
          <cell r="X298">
            <v>5.4940897210661142</v>
          </cell>
          <cell r="Y298">
            <v>3.1592107425464655</v>
          </cell>
          <cell r="Z298">
            <v>3.9752982289411873</v>
          </cell>
          <cell r="AA298">
            <v>3.8113846561056488</v>
          </cell>
          <cell r="AB298">
            <v>0.13741929999999999</v>
          </cell>
          <cell r="AC298">
            <v>-4.5696942999999983</v>
          </cell>
          <cell r="AD298">
            <v>-3.4827363999999972</v>
          </cell>
          <cell r="AI298">
            <v>0.18949759999999999</v>
          </cell>
        </row>
        <row r="299">
          <cell r="O299">
            <v>3.913815398132185</v>
          </cell>
          <cell r="P299">
            <v>10.199999999999999</v>
          </cell>
          <cell r="Q299">
            <v>4.5930976047538223</v>
          </cell>
          <cell r="W299">
            <v>8.8000000000000007</v>
          </cell>
          <cell r="X299">
            <v>5.5184965283982308</v>
          </cell>
          <cell r="Y299">
            <v>3.1946650961531424</v>
          </cell>
          <cell r="Z299">
            <v>3.9708955049390902</v>
          </cell>
          <cell r="AA299">
            <v>3.8162387132503097</v>
          </cell>
          <cell r="AB299">
            <v>0</v>
          </cell>
          <cell r="AC299">
            <v>-4.5696942999999983</v>
          </cell>
          <cell r="AD299">
            <v>-3.4827363999999972</v>
          </cell>
          <cell r="AI299">
            <v>0</v>
          </cell>
        </row>
        <row r="300">
          <cell r="O300">
            <v>3.9207726157047951</v>
          </cell>
          <cell r="P300">
            <v>10.1</v>
          </cell>
          <cell r="Q300">
            <v>4.5971380142908274</v>
          </cell>
          <cell r="W300">
            <v>8.6300000000000008</v>
          </cell>
          <cell r="X300">
            <v>5.5165287748166838</v>
          </cell>
          <cell r="Y300">
            <v>3.2200751054436827</v>
          </cell>
          <cell r="Z300">
            <v>3.9755985630651556</v>
          </cell>
          <cell r="AA300">
            <v>3.8181298212112136</v>
          </cell>
          <cell r="AB300">
            <v>-3.8653100000000003E-2</v>
          </cell>
          <cell r="AC300">
            <v>-4.6083473999999987</v>
          </cell>
          <cell r="AD300">
            <v>-3.5029108999999972</v>
          </cell>
          <cell r="AI300">
            <v>0.13404540000000001</v>
          </cell>
        </row>
        <row r="301">
          <cell r="O301">
            <v>3.9264287427357472</v>
          </cell>
          <cell r="P301">
            <v>10.1</v>
          </cell>
          <cell r="Q301">
            <v>4.5991521136625284</v>
          </cell>
          <cell r="W301">
            <v>8.98</v>
          </cell>
          <cell r="X301">
            <v>5.5130254390411446</v>
          </cell>
          <cell r="Y301">
            <v>3.2502194411481309</v>
          </cell>
          <cell r="Z301">
            <v>3.9860538317490617</v>
          </cell>
          <cell r="AA301">
            <v>3.8223608454884173</v>
          </cell>
          <cell r="AB301">
            <v>0</v>
          </cell>
          <cell r="AC301">
            <v>-4.6083473999999987</v>
          </cell>
          <cell r="AD301">
            <v>-3.5029108999999972</v>
          </cell>
          <cell r="AI301">
            <v>0</v>
          </cell>
        </row>
        <row r="302">
          <cell r="O302">
            <v>3.941665299329796</v>
          </cell>
          <cell r="P302">
            <v>9.4</v>
          </cell>
          <cell r="Q302">
            <v>4.6031681833174183</v>
          </cell>
          <cell r="W302">
            <v>9.3699999999999992</v>
          </cell>
          <cell r="X302">
            <v>5.5274032273178761</v>
          </cell>
          <cell r="Y302">
            <v>3.2645755041191911</v>
          </cell>
          <cell r="Z302">
            <v>3.990334985487082</v>
          </cell>
          <cell r="AA302">
            <v>3.8284457251727986</v>
          </cell>
          <cell r="AB302">
            <v>3.1968799999999999E-2</v>
          </cell>
          <cell r="AC302">
            <v>-4.5763785999999991</v>
          </cell>
          <cell r="AD302">
            <v>-3.5096286999999973</v>
          </cell>
          <cell r="AI302">
            <v>0.22899549999999999</v>
          </cell>
        </row>
        <row r="303">
          <cell r="O303">
            <v>3.9525275095536592</v>
          </cell>
          <cell r="P303">
            <v>9.5</v>
          </cell>
          <cell r="Q303">
            <v>4.6061696863211745</v>
          </cell>
          <cell r="W303">
            <v>9.56</v>
          </cell>
          <cell r="X303">
            <v>5.5884464426428693</v>
          </cell>
          <cell r="Y303">
            <v>3.2560945353508091</v>
          </cell>
          <cell r="Z303">
            <v>3.9916841018358262</v>
          </cell>
          <cell r="AA303">
            <v>3.8341479467051802</v>
          </cell>
          <cell r="AB303">
            <v>-0.23930290000000001</v>
          </cell>
          <cell r="AC303">
            <v>-4.8156814999999993</v>
          </cell>
          <cell r="AD303">
            <v>-3.7430944999999971</v>
          </cell>
          <cell r="AI303">
            <v>-0.25873449999999998</v>
          </cell>
        </row>
        <row r="304">
          <cell r="O304">
            <v>3.9677358193362684</v>
          </cell>
          <cell r="P304">
            <v>9.1999999999999993</v>
          </cell>
          <cell r="Q304">
            <v>4.6091622072576293</v>
          </cell>
          <cell r="W304">
            <v>9.4499999999999993</v>
          </cell>
          <cell r="X304">
            <v>5.5945998492189881</v>
          </cell>
          <cell r="Y304">
            <v>3.2581734581399768</v>
          </cell>
          <cell r="Z304">
            <v>3.9958493154730013</v>
          </cell>
          <cell r="AA304">
            <v>3.8360918337943231</v>
          </cell>
          <cell r="AB304">
            <v>0</v>
          </cell>
          <cell r="AC304">
            <v>-4.8156814999999993</v>
          </cell>
          <cell r="AD304">
            <v>-3.7430944999999971</v>
          </cell>
          <cell r="AI304">
            <v>0</v>
          </cell>
        </row>
        <row r="305">
          <cell r="O305">
            <v>3.9757092885140115</v>
          </cell>
          <cell r="P305">
            <v>8.8000000000000007</v>
          </cell>
          <cell r="Q305">
            <v>4.6131383556372683</v>
          </cell>
          <cell r="W305">
            <v>9.48</v>
          </cell>
          <cell r="X305">
            <v>5.5823678527657679</v>
          </cell>
          <cell r="Y305">
            <v>3.2927209053260715</v>
          </cell>
          <cell r="Z305">
            <v>4.0001254536496917</v>
          </cell>
          <cell r="AA305">
            <v>3.8397748412205219</v>
          </cell>
          <cell r="AB305">
            <v>0.22521540000000001</v>
          </cell>
          <cell r="AC305">
            <v>-4.5904660999999995</v>
          </cell>
          <cell r="AD305">
            <v>-3.4612180999999973</v>
          </cell>
          <cell r="AI305">
            <v>-5.1345000000000002E-2</v>
          </cell>
        </row>
        <row r="306">
          <cell r="O306">
            <v>3.9790571598807341</v>
          </cell>
          <cell r="P306">
            <v>8.5</v>
          </cell>
          <cell r="Q306">
            <v>4.6161101260264257</v>
          </cell>
          <cell r="W306">
            <v>9.34</v>
          </cell>
          <cell r="X306">
            <v>5.591621107767871</v>
          </cell>
          <cell r="Y306">
            <v>3.2960960916617141</v>
          </cell>
          <cell r="Z306">
            <v>4.0052400871392795</v>
          </cell>
          <cell r="AA306">
            <v>3.8402691831647555</v>
          </cell>
          <cell r="AB306">
            <v>-0.14890619999999999</v>
          </cell>
          <cell r="AC306">
            <v>-4.7393722999999994</v>
          </cell>
          <cell r="AD306">
            <v>-3.6317903999999972</v>
          </cell>
          <cell r="AI306">
            <v>-0.2007999</v>
          </cell>
        </row>
        <row r="307">
          <cell r="O307">
            <v>3.9841036382031634</v>
          </cell>
          <cell r="P307">
            <v>8.3000000000000007</v>
          </cell>
          <cell r="Q307">
            <v>4.619073091157083</v>
          </cell>
          <cell r="W307">
            <v>9.4700000000000006</v>
          </cell>
          <cell r="X307">
            <v>5.6098380284796594</v>
          </cell>
          <cell r="Y307">
            <v>3.3339886319687055</v>
          </cell>
          <cell r="Z307">
            <v>4.0088411386081599</v>
          </cell>
          <cell r="AA307">
            <v>3.8486571298063263</v>
          </cell>
          <cell r="AB307">
            <v>0.18640909999999999</v>
          </cell>
          <cell r="AC307">
            <v>-4.5529631999999998</v>
          </cell>
          <cell r="AD307">
            <v>-3.4147150999999973</v>
          </cell>
          <cell r="AI307">
            <v>-2.4641E-2</v>
          </cell>
        </row>
        <row r="308">
          <cell r="O308">
            <v>4.0040897491576537</v>
          </cell>
          <cell r="P308">
            <v>8</v>
          </cell>
          <cell r="Q308">
            <v>4.6259527251706194</v>
          </cell>
          <cell r="W308">
            <v>9.56</v>
          </cell>
          <cell r="X308">
            <v>5.6337176002079143</v>
          </cell>
          <cell r="Y308">
            <v>3.3609654907742765</v>
          </cell>
          <cell r="Z308">
            <v>4.0168153597128633</v>
          </cell>
          <cell r="AA308">
            <v>3.8493174700120214</v>
          </cell>
          <cell r="AB308">
            <v>0.21665870000000001</v>
          </cell>
          <cell r="AC308">
            <v>-4.3363044999999998</v>
          </cell>
          <cell r="AD308">
            <v>-3.1564572999999974</v>
          </cell>
          <cell r="AI308">
            <v>-5.0992200000000001E-2</v>
          </cell>
        </row>
        <row r="309">
          <cell r="O309">
            <v>4.0086468674285856</v>
          </cell>
          <cell r="P309">
            <v>7.8</v>
          </cell>
          <cell r="Q309">
            <v>4.6308379327366689</v>
          </cell>
          <cell r="W309">
            <v>9.59</v>
          </cell>
          <cell r="X309">
            <v>5.6271173897207154</v>
          </cell>
          <cell r="Y309">
            <v>3.3370854361949109</v>
          </cell>
          <cell r="Z309">
            <v>3.998622630993125</v>
          </cell>
          <cell r="AA309">
            <v>3.8413429972404054</v>
          </cell>
          <cell r="AB309">
            <v>0</v>
          </cell>
          <cell r="AC309">
            <v>-4.3363044999999998</v>
          </cell>
          <cell r="AD309">
            <v>-3.1564572999999974</v>
          </cell>
          <cell r="AI309">
            <v>0</v>
          </cell>
        </row>
        <row r="310">
          <cell r="O310">
            <v>4.0133369447283336</v>
          </cell>
          <cell r="P310">
            <v>7.8</v>
          </cell>
          <cell r="Q310">
            <v>4.6337576428400036</v>
          </cell>
          <cell r="W310">
            <v>9.91</v>
          </cell>
          <cell r="X310">
            <v>5.6545572158468227</v>
          </cell>
          <cell r="Y310">
            <v>3.3361609588143195</v>
          </cell>
          <cell r="Z310">
            <v>4.0063144847150651</v>
          </cell>
          <cell r="AA310">
            <v>3.8522730010223722</v>
          </cell>
          <cell r="AB310">
            <v>-7.8293100000000004E-2</v>
          </cell>
          <cell r="AC310">
            <v>-4.4145975999999996</v>
          </cell>
          <cell r="AD310">
            <v>-3.2584422999999973</v>
          </cell>
          <cell r="AI310">
            <v>-0.11856999999999999</v>
          </cell>
        </row>
        <row r="311">
          <cell r="O311">
            <v>4.019814962734527</v>
          </cell>
          <cell r="P311">
            <v>7.7</v>
          </cell>
          <cell r="Q311">
            <v>4.6376373761255927</v>
          </cell>
          <cell r="W311">
            <v>10.29</v>
          </cell>
          <cell r="X311">
            <v>5.6594822157596214</v>
          </cell>
          <cell r="Y311">
            <v>3.3527071725017215</v>
          </cell>
          <cell r="Z311">
            <v>4.0193336184095863</v>
          </cell>
          <cell r="AA311">
            <v>3.8537792969866556</v>
          </cell>
          <cell r="AB311">
            <v>0</v>
          </cell>
          <cell r="AC311">
            <v>-4.4145975999999996</v>
          </cell>
          <cell r="AD311">
            <v>-3.2584422999999973</v>
          </cell>
          <cell r="AI311">
            <v>0</v>
          </cell>
        </row>
        <row r="312">
          <cell r="O312">
            <v>4.0244191131626881</v>
          </cell>
          <cell r="P312">
            <v>7.4</v>
          </cell>
          <cell r="Q312">
            <v>4.6395716127054234</v>
          </cell>
          <cell r="W312">
            <v>10.32</v>
          </cell>
          <cell r="X312">
            <v>5.6756915944896758</v>
          </cell>
          <cell r="Y312">
            <v>3.3691561674506918</v>
          </cell>
          <cell r="Z312">
            <v>4.0259408028887895</v>
          </cell>
          <cell r="AA312">
            <v>3.8564468685392943</v>
          </cell>
          <cell r="AB312">
            <v>0.12631110000000001</v>
          </cell>
          <cell r="AC312">
            <v>-4.2882864999999999</v>
          </cell>
          <cell r="AD312">
            <v>-3.0872997999999972</v>
          </cell>
          <cell r="AI312">
            <v>-6.9210300000000002E-2</v>
          </cell>
        </row>
        <row r="313">
          <cell r="O313">
            <v>4.0278895391005856</v>
          </cell>
          <cell r="P313">
            <v>7.2</v>
          </cell>
          <cell r="Q313">
            <v>4.6415021152354816</v>
          </cell>
          <cell r="W313">
            <v>11.06</v>
          </cell>
          <cell r="X313">
            <v>5.6594822157596214</v>
          </cell>
          <cell r="Y313">
            <v>3.3811647279119192</v>
          </cell>
          <cell r="Z313">
            <v>4.0412953411322849</v>
          </cell>
          <cell r="AA313">
            <v>3.8576301755976008</v>
          </cell>
          <cell r="AB313">
            <v>0</v>
          </cell>
          <cell r="AC313">
            <v>-4.2882864999999999</v>
          </cell>
          <cell r="AD313">
            <v>-3.0872997999999972</v>
          </cell>
          <cell r="AI313">
            <v>0</v>
          </cell>
        </row>
        <row r="314">
          <cell r="O314">
            <v>4.0313834629668683</v>
          </cell>
          <cell r="P314">
            <v>7.5</v>
          </cell>
          <cell r="Q314">
            <v>4.6453519756209234</v>
          </cell>
          <cell r="W314">
            <v>11.23</v>
          </cell>
          <cell r="X314">
            <v>5.6311759388851081</v>
          </cell>
          <cell r="Y314">
            <v>3.3680886190944022</v>
          </cell>
          <cell r="Z314">
            <v>4.0255123921077063</v>
          </cell>
          <cell r="AA314">
            <v>3.8619920718225811</v>
          </cell>
          <cell r="AB314">
            <v>0.33500839999999998</v>
          </cell>
          <cell r="AC314">
            <v>-3.9532780999999999</v>
          </cell>
          <cell r="AD314">
            <v>-2.761834699999997</v>
          </cell>
          <cell r="AI314">
            <v>0.25348480000000001</v>
          </cell>
        </row>
        <row r="315">
          <cell r="O315">
            <v>4.0317916240648444</v>
          </cell>
          <cell r="P315">
            <v>7.5</v>
          </cell>
          <cell r="Q315">
            <v>4.6482296754485386</v>
          </cell>
          <cell r="W315">
            <v>11.64</v>
          </cell>
          <cell r="X315">
            <v>5.6131281063880705</v>
          </cell>
          <cell r="Y315">
            <v>3.3614511971396399</v>
          </cell>
          <cell r="Z315">
            <v>4.0253874043831237</v>
          </cell>
          <cell r="AA315">
            <v>3.8706591974868383</v>
          </cell>
          <cell r="AB315">
            <v>-6.5374699999999994E-2</v>
          </cell>
          <cell r="AC315">
            <v>-4.0186527999999999</v>
          </cell>
          <cell r="AD315">
            <v>-2.8271977999999969</v>
          </cell>
          <cell r="AI315">
            <v>-5.59978E-2</v>
          </cell>
        </row>
        <row r="316">
          <cell r="O316">
            <v>4.0301455390041445</v>
          </cell>
          <cell r="P316">
            <v>7.3</v>
          </cell>
          <cell r="Q316">
            <v>4.6510991178764911</v>
          </cell>
          <cell r="W316">
            <v>11.3</v>
          </cell>
          <cell r="X316">
            <v>5.6053607924784377</v>
          </cell>
          <cell r="Y316">
            <v>3.3745795837578632</v>
          </cell>
          <cell r="Z316">
            <v>4.0380387260110062</v>
          </cell>
          <cell r="AA316">
            <v>3.8739056833150181</v>
          </cell>
          <cell r="AB316">
            <v>0</v>
          </cell>
          <cell r="AC316">
            <v>-4.0186527999999999</v>
          </cell>
          <cell r="AD316">
            <v>-2.8271977999999969</v>
          </cell>
          <cell r="AI316">
            <v>0</v>
          </cell>
        </row>
        <row r="317">
          <cell r="O317">
            <v>4.0287334660815572</v>
          </cell>
          <cell r="P317">
            <v>7.4</v>
          </cell>
          <cell r="Q317">
            <v>4.6549122778829055</v>
          </cell>
          <cell r="W317">
            <v>9.99</v>
          </cell>
          <cell r="X317">
            <v>5.5876231201159152</v>
          </cell>
          <cell r="Y317">
            <v>3.3699130916223892</v>
          </cell>
          <cell r="Z317">
            <v>4.0312982605044656</v>
          </cell>
          <cell r="AA317">
            <v>3.8728454913417716</v>
          </cell>
          <cell r="AB317">
            <v>-1.0341100000000001E-2</v>
          </cell>
          <cell r="AC317">
            <v>-4.0289938999999997</v>
          </cell>
          <cell r="AD317">
            <v>-2.794636299999997</v>
          </cell>
          <cell r="AI317">
            <v>-0.1253264</v>
          </cell>
        </row>
        <row r="318">
          <cell r="O318">
            <v>4.0326163107971507</v>
          </cell>
          <cell r="P318">
            <v>7.2</v>
          </cell>
          <cell r="Q318">
            <v>4.6568134191399295</v>
          </cell>
          <cell r="W318">
            <v>9.43</v>
          </cell>
          <cell r="X318">
            <v>5.5993474565193173</v>
          </cell>
          <cell r="Y318">
            <v>3.4118735216593898</v>
          </cell>
          <cell r="Z318">
            <v>4.0431740673119299</v>
          </cell>
          <cell r="AA318">
            <v>3.8818730284772629</v>
          </cell>
          <cell r="AB318">
            <v>-0.5609847</v>
          </cell>
          <cell r="AC318">
            <v>-4.5899785999999994</v>
          </cell>
          <cell r="AD318">
            <v>-3.342735599999997</v>
          </cell>
          <cell r="AI318">
            <v>-0.68257489999999998</v>
          </cell>
        </row>
        <row r="319">
          <cell r="O319">
            <v>4.033557218833896</v>
          </cell>
          <cell r="P319">
            <v>7.3</v>
          </cell>
          <cell r="Q319">
            <v>4.6587109529161213</v>
          </cell>
          <cell r="W319">
            <v>8.3800000000000008</v>
          </cell>
          <cell r="X319">
            <v>5.5664342835049778</v>
          </cell>
          <cell r="Y319">
            <v>3.4175299429497152</v>
          </cell>
          <cell r="Z319">
            <v>4.0374743421444581</v>
          </cell>
          <cell r="AA319">
            <v>3.8860485716559103</v>
          </cell>
          <cell r="AB319">
            <v>-0.17080100000000001</v>
          </cell>
          <cell r="AC319">
            <v>-4.7607795999999993</v>
          </cell>
          <cell r="AD319">
            <v>-3.4867567999999971</v>
          </cell>
          <cell r="AI319">
            <v>-0.3126466</v>
          </cell>
        </row>
        <row r="320">
          <cell r="O320">
            <v>4.0313071360996853</v>
          </cell>
          <cell r="P320">
            <v>7.3</v>
          </cell>
          <cell r="Q320">
            <v>4.6606048928761918</v>
          </cell>
          <cell r="W320">
            <v>8.35</v>
          </cell>
          <cell r="X320">
            <v>5.5442395047515856</v>
          </cell>
          <cell r="Y320">
            <v>3.4316295887823571</v>
          </cell>
          <cell r="Z320">
            <v>4.040416220196545</v>
          </cell>
          <cell r="AA320">
            <v>3.8966047526997656</v>
          </cell>
          <cell r="AB320">
            <v>0</v>
          </cell>
          <cell r="AC320">
            <v>-4.7607795999999993</v>
          </cell>
          <cell r="AD320">
            <v>-3.4867567999999971</v>
          </cell>
          <cell r="AI320">
            <v>0</v>
          </cell>
        </row>
        <row r="321">
          <cell r="O321">
            <v>4.0353992587276775</v>
          </cell>
          <cell r="P321">
            <v>7.2</v>
          </cell>
          <cell r="Q321">
            <v>4.6662652853479019</v>
          </cell>
          <cell r="W321">
            <v>8.5</v>
          </cell>
          <cell r="X321">
            <v>5.5383966945684486</v>
          </cell>
          <cell r="Y321">
            <v>3.4242300807727282</v>
          </cell>
          <cell r="Z321">
            <v>4.0478642283395594</v>
          </cell>
          <cell r="AA321">
            <v>3.9011036051788688</v>
          </cell>
          <cell r="AB321">
            <v>-0.1213873</v>
          </cell>
          <cell r="AC321">
            <v>-4.8821668999999996</v>
          </cell>
          <cell r="AD321">
            <v>-3.6431112999999971</v>
          </cell>
          <cell r="AI321">
            <v>-7.2862399999999994E-2</v>
          </cell>
        </row>
        <row r="322">
          <cell r="O322">
            <v>4.0369343519782159</v>
          </cell>
          <cell r="P322">
            <v>7.2</v>
          </cell>
          <cell r="Q322">
            <v>4.6709579265260945</v>
          </cell>
          <cell r="W322">
            <v>8.58</v>
          </cell>
          <cell r="X322">
            <v>5.5341401950193196</v>
          </cell>
          <cell r="Y322">
            <v>3.4464575130670201</v>
          </cell>
          <cell r="Z322">
            <v>4.0419805193493419</v>
          </cell>
          <cell r="AA322">
            <v>3.8970108853076426</v>
          </cell>
          <cell r="AB322">
            <v>0.20776069999999999</v>
          </cell>
          <cell r="AC322">
            <v>-4.6744062</v>
          </cell>
          <cell r="AD322">
            <v>-3.4431188999999969</v>
          </cell>
          <cell r="AI322">
            <v>0.14267050000000001</v>
          </cell>
        </row>
        <row r="323">
          <cell r="O323">
            <v>4.0343061227338968</v>
          </cell>
          <cell r="P323">
            <v>7.3</v>
          </cell>
          <cell r="Q323">
            <v>4.6728288344619058</v>
          </cell>
          <cell r="W323">
            <v>8.27</v>
          </cell>
          <cell r="X323">
            <v>5.54588032240299</v>
          </cell>
          <cell r="Y323">
            <v>3.4235131881455705</v>
          </cell>
          <cell r="Z323">
            <v>4.0532100188635454</v>
          </cell>
          <cell r="AA323">
            <v>3.9019726695746448</v>
          </cell>
          <cell r="AB323">
            <v>0</v>
          </cell>
          <cell r="AC323">
            <v>-4.6744062</v>
          </cell>
          <cell r="AD323">
            <v>-3.4431188999999969</v>
          </cell>
          <cell r="AI323">
            <v>0</v>
          </cell>
        </row>
        <row r="324">
          <cell r="O324">
            <v>4.0355654239528596</v>
          </cell>
          <cell r="P324">
            <v>7.2</v>
          </cell>
          <cell r="Q324">
            <v>4.6746962486367014</v>
          </cell>
          <cell r="W324">
            <v>7.97</v>
          </cell>
          <cell r="X324">
            <v>5.5238580424619679</v>
          </cell>
          <cell r="Y324">
            <v>3.4760265222828046</v>
          </cell>
          <cell r="Z324">
            <v>4.0538697296563821</v>
          </cell>
          <cell r="AA324">
            <v>3.9087978100724512</v>
          </cell>
          <cell r="AB324">
            <v>-0.14646149999999999</v>
          </cell>
          <cell r="AC324">
            <v>-4.8208677</v>
          </cell>
          <cell r="AD324">
            <v>-3.5493487999999971</v>
          </cell>
          <cell r="AI324">
            <v>-0.15496460000000001</v>
          </cell>
        </row>
        <row r="325">
          <cell r="O325">
            <v>4.0363057609548445</v>
          </cell>
          <cell r="P325">
            <v>7.4</v>
          </cell>
          <cell r="Q325">
            <v>4.677490847567717</v>
          </cell>
          <cell r="W325">
            <v>7.53</v>
          </cell>
          <cell r="X325">
            <v>5.500073835980599</v>
          </cell>
          <cell r="Y325">
            <v>3.4376257382757069</v>
          </cell>
          <cell r="Z325">
            <v>4.0464839658706007</v>
          </cell>
          <cell r="AA325">
            <v>3.91248289966058</v>
          </cell>
          <cell r="AB325">
            <v>0</v>
          </cell>
          <cell r="AC325">
            <v>-4.8208677</v>
          </cell>
          <cell r="AD325">
            <v>-3.5493487999999971</v>
          </cell>
          <cell r="AI325">
            <v>0</v>
          </cell>
        </row>
        <row r="326">
          <cell r="O326">
            <v>4.0295731250728117</v>
          </cell>
          <cell r="P326">
            <v>7.4</v>
          </cell>
          <cell r="Q326">
            <v>4.6793495841623427</v>
          </cell>
          <cell r="W326">
            <v>7.88</v>
          </cell>
          <cell r="X326">
            <v>5.4829695386802735</v>
          </cell>
          <cell r="Y326">
            <v>3.4565059374210358</v>
          </cell>
          <cell r="Z326">
            <v>4.0523413147416427</v>
          </cell>
          <cell r="AA326">
            <v>3.9177863653172507</v>
          </cell>
          <cell r="AB326">
            <v>6.4075999999999994E-2</v>
          </cell>
          <cell r="AC326">
            <v>-4.7567917</v>
          </cell>
          <cell r="AD326">
            <v>-3.4890198999999971</v>
          </cell>
          <cell r="AI326">
            <v>6.2107500000000003E-2</v>
          </cell>
        </row>
        <row r="327">
          <cell r="O327">
            <v>4.03366879326434</v>
          </cell>
          <cell r="P327">
            <v>7.1</v>
          </cell>
          <cell r="Q327">
            <v>4.6812048722640887</v>
          </cell>
          <cell r="W327">
            <v>7.9</v>
          </cell>
          <cell r="X327">
            <v>5.4597131655708369</v>
          </cell>
          <cell r="Y327">
            <v>3.4918604165593976</v>
          </cell>
          <cell r="Z327">
            <v>4.0608739521605006</v>
          </cell>
          <cell r="AA327">
            <v>3.9225276380732317</v>
          </cell>
          <cell r="AB327">
            <v>0.1866845</v>
          </cell>
          <cell r="AC327">
            <v>-4.5701071999999998</v>
          </cell>
          <cell r="AD327">
            <v>-3.303477499999997</v>
          </cell>
          <cell r="AI327">
            <v>0.12681539999999999</v>
          </cell>
        </row>
        <row r="328">
          <cell r="O328">
            <v>4.0381586165581327</v>
          </cell>
          <cell r="P328">
            <v>7.1</v>
          </cell>
          <cell r="Q328">
            <v>4.6830567246451622</v>
          </cell>
          <cell r="W328">
            <v>7.92</v>
          </cell>
          <cell r="X328">
            <v>5.438774719243292</v>
          </cell>
          <cell r="Y328">
            <v>3.5721489893104437</v>
          </cell>
          <cell r="Z328">
            <v>4.0648814220714593</v>
          </cell>
          <cell r="AA328">
            <v>3.9241887023270174</v>
          </cell>
          <cell r="AB328">
            <v>0</v>
          </cell>
          <cell r="AC328">
            <v>-4.5701071999999998</v>
          </cell>
          <cell r="AD328">
            <v>-3.303477499999997</v>
          </cell>
          <cell r="AI328">
            <v>0</v>
          </cell>
        </row>
        <row r="329">
          <cell r="O329">
            <v>4.0340282262140459</v>
          </cell>
          <cell r="P329">
            <v>7.1</v>
          </cell>
          <cell r="Q329">
            <v>4.6867501729805143</v>
          </cell>
          <cell r="W329">
            <v>7.99</v>
          </cell>
          <cell r="X329">
            <v>5.4363822175039322</v>
          </cell>
          <cell r="Y329">
            <v>3.4614768458793432</v>
          </cell>
          <cell r="Z329">
            <v>4.0633009915906388</v>
          </cell>
          <cell r="AA329">
            <v>3.9257878340038594</v>
          </cell>
          <cell r="AB329">
            <v>0.10639609999999999</v>
          </cell>
          <cell r="AC329">
            <v>-4.4637110999999994</v>
          </cell>
          <cell r="AD329">
            <v>-3.199549299999997</v>
          </cell>
          <cell r="AI329">
            <v>0.1694735</v>
          </cell>
        </row>
        <row r="330">
          <cell r="O330">
            <v>4.0374937481273232</v>
          </cell>
          <cell r="P330">
            <v>7</v>
          </cell>
          <cell r="Q330">
            <v>4.6913478822291435</v>
          </cell>
          <cell r="W330">
            <v>8.0500000000000007</v>
          </cell>
          <cell r="X330">
            <v>5.4510384535657002</v>
          </cell>
          <cell r="Y330">
            <v>3.4648917966423425</v>
          </cell>
          <cell r="Z330">
            <v>4.0706323022623492</v>
          </cell>
          <cell r="AA330">
            <v>3.9262020066014158</v>
          </cell>
          <cell r="AB330">
            <v>1.9512700000000001E-2</v>
          </cell>
          <cell r="AC330">
            <v>-4.4441983999999994</v>
          </cell>
          <cell r="AD330">
            <v>-3.177981999999997</v>
          </cell>
          <cell r="AI330">
            <v>0.1150684</v>
          </cell>
        </row>
        <row r="331">
          <cell r="O331">
            <v>4.0477420034980813</v>
          </cell>
          <cell r="P331">
            <v>7</v>
          </cell>
          <cell r="Q331">
            <v>4.6959245492565556</v>
          </cell>
          <cell r="W331">
            <v>8.27</v>
          </cell>
          <cell r="X331">
            <v>5.4549791765614133</v>
          </cell>
          <cell r="Y331">
            <v>3.4922561126091218</v>
          </cell>
          <cell r="Z331">
            <v>4.0708200171751434</v>
          </cell>
          <cell r="AA331">
            <v>3.938353300674176</v>
          </cell>
          <cell r="AB331">
            <v>-5.26709E-2</v>
          </cell>
          <cell r="AC331">
            <v>-4.4968692999999993</v>
          </cell>
          <cell r="AD331">
            <v>-3.2453457999999968</v>
          </cell>
          <cell r="AI331">
            <v>-6.6897899999999996E-2</v>
          </cell>
        </row>
        <row r="332">
          <cell r="O332">
            <v>4.0525672504204548</v>
          </cell>
          <cell r="P332">
            <v>6.7</v>
          </cell>
          <cell r="Q332">
            <v>4.6995708614095761</v>
          </cell>
          <cell r="W332">
            <v>8.14</v>
          </cell>
          <cell r="X332">
            <v>5.4506521128513157</v>
          </cell>
          <cell r="Y332">
            <v>3.5171416908596269</v>
          </cell>
          <cell r="Z332">
            <v>4.0755354412350462</v>
          </cell>
          <cell r="AA332">
            <v>3.9315510852356912</v>
          </cell>
          <cell r="AB332">
            <v>0</v>
          </cell>
          <cell r="AC332">
            <v>-4.4968692999999993</v>
          </cell>
          <cell r="AD332">
            <v>-3.2453457999999968</v>
          </cell>
          <cell r="AI332">
            <v>0</v>
          </cell>
        </row>
        <row r="333">
          <cell r="O333">
            <v>4.0456531431772085</v>
          </cell>
          <cell r="P333">
            <v>7.2</v>
          </cell>
          <cell r="Q333">
            <v>4.697749367281185</v>
          </cell>
          <cell r="W333">
            <v>7.86</v>
          </cell>
          <cell r="X333">
            <v>5.427941134341542</v>
          </cell>
          <cell r="Y333">
            <v>3.4880781945731112</v>
          </cell>
          <cell r="Z333">
            <v>4.0746519288763645</v>
          </cell>
          <cell r="AA333">
            <v>3.9345474155068181</v>
          </cell>
          <cell r="AB333">
            <v>-9.4936999999999994E-2</v>
          </cell>
          <cell r="AC333">
            <v>-4.5918062999999991</v>
          </cell>
          <cell r="AD333">
            <v>-3.352993799999997</v>
          </cell>
          <cell r="AI333">
            <v>-6.7623799999999998E-2</v>
          </cell>
        </row>
        <row r="334">
          <cell r="O334">
            <v>4.0390168246125828</v>
          </cell>
          <cell r="P334">
            <v>7.2</v>
          </cell>
          <cell r="Q334">
            <v>4.6922648928390247</v>
          </cell>
          <cell r="W334">
            <v>7.48</v>
          </cell>
          <cell r="X334">
            <v>5.3818309667758539</v>
          </cell>
          <cell r="Y334">
            <v>3.4738590703567422</v>
          </cell>
          <cell r="Z334">
            <v>4.0922757570529891</v>
          </cell>
          <cell r="AA334">
            <v>3.9354465203717344</v>
          </cell>
          <cell r="AB334">
            <v>0</v>
          </cell>
          <cell r="AC334">
            <v>-4.5918062999999991</v>
          </cell>
          <cell r="AD334">
            <v>-3.352993799999997</v>
          </cell>
          <cell r="AI334">
            <v>0</v>
          </cell>
        </row>
        <row r="335">
          <cell r="O335">
            <v>4.0396313916307349</v>
          </cell>
          <cell r="P335">
            <v>7.1</v>
          </cell>
          <cell r="Q335">
            <v>4.6885917941271638</v>
          </cell>
          <cell r="W335">
            <v>6.99</v>
          </cell>
          <cell r="X335">
            <v>5.3650877701818889</v>
          </cell>
          <cell r="Y335">
            <v>3.5234740096962947</v>
          </cell>
          <cell r="Z335">
            <v>4.0843447301437674</v>
          </cell>
          <cell r="AA335">
            <v>3.9380805397474359</v>
          </cell>
          <cell r="AB335">
            <v>0.1915616</v>
          </cell>
          <cell r="AC335">
            <v>-4.4002446999999991</v>
          </cell>
          <cell r="AD335">
            <v>-3.1458882999999971</v>
          </cell>
          <cell r="AI335">
            <v>9.0848700000000004E-2</v>
          </cell>
        </row>
        <row r="336">
          <cell r="O336">
            <v>4.0413779387754873</v>
          </cell>
          <cell r="P336">
            <v>7.2</v>
          </cell>
          <cell r="Q336">
            <v>4.6913478822291435</v>
          </cell>
          <cell r="W336">
            <v>6.85</v>
          </cell>
          <cell r="X336">
            <v>5.3732392930652964</v>
          </cell>
          <cell r="Y336">
            <v>3.5447781101396796</v>
          </cell>
          <cell r="Z336">
            <v>4.0917077555675965</v>
          </cell>
          <cell r="AA336">
            <v>3.9400077539629095</v>
          </cell>
          <cell r="AB336">
            <v>8.5461599999999999E-2</v>
          </cell>
          <cell r="AC336">
            <v>-4.3147830999999988</v>
          </cell>
          <cell r="AD336">
            <v>-3.0706766999999973</v>
          </cell>
          <cell r="AI336">
            <v>0.1492964</v>
          </cell>
        </row>
        <row r="337">
          <cell r="O337">
            <v>4.0383965919702263</v>
          </cell>
          <cell r="P337">
            <v>7.2</v>
          </cell>
          <cell r="Q337">
            <v>4.6950108899878806</v>
          </cell>
          <cell r="W337">
            <v>6.92</v>
          </cell>
          <cell r="X337">
            <v>5.3792519840440356</v>
          </cell>
          <cell r="Y337">
            <v>3.5152103565991211</v>
          </cell>
          <cell r="Z337">
            <v>4.0930770926551352</v>
          </cell>
          <cell r="AA337">
            <v>3.9430370589573154</v>
          </cell>
          <cell r="AB337">
            <v>0</v>
          </cell>
          <cell r="AC337">
            <v>-4.3147830999999988</v>
          </cell>
          <cell r="AD337">
            <v>-3.0706766999999973</v>
          </cell>
          <cell r="AI337">
            <v>0</v>
          </cell>
        </row>
        <row r="338">
          <cell r="O338">
            <v>4.0435423752917146</v>
          </cell>
          <cell r="P338">
            <v>7</v>
          </cell>
          <cell r="Q338">
            <v>4.6959245492565556</v>
          </cell>
          <cell r="W338">
            <v>6.56</v>
          </cell>
          <cell r="X338">
            <v>5.3963511068194023</v>
          </cell>
          <cell r="Y338">
            <v>3.5427258787024258</v>
          </cell>
          <cell r="Z338">
            <v>4.0937610586836843</v>
          </cell>
          <cell r="AA338">
            <v>3.9474866697037152</v>
          </cell>
          <cell r="AB338">
            <v>-0.18628359999999999</v>
          </cell>
          <cell r="AC338">
            <v>-4.5010666999999991</v>
          </cell>
          <cell r="AD338">
            <v>-3.2408856999999971</v>
          </cell>
          <cell r="AI338">
            <v>-0.23301759999999999</v>
          </cell>
        </row>
        <row r="339">
          <cell r="O339">
            <v>4.0424967281409199</v>
          </cell>
          <cell r="P339">
            <v>6.9</v>
          </cell>
          <cell r="Q339">
            <v>4.6968373745139154</v>
          </cell>
          <cell r="W339">
            <v>6.17</v>
          </cell>
          <cell r="X339">
            <v>5.3461070303838847</v>
          </cell>
          <cell r="Y339">
            <v>3.5838244473390741</v>
          </cell>
          <cell r="Z339">
            <v>4.0893320203985564</v>
          </cell>
          <cell r="AA339">
            <v>3.9475638793472378</v>
          </cell>
          <cell r="AB339">
            <v>-0.2269864</v>
          </cell>
          <cell r="AC339">
            <v>-4.7280530999999995</v>
          </cell>
          <cell r="AD339">
            <v>-3.474029099999997</v>
          </cell>
          <cell r="AI339">
            <v>-0.1747003</v>
          </cell>
        </row>
        <row r="340">
          <cell r="O340">
            <v>4.044304867714688</v>
          </cell>
          <cell r="P340">
            <v>7</v>
          </cell>
          <cell r="Q340">
            <v>4.7004803657924166</v>
          </cell>
          <cell r="W340">
            <v>5.89</v>
          </cell>
          <cell r="X340">
            <v>5.3623244965223291</v>
          </cell>
          <cell r="Y340">
            <v>3.6963514689526371</v>
          </cell>
          <cell r="Z340">
            <v>4.0922924580959696</v>
          </cell>
          <cell r="AA340">
            <v>3.9533760589116249</v>
          </cell>
          <cell r="AB340">
            <v>2.29667E-2</v>
          </cell>
          <cell r="AC340">
            <v>-4.7050863999999999</v>
          </cell>
          <cell r="AD340">
            <v>-3.4738813999999971</v>
          </cell>
          <cell r="AI340">
            <v>6.6095399999999999E-2</v>
          </cell>
        </row>
        <row r="341">
          <cell r="O341">
            <v>4.0488781183696201</v>
          </cell>
          <cell r="P341">
            <v>7</v>
          </cell>
          <cell r="Q341">
            <v>4.7022968967188143</v>
          </cell>
          <cell r="W341">
            <v>5.85</v>
          </cell>
          <cell r="X341">
            <v>5.4051517954618635</v>
          </cell>
          <cell r="Y341">
            <v>3.5824350178930726</v>
          </cell>
          <cell r="Z341">
            <v>4.1008069691497555</v>
          </cell>
          <cell r="AA341">
            <v>3.9543542604415842</v>
          </cell>
          <cell r="AB341">
            <v>0</v>
          </cell>
          <cell r="AC341">
            <v>-4.7050863999999999</v>
          </cell>
          <cell r="AD341">
            <v>-3.4738813999999971</v>
          </cell>
          <cell r="AI341">
            <v>0</v>
          </cell>
        </row>
        <row r="342">
          <cell r="O342">
            <v>4.0533784600966216</v>
          </cell>
          <cell r="P342">
            <v>6.9</v>
          </cell>
          <cell r="Q342">
            <v>4.7041101338429954</v>
          </cell>
          <cell r="W342">
            <v>6.04</v>
          </cell>
          <cell r="X342">
            <v>5.4259627203837066</v>
          </cell>
          <cell r="Y342">
            <v>3.5446914813008847</v>
          </cell>
          <cell r="Z342">
            <v>4.0960264803378443</v>
          </cell>
          <cell r="AA342">
            <v>3.9603940341535409</v>
          </cell>
          <cell r="AB342">
            <v>3.2433400000000001E-2</v>
          </cell>
          <cell r="AC342">
            <v>-4.6726529999999995</v>
          </cell>
          <cell r="AD342">
            <v>-3.4553678999999971</v>
          </cell>
          <cell r="AI342">
            <v>0.11308849999999999</v>
          </cell>
        </row>
        <row r="343">
          <cell r="O343">
            <v>4.0619350004240546</v>
          </cell>
          <cell r="P343">
            <v>6.6</v>
          </cell>
          <cell r="Q343">
            <v>4.7077267743131834</v>
          </cell>
          <cell r="W343">
            <v>6.91</v>
          </cell>
          <cell r="X343">
            <v>5.4290824364275894</v>
          </cell>
          <cell r="Y343">
            <v>3.651281423698618</v>
          </cell>
          <cell r="Z343">
            <v>4.102858217987305</v>
          </cell>
          <cell r="AA343">
            <v>3.967646909176143</v>
          </cell>
          <cell r="AB343">
            <v>-4.7249399999999997E-2</v>
          </cell>
          <cell r="AC343">
            <v>-4.7199023999999996</v>
          </cell>
          <cell r="AD343">
            <v>-3.5365834999999972</v>
          </cell>
          <cell r="AI343">
            <v>0.15536730000000001</v>
          </cell>
        </row>
        <row r="344">
          <cell r="O344">
            <v>4.0588227330883226</v>
          </cell>
          <cell r="P344">
            <v>6.6</v>
          </cell>
          <cell r="Q344">
            <v>4.7131273274931837</v>
          </cell>
          <cell r="W344">
            <v>6.43</v>
          </cell>
          <cell r="X344">
            <v>5.4379053807550903</v>
          </cell>
          <cell r="Y344">
            <v>3.4884753897692158</v>
          </cell>
          <cell r="Z344">
            <v>4.0900855053017171</v>
          </cell>
          <cell r="AA344">
            <v>3.9686868525456878</v>
          </cell>
          <cell r="AB344">
            <v>0</v>
          </cell>
          <cell r="AC344">
            <v>-4.7199023999999996</v>
          </cell>
          <cell r="AD344">
            <v>-3.5365834999999972</v>
          </cell>
          <cell r="AI344">
            <v>0</v>
          </cell>
        </row>
        <row r="345">
          <cell r="O345">
            <v>4.0715176664325714</v>
          </cell>
          <cell r="P345">
            <v>6.6</v>
          </cell>
          <cell r="Q345">
            <v>4.7167115607209986</v>
          </cell>
          <cell r="W345">
            <v>6.1</v>
          </cell>
          <cell r="X345">
            <v>5.4212427133853351</v>
          </cell>
          <cell r="Y345">
            <v>3.5531742719485613</v>
          </cell>
          <cell r="Z345">
            <v>4.109610771725829</v>
          </cell>
          <cell r="AA345">
            <v>3.9765552765461858</v>
          </cell>
          <cell r="AB345">
            <v>0.19712769999999999</v>
          </cell>
          <cell r="AC345">
            <v>-4.5227746999999994</v>
          </cell>
          <cell r="AD345">
            <v>-3.3598811999999971</v>
          </cell>
          <cell r="AI345">
            <v>9.8405900000000004E-2</v>
          </cell>
        </row>
        <row r="346">
          <cell r="O346">
            <v>4.0732928551504797</v>
          </cell>
          <cell r="P346">
            <v>6.6</v>
          </cell>
          <cell r="Q346">
            <v>4.7202829930885963</v>
          </cell>
          <cell r="W346">
            <v>6.13</v>
          </cell>
          <cell r="X346">
            <v>5.4240685718535975</v>
          </cell>
          <cell r="Y346">
            <v>3.5548622292063055</v>
          </cell>
          <cell r="Z346">
            <v>4.1037997209928561</v>
          </cell>
          <cell r="AA346">
            <v>3.9808958697145216</v>
          </cell>
          <cell r="AB346">
            <v>0.24030889999999999</v>
          </cell>
          <cell r="AC346">
            <v>-4.2824657999999998</v>
          </cell>
          <cell r="AD346">
            <v>-3.1667833999999973</v>
          </cell>
          <cell r="AI346">
            <v>0.2379125</v>
          </cell>
        </row>
        <row r="347">
          <cell r="O347">
            <v>4.0795049985254384</v>
          </cell>
          <cell r="P347">
            <v>6.3</v>
          </cell>
          <cell r="Q347">
            <v>4.7247294210457307</v>
          </cell>
          <cell r="W347">
            <v>6.37</v>
          </cell>
          <cell r="X347">
            <v>5.4504803579451444</v>
          </cell>
          <cell r="Y347">
            <v>3.5716712532083954</v>
          </cell>
          <cell r="Z347">
            <v>4.1077378043330963</v>
          </cell>
          <cell r="AA347">
            <v>3.9832267644344781</v>
          </cell>
          <cell r="AB347">
            <v>0</v>
          </cell>
          <cell r="AC347">
            <v>-4.2824657999999998</v>
          </cell>
          <cell r="AD347">
            <v>-3.1667833999999973</v>
          </cell>
          <cell r="AI347">
            <v>0</v>
          </cell>
        </row>
        <row r="348">
          <cell r="O348">
            <v>4.0859107641848498</v>
          </cell>
          <cell r="P348">
            <v>6.3</v>
          </cell>
          <cell r="Q348">
            <v>4.7273878187123408</v>
          </cell>
          <cell r="W348">
            <v>6.85</v>
          </cell>
          <cell r="X348">
            <v>5.5127026761883471</v>
          </cell>
          <cell r="Y348">
            <v>3.5614437308042524</v>
          </cell>
          <cell r="Z348">
            <v>4.1098241330704868</v>
          </cell>
          <cell r="AA348">
            <v>3.9859052378188506</v>
          </cell>
          <cell r="AB348">
            <v>0.26128970000000001</v>
          </cell>
          <cell r="AC348">
            <v>-4.0211760999999999</v>
          </cell>
          <cell r="AD348">
            <v>-2.9264690999999972</v>
          </cell>
          <cell r="AI348">
            <v>0.31301639999999997</v>
          </cell>
        </row>
        <row r="349">
          <cell r="O349">
            <v>4.0906293359746195</v>
          </cell>
          <cell r="P349">
            <v>6.2</v>
          </cell>
          <cell r="Q349">
            <v>4.7318028369214575</v>
          </cell>
          <cell r="W349">
            <v>6.73</v>
          </cell>
          <cell r="X349">
            <v>5.5225403350818105</v>
          </cell>
          <cell r="Y349">
            <v>3.5852396793541765</v>
          </cell>
          <cell r="Z349">
            <v>4.1088718615026378</v>
          </cell>
          <cell r="AA349">
            <v>3.9877981584917048</v>
          </cell>
          <cell r="AB349">
            <v>0</v>
          </cell>
          <cell r="AC349">
            <v>-4.0211760999999999</v>
          </cell>
          <cell r="AD349">
            <v>-2.9264690999999972</v>
          </cell>
          <cell r="AI349">
            <v>0</v>
          </cell>
        </row>
        <row r="350">
          <cell r="O350">
            <v>4.0975344690551632</v>
          </cell>
          <cell r="P350">
            <v>6.1</v>
          </cell>
          <cell r="Q350">
            <v>4.7344425216922303</v>
          </cell>
          <cell r="W350">
            <v>6.58</v>
          </cell>
          <cell r="X350">
            <v>5.535521601510581</v>
          </cell>
          <cell r="Y350">
            <v>3.5978874376081786</v>
          </cell>
          <cell r="Z350">
            <v>4.1093973648483928</v>
          </cell>
          <cell r="AA350">
            <v>3.9927178081338024</v>
          </cell>
          <cell r="AB350">
            <v>-3.2252999999999997E-2</v>
          </cell>
          <cell r="AC350">
            <v>-4.0534290999999998</v>
          </cell>
          <cell r="AD350">
            <v>-2.9667387999999972</v>
          </cell>
          <cell r="AI350">
            <v>-1.29093E-2</v>
          </cell>
        </row>
        <row r="351">
          <cell r="O351">
            <v>4.1058135413252508</v>
          </cell>
          <cell r="P351">
            <v>6</v>
          </cell>
          <cell r="Q351">
            <v>4.7388265708007653</v>
          </cell>
          <cell r="W351">
            <v>6.73</v>
          </cell>
          <cell r="X351">
            <v>5.5334290136381004</v>
          </cell>
          <cell r="Y351">
            <v>3.6315680874008227</v>
          </cell>
          <cell r="Z351">
            <v>4.1108410767505639</v>
          </cell>
          <cell r="AA351">
            <v>3.9966949814853447</v>
          </cell>
          <cell r="AB351">
            <v>-9.3600999999999997E-3</v>
          </cell>
          <cell r="AC351">
            <v>-4.0627892000000001</v>
          </cell>
          <cell r="AD351">
            <v>-2.9867621999999971</v>
          </cell>
          <cell r="AI351">
            <v>-5.3935999999999998E-2</v>
          </cell>
        </row>
        <row r="352">
          <cell r="O352">
            <v>4.1081554184472884</v>
          </cell>
          <cell r="P352">
            <v>5.9</v>
          </cell>
          <cell r="Q352">
            <v>4.7423200241353252</v>
          </cell>
          <cell r="W352">
            <v>7.22</v>
          </cell>
          <cell r="X352">
            <v>5.5441613033830226</v>
          </cell>
          <cell r="Y352">
            <v>3.6102420085968636</v>
          </cell>
          <cell r="Z352">
            <v>4.1086090062358052</v>
          </cell>
          <cell r="AA352">
            <v>3.995094966431223</v>
          </cell>
          <cell r="AB352">
            <v>-0.1332063</v>
          </cell>
          <cell r="AC352">
            <v>-4.1959955000000004</v>
          </cell>
          <cell r="AD352">
            <v>-3.1339328999999969</v>
          </cell>
          <cell r="AI352">
            <v>-0.14601729999999999</v>
          </cell>
        </row>
        <row r="353">
          <cell r="O353">
            <v>4.1226274699501539</v>
          </cell>
          <cell r="P353">
            <v>6</v>
          </cell>
          <cell r="Q353">
            <v>4.7449321283632502</v>
          </cell>
          <cell r="W353">
            <v>7.29</v>
          </cell>
          <cell r="X353">
            <v>5.5448258201669791</v>
          </cell>
          <cell r="Y353">
            <v>3.5702085243962576</v>
          </cell>
          <cell r="Z353">
            <v>4.1088554350725115</v>
          </cell>
          <cell r="AA353">
            <v>4.0035259468895168</v>
          </cell>
          <cell r="AB353">
            <v>0</v>
          </cell>
          <cell r="AC353">
            <v>-4.1959955000000004</v>
          </cell>
          <cell r="AD353">
            <v>-3.1339328999999969</v>
          </cell>
          <cell r="AI353">
            <v>0</v>
          </cell>
        </row>
        <row r="354">
          <cell r="O354">
            <v>4.1277841738865888</v>
          </cell>
          <cell r="P354">
            <v>5.8</v>
          </cell>
          <cell r="Q354">
            <v>4.7484043540739993</v>
          </cell>
          <cell r="W354">
            <v>6.69</v>
          </cell>
          <cell r="X354">
            <v>5.5353243745213998</v>
          </cell>
          <cell r="Y354">
            <v>3.579399353495115</v>
          </cell>
          <cell r="Z354">
            <v>4.1098077222754661</v>
          </cell>
          <cell r="AA354">
            <v>4.0028686887277223</v>
          </cell>
          <cell r="AB354">
            <v>-5.9647699999999998E-2</v>
          </cell>
          <cell r="AC354">
            <v>-4.2556432000000006</v>
          </cell>
          <cell r="AD354">
            <v>-3.2182885999999971</v>
          </cell>
          <cell r="AI354">
            <v>-8.4083099999999994E-2</v>
          </cell>
        </row>
        <row r="355">
          <cell r="O355">
            <v>4.1326578124733908</v>
          </cell>
          <cell r="P355">
            <v>5.7</v>
          </cell>
          <cell r="Q355">
            <v>4.7501359562382772</v>
          </cell>
          <cell r="W355">
            <v>6.77</v>
          </cell>
          <cell r="X355">
            <v>5.5431049859201176</v>
          </cell>
          <cell r="Y355">
            <v>3.6078320752606143</v>
          </cell>
          <cell r="Z355">
            <v>4.1138693731531095</v>
          </cell>
          <cell r="AA355">
            <v>4.0070967936578201</v>
          </cell>
          <cell r="AB355">
            <v>-0.1259441</v>
          </cell>
          <cell r="AC355">
            <v>-4.3815873000000005</v>
          </cell>
          <cell r="AD355">
            <v>-3.3979257999999972</v>
          </cell>
          <cell r="AI355">
            <v>-3.8429999999999999E-2</v>
          </cell>
        </row>
        <row r="356">
          <cell r="O356">
            <v>4.1331789828253029</v>
          </cell>
          <cell r="P356">
            <v>5.7</v>
          </cell>
          <cell r="Q356">
            <v>4.7535901911063645</v>
          </cell>
          <cell r="W356">
            <v>6.83</v>
          </cell>
          <cell r="X356">
            <v>5.5635620938808819</v>
          </cell>
          <cell r="Y356">
            <v>3.6327058493079929</v>
          </cell>
          <cell r="Z356">
            <v>4.1130845335961537</v>
          </cell>
          <cell r="AA356">
            <v>4.0158603616674</v>
          </cell>
          <cell r="AB356">
            <v>0</v>
          </cell>
          <cell r="AC356">
            <v>-4.3815873000000005</v>
          </cell>
          <cell r="AD356">
            <v>-3.3979257999999972</v>
          </cell>
          <cell r="AI356">
            <v>0</v>
          </cell>
        </row>
        <row r="357">
          <cell r="O357">
            <v>4.1375557004642607</v>
          </cell>
          <cell r="P357">
            <v>5.7</v>
          </cell>
          <cell r="Q357">
            <v>4.7553128444178112</v>
          </cell>
          <cell r="W357">
            <v>6.58</v>
          </cell>
          <cell r="X357">
            <v>5.5565963746305016</v>
          </cell>
          <cell r="Y357">
            <v>3.629686619301117</v>
          </cell>
          <cell r="Z357">
            <v>4.11622020273954</v>
          </cell>
          <cell r="AA357">
            <v>4.0169234152535163</v>
          </cell>
          <cell r="AB357">
            <v>-0.17396619999999999</v>
          </cell>
          <cell r="AC357">
            <v>-4.5555535000000003</v>
          </cell>
          <cell r="AD357">
            <v>-3.6214115999999974</v>
          </cell>
          <cell r="AI357">
            <v>-0.109303</v>
          </cell>
        </row>
        <row r="358">
          <cell r="O358">
            <v>4.1397846767918578</v>
          </cell>
          <cell r="P358">
            <v>5.7</v>
          </cell>
          <cell r="Q358">
            <v>4.7578912730057557</v>
          </cell>
          <cell r="W358">
            <v>6.58</v>
          </cell>
          <cell r="X358">
            <v>5.5545087719084467</v>
          </cell>
          <cell r="Y358">
            <v>3.6341328354388343</v>
          </cell>
          <cell r="Z358">
            <v>4.1352465535425269</v>
          </cell>
          <cell r="AA358">
            <v>4.0220426504666955</v>
          </cell>
          <cell r="AB358">
            <v>8.6341899999999999E-2</v>
          </cell>
          <cell r="AC358">
            <v>-4.4692116000000004</v>
          </cell>
          <cell r="AD358">
            <v>-3.6026672999999976</v>
          </cell>
          <cell r="AI358">
            <v>0.1186012</v>
          </cell>
        </row>
        <row r="359">
          <cell r="O359">
            <v>4.1451248083562335</v>
          </cell>
          <cell r="P359">
            <v>5.4</v>
          </cell>
          <cell r="Q359">
            <v>4.7638818771429126</v>
          </cell>
          <cell r="W359">
            <v>6.87</v>
          </cell>
          <cell r="X359">
            <v>5.5690694317769722</v>
          </cell>
          <cell r="Y359">
            <v>3.6226862313791375</v>
          </cell>
          <cell r="Z359">
            <v>4.1265697095168372</v>
          </cell>
          <cell r="AA359">
            <v>4.0217380264510085</v>
          </cell>
          <cell r="AB359">
            <v>0</v>
          </cell>
          <cell r="AC359">
            <v>-4.4692116000000004</v>
          </cell>
          <cell r="AD359">
            <v>-3.6026672999999976</v>
          </cell>
          <cell r="AI359">
            <v>0</v>
          </cell>
        </row>
        <row r="360">
          <cell r="O360">
            <v>4.1440200486638066</v>
          </cell>
          <cell r="P360">
            <v>5.6</v>
          </cell>
          <cell r="Q360">
            <v>4.7664383335842135</v>
          </cell>
          <cell r="W360">
            <v>7.09</v>
          </cell>
          <cell r="X360">
            <v>5.5924411465792936</v>
          </cell>
          <cell r="Y360">
            <v>3.6360059645068681</v>
          </cell>
          <cell r="Z360">
            <v>4.1309175424529405</v>
          </cell>
          <cell r="AA360">
            <v>4.0273318717391602</v>
          </cell>
          <cell r="AB360">
            <v>0.2279987</v>
          </cell>
          <cell r="AC360">
            <v>-4.2412129000000007</v>
          </cell>
          <cell r="AD360">
            <v>-3.4118375999999975</v>
          </cell>
          <cell r="AI360">
            <v>0.13969670000000001</v>
          </cell>
        </row>
        <row r="361">
          <cell r="O361">
            <v>4.1466270338791293</v>
          </cell>
          <cell r="P361">
            <v>5.4</v>
          </cell>
          <cell r="Q361">
            <v>4.7706846244656651</v>
          </cell>
          <cell r="W361">
            <v>7.51</v>
          </cell>
          <cell r="X361">
            <v>5.6381055279803309</v>
          </cell>
          <cell r="Y361">
            <v>3.6388222375725658</v>
          </cell>
          <cell r="Z361">
            <v>4.130965745677746</v>
          </cell>
          <cell r="AA361">
            <v>4.031937102093484</v>
          </cell>
          <cell r="AB361">
            <v>0.3521378</v>
          </cell>
          <cell r="AC361">
            <v>-3.8890751000000008</v>
          </cell>
          <cell r="AD361">
            <v>-3.1017034999999975</v>
          </cell>
          <cell r="AI361">
            <v>0.18000260000000001</v>
          </cell>
        </row>
        <row r="362">
          <cell r="O362">
            <v>4.14725005631702</v>
          </cell>
          <cell r="P362">
            <v>5.4</v>
          </cell>
          <cell r="Q362">
            <v>4.7749129605751861</v>
          </cell>
          <cell r="W362">
            <v>7.75</v>
          </cell>
          <cell r="X362">
            <v>5.6404876242838871</v>
          </cell>
          <cell r="Y362">
            <v>3.6266316406344092</v>
          </cell>
          <cell r="Z362">
            <v>4.1315761188274278</v>
          </cell>
          <cell r="AA362">
            <v>4.038250287867192</v>
          </cell>
          <cell r="AB362">
            <v>0</v>
          </cell>
          <cell r="AC362">
            <v>-3.8890751000000008</v>
          </cell>
          <cell r="AD362">
            <v>-3.1017034999999975</v>
          </cell>
          <cell r="AI362">
            <v>0</v>
          </cell>
        </row>
        <row r="363">
          <cell r="O363">
            <v>4.1517058258570083</v>
          </cell>
          <cell r="P363">
            <v>5.6</v>
          </cell>
          <cell r="Q363">
            <v>4.7791234931115296</v>
          </cell>
          <cell r="W363">
            <v>8.01</v>
          </cell>
          <cell r="X363">
            <v>5.6327876004985766</v>
          </cell>
          <cell r="Y363">
            <v>3.6198776540156965</v>
          </cell>
          <cell r="Z363">
            <v>4.1388238606457035</v>
          </cell>
          <cell r="AA363">
            <v>4.0441383959947821</v>
          </cell>
          <cell r="AB363">
            <v>-0.16206129999999999</v>
          </cell>
          <cell r="AC363">
            <v>-4.0511364000000007</v>
          </cell>
          <cell r="AD363">
            <v>-3.2810511999999976</v>
          </cell>
          <cell r="AI363">
            <v>-0.17244619999999999</v>
          </cell>
        </row>
        <row r="364">
          <cell r="O364">
            <v>4.1488785166607673</v>
          </cell>
          <cell r="P364">
            <v>5.4</v>
          </cell>
          <cell r="Q364">
            <v>4.7833163713715656</v>
          </cell>
          <cell r="W364">
            <v>8.19</v>
          </cell>
          <cell r="X364">
            <v>5.6178977354990316</v>
          </cell>
          <cell r="Y364">
            <v>3.6116473762506724</v>
          </cell>
          <cell r="Z364">
            <v>4.1386644320374968</v>
          </cell>
          <cell r="AA364">
            <v>4.0414710726150327</v>
          </cell>
          <cell r="AB364">
            <v>-4.8395100000000003E-2</v>
          </cell>
          <cell r="AC364">
            <v>-4.0995315000000003</v>
          </cell>
          <cell r="AD364">
            <v>-3.3481918999999976</v>
          </cell>
          <cell r="AI364">
            <v>-4.0696200000000002E-2</v>
          </cell>
        </row>
        <row r="365">
          <cell r="O365">
            <v>4.1537103528272041</v>
          </cell>
          <cell r="P365">
            <v>5.4</v>
          </cell>
          <cell r="Q365">
            <v>4.7866580620334682</v>
          </cell>
          <cell r="W365">
            <v>8.3000000000000007</v>
          </cell>
          <cell r="X365">
            <v>5.6138577671282137</v>
          </cell>
          <cell r="Y365">
            <v>3.628784379562596</v>
          </cell>
          <cell r="Z365">
            <v>4.1457503502820003</v>
          </cell>
          <cell r="AA365">
            <v>4.0481435433213866</v>
          </cell>
          <cell r="AB365">
            <v>0</v>
          </cell>
          <cell r="AC365">
            <v>-4.0995315000000003</v>
          </cell>
          <cell r="AD365">
            <v>-3.3481918999999976</v>
          </cell>
          <cell r="AI365">
            <v>0</v>
          </cell>
        </row>
        <row r="366">
          <cell r="O366">
            <v>4.1553330394037706</v>
          </cell>
          <cell r="P366">
            <v>5.3</v>
          </cell>
          <cell r="Q366">
            <v>4.7899886229806334</v>
          </cell>
          <cell r="W366">
            <v>8.35</v>
          </cell>
          <cell r="X366">
            <v>5.6112650581222923</v>
          </cell>
          <cell r="Y366">
            <v>3.6359005293230497</v>
          </cell>
          <cell r="Z366">
            <v>4.1494480884481248</v>
          </cell>
          <cell r="AA366">
            <v>4.049137969384021</v>
          </cell>
          <cell r="AB366">
            <v>-3.0347900000000001E-2</v>
          </cell>
          <cell r="AC366">
            <v>-4.1298794000000001</v>
          </cell>
          <cell r="AD366">
            <v>-3.3586228999999976</v>
          </cell>
          <cell r="AI366">
            <v>-9.9535299999999993E-2</v>
          </cell>
        </row>
        <row r="367">
          <cell r="O367">
            <v>4.1600152547117464</v>
          </cell>
          <cell r="P367">
            <v>5.3</v>
          </cell>
          <cell r="Q367">
            <v>4.7933081281034857</v>
          </cell>
          <cell r="W367">
            <v>8.76</v>
          </cell>
          <cell r="X367">
            <v>5.6372864833678369</v>
          </cell>
          <cell r="Y367">
            <v>3.6697730843741998</v>
          </cell>
          <cell r="Z367">
            <v>4.1449901468909927</v>
          </cell>
          <cell r="AA367">
            <v>4.0521153280043638</v>
          </cell>
          <cell r="AB367">
            <v>0.44168629999999998</v>
          </cell>
          <cell r="AC367">
            <v>-3.6881931000000003</v>
          </cell>
          <cell r="AD367">
            <v>-2.9168138999999975</v>
          </cell>
          <cell r="AI367">
            <v>0.354271</v>
          </cell>
        </row>
        <row r="368">
          <cell r="O368">
            <v>4.1631116304396345</v>
          </cell>
          <cell r="P368">
            <v>5.4</v>
          </cell>
          <cell r="Q368">
            <v>4.7974420736352137</v>
          </cell>
          <cell r="W368">
            <v>9.1199999999999992</v>
          </cell>
          <cell r="X368">
            <v>5.6472473959143228</v>
          </cell>
          <cell r="Y368">
            <v>3.6598367686612057</v>
          </cell>
          <cell r="Z368">
            <v>4.1561919655481807</v>
          </cell>
          <cell r="AA368">
            <v>4.0525672504204548</v>
          </cell>
          <cell r="AB368">
            <v>0</v>
          </cell>
          <cell r="AC368">
            <v>-3.6881931000000003</v>
          </cell>
          <cell r="AD368">
            <v>-2.9168138999999975</v>
          </cell>
          <cell r="AI368">
            <v>0</v>
          </cell>
        </row>
        <row r="369">
          <cell r="O369">
            <v>4.1584533035175451</v>
          </cell>
          <cell r="P369">
            <v>5.2</v>
          </cell>
          <cell r="Q369">
            <v>4.8007369695320667</v>
          </cell>
          <cell r="W369">
            <v>9.36</v>
          </cell>
          <cell r="X369">
            <v>5.6548723032861927</v>
          </cell>
          <cell r="Y369">
            <v>3.6283329542459026</v>
          </cell>
          <cell r="Z369">
            <v>4.1497161955348547</v>
          </cell>
          <cell r="AA369">
            <v>4.0591663338724882</v>
          </cell>
          <cell r="AB369">
            <v>0.27000659999999999</v>
          </cell>
          <cell r="AC369">
            <v>-3.4181865000000005</v>
          </cell>
          <cell r="AD369">
            <v>-2.6195515999999976</v>
          </cell>
          <cell r="AI369">
            <v>8.4336099999999997E-2</v>
          </cell>
        </row>
        <row r="370">
          <cell r="O370">
            <v>4.160952814986687</v>
          </cell>
          <cell r="P370">
            <v>5</v>
          </cell>
          <cell r="Q370">
            <v>4.8056590467374951</v>
          </cell>
          <cell r="W370">
            <v>9.85</v>
          </cell>
          <cell r="X370">
            <v>5.661466308862253</v>
          </cell>
          <cell r="Y370">
            <v>3.6331024386449378</v>
          </cell>
          <cell r="Z370">
            <v>4.1478221360002472</v>
          </cell>
          <cell r="AA370">
            <v>4.0578188808726505</v>
          </cell>
          <cell r="AB370">
            <v>5.2209800000000001E-2</v>
          </cell>
          <cell r="AC370">
            <v>-3.3659767000000005</v>
          </cell>
          <cell r="AD370">
            <v>-2.5605745999999976</v>
          </cell>
          <cell r="AI370">
            <v>-0.1092558</v>
          </cell>
        </row>
        <row r="371">
          <cell r="O371">
            <v>4.1620499385761134</v>
          </cell>
          <cell r="P371">
            <v>5.2</v>
          </cell>
          <cell r="Q371">
            <v>4.8129970331904079</v>
          </cell>
          <cell r="W371">
            <v>9.84</v>
          </cell>
          <cell r="X371">
            <v>5.6510495480039973</v>
          </cell>
          <cell r="Y371">
            <v>3.6685747007735721</v>
          </cell>
          <cell r="Z371">
            <v>4.149243016869538</v>
          </cell>
          <cell r="AA371">
            <v>4.058838275371536</v>
          </cell>
          <cell r="AB371">
            <v>0</v>
          </cell>
          <cell r="AC371">
            <v>-3.3659767000000005</v>
          </cell>
          <cell r="AD371">
            <v>-2.5605745999999976</v>
          </cell>
          <cell r="AI371">
            <v>0</v>
          </cell>
        </row>
        <row r="372">
          <cell r="O372">
            <v>4.1545879349017305</v>
          </cell>
          <cell r="P372">
            <v>5.2</v>
          </cell>
          <cell r="Q372">
            <v>4.8178592793984425</v>
          </cell>
          <cell r="W372">
            <v>9.81</v>
          </cell>
          <cell r="X372">
            <v>5.6458355147013517</v>
          </cell>
          <cell r="Y372">
            <v>3.6423642003724677</v>
          </cell>
          <cell r="Z372">
            <v>4.1534307463479374</v>
          </cell>
          <cell r="AA372">
            <v>4.0612013436288468</v>
          </cell>
          <cell r="AB372">
            <v>0.14027519999999999</v>
          </cell>
          <cell r="AC372">
            <v>-3.2257015000000004</v>
          </cell>
          <cell r="AD372">
            <v>-2.4081094999999975</v>
          </cell>
          <cell r="AI372">
            <v>2.06159E-2</v>
          </cell>
        </row>
        <row r="373">
          <cell r="O373">
            <v>4.1552060187360826</v>
          </cell>
          <cell r="P373">
            <v>5.3</v>
          </cell>
          <cell r="Q373">
            <v>4.8210876922105612</v>
          </cell>
          <cell r="W373">
            <v>9.5299999999999994</v>
          </cell>
          <cell r="X373">
            <v>5.6386749027510596</v>
          </cell>
          <cell r="Y373">
            <v>3.6502425704990182</v>
          </cell>
          <cell r="Z373">
            <v>4.155612114569303</v>
          </cell>
          <cell r="AA373">
            <v>4.0618213705165402</v>
          </cell>
          <cell r="AB373">
            <v>0</v>
          </cell>
          <cell r="AC373">
            <v>-3.2257015000000004</v>
          </cell>
          <cell r="AD373">
            <v>-2.4081094999999975</v>
          </cell>
          <cell r="AI373">
            <v>0</v>
          </cell>
        </row>
        <row r="374">
          <cell r="O374">
            <v>4.1458754117245338</v>
          </cell>
          <cell r="P374">
            <v>5.2</v>
          </cell>
          <cell r="Q374">
            <v>4.824305715904762</v>
          </cell>
          <cell r="W374">
            <v>9.24</v>
          </cell>
          <cell r="X374">
            <v>5.6347896031692493</v>
          </cell>
          <cell r="Y374">
            <v>3.6597080768136565</v>
          </cell>
          <cell r="Z374">
            <v>4.1550162417548329</v>
          </cell>
          <cell r="AA374">
            <v>4.0650358953607606</v>
          </cell>
          <cell r="AB374">
            <v>5.9045500000000001E-2</v>
          </cell>
          <cell r="AC374">
            <v>-3.1666560000000006</v>
          </cell>
          <cell r="AD374">
            <v>-2.3326723999999976</v>
          </cell>
          <cell r="AI374">
            <v>-0.12549879999999999</v>
          </cell>
        </row>
        <row r="375">
          <cell r="O375">
            <v>4.1546459945635412</v>
          </cell>
          <cell r="P375">
            <v>5.2</v>
          </cell>
          <cell r="Q375">
            <v>4.824305715904762</v>
          </cell>
          <cell r="W375">
            <v>8.99</v>
          </cell>
          <cell r="X375">
            <v>5.6222831510770641</v>
          </cell>
          <cell r="Y375">
            <v>3.7019930932593192</v>
          </cell>
          <cell r="Z375">
            <v>4.1635907349589152</v>
          </cell>
          <cell r="AA375">
            <v>4.0674871080522177</v>
          </cell>
          <cell r="AB375">
            <v>-0.1225097</v>
          </cell>
          <cell r="AC375">
            <v>-3.2891657000000007</v>
          </cell>
          <cell r="AD375">
            <v>-2.4722291999999975</v>
          </cell>
          <cell r="AI375">
            <v>-8.3044699999999999E-2</v>
          </cell>
        </row>
        <row r="376">
          <cell r="O376">
            <v>4.1515610299324459</v>
          </cell>
          <cell r="P376">
            <v>5.3</v>
          </cell>
          <cell r="Q376">
            <v>4.8267124559353274</v>
          </cell>
          <cell r="W376">
            <v>9.02</v>
          </cell>
          <cell r="X376">
            <v>5.6165528920432743</v>
          </cell>
          <cell r="Y376">
            <v>3.6661991903907158</v>
          </cell>
          <cell r="Z376">
            <v>4.169575712898415</v>
          </cell>
          <cell r="AA376">
            <v>4.070256766693011</v>
          </cell>
          <cell r="AB376">
            <v>0</v>
          </cell>
          <cell r="AC376">
            <v>-3.2891657000000007</v>
          </cell>
          <cell r="AD376">
            <v>-2.4722291999999975</v>
          </cell>
          <cell r="AI376">
            <v>0</v>
          </cell>
        </row>
        <row r="377">
          <cell r="O377">
            <v>4.1505705044084191</v>
          </cell>
          <cell r="P377">
            <v>5.3</v>
          </cell>
          <cell r="Q377">
            <v>4.8315086281988204</v>
          </cell>
          <cell r="W377">
            <v>8.84</v>
          </cell>
          <cell r="X377">
            <v>5.6143317612668531</v>
          </cell>
          <cell r="Y377">
            <v>3.6503465043971524</v>
          </cell>
          <cell r="Z377">
            <v>4.1658897293851966</v>
          </cell>
          <cell r="AA377">
            <v>4.074294904416397</v>
          </cell>
          <cell r="AB377">
            <v>-6.2634999999999996E-2</v>
          </cell>
          <cell r="AC377">
            <v>-3.351800700000001</v>
          </cell>
          <cell r="AD377">
            <v>-2.5601526999999975</v>
          </cell>
          <cell r="AI377">
            <v>-3.5728999999999999E-3</v>
          </cell>
        </row>
        <row r="378">
          <cell r="O378">
            <v>4.1539569071532441</v>
          </cell>
          <cell r="P378">
            <v>5.4</v>
          </cell>
          <cell r="Q378">
            <v>4.8354879410503013</v>
          </cell>
          <cell r="W378">
            <v>8.5500000000000007</v>
          </cell>
          <cell r="X378">
            <v>5.5954174499780764</v>
          </cell>
          <cell r="Y378">
            <v>3.6401092897445069</v>
          </cell>
          <cell r="Z378">
            <v>4.1718455810008477</v>
          </cell>
          <cell r="AA378">
            <v>4.074872880157506</v>
          </cell>
          <cell r="AB378">
            <v>0.1344756</v>
          </cell>
          <cell r="AC378">
            <v>-3.2173251000000009</v>
          </cell>
          <cell r="AD378">
            <v>-2.4534743999999975</v>
          </cell>
          <cell r="AI378">
            <v>6.5522800000000006E-2</v>
          </cell>
        </row>
        <row r="379">
          <cell r="O379">
            <v>4.1598810227524758</v>
          </cell>
          <cell r="P379">
            <v>5.4</v>
          </cell>
          <cell r="Q379">
            <v>4.8386600293564452</v>
          </cell>
          <cell r="W379">
            <v>8.4499999999999993</v>
          </cell>
          <cell r="X379">
            <v>5.5676572447519526</v>
          </cell>
          <cell r="Y379">
            <v>3.6453715641370019</v>
          </cell>
          <cell r="Z379">
            <v>4.1842157349837947</v>
          </cell>
          <cell r="AA379">
            <v>4.0820189125314634</v>
          </cell>
          <cell r="AB379">
            <v>-5.1164599999999998E-2</v>
          </cell>
          <cell r="AC379">
            <v>-3.2684897000000008</v>
          </cell>
          <cell r="AD379">
            <v>-2.5209247999999973</v>
          </cell>
          <cell r="AI379">
            <v>-9.3640500000000002E-2</v>
          </cell>
        </row>
        <row r="380">
          <cell r="O380">
            <v>4.1536475267204231</v>
          </cell>
          <cell r="P380">
            <v>5.4</v>
          </cell>
          <cell r="Q380">
            <v>4.8481163645984813</v>
          </cell>
          <cell r="W380">
            <v>8.23</v>
          </cell>
          <cell r="X380">
            <v>5.5620652887041864</v>
          </cell>
          <cell r="Y380">
            <v>3.7294214094268727</v>
          </cell>
          <cell r="Z380">
            <v>4.1686941718458046</v>
          </cell>
          <cell r="AA380">
            <v>4.0778933127802697</v>
          </cell>
          <cell r="AB380">
            <v>0</v>
          </cell>
          <cell r="AC380">
            <v>-3.2684897000000008</v>
          </cell>
          <cell r="AD380">
            <v>-2.5209247999999973</v>
          </cell>
          <cell r="AI380">
            <v>0</v>
          </cell>
        </row>
        <row r="381">
          <cell r="O381">
            <v>4.1630042671041112</v>
          </cell>
          <cell r="P381">
            <v>5.3</v>
          </cell>
          <cell r="Q381">
            <v>4.8520302639196169</v>
          </cell>
          <cell r="W381">
            <v>8.24</v>
          </cell>
          <cell r="X381">
            <v>5.5664342835049778</v>
          </cell>
          <cell r="Y381">
            <v>3.6661480421118444</v>
          </cell>
          <cell r="Z381">
            <v>4.1727089392093557</v>
          </cell>
          <cell r="AA381">
            <v>4.0824912551911003</v>
          </cell>
          <cell r="AB381">
            <v>0.31750050000000002</v>
          </cell>
          <cell r="AC381">
            <v>-2.9509892000000009</v>
          </cell>
          <cell r="AD381">
            <v>-2.2091208999999972</v>
          </cell>
          <cell r="AI381">
            <v>9.8187800000000006E-2</v>
          </cell>
        </row>
        <row r="382">
          <cell r="O382">
            <v>4.1684357485206549</v>
          </cell>
          <cell r="P382">
            <v>5.2</v>
          </cell>
          <cell r="Q382">
            <v>4.8567068118035186</v>
          </cell>
          <cell r="W382">
            <v>8.2799999999999994</v>
          </cell>
          <cell r="X382">
            <v>5.5852991938854242</v>
          </cell>
          <cell r="Y382">
            <v>3.6629717285727512</v>
          </cell>
          <cell r="Z382">
            <v>4.1767230014880026</v>
          </cell>
          <cell r="AA382">
            <v>4.0871688784730047</v>
          </cell>
          <cell r="AB382">
            <v>-7.0355000000000001E-2</v>
          </cell>
          <cell r="AC382">
            <v>-3.021344200000001</v>
          </cell>
          <cell r="AD382">
            <v>-2.3010945999999972</v>
          </cell>
          <cell r="AI382">
            <v>-9.2356800000000003E-2</v>
          </cell>
        </row>
        <row r="383">
          <cell r="O383">
            <v>4.1673889928254777</v>
          </cell>
          <cell r="P383">
            <v>5.4</v>
          </cell>
          <cell r="Q383">
            <v>4.859036909945142</v>
          </cell>
          <cell r="W383">
            <v>8.26</v>
          </cell>
          <cell r="X383">
            <v>5.6099112590461306</v>
          </cell>
          <cell r="Y383">
            <v>3.6669661008020453</v>
          </cell>
          <cell r="Z383">
            <v>4.1716141977134011</v>
          </cell>
          <cell r="AA383">
            <v>4.0915239212853285</v>
          </cell>
          <cell r="AB383">
            <v>0</v>
          </cell>
          <cell r="AC383">
            <v>-3.021344200000001</v>
          </cell>
          <cell r="AD383">
            <v>-2.3010945999999972</v>
          </cell>
          <cell r="AI383">
            <v>0</v>
          </cell>
        </row>
        <row r="384">
          <cell r="O384">
            <v>4.1690283209598604</v>
          </cell>
          <cell r="P384">
            <v>5.4</v>
          </cell>
          <cell r="Q384">
            <v>4.8605872978525966</v>
          </cell>
          <cell r="W384">
            <v>8.18</v>
          </cell>
          <cell r="X384">
            <v>5.623295223743515</v>
          </cell>
          <cell r="Y384">
            <v>3.6457370612170945</v>
          </cell>
          <cell r="Z384">
            <v>4.1723390198167376</v>
          </cell>
          <cell r="AA384">
            <v>4.0947944610024658</v>
          </cell>
          <cell r="AB384">
            <v>4.1160299999999997E-2</v>
          </cell>
          <cell r="AC384">
            <v>-2.980183900000001</v>
          </cell>
          <cell r="AD384">
            <v>-2.2567099999999973</v>
          </cell>
          <cell r="AI384">
            <v>-1.5857900000000001E-2</v>
          </cell>
        </row>
        <row r="385">
          <cell r="O385">
            <v>4.1723868087684037</v>
          </cell>
          <cell r="P385">
            <v>5.2</v>
          </cell>
          <cell r="Q385">
            <v>4.8667649236765538</v>
          </cell>
          <cell r="W385">
            <v>8.2899999999999991</v>
          </cell>
          <cell r="X385">
            <v>5.6240175061873385</v>
          </cell>
          <cell r="Y385">
            <v>3.6462589682772961</v>
          </cell>
          <cell r="Z385">
            <v>4.1774748062383029</v>
          </cell>
          <cell r="AA385">
            <v>4.0976723523147758</v>
          </cell>
          <cell r="AB385">
            <v>0</v>
          </cell>
          <cell r="AC385">
            <v>-2.980183900000001</v>
          </cell>
          <cell r="AD385">
            <v>-2.2567099999999973</v>
          </cell>
          <cell r="AI385">
            <v>0</v>
          </cell>
        </row>
        <row r="386">
          <cell r="O386">
            <v>4.1713472691568638</v>
          </cell>
          <cell r="P386">
            <v>5.5</v>
          </cell>
          <cell r="Q386">
            <v>4.8713732267627483</v>
          </cell>
          <cell r="W386">
            <v>8.15</v>
          </cell>
          <cell r="X386">
            <v>5.6243423631628895</v>
          </cell>
          <cell r="Y386">
            <v>3.6488904458975733</v>
          </cell>
          <cell r="Z386">
            <v>4.1763392097747278</v>
          </cell>
          <cell r="AA386">
            <v>4.101088437755446</v>
          </cell>
          <cell r="AB386">
            <v>-9.7354300000000005E-2</v>
          </cell>
          <cell r="AC386">
            <v>-3.0775382000000011</v>
          </cell>
          <cell r="AD386">
            <v>-2.3229148999999971</v>
          </cell>
          <cell r="AI386">
            <v>-0.19834689999999999</v>
          </cell>
        </row>
        <row r="387">
          <cell r="O387">
            <v>4.1740810691748269</v>
          </cell>
          <cell r="P387">
            <v>5.7</v>
          </cell>
          <cell r="Q387">
            <v>4.8797670188912168</v>
          </cell>
          <cell r="W387">
            <v>8.1300000000000008</v>
          </cell>
          <cell r="X387">
            <v>5.6095816792573743</v>
          </cell>
          <cell r="Y387">
            <v>3.634502462647605</v>
          </cell>
          <cell r="Z387">
            <v>4.1772293811147421</v>
          </cell>
          <cell r="AA387">
            <v>4.1041298629568974</v>
          </cell>
          <cell r="AB387">
            <v>0.1683711</v>
          </cell>
          <cell r="AC387">
            <v>-2.9091671000000012</v>
          </cell>
          <cell r="AD387">
            <v>-2.1720875999999971</v>
          </cell>
          <cell r="AI387">
            <v>0.11820410000000001</v>
          </cell>
        </row>
        <row r="388">
          <cell r="O388">
            <v>4.1759276214064247</v>
          </cell>
          <cell r="P388">
            <v>5.9</v>
          </cell>
          <cell r="Q388">
            <v>4.8865826454262766</v>
          </cell>
          <cell r="W388">
            <v>8.1999999999999993</v>
          </cell>
          <cell r="X388">
            <v>5.6049193238523287</v>
          </cell>
          <cell r="Y388">
            <v>3.6450581745650865</v>
          </cell>
          <cell r="Z388">
            <v>4.172739759649474</v>
          </cell>
          <cell r="AA388">
            <v>4.1029573653203233</v>
          </cell>
          <cell r="AB388">
            <v>0</v>
          </cell>
          <cell r="AC388">
            <v>-2.9091671000000012</v>
          </cell>
          <cell r="AD388">
            <v>-2.1720875999999971</v>
          </cell>
          <cell r="AI388">
            <v>0</v>
          </cell>
        </row>
        <row r="389">
          <cell r="O389">
            <v>4.1682763283762672</v>
          </cell>
          <cell r="P389">
            <v>5.9</v>
          </cell>
          <cell r="Q389">
            <v>4.8933521334815238</v>
          </cell>
          <cell r="W389">
            <v>8.11</v>
          </cell>
          <cell r="X389">
            <v>5.5930743526717794</v>
          </cell>
          <cell r="Y389">
            <v>3.6239141752615773</v>
          </cell>
          <cell r="Z389">
            <v>4.1637773369374376</v>
          </cell>
          <cell r="AA389">
            <v>4.1020646852372389</v>
          </cell>
          <cell r="AB389">
            <v>-9.4208299999999995E-2</v>
          </cell>
          <cell r="AC389">
            <v>-3.0033754000000012</v>
          </cell>
          <cell r="AD389">
            <v>-2.2914647999999973</v>
          </cell>
          <cell r="AI389">
            <v>-0.182533</v>
          </cell>
        </row>
        <row r="390">
          <cell r="O390">
            <v>4.156509957221985</v>
          </cell>
          <cell r="P390">
            <v>6.2</v>
          </cell>
          <cell r="Q390">
            <v>4.8955984841078974</v>
          </cell>
          <cell r="W390">
            <v>7.81</v>
          </cell>
          <cell r="X390">
            <v>5.5662048116716383</v>
          </cell>
          <cell r="Y390">
            <v>3.6178935263806498</v>
          </cell>
          <cell r="Z390">
            <v>4.1706418028444947</v>
          </cell>
          <cell r="AA390">
            <v>4.0989340145559083</v>
          </cell>
          <cell r="AB390">
            <v>5.3754999999999997E-2</v>
          </cell>
          <cell r="AC390">
            <v>-2.9496204000000015</v>
          </cell>
          <cell r="AD390">
            <v>-2.3074552999999973</v>
          </cell>
          <cell r="AI390">
            <v>0.1195102</v>
          </cell>
        </row>
        <row r="391">
          <cell r="O391">
            <v>4.1496610028928087</v>
          </cell>
          <cell r="P391">
            <v>6.3</v>
          </cell>
          <cell r="Q391">
            <v>4.8993312245375815</v>
          </cell>
          <cell r="W391">
            <v>7.31</v>
          </cell>
          <cell r="X391">
            <v>5.5587181662179539</v>
          </cell>
          <cell r="Y391">
            <v>3.6028584955888863</v>
          </cell>
          <cell r="Z391">
            <v>4.1615981442439001</v>
          </cell>
          <cell r="AA391">
            <v>4.1000780940698611</v>
          </cell>
          <cell r="AB391">
            <v>-8.2722699999999996E-2</v>
          </cell>
          <cell r="AC391">
            <v>-3.0323431000000016</v>
          </cell>
          <cell r="AD391">
            <v>-2.4631735999999975</v>
          </cell>
          <cell r="AI391">
            <v>7.8517100000000006E-2</v>
          </cell>
        </row>
        <row r="392">
          <cell r="O392">
            <v>4.1453924931771731</v>
          </cell>
          <cell r="P392">
            <v>6.4</v>
          </cell>
          <cell r="Q392">
            <v>4.9030500834163186</v>
          </cell>
          <cell r="W392">
            <v>6.91</v>
          </cell>
          <cell r="X392">
            <v>5.5504370260987637</v>
          </cell>
          <cell r="Y392">
            <v>3.5492437537699169</v>
          </cell>
          <cell r="Z392">
            <v>4.1594766571598827</v>
          </cell>
          <cell r="AA392">
            <v>4.0969245644854881</v>
          </cell>
          <cell r="AB392">
            <v>0</v>
          </cell>
          <cell r="AC392">
            <v>-3.0323431000000016</v>
          </cell>
          <cell r="AD392">
            <v>-2.4631735999999975</v>
          </cell>
          <cell r="AI392">
            <v>0</v>
          </cell>
        </row>
        <row r="393">
          <cell r="O393">
            <v>4.1385687626707544</v>
          </cell>
          <cell r="P393">
            <v>6.6</v>
          </cell>
          <cell r="Q393">
            <v>4.9037921984782065</v>
          </cell>
          <cell r="W393">
            <v>6.25</v>
          </cell>
          <cell r="X393">
            <v>5.542282633554545</v>
          </cell>
          <cell r="Y393">
            <v>3.5751786995977688</v>
          </cell>
          <cell r="Z393">
            <v>4.1631551948823438</v>
          </cell>
          <cell r="AA393">
            <v>4.1005585486885687</v>
          </cell>
          <cell r="AB393">
            <v>-0.22677410000000001</v>
          </cell>
          <cell r="AC393">
            <v>-3.2591172000000017</v>
          </cell>
          <cell r="AD393">
            <v>-2.7140225999999976</v>
          </cell>
          <cell r="AI393">
            <v>-0.34696640000000001</v>
          </cell>
        </row>
        <row r="394">
          <cell r="O394">
            <v>4.133042702960763</v>
          </cell>
          <cell r="P394">
            <v>6.8</v>
          </cell>
          <cell r="Q394">
            <v>4.9037921984782065</v>
          </cell>
          <cell r="W394">
            <v>6.12</v>
          </cell>
          <cell r="X394">
            <v>5.5452555664279632</v>
          </cell>
          <cell r="Y394">
            <v>3.6346344392615406</v>
          </cell>
          <cell r="Z394">
            <v>4.1747410534606972</v>
          </cell>
          <cell r="AA394">
            <v>4.1028251666916917</v>
          </cell>
          <cell r="AB394">
            <v>0.25943080000000002</v>
          </cell>
          <cell r="AC394">
            <v>-2.9996864000000016</v>
          </cell>
          <cell r="AD394">
            <v>-2.4853876999999978</v>
          </cell>
          <cell r="AI394">
            <v>0.27251429999999999</v>
          </cell>
        </row>
        <row r="395">
          <cell r="O395">
            <v>4.1353233444505211</v>
          </cell>
          <cell r="P395">
            <v>6.7</v>
          </cell>
          <cell r="Q395">
            <v>4.9060152449661532</v>
          </cell>
          <cell r="W395">
            <v>5.91</v>
          </cell>
          <cell r="X395">
            <v>5.5457632103852115</v>
          </cell>
          <cell r="Y395">
            <v>3.589390555613194</v>
          </cell>
          <cell r="Z395">
            <v>4.1701938745055385</v>
          </cell>
          <cell r="AA395">
            <v>4.1085268497934617</v>
          </cell>
          <cell r="AB395">
            <v>0</v>
          </cell>
          <cell r="AC395">
            <v>-2.9996864000000016</v>
          </cell>
          <cell r="AD395">
            <v>-2.4853876999999978</v>
          </cell>
          <cell r="AI395">
            <v>0</v>
          </cell>
        </row>
        <row r="396">
          <cell r="O396">
            <v>4.1450250021860704</v>
          </cell>
          <cell r="P396">
            <v>6.9</v>
          </cell>
          <cell r="Q396">
            <v>4.9097093755062948</v>
          </cell>
          <cell r="W396">
            <v>5.78</v>
          </cell>
          <cell r="X396">
            <v>5.5260901862459084</v>
          </cell>
          <cell r="Y396">
            <v>3.5870958669464525</v>
          </cell>
          <cell r="Z396">
            <v>4.1756787432770723</v>
          </cell>
          <cell r="AA396">
            <v>4.1107099163083651</v>
          </cell>
          <cell r="AB396">
            <v>0.2320168</v>
          </cell>
          <cell r="AC396">
            <v>-2.7676696000000018</v>
          </cell>
          <cell r="AD396">
            <v>-2.2265709999999976</v>
          </cell>
          <cell r="AI396">
            <v>0.1427833</v>
          </cell>
        </row>
        <row r="397">
          <cell r="O397">
            <v>4.1543619408801931</v>
          </cell>
          <cell r="P397">
            <v>6.9</v>
          </cell>
          <cell r="Q397">
            <v>4.9126548857360524</v>
          </cell>
          <cell r="W397">
            <v>5.9</v>
          </cell>
          <cell r="X397">
            <v>5.5099145139618741</v>
          </cell>
          <cell r="Y397">
            <v>3.5994743052462375</v>
          </cell>
          <cell r="Z397">
            <v>4.1691427722972874</v>
          </cell>
          <cell r="AA397">
            <v>4.1112344548903685</v>
          </cell>
          <cell r="AB397">
            <v>0</v>
          </cell>
          <cell r="AC397">
            <v>-2.7676696000000018</v>
          </cell>
          <cell r="AD397">
            <v>-2.2265709999999976</v>
          </cell>
          <cell r="AI397">
            <v>0</v>
          </cell>
        </row>
        <row r="398">
          <cell r="O398">
            <v>4.1548327041373421</v>
          </cell>
          <cell r="P398">
            <v>6.8</v>
          </cell>
          <cell r="Q398">
            <v>4.9141243937154115</v>
          </cell>
          <cell r="W398">
            <v>5.82</v>
          </cell>
          <cell r="X398">
            <v>5.4943363504655887</v>
          </cell>
          <cell r="Y398">
            <v>3.6089971502416889</v>
          </cell>
          <cell r="Z398">
            <v>4.1766769542588866</v>
          </cell>
          <cell r="AA398">
            <v>4.1139347486536639</v>
          </cell>
          <cell r="AB398">
            <v>-5.9438199999999997E-2</v>
          </cell>
          <cell r="AC398">
            <v>-2.8271078000000021</v>
          </cell>
          <cell r="AD398">
            <v>-2.3037941999999978</v>
          </cell>
          <cell r="AI398">
            <v>3.7841899999999998E-2</v>
          </cell>
        </row>
        <row r="399">
          <cell r="O399">
            <v>4.1557014648750741</v>
          </cell>
          <cell r="P399">
            <v>6.9</v>
          </cell>
          <cell r="Q399">
            <v>4.9170569471366896</v>
          </cell>
          <cell r="W399">
            <v>5.66</v>
          </cell>
          <cell r="X399">
            <v>5.4971272408467939</v>
          </cell>
          <cell r="Y399">
            <v>3.5992008869692564</v>
          </cell>
          <cell r="Z399">
            <v>4.1747718113347156</v>
          </cell>
          <cell r="AA399">
            <v>4.1141635292540668</v>
          </cell>
          <cell r="AB399">
            <v>0.1195838</v>
          </cell>
          <cell r="AC399">
            <v>-2.707524000000002</v>
          </cell>
          <cell r="AD399">
            <v>-2.1669939999999976</v>
          </cell>
          <cell r="AI399">
            <v>-4.5363399999999998E-2</v>
          </cell>
        </row>
        <row r="400">
          <cell r="O400">
            <v>4.1646539001200971</v>
          </cell>
          <cell r="P400">
            <v>6.9</v>
          </cell>
          <cell r="Q400">
            <v>4.9199809258281251</v>
          </cell>
          <cell r="W400">
            <v>5.45</v>
          </cell>
          <cell r="X400">
            <v>5.4946650950750833</v>
          </cell>
          <cell r="Y400">
            <v>3.6135091470891596</v>
          </cell>
          <cell r="Z400">
            <v>4.1685858588210571</v>
          </cell>
          <cell r="AA400">
            <v>4.1147679118629794</v>
          </cell>
          <cell r="AB400">
            <v>0</v>
          </cell>
          <cell r="AC400">
            <v>-2.707524000000002</v>
          </cell>
          <cell r="AD400">
            <v>-2.1669939999999976</v>
          </cell>
          <cell r="AI400">
            <v>0</v>
          </cell>
        </row>
        <row r="401">
          <cell r="O401">
            <v>4.1626307396151487</v>
          </cell>
          <cell r="P401">
            <v>7</v>
          </cell>
          <cell r="Q401">
            <v>4.9214397152917844</v>
          </cell>
          <cell r="W401">
            <v>5.21</v>
          </cell>
          <cell r="X401">
            <v>5.4983969782636946</v>
          </cell>
          <cell r="Y401">
            <v>3.5831021849597677</v>
          </cell>
          <cell r="Z401">
            <v>4.1663085710614123</v>
          </cell>
          <cell r="AA401">
            <v>4.1152740054031307</v>
          </cell>
          <cell r="AB401">
            <v>-7.2306999999999996E-3</v>
          </cell>
          <cell r="AC401">
            <v>-2.7147547000000021</v>
          </cell>
          <cell r="AD401">
            <v>-2.2033548999999977</v>
          </cell>
          <cell r="AI401">
            <v>5.99371E-2</v>
          </cell>
        </row>
        <row r="402">
          <cell r="O402">
            <v>4.1616838450623952</v>
          </cell>
          <cell r="P402">
            <v>7</v>
          </cell>
          <cell r="Q402">
            <v>4.9258033585795582</v>
          </cell>
          <cell r="W402">
            <v>4.8099999999999996</v>
          </cell>
          <cell r="X402">
            <v>5.4884830773650402</v>
          </cell>
          <cell r="Y402">
            <v>3.588534119165061</v>
          </cell>
          <cell r="Z402">
            <v>4.1657966296287405</v>
          </cell>
          <cell r="AA402">
            <v>4.1221056330074912</v>
          </cell>
          <cell r="AB402">
            <v>0</v>
          </cell>
          <cell r="AC402">
            <v>-2.7147547000000021</v>
          </cell>
          <cell r="AD402">
            <v>-2.2033548999999977</v>
          </cell>
          <cell r="AI402">
            <v>0</v>
          </cell>
        </row>
        <row r="403">
          <cell r="O403">
            <v>4.1575118311229113</v>
          </cell>
          <cell r="P403">
            <v>7.3</v>
          </cell>
          <cell r="Q403">
            <v>4.9287019113335697</v>
          </cell>
          <cell r="W403">
            <v>4.43</v>
          </cell>
          <cell r="X403">
            <v>5.4834682503521508</v>
          </cell>
          <cell r="Y403">
            <v>3.6006764583376545</v>
          </cell>
          <cell r="Z403">
            <v>4.1620655140509708</v>
          </cell>
          <cell r="AA403">
            <v>4.1241784075419785</v>
          </cell>
          <cell r="AB403">
            <v>0</v>
          </cell>
          <cell r="AC403">
            <v>-2.7147547000000021</v>
          </cell>
          <cell r="AD403">
            <v>-2.2033548999999977</v>
          </cell>
          <cell r="AI403">
            <v>0</v>
          </cell>
        </row>
        <row r="404">
          <cell r="O404">
            <v>4.1514587158233205</v>
          </cell>
          <cell r="P404">
            <v>7.3</v>
          </cell>
          <cell r="Q404">
            <v>4.9294252386707127</v>
          </cell>
          <cell r="W404">
            <v>4.03</v>
          </cell>
          <cell r="X404">
            <v>5.4741177063517261</v>
          </cell>
          <cell r="Y404">
            <v>3.6291294497081621</v>
          </cell>
          <cell r="Z404">
            <v>4.1834232453056446</v>
          </cell>
          <cell r="AA404">
            <v>4.1331645540716826</v>
          </cell>
          <cell r="AB404">
            <v>0</v>
          </cell>
          <cell r="AC404">
            <v>-2.7147547000000021</v>
          </cell>
          <cell r="AD404">
            <v>-2.2033548999999977</v>
          </cell>
          <cell r="AI404">
            <v>0</v>
          </cell>
        </row>
        <row r="405">
          <cell r="O405">
            <v>4.1587268211513688</v>
          </cell>
          <cell r="P405">
            <v>7.4</v>
          </cell>
          <cell r="Q405">
            <v>4.9315920867558027</v>
          </cell>
          <cell r="W405">
            <v>4.0599999999999996</v>
          </cell>
          <cell r="X405">
            <v>5.4699991882376464</v>
          </cell>
          <cell r="Y405">
            <v>3.6386645254494336</v>
          </cell>
          <cell r="Z405">
            <v>4.1808433078387175</v>
          </cell>
          <cell r="AA405">
            <v>4.134174064384716</v>
          </cell>
          <cell r="AB405">
            <v>4.9705399999999997E-2</v>
          </cell>
          <cell r="AC405">
            <v>-2.665049300000002</v>
          </cell>
          <cell r="AD405">
            <v>-2.2031348999999976</v>
          </cell>
          <cell r="AI405">
            <v>5.2373500000000003E-2</v>
          </cell>
        </row>
        <row r="406">
          <cell r="O406">
            <v>4.1674292729271123</v>
          </cell>
          <cell r="P406">
            <v>7.4</v>
          </cell>
          <cell r="Q406">
            <v>4.9351930989293971</v>
          </cell>
          <cell r="W406">
            <v>3.98</v>
          </cell>
          <cell r="X406">
            <v>5.4794715755899848</v>
          </cell>
          <cell r="Y406">
            <v>3.6200383568229846</v>
          </cell>
          <cell r="Z406">
            <v>4.1742180248052643</v>
          </cell>
          <cell r="AA406">
            <v>4.1432934439539642</v>
          </cell>
          <cell r="AB406">
            <v>-6.0960199999999999E-2</v>
          </cell>
          <cell r="AC406">
            <v>-2.7260095000000018</v>
          </cell>
          <cell r="AD406">
            <v>-2.3280932999999977</v>
          </cell>
          <cell r="AI406">
            <v>-7.2095699999999999E-2</v>
          </cell>
        </row>
        <row r="407">
          <cell r="O407">
            <v>4.1746749208278331</v>
          </cell>
          <cell r="P407">
            <v>7.4</v>
          </cell>
          <cell r="Q407">
            <v>4.9373474983264236</v>
          </cell>
          <cell r="W407">
            <v>3.73</v>
          </cell>
          <cell r="X407">
            <v>5.4948705055887155</v>
          </cell>
          <cell r="Y407">
            <v>3.6146137772177829</v>
          </cell>
          <cell r="Z407">
            <v>4.1824012260423835</v>
          </cell>
          <cell r="AA407">
            <v>4.1424201854536635</v>
          </cell>
          <cell r="AB407">
            <v>0</v>
          </cell>
          <cell r="AC407">
            <v>-2.7260095000000018</v>
          </cell>
          <cell r="AD407">
            <v>-2.3280932999999977</v>
          </cell>
          <cell r="AI407">
            <v>0</v>
          </cell>
        </row>
        <row r="408">
          <cell r="O408">
            <v>4.1781264243824765</v>
          </cell>
          <cell r="P408">
            <v>7.6</v>
          </cell>
          <cell r="Q408">
            <v>4.939497266262916</v>
          </cell>
          <cell r="W408">
            <v>3.82</v>
          </cell>
          <cell r="X408">
            <v>5.504640240131903</v>
          </cell>
          <cell r="Y408">
            <v>3.6367436996934077</v>
          </cell>
          <cell r="Z408">
            <v>4.1859205057093103</v>
          </cell>
          <cell r="AA408">
            <v>4.1450218335730833</v>
          </cell>
          <cell r="AB408">
            <v>0.15652759999999999</v>
          </cell>
          <cell r="AC408">
            <v>-2.5694819000000018</v>
          </cell>
          <cell r="AD408">
            <v>-2.1787346999999979</v>
          </cell>
          <cell r="AI408">
            <v>2.49249E-2</v>
          </cell>
        </row>
        <row r="409">
          <cell r="O409">
            <v>4.1782383066640412</v>
          </cell>
          <cell r="P409">
            <v>7.8</v>
          </cell>
          <cell r="Q409">
            <v>4.9423564533429616</v>
          </cell>
          <cell r="W409">
            <v>3.76</v>
          </cell>
          <cell r="X409">
            <v>5.5121375904013625</v>
          </cell>
          <cell r="Y409">
            <v>3.65687265797885</v>
          </cell>
          <cell r="Z409">
            <v>4.1827826986839778</v>
          </cell>
          <cell r="AA409">
            <v>4.1467788720705219</v>
          </cell>
          <cell r="AB409">
            <v>0</v>
          </cell>
          <cell r="AC409">
            <v>-2.5694819000000018</v>
          </cell>
          <cell r="AD409">
            <v>-2.1787346999999979</v>
          </cell>
          <cell r="AI409">
            <v>0</v>
          </cell>
        </row>
        <row r="410">
          <cell r="O410">
            <v>4.1869981862015759</v>
          </cell>
          <cell r="P410">
            <v>7.7</v>
          </cell>
          <cell r="Q410">
            <v>4.9452074887738009</v>
          </cell>
          <cell r="W410">
            <v>3.25</v>
          </cell>
          <cell r="X410">
            <v>5.5093883366279774</v>
          </cell>
          <cell r="Y410">
            <v>3.6480314175879243</v>
          </cell>
          <cell r="Z410">
            <v>4.1865286487632947</v>
          </cell>
          <cell r="AA410">
            <v>4.152346139018757</v>
          </cell>
          <cell r="AB410">
            <v>-4.5701600000000002E-2</v>
          </cell>
          <cell r="AC410">
            <v>-2.6151835000000019</v>
          </cell>
          <cell r="AD410">
            <v>-2.2604483999999978</v>
          </cell>
          <cell r="AI410">
            <v>-6.1490499999999997E-2</v>
          </cell>
        </row>
        <row r="411">
          <cell r="O411">
            <v>4.1821539540465089</v>
          </cell>
          <cell r="P411">
            <v>7.6</v>
          </cell>
          <cell r="Q411">
            <v>4.9473404437239425</v>
          </cell>
          <cell r="W411">
            <v>3.3</v>
          </cell>
          <cell r="X411">
            <v>5.5002781385943393</v>
          </cell>
          <cell r="Y411">
            <v>3.6564079139669734</v>
          </cell>
          <cell r="Z411">
            <v>4.1894274434687926</v>
          </cell>
          <cell r="AA411">
            <v>4.1536035460970222</v>
          </cell>
          <cell r="AB411">
            <v>1.1607299999999999E-2</v>
          </cell>
          <cell r="AC411">
            <v>-2.6035762000000018</v>
          </cell>
          <cell r="AD411">
            <v>-2.2627619999999977</v>
          </cell>
          <cell r="AI411">
            <v>-7.1626899999999993E-2</v>
          </cell>
        </row>
        <row r="412">
          <cell r="O412">
            <v>4.1843101822464934</v>
          </cell>
          <cell r="P412">
            <v>7.6</v>
          </cell>
          <cell r="Q412">
            <v>4.9494688588587685</v>
          </cell>
          <cell r="W412">
            <v>3.22</v>
          </cell>
          <cell r="X412">
            <v>5.5057379573970104</v>
          </cell>
          <cell r="Y412">
            <v>3.6675025883543508</v>
          </cell>
          <cell r="Z412">
            <v>4.1929523293072162</v>
          </cell>
          <cell r="AA412">
            <v>4.1603663577640981</v>
          </cell>
          <cell r="AB412">
            <v>0</v>
          </cell>
          <cell r="AC412">
            <v>-2.6035762000000018</v>
          </cell>
          <cell r="AD412">
            <v>-2.2627619999999977</v>
          </cell>
          <cell r="AI412">
            <v>0</v>
          </cell>
        </row>
        <row r="413">
          <cell r="O413">
            <v>4.1918825616227799</v>
          </cell>
          <cell r="P413">
            <v>7.3</v>
          </cell>
          <cell r="Q413">
            <v>4.9537121466966347</v>
          </cell>
          <cell r="W413">
            <v>3.1</v>
          </cell>
          <cell r="X413">
            <v>5.4869108801028403</v>
          </cell>
          <cell r="Y413">
            <v>3.6762247196556883</v>
          </cell>
          <cell r="Z413">
            <v>4.1999050578825932</v>
          </cell>
          <cell r="AA413">
            <v>4.1612552675047274</v>
          </cell>
          <cell r="AB413">
            <v>-0.1153874</v>
          </cell>
          <cell r="AC413">
            <v>-2.7189636000000017</v>
          </cell>
          <cell r="AD413">
            <v>-2.4349904999999978</v>
          </cell>
          <cell r="AI413">
            <v>-4.8997600000000002E-2</v>
          </cell>
        </row>
        <row r="414">
          <cell r="O414">
            <v>4.1962180051024394</v>
          </cell>
          <cell r="P414">
            <v>7.4</v>
          </cell>
          <cell r="Q414">
            <v>4.9565310351030547</v>
          </cell>
          <cell r="W414">
            <v>3.09</v>
          </cell>
          <cell r="X414">
            <v>5.4735303841046967</v>
          </cell>
          <cell r="Y414">
            <v>3.6578788629941483</v>
          </cell>
          <cell r="Z414">
            <v>4.1971267568651269</v>
          </cell>
          <cell r="AA414">
            <v>4.1685239603963522</v>
          </cell>
          <cell r="AB414">
            <v>3.2760900000000003E-2</v>
          </cell>
          <cell r="AC414">
            <v>-2.6862027000000017</v>
          </cell>
          <cell r="AD414">
            <v>-2.4600973999999978</v>
          </cell>
          <cell r="AI414">
            <v>4.8800400000000001E-2</v>
          </cell>
        </row>
        <row r="415">
          <cell r="O415">
            <v>4.197080135731758</v>
          </cell>
          <cell r="P415">
            <v>7.4</v>
          </cell>
          <cell r="Q415">
            <v>4.9579375050958063</v>
          </cell>
          <cell r="W415">
            <v>2.92</v>
          </cell>
          <cell r="X415">
            <v>5.4704623168904307</v>
          </cell>
          <cell r="Y415">
            <v>3.6965499604181562</v>
          </cell>
          <cell r="Z415">
            <v>4.2017928968682741</v>
          </cell>
          <cell r="AA415">
            <v>4.1696993757935212</v>
          </cell>
          <cell r="AB415">
            <v>-0.17899329999999999</v>
          </cell>
          <cell r="AC415">
            <v>-2.8651960000000019</v>
          </cell>
          <cell r="AD415">
            <v>-2.6926532999999977</v>
          </cell>
          <cell r="AI415">
            <v>-0.18583930000000001</v>
          </cell>
        </row>
        <row r="416">
          <cell r="O416">
            <v>4.2014231012322902</v>
          </cell>
          <cell r="P416">
            <v>7.3</v>
          </cell>
          <cell r="Q416">
            <v>4.9614450499054845</v>
          </cell>
          <cell r="W416">
            <v>3.02</v>
          </cell>
          <cell r="X416">
            <v>5.4745789319621156</v>
          </cell>
          <cell r="Y416">
            <v>3.7051464265778082</v>
          </cell>
          <cell r="Z416">
            <v>4.2015982846325386</v>
          </cell>
          <cell r="AA416">
            <v>4.1657811121599497</v>
          </cell>
          <cell r="AB416">
            <v>0</v>
          </cell>
          <cell r="AC416">
            <v>-2.8651960000000019</v>
          </cell>
          <cell r="AD416">
            <v>-2.6926532999999977</v>
          </cell>
          <cell r="AI416">
            <v>0</v>
          </cell>
        </row>
        <row r="417">
          <cell r="O417">
            <v>4.2054222039257008</v>
          </cell>
          <cell r="P417">
            <v>7.1</v>
          </cell>
          <cell r="Q417">
            <v>4.9635436865624047</v>
          </cell>
          <cell r="W417">
            <v>3.03</v>
          </cell>
          <cell r="X417">
            <v>5.4747465976371537</v>
          </cell>
          <cell r="Y417">
            <v>3.6799900602680191</v>
          </cell>
          <cell r="Z417">
            <v>4.2013587098765823</v>
          </cell>
          <cell r="AA417">
            <v>4.1736023465392673</v>
          </cell>
          <cell r="AB417">
            <v>3.5227000000000001E-2</v>
          </cell>
          <cell r="AC417">
            <v>-2.829969000000002</v>
          </cell>
          <cell r="AD417">
            <v>-2.6626845999999977</v>
          </cell>
          <cell r="AI417">
            <v>-9.0570899999999996E-2</v>
          </cell>
        </row>
        <row r="418">
          <cell r="O418">
            <v>4.2047284396449358</v>
          </cell>
          <cell r="P418">
            <v>7</v>
          </cell>
          <cell r="Q418">
            <v>4.9649403348341261</v>
          </cell>
          <cell r="W418">
            <v>3.07</v>
          </cell>
          <cell r="X418">
            <v>5.4737401816508351</v>
          </cell>
          <cell r="Y418">
            <v>3.6746030291951275</v>
          </cell>
          <cell r="Z418">
            <v>4.1988847414960242</v>
          </cell>
          <cell r="AA418">
            <v>4.1713210353379209</v>
          </cell>
          <cell r="AB418">
            <v>-3.8532299999999998E-2</v>
          </cell>
          <cell r="AC418">
            <v>-2.8685013000000019</v>
          </cell>
          <cell r="AD418">
            <v>-2.7226140999999977</v>
          </cell>
          <cell r="AI418">
            <v>-0.13369030000000001</v>
          </cell>
        </row>
        <row r="419">
          <cell r="O419">
            <v>4.2077223534662451</v>
          </cell>
          <cell r="P419">
            <v>7.1</v>
          </cell>
          <cell r="Q419">
            <v>4.9684234452869465</v>
          </cell>
          <cell r="W419">
            <v>2.96</v>
          </cell>
          <cell r="X419">
            <v>5.4681023343378126</v>
          </cell>
          <cell r="Y419">
            <v>3.7102494798501287</v>
          </cell>
          <cell r="Z419">
            <v>4.2034978761186235</v>
          </cell>
          <cell r="AA419">
            <v>4.1731865493191185</v>
          </cell>
          <cell r="AB419">
            <v>0</v>
          </cell>
          <cell r="AC419">
            <v>-2.8685013000000019</v>
          </cell>
          <cell r="AD419">
            <v>-2.7226140999999977</v>
          </cell>
          <cell r="AI419">
            <v>0</v>
          </cell>
        </row>
        <row r="420">
          <cell r="O420">
            <v>4.2042805942217454</v>
          </cell>
          <cell r="P420">
            <v>7.1</v>
          </cell>
          <cell r="Q420">
            <v>4.9712012248508488</v>
          </cell>
          <cell r="W420">
            <v>3</v>
          </cell>
          <cell r="X420">
            <v>5.460053489732883</v>
          </cell>
          <cell r="Y420">
            <v>3.7267531065420179</v>
          </cell>
          <cell r="Z420">
            <v>4.2123497954130054</v>
          </cell>
          <cell r="AA420">
            <v>4.171938119327204</v>
          </cell>
          <cell r="AB420">
            <v>0.33065349999999999</v>
          </cell>
          <cell r="AC420">
            <v>-2.537847800000002</v>
          </cell>
          <cell r="AD420">
            <v>-2.3865858999999978</v>
          </cell>
          <cell r="AI420">
            <v>0.1540541</v>
          </cell>
        </row>
        <row r="421">
          <cell r="O421">
            <v>4.2061438047179731</v>
          </cell>
          <cell r="P421">
            <v>7</v>
          </cell>
          <cell r="Q421">
            <v>4.9718944657798252</v>
          </cell>
          <cell r="W421">
            <v>3.04</v>
          </cell>
          <cell r="X421">
            <v>5.4525394723958245</v>
          </cell>
          <cell r="Y421">
            <v>3.7187780044597996</v>
          </cell>
          <cell r="Z421">
            <v>4.2097247132621733</v>
          </cell>
          <cell r="AA421">
            <v>4.180185810433553</v>
          </cell>
          <cell r="AB421">
            <v>0</v>
          </cell>
          <cell r="AC421">
            <v>-2.537847800000002</v>
          </cell>
          <cell r="AD421">
            <v>-2.3865858999999978</v>
          </cell>
          <cell r="AI421">
            <v>0</v>
          </cell>
        </row>
        <row r="422">
          <cell r="O422">
            <v>4.2092835574267493</v>
          </cell>
          <cell r="P422">
            <v>6.9</v>
          </cell>
          <cell r="Q422">
            <v>4.9732795075524869</v>
          </cell>
          <cell r="W422">
            <v>3.06</v>
          </cell>
          <cell r="X422">
            <v>5.4615410476500506</v>
          </cell>
          <cell r="Y422">
            <v>3.7351903569771867</v>
          </cell>
          <cell r="Z422">
            <v>4.2168423916757805</v>
          </cell>
          <cell r="AA422">
            <v>4.1819585353919555</v>
          </cell>
          <cell r="AB422">
            <v>3.5270599999999999E-2</v>
          </cell>
          <cell r="AC422">
            <v>-2.5025772000000019</v>
          </cell>
          <cell r="AD422">
            <v>-2.3738806999999977</v>
          </cell>
          <cell r="AI422">
            <v>-4.4038599999999997E-2</v>
          </cell>
        </row>
        <row r="423">
          <cell r="O423">
            <v>4.2083099495532492</v>
          </cell>
          <cell r="P423">
            <v>6.8</v>
          </cell>
          <cell r="Q423">
            <v>4.9753534799516164</v>
          </cell>
          <cell r="W423">
            <v>3.03</v>
          </cell>
          <cell r="X423">
            <v>5.4636199181723963</v>
          </cell>
          <cell r="Y423">
            <v>3.7211288083294329</v>
          </cell>
          <cell r="Z423">
            <v>4.2145986164699192</v>
          </cell>
          <cell r="AA423">
            <v>4.1871212323691092</v>
          </cell>
          <cell r="AB423">
            <v>6.8245700000000006E-2</v>
          </cell>
          <cell r="AC423">
            <v>-2.4343315000000021</v>
          </cell>
          <cell r="AD423">
            <v>-2.3267187999999979</v>
          </cell>
          <cell r="AI423">
            <v>-3.3746900000000003E-2</v>
          </cell>
        </row>
        <row r="424">
          <cell r="O424">
            <v>4.2131285782119523</v>
          </cell>
          <cell r="P424">
            <v>6.7</v>
          </cell>
          <cell r="Q424">
            <v>4.9767337424205742</v>
          </cell>
          <cell r="W424">
            <v>3.09</v>
          </cell>
          <cell r="X424">
            <v>5.4618382938782739</v>
          </cell>
          <cell r="Y424">
            <v>3.7327767151511195</v>
          </cell>
          <cell r="Z424">
            <v>4.2236754785185067</v>
          </cell>
          <cell r="AA424">
            <v>4.1903817504190428</v>
          </cell>
          <cell r="AB424">
            <v>0.1846016</v>
          </cell>
          <cell r="AC424">
            <v>-2.2497299000000019</v>
          </cell>
          <cell r="AD424">
            <v>-2.1681071999999979</v>
          </cell>
          <cell r="AI424">
            <v>4.4135199999999999E-2</v>
          </cell>
        </row>
        <row r="425">
          <cell r="O425">
            <v>4.2206658577877993</v>
          </cell>
          <cell r="P425">
            <v>6.8</v>
          </cell>
          <cell r="Q425">
            <v>4.9808631357625854</v>
          </cell>
          <cell r="W425">
            <v>2.99</v>
          </cell>
          <cell r="X425">
            <v>5.4705885874884901</v>
          </cell>
          <cell r="Y425">
            <v>3.7451416331220693</v>
          </cell>
          <cell r="Z425">
            <v>4.2214176447855767</v>
          </cell>
          <cell r="AA425">
            <v>4.1913502734971733</v>
          </cell>
          <cell r="AB425">
            <v>0</v>
          </cell>
          <cell r="AC425">
            <v>-2.2497299000000019</v>
          </cell>
          <cell r="AD425">
            <v>-2.1681071999999979</v>
          </cell>
          <cell r="AI425">
            <v>0</v>
          </cell>
        </row>
        <row r="426">
          <cell r="O426">
            <v>4.2248083378504377</v>
          </cell>
          <cell r="P426">
            <v>6.6</v>
          </cell>
          <cell r="Q426">
            <v>4.9836066217083363</v>
          </cell>
          <cell r="W426">
            <v>3.02</v>
          </cell>
          <cell r="X426">
            <v>5.4872006811771321</v>
          </cell>
          <cell r="Y426">
            <v>3.7527458744423501</v>
          </cell>
          <cell r="Z426">
            <v>4.2263080596744613</v>
          </cell>
          <cell r="AA426">
            <v>4.1924840690365848</v>
          </cell>
          <cell r="AB426">
            <v>-4.5006299999999999E-2</v>
          </cell>
          <cell r="AC426">
            <v>-2.2947362000000018</v>
          </cell>
          <cell r="AD426">
            <v>-2.2521793999999979</v>
          </cell>
          <cell r="AI426">
            <v>-0.15888450000000001</v>
          </cell>
        </row>
        <row r="427">
          <cell r="O427">
            <v>4.2300999382944076</v>
          </cell>
          <cell r="P427">
            <v>6.5</v>
          </cell>
          <cell r="Q427">
            <v>4.9856593080260785</v>
          </cell>
          <cell r="W427">
            <v>2.96</v>
          </cell>
          <cell r="X427">
            <v>5.5032154775208966</v>
          </cell>
          <cell r="Y427">
            <v>3.7624783681481286</v>
          </cell>
          <cell r="Z427">
            <v>4.2282050673498279</v>
          </cell>
          <cell r="AA427">
            <v>4.1954108709569038</v>
          </cell>
          <cell r="AB427">
            <v>-0.13331119999999999</v>
          </cell>
          <cell r="AC427">
            <v>-2.4280474000000019</v>
          </cell>
          <cell r="AD427">
            <v>-2.4145505999999979</v>
          </cell>
          <cell r="AI427">
            <v>-0.3139902</v>
          </cell>
        </row>
        <row r="428">
          <cell r="O428">
            <v>4.2337673166447463</v>
          </cell>
          <cell r="P428">
            <v>6.6</v>
          </cell>
          <cell r="Q428">
            <v>4.9856593080260785</v>
          </cell>
          <cell r="W428">
            <v>3.05</v>
          </cell>
          <cell r="X428">
            <v>5.5127430272425233</v>
          </cell>
          <cell r="Y428">
            <v>3.7635461986966918</v>
          </cell>
          <cell r="Z428">
            <v>4.2322351895615435</v>
          </cell>
          <cell r="AA428">
            <v>4.1980136482189483</v>
          </cell>
          <cell r="AB428">
            <v>0</v>
          </cell>
          <cell r="AC428">
            <v>-2.4280474000000019</v>
          </cell>
          <cell r="AD428">
            <v>-2.4145505999999979</v>
          </cell>
          <cell r="AI428">
            <v>0</v>
          </cell>
        </row>
        <row r="429">
          <cell r="O429">
            <v>4.234034038203518</v>
          </cell>
          <cell r="P429">
            <v>6.6</v>
          </cell>
          <cell r="Q429">
            <v>4.9883896851489355</v>
          </cell>
          <cell r="W429">
            <v>3.25</v>
          </cell>
          <cell r="X429">
            <v>5.5261698135899806</v>
          </cell>
          <cell r="Y429">
            <v>3.7849847722574226</v>
          </cell>
          <cell r="Z429">
            <v>4.2394977428222109</v>
          </cell>
          <cell r="AA429">
            <v>4.2035576471954172</v>
          </cell>
          <cell r="AB429">
            <v>0.26184449999999998</v>
          </cell>
          <cell r="AC429">
            <v>-2.1662029000000018</v>
          </cell>
          <cell r="AD429">
            <v>-2.1872476999999977</v>
          </cell>
          <cell r="AI429">
            <v>8.6272299999999996E-2</v>
          </cell>
        </row>
        <row r="430">
          <cell r="O430">
            <v>4.2443193924558589</v>
          </cell>
          <cell r="P430">
            <v>6.5</v>
          </cell>
          <cell r="Q430">
            <v>4.991112627607392</v>
          </cell>
          <cell r="W430">
            <v>3.34</v>
          </cell>
          <cell r="X430">
            <v>5.5362312967656964</v>
          </cell>
          <cell r="Y430">
            <v>3.7823925656123825</v>
          </cell>
          <cell r="Z430">
            <v>4.2440568354504276</v>
          </cell>
          <cell r="AA430">
            <v>4.2024363445729414</v>
          </cell>
          <cell r="AB430">
            <v>0.33554929999999999</v>
          </cell>
          <cell r="AC430">
            <v>-1.8306536000000018</v>
          </cell>
          <cell r="AD430">
            <v>-1.8726574999999976</v>
          </cell>
          <cell r="AI430">
            <v>0.15797919999999999</v>
          </cell>
        </row>
        <row r="431">
          <cell r="O431">
            <v>4.2495732322376689</v>
          </cell>
          <cell r="P431">
            <v>6.4</v>
          </cell>
          <cell r="Q431">
            <v>4.9917922062947762</v>
          </cell>
          <cell r="W431">
            <v>3.56</v>
          </cell>
          <cell r="X431">
            <v>5.5335080587729131</v>
          </cell>
          <cell r="Y431">
            <v>3.8044377947482086</v>
          </cell>
          <cell r="Z431">
            <v>4.2456053560626845</v>
          </cell>
          <cell r="AA431">
            <v>4.2040655571568895</v>
          </cell>
          <cell r="AB431">
            <v>0</v>
          </cell>
          <cell r="AC431">
            <v>-1.8306536000000018</v>
          </cell>
          <cell r="AD431">
            <v>-1.8726574999999976</v>
          </cell>
          <cell r="AI431">
            <v>0</v>
          </cell>
        </row>
        <row r="432">
          <cell r="O432">
            <v>4.254996917420117</v>
          </cell>
          <cell r="P432">
            <v>6.1</v>
          </cell>
          <cell r="Q432">
            <v>4.9938281757798748</v>
          </cell>
          <cell r="W432">
            <v>4.01</v>
          </cell>
          <cell r="X432">
            <v>5.5477912131082761</v>
          </cell>
          <cell r="Y432">
            <v>3.7707589354239652</v>
          </cell>
          <cell r="Z432">
            <v>4.2441142308473321</v>
          </cell>
          <cell r="AA432">
            <v>4.2085954412253743</v>
          </cell>
          <cell r="AB432">
            <v>0.32162099999999999</v>
          </cell>
          <cell r="AC432">
            <v>-1.5090326000000018</v>
          </cell>
          <cell r="AD432">
            <v>-1.5839440999999976</v>
          </cell>
          <cell r="AI432">
            <v>0.30976330000000002</v>
          </cell>
        </row>
        <row r="433">
          <cell r="O433">
            <v>4.2614805666066777</v>
          </cell>
          <cell r="P433">
            <v>6.1</v>
          </cell>
          <cell r="Q433">
            <v>4.996536369716754</v>
          </cell>
          <cell r="W433">
            <v>4.25</v>
          </cell>
          <cell r="X433">
            <v>5.5479080878770946</v>
          </cell>
          <cell r="Y433">
            <v>3.7876835231725172</v>
          </cell>
          <cell r="Z433">
            <v>4.2497515953640628</v>
          </cell>
          <cell r="AA433">
            <v>4.2125571352437294</v>
          </cell>
          <cell r="AB433">
            <v>0</v>
          </cell>
          <cell r="AC433">
            <v>-1.5090326000000018</v>
          </cell>
          <cell r="AD433">
            <v>-1.5839440999999976</v>
          </cell>
          <cell r="AI433">
            <v>0</v>
          </cell>
        </row>
        <row r="434">
          <cell r="O434">
            <v>4.263267028577773</v>
          </cell>
          <cell r="P434">
            <v>6.1</v>
          </cell>
          <cell r="Q434">
            <v>4.9999113307332799</v>
          </cell>
          <cell r="W434">
            <v>4.26</v>
          </cell>
          <cell r="X434">
            <v>5.5604893048297246</v>
          </cell>
          <cell r="Y434">
            <v>3.7867771923903959</v>
          </cell>
          <cell r="Z434">
            <v>4.249066507417651</v>
          </cell>
          <cell r="AA434">
            <v>4.2120238887971793</v>
          </cell>
          <cell r="AB434">
            <v>7.9991199999999998E-2</v>
          </cell>
          <cell r="AC434">
            <v>-1.4290414000000018</v>
          </cell>
          <cell r="AD434">
            <v>-1.5122119999999977</v>
          </cell>
          <cell r="AI434">
            <v>-3.8329700000000001E-2</v>
          </cell>
        </row>
        <row r="435">
          <cell r="O435">
            <v>4.2688005441038586</v>
          </cell>
          <cell r="P435">
            <v>6</v>
          </cell>
          <cell r="Q435">
            <v>5.0039463059454592</v>
          </cell>
          <cell r="W435">
            <v>4.47</v>
          </cell>
          <cell r="X435">
            <v>5.5764414061877101</v>
          </cell>
          <cell r="Y435">
            <v>3.8025429048093251</v>
          </cell>
          <cell r="Z435">
            <v>4.2583607036718156</v>
          </cell>
          <cell r="AA435">
            <v>4.2158096995032768</v>
          </cell>
          <cell r="AB435">
            <v>0.43144569999999999</v>
          </cell>
          <cell r="AC435">
            <v>-0.99759570000000175</v>
          </cell>
          <cell r="AD435">
            <v>-1.0959364999999976</v>
          </cell>
          <cell r="AI435">
            <v>0.44434259999999998</v>
          </cell>
        </row>
        <row r="436">
          <cell r="O436">
            <v>4.2725590855773161</v>
          </cell>
          <cell r="P436">
            <v>5.9</v>
          </cell>
          <cell r="Q436">
            <v>5.0059577045451444</v>
          </cell>
          <cell r="W436">
            <v>4.7300000000000004</v>
          </cell>
          <cell r="X436">
            <v>5.5898295945801699</v>
          </cell>
          <cell r="Y436">
            <v>3.805150235779323</v>
          </cell>
          <cell r="Z436">
            <v>4.2577522633120353</v>
          </cell>
          <cell r="AA436">
            <v>4.2178887483135554</v>
          </cell>
          <cell r="AB436">
            <v>6.9489999999999996E-2</v>
          </cell>
          <cell r="AC436">
            <v>-0.9281057000000017</v>
          </cell>
          <cell r="AD436">
            <v>-1.0538581999999976</v>
          </cell>
          <cell r="AI436">
            <v>5.73064E-2</v>
          </cell>
        </row>
        <row r="437">
          <cell r="O437">
            <v>4.2812293029490194</v>
          </cell>
          <cell r="P437">
            <v>5.8</v>
          </cell>
          <cell r="Q437">
            <v>5.0066272726987169</v>
          </cell>
          <cell r="W437">
            <v>4.76</v>
          </cell>
          <cell r="X437">
            <v>5.594488306395724</v>
          </cell>
          <cell r="Y437">
            <v>3.8302053902043713</v>
          </cell>
          <cell r="Z437">
            <v>4.2647200479976544</v>
          </cell>
          <cell r="AA437">
            <v>4.219845883281562</v>
          </cell>
          <cell r="AB437">
            <v>0</v>
          </cell>
          <cell r="AC437">
            <v>-0.9281057000000017</v>
          </cell>
          <cell r="AD437">
            <v>-1.0538581999999976</v>
          </cell>
          <cell r="AI437">
            <v>0</v>
          </cell>
        </row>
        <row r="438">
          <cell r="O438">
            <v>4.2874604280528645</v>
          </cell>
          <cell r="P438">
            <v>5.6</v>
          </cell>
          <cell r="Q438">
            <v>5.0093010710831196</v>
          </cell>
          <cell r="W438">
            <v>5.29</v>
          </cell>
          <cell r="X438">
            <v>5.6168074606417937</v>
          </cell>
          <cell r="Y438">
            <v>3.8369114529330175</v>
          </cell>
          <cell r="Z438">
            <v>4.2621163380013236</v>
          </cell>
          <cell r="AA438">
            <v>4.2205365874598604</v>
          </cell>
          <cell r="AB438">
            <v>0.60612829999999995</v>
          </cell>
          <cell r="AC438">
            <v>-0.32197740000000175</v>
          </cell>
          <cell r="AD438">
            <v>-0.50438389999999766</v>
          </cell>
          <cell r="AI438">
            <v>0.51236000000000004</v>
          </cell>
        </row>
        <row r="439">
          <cell r="O439">
            <v>4.2979872007197395</v>
          </cell>
          <cell r="P439">
            <v>5.5</v>
          </cell>
          <cell r="Q439">
            <v>5.0113017386394159</v>
          </cell>
          <cell r="W439">
            <v>5.45</v>
          </cell>
          <cell r="X439">
            <v>5.6439616963376613</v>
          </cell>
          <cell r="Y439">
            <v>3.8310949059109047</v>
          </cell>
          <cell r="Z439">
            <v>4.2700470389361742</v>
          </cell>
          <cell r="AA439">
            <v>4.2230015944303627</v>
          </cell>
          <cell r="AB439">
            <v>-0.21635309999999999</v>
          </cell>
          <cell r="AC439">
            <v>-0.53833050000000171</v>
          </cell>
          <cell r="AD439">
            <v>-0.75275459999999761</v>
          </cell>
          <cell r="AI439">
            <v>-0.2378768</v>
          </cell>
        </row>
        <row r="440">
          <cell r="O440">
            <v>4.3000747097711285</v>
          </cell>
          <cell r="P440">
            <v>5.6</v>
          </cell>
          <cell r="Q440">
            <v>5.01396308418893</v>
          </cell>
          <cell r="W440">
            <v>5.53</v>
          </cell>
          <cell r="X440">
            <v>5.6638281591491682</v>
          </cell>
          <cell r="Y440">
            <v>3.8161506676426282</v>
          </cell>
          <cell r="Z440">
            <v>4.2742743721796517</v>
          </cell>
          <cell r="AA440">
            <v>4.2244513475673164</v>
          </cell>
          <cell r="AB440">
            <v>0</v>
          </cell>
          <cell r="AC440">
            <v>-0.53833050000000171</v>
          </cell>
          <cell r="AD440">
            <v>-0.75275459999999761</v>
          </cell>
          <cell r="AI440">
            <v>0</v>
          </cell>
        </row>
        <row r="441">
          <cell r="O441">
            <v>4.2988895610510243</v>
          </cell>
          <cell r="P441">
            <v>5.4</v>
          </cell>
          <cell r="Q441">
            <v>5.0166173657738033</v>
          </cell>
          <cell r="W441">
            <v>5.92</v>
          </cell>
          <cell r="X441">
            <v>5.6546972669657096</v>
          </cell>
          <cell r="Y441">
            <v>3.7991678080080593</v>
          </cell>
          <cell r="Z441">
            <v>4.2638763440876613</v>
          </cell>
          <cell r="AA441">
            <v>4.2290502650743917</v>
          </cell>
          <cell r="AB441">
            <v>0.51598120000000003</v>
          </cell>
          <cell r="AC441">
            <v>-2.2349300000001682E-2</v>
          </cell>
          <cell r="AD441">
            <v>-0.2506210999999976</v>
          </cell>
          <cell r="AI441">
            <v>0.41366530000000001</v>
          </cell>
        </row>
        <row r="442">
          <cell r="O442">
            <v>4.3005711586796425</v>
          </cell>
          <cell r="P442">
            <v>5.4</v>
          </cell>
          <cell r="Q442">
            <v>5.0186034637454329</v>
          </cell>
          <cell r="W442">
            <v>5.98</v>
          </cell>
          <cell r="X442">
            <v>5.6558869102130815</v>
          </cell>
          <cell r="Y442">
            <v>3.8199954319714733</v>
          </cell>
          <cell r="Z442">
            <v>4.269459659192278</v>
          </cell>
          <cell r="AA442">
            <v>4.2311746747493224</v>
          </cell>
          <cell r="AB442">
            <v>0.24220469999999999</v>
          </cell>
          <cell r="AC442">
            <v>0.21985539999999831</v>
          </cell>
          <cell r="AD442">
            <v>-6.9163999999976022E-3</v>
          </cell>
          <cell r="AI442">
            <v>7.3612700000000003E-2</v>
          </cell>
        </row>
        <row r="443">
          <cell r="O443">
            <v>4.3002361505284874</v>
          </cell>
          <cell r="P443">
            <v>5.8</v>
          </cell>
          <cell r="Q443">
            <v>5.0225638649615298</v>
          </cell>
          <cell r="W443">
            <v>6.05</v>
          </cell>
          <cell r="X443">
            <v>5.6572846809966206</v>
          </cell>
          <cell r="Y443">
            <v>3.7969263581970703</v>
          </cell>
          <cell r="Z443">
            <v>4.2674992311912385</v>
          </cell>
          <cell r="AA443">
            <v>4.234005050175571</v>
          </cell>
          <cell r="AB443">
            <v>0</v>
          </cell>
          <cell r="AC443">
            <v>0.21985539999999831</v>
          </cell>
          <cell r="AD443">
            <v>-6.9163999999976022E-3</v>
          </cell>
          <cell r="AI443">
            <v>0</v>
          </cell>
        </row>
        <row r="444">
          <cell r="O444">
            <v>4.3032106742381675</v>
          </cell>
          <cell r="P444">
            <v>5.6</v>
          </cell>
          <cell r="Q444">
            <v>5.0245381992652467</v>
          </cell>
          <cell r="W444">
            <v>6.01</v>
          </cell>
          <cell r="X444">
            <v>5.6642096995363778</v>
          </cell>
          <cell r="Y444">
            <v>3.8189642891765412</v>
          </cell>
          <cell r="Z444">
            <v>4.2749563248173326</v>
          </cell>
          <cell r="AA444">
            <v>4.2382139993080337</v>
          </cell>
          <cell r="AB444">
            <v>0.2246379</v>
          </cell>
          <cell r="AC444">
            <v>0.44449329999999831</v>
          </cell>
          <cell r="AD444">
            <v>0.2053223000000024</v>
          </cell>
          <cell r="AI444">
            <v>0.18821370000000001</v>
          </cell>
        </row>
        <row r="445">
          <cell r="O445">
            <v>4.3068652232323972</v>
          </cell>
          <cell r="P445">
            <v>5.6</v>
          </cell>
          <cell r="Q445">
            <v>5.0265086432525461</v>
          </cell>
          <cell r="W445">
            <v>6</v>
          </cell>
          <cell r="X445">
            <v>5.6868058504490842</v>
          </cell>
          <cell r="Y445">
            <v>3.8492109930162757</v>
          </cell>
          <cell r="Z445">
            <v>4.2798554720627555</v>
          </cell>
          <cell r="AA445">
            <v>4.2430087903890605</v>
          </cell>
          <cell r="AB445">
            <v>0</v>
          </cell>
          <cell r="AC445">
            <v>0.44449329999999831</v>
          </cell>
          <cell r="AD445">
            <v>0.2053223000000024</v>
          </cell>
          <cell r="AI445">
            <v>0</v>
          </cell>
        </row>
        <row r="446">
          <cell r="O446">
            <v>4.302858960713321</v>
          </cell>
          <cell r="P446">
            <v>5.7</v>
          </cell>
          <cell r="Q446">
            <v>5.0278201188503564</v>
          </cell>
          <cell r="W446">
            <v>5.85</v>
          </cell>
          <cell r="X446">
            <v>5.688228807729435</v>
          </cell>
          <cell r="Y446">
            <v>3.8314851752016654</v>
          </cell>
          <cell r="Z446">
            <v>4.2777627397299272</v>
          </cell>
          <cell r="AA446">
            <v>4.2431093354872127</v>
          </cell>
          <cell r="AB446">
            <v>1.93463E-2</v>
          </cell>
          <cell r="AC446">
            <v>0.4638395999999983</v>
          </cell>
          <cell r="AD446">
            <v>0.20067140000000239</v>
          </cell>
          <cell r="AI446">
            <v>7.7700900000000003E-2</v>
          </cell>
        </row>
        <row r="447">
          <cell r="O447">
            <v>4.3155635961735266</v>
          </cell>
          <cell r="P447">
            <v>5.7</v>
          </cell>
          <cell r="Q447">
            <v>5.0297841129350163</v>
          </cell>
          <cell r="W447">
            <v>5.74</v>
          </cell>
          <cell r="X447">
            <v>5.676445535580906</v>
          </cell>
          <cell r="Y447">
            <v>3.8531855357036515</v>
          </cell>
          <cell r="Z447">
            <v>4.2731460419189009</v>
          </cell>
          <cell r="AA447">
            <v>4.2481951970403573</v>
          </cell>
          <cell r="AB447">
            <v>-4.90342E-2</v>
          </cell>
          <cell r="AC447">
            <v>0.41480539999999833</v>
          </cell>
          <cell r="AD447">
            <v>0.11159520000000239</v>
          </cell>
          <cell r="AI447">
            <v>1.18946E-2</v>
          </cell>
        </row>
        <row r="448">
          <cell r="O448">
            <v>4.3195992169219508</v>
          </cell>
          <cell r="P448">
            <v>5.6</v>
          </cell>
          <cell r="Q448">
            <v>5.0310913026636381</v>
          </cell>
          <cell r="W448">
            <v>5.8</v>
          </cell>
          <cell r="X448">
            <v>5.6721541991980242</v>
          </cell>
          <cell r="Y448">
            <v>3.8642812914426852</v>
          </cell>
          <cell r="Z448">
            <v>4.2820543541469194</v>
          </cell>
          <cell r="AA448">
            <v>4.2463500857029706</v>
          </cell>
          <cell r="AB448">
            <v>6.1397899999999998E-2</v>
          </cell>
          <cell r="AC448">
            <v>0.47620329999999833</v>
          </cell>
          <cell r="AD448">
            <v>0.13751510000000239</v>
          </cell>
          <cell r="AI448">
            <v>5.2804299999999998E-2</v>
          </cell>
        </row>
        <row r="449">
          <cell r="O449">
            <v>4.3182411632565163</v>
          </cell>
          <cell r="P449">
            <v>5.5</v>
          </cell>
          <cell r="Q449">
            <v>5.0337005670272514</v>
          </cell>
          <cell r="W449">
            <v>5.76</v>
          </cell>
          <cell r="X449">
            <v>5.6790456944237873</v>
          </cell>
          <cell r="Y449">
            <v>3.8440439056152851</v>
          </cell>
          <cell r="Z449">
            <v>4.2734386942569822</v>
          </cell>
          <cell r="AA449">
            <v>4.2475233413354028</v>
          </cell>
          <cell r="AB449">
            <v>0</v>
          </cell>
          <cell r="AC449">
            <v>0.47620329999999833</v>
          </cell>
          <cell r="AD449">
            <v>0.13751510000000239</v>
          </cell>
          <cell r="AI449">
            <v>0</v>
          </cell>
        </row>
        <row r="450">
          <cell r="O450">
            <v>4.320750785229758</v>
          </cell>
          <cell r="P450">
            <v>5.6</v>
          </cell>
          <cell r="Q450">
            <v>5.0350026505445502</v>
          </cell>
          <cell r="W450">
            <v>5.8</v>
          </cell>
          <cell r="X450">
            <v>5.6925867018954666</v>
          </cell>
          <cell r="Y450">
            <v>3.8658743494021657</v>
          </cell>
          <cell r="Z450">
            <v>4.2841932743251183</v>
          </cell>
          <cell r="AA450">
            <v>4.2521884138869765</v>
          </cell>
          <cell r="AB450">
            <v>0.1075207</v>
          </cell>
          <cell r="AC450">
            <v>0.58372399999999836</v>
          </cell>
          <cell r="AD450">
            <v>0.19129830000000239</v>
          </cell>
          <cell r="AI450">
            <v>2.3649E-2</v>
          </cell>
        </row>
        <row r="451">
          <cell r="O451">
            <v>4.324566999000603</v>
          </cell>
          <cell r="P451">
            <v>5.6</v>
          </cell>
          <cell r="Q451">
            <v>5.0363030408448335</v>
          </cell>
          <cell r="W451">
            <v>5.6</v>
          </cell>
          <cell r="X451">
            <v>5.6727732877818564</v>
          </cell>
          <cell r="Y451">
            <v>3.8903907053010323</v>
          </cell>
          <cell r="Z451">
            <v>4.2907059860961532</v>
          </cell>
          <cell r="AA451">
            <v>4.2547896761834796</v>
          </cell>
          <cell r="AB451">
            <v>-0.1249469</v>
          </cell>
          <cell r="AC451">
            <v>0.45877709999999838</v>
          </cell>
          <cell r="AD451">
            <v>2.09554000000024E-2</v>
          </cell>
          <cell r="AI451">
            <v>-9.2613600000000004E-2</v>
          </cell>
        </row>
        <row r="452">
          <cell r="O452">
            <v>4.3179879885779613</v>
          </cell>
          <cell r="P452">
            <v>5.6</v>
          </cell>
          <cell r="Q452">
            <v>5.04148775757902</v>
          </cell>
          <cell r="W452">
            <v>5.56</v>
          </cell>
          <cell r="X452">
            <v>5.6586456289846714</v>
          </cell>
          <cell r="Y452">
            <v>3.8559181540433736</v>
          </cell>
          <cell r="Z452">
            <v>4.2836693170570133</v>
          </cell>
          <cell r="AA452">
            <v>4.25731339050024</v>
          </cell>
          <cell r="AB452">
            <v>7.3092000000000004E-2</v>
          </cell>
          <cell r="AC452">
            <v>0.53186909999999843</v>
          </cell>
          <cell r="AD452">
            <v>9.5663600000002402E-2</v>
          </cell>
          <cell r="AI452">
            <v>-6.3769500000000007E-2</v>
          </cell>
        </row>
        <row r="453">
          <cell r="O453">
            <v>4.3335228669890613</v>
          </cell>
          <cell r="P453">
            <v>5.5</v>
          </cell>
          <cell r="Q453">
            <v>5.0434251169192468</v>
          </cell>
          <cell r="W453">
            <v>5.22</v>
          </cell>
          <cell r="X453">
            <v>5.6524891802686508</v>
          </cell>
          <cell r="Y453">
            <v>3.8835412229924957</v>
          </cell>
          <cell r="Z453">
            <v>4.2890337678247166</v>
          </cell>
          <cell r="AA453">
            <v>4.2618062561090317</v>
          </cell>
          <cell r="AB453">
            <v>0</v>
          </cell>
          <cell r="AC453">
            <v>0.53186909999999843</v>
          </cell>
          <cell r="AD453">
            <v>9.5663600000002402E-2</v>
          </cell>
          <cell r="AI453">
            <v>0</v>
          </cell>
        </row>
        <row r="454">
          <cell r="O454">
            <v>4.3322217058048667</v>
          </cell>
          <cell r="P454">
            <v>5.5</v>
          </cell>
          <cell r="Q454">
            <v>5.0466457316192885</v>
          </cell>
          <cell r="W454">
            <v>5.31</v>
          </cell>
          <cell r="X454">
            <v>5.6581224066206763</v>
          </cell>
          <cell r="Y454">
            <v>3.8934108692161642</v>
          </cell>
          <cell r="Z454">
            <v>4.2950243485520208</v>
          </cell>
          <cell r="AA454">
            <v>4.2652118800820471</v>
          </cell>
          <cell r="AB454">
            <v>6.5497E-2</v>
          </cell>
          <cell r="AC454">
            <v>0.59736609999999846</v>
          </cell>
          <cell r="AD454">
            <v>0.15244400000000241</v>
          </cell>
          <cell r="AI454">
            <v>-5.8749500000000003E-2</v>
          </cell>
        </row>
        <row r="455">
          <cell r="O455">
            <v>4.3410353549923686</v>
          </cell>
          <cell r="P455">
            <v>5.6</v>
          </cell>
          <cell r="Q455">
            <v>5.0504968275213864</v>
          </cell>
          <cell r="W455">
            <v>5.22</v>
          </cell>
          <cell r="X455">
            <v>5.6866024054463482</v>
          </cell>
          <cell r="Y455">
            <v>3.9105018490562071</v>
          </cell>
          <cell r="Z455">
            <v>4.2996228084190662</v>
          </cell>
          <cell r="AA455">
            <v>4.2659842706691951</v>
          </cell>
          <cell r="AB455">
            <v>0</v>
          </cell>
          <cell r="AC455">
            <v>0.59736609999999846</v>
          </cell>
          <cell r="AD455">
            <v>0.15244400000000241</v>
          </cell>
          <cell r="AI455">
            <v>0</v>
          </cell>
        </row>
        <row r="456">
          <cell r="O456">
            <v>4.3482953271265359</v>
          </cell>
          <cell r="P456">
            <v>5.6</v>
          </cell>
          <cell r="Q456">
            <v>5.0524168281112107</v>
          </cell>
          <cell r="W456">
            <v>5.24</v>
          </cell>
          <cell r="X456">
            <v>5.7297750549304549</v>
          </cell>
          <cell r="Y456">
            <v>3.9157161772657636</v>
          </cell>
          <cell r="Z456">
            <v>4.2991340365843156</v>
          </cell>
          <cell r="AA456">
            <v>4.2670926615816223</v>
          </cell>
          <cell r="AB456">
            <v>6.3027999999999999E-3</v>
          </cell>
          <cell r="AC456">
            <v>0.60366889999999851</v>
          </cell>
          <cell r="AD456">
            <v>0.12625170000000241</v>
          </cell>
          <cell r="AI456">
            <v>-5.9616700000000002E-2</v>
          </cell>
        </row>
        <row r="457">
          <cell r="O457">
            <v>4.3567216471202306</v>
          </cell>
          <cell r="P457">
            <v>5.3</v>
          </cell>
          <cell r="Q457">
            <v>5.054333149361975</v>
          </cell>
          <cell r="W457">
            <v>5.27</v>
          </cell>
          <cell r="X457">
            <v>5.7349580921246508</v>
          </cell>
          <cell r="Y457">
            <v>3.9009216123569721</v>
          </cell>
          <cell r="Z457">
            <v>4.3072896185596399</v>
          </cell>
          <cell r="AA457">
            <v>4.2690258955866378</v>
          </cell>
          <cell r="AB457">
            <v>0</v>
          </cell>
          <cell r="AC457">
            <v>0.60366889999999851</v>
          </cell>
          <cell r="AD457">
            <v>0.12625170000000241</v>
          </cell>
          <cell r="AI457">
            <v>0</v>
          </cell>
        </row>
        <row r="458">
          <cell r="O458">
            <v>4.3549341760050853</v>
          </cell>
          <cell r="P458">
            <v>5.5</v>
          </cell>
          <cell r="Q458">
            <v>5.0562458053483077</v>
          </cell>
          <cell r="W458">
            <v>5.4</v>
          </cell>
          <cell r="X458">
            <v>5.7351196299652409</v>
          </cell>
          <cell r="Y458">
            <v>3.90614576825527</v>
          </cell>
          <cell r="Z458">
            <v>4.3074243095786464</v>
          </cell>
          <cell r="AA458">
            <v>4.2711788693383514</v>
          </cell>
          <cell r="AB458">
            <v>-1.0540300000000001E-2</v>
          </cell>
          <cell r="AC458">
            <v>0.59312859999999856</v>
          </cell>
          <cell r="AD458">
            <v>8.5704000000002417E-2</v>
          </cell>
          <cell r="AI458">
            <v>-6.5106700000000003E-2</v>
          </cell>
        </row>
        <row r="459">
          <cell r="O459">
            <v>4.3607749079400859</v>
          </cell>
          <cell r="P459">
            <v>5.0999999999999996</v>
          </cell>
          <cell r="Q459">
            <v>5.0575188799951061</v>
          </cell>
          <cell r="W459">
            <v>5.22</v>
          </cell>
          <cell r="X459">
            <v>5.7503479438035221</v>
          </cell>
          <cell r="Y459">
            <v>3.919455317245442</v>
          </cell>
          <cell r="Z459">
            <v>4.3106783127188297</v>
          </cell>
          <cell r="AA459">
            <v>4.2726441528537293</v>
          </cell>
          <cell r="AB459">
            <v>-2.3885400000000001E-2</v>
          </cell>
          <cell r="AC459">
            <v>0.56924319999999851</v>
          </cell>
          <cell r="AD459">
            <v>2.1323300000002418E-2</v>
          </cell>
          <cell r="AI459">
            <v>-3.2294799999999999E-2</v>
          </cell>
        </row>
        <row r="460">
          <cell r="O460">
            <v>4.3676335493862437</v>
          </cell>
          <cell r="P460">
            <v>5.2</v>
          </cell>
          <cell r="Q460">
            <v>5.0606944939689926</v>
          </cell>
          <cell r="W460">
            <v>5.3</v>
          </cell>
          <cell r="X460">
            <v>5.7348611568934649</v>
          </cell>
          <cell r="Y460">
            <v>3.9228244591220016</v>
          </cell>
          <cell r="Z460">
            <v>4.3092408649482286</v>
          </cell>
          <cell r="AA460">
            <v>4.2744135839627617</v>
          </cell>
          <cell r="AB460">
            <v>1.37985E-2</v>
          </cell>
          <cell r="AC460">
            <v>0.58304169999999855</v>
          </cell>
          <cell r="AD460">
            <v>-2.0987899999997582E-2</v>
          </cell>
          <cell r="AI460">
            <v>3.2207199999999998E-2</v>
          </cell>
        </row>
        <row r="461">
          <cell r="O461">
            <v>4.3668698487248436</v>
          </cell>
          <cell r="P461">
            <v>5.2</v>
          </cell>
          <cell r="Q461">
            <v>5.0638600553335538</v>
          </cell>
          <cell r="W461">
            <v>5.24</v>
          </cell>
          <cell r="X461">
            <v>5.6966235774577214</v>
          </cell>
          <cell r="Y461">
            <v>3.9306681002969857</v>
          </cell>
          <cell r="Z461">
            <v>4.3164742664336462</v>
          </cell>
          <cell r="AA461">
            <v>4.2747336975362229</v>
          </cell>
          <cell r="AB461">
            <v>0</v>
          </cell>
          <cell r="AC461">
            <v>0.58304169999999855</v>
          </cell>
          <cell r="AD461">
            <v>-2.0987899999997582E-2</v>
          </cell>
          <cell r="AI461">
            <v>0</v>
          </cell>
        </row>
        <row r="462">
          <cell r="O462">
            <v>4.3755570016576195</v>
          </cell>
          <cell r="P462">
            <v>5.4</v>
          </cell>
          <cell r="Q462">
            <v>5.0670156275323635</v>
          </cell>
          <cell r="W462">
            <v>5.31</v>
          </cell>
          <cell r="X462">
            <v>5.6519276191139243</v>
          </cell>
          <cell r="Y462">
            <v>3.9385675606502581</v>
          </cell>
          <cell r="Z462">
            <v>4.3157532762425941</v>
          </cell>
          <cell r="AA462">
            <v>4.2774158379066014</v>
          </cell>
          <cell r="AB462">
            <v>7.3000399999999993E-2</v>
          </cell>
          <cell r="AC462">
            <v>0.65604209999999852</v>
          </cell>
          <cell r="AD462">
            <v>2.6894700000002415E-2</v>
          </cell>
          <cell r="AI462">
            <v>5.0052100000000002E-2</v>
          </cell>
        </row>
        <row r="463">
          <cell r="O463">
            <v>4.3821553763863115</v>
          </cell>
          <cell r="P463">
            <v>5.4</v>
          </cell>
          <cell r="Q463">
            <v>5.0695329353437408</v>
          </cell>
          <cell r="W463">
            <v>5.29</v>
          </cell>
          <cell r="X463">
            <v>5.6571449918048442</v>
          </cell>
          <cell r="Y463">
            <v>3.937183801086646</v>
          </cell>
          <cell r="Z463">
            <v>4.3193131138763281</v>
          </cell>
          <cell r="AA463">
            <v>4.2823306010581641</v>
          </cell>
          <cell r="AB463">
            <v>1.6142199999999999E-2</v>
          </cell>
          <cell r="AC463">
            <v>0.67218429999999851</v>
          </cell>
          <cell r="AD463">
            <v>5.0000000241523512E-7</v>
          </cell>
          <cell r="AI463">
            <v>2.8171700000000001E-2</v>
          </cell>
        </row>
        <row r="464">
          <cell r="O464">
            <v>4.3834818253701329</v>
          </cell>
          <cell r="P464">
            <v>5.3</v>
          </cell>
          <cell r="Q464">
            <v>5.0714167663561147</v>
          </cell>
          <cell r="W464">
            <v>5.25</v>
          </cell>
          <cell r="X464">
            <v>5.6773015974066041</v>
          </cell>
          <cell r="Y464">
            <v>3.9597840688264059</v>
          </cell>
          <cell r="Z464">
            <v>4.3158734773793075</v>
          </cell>
          <cell r="AA464">
            <v>4.2866439522413042</v>
          </cell>
          <cell r="AB464">
            <v>0</v>
          </cell>
          <cell r="AC464">
            <v>0.67218429999999851</v>
          </cell>
          <cell r="AI464">
            <v>0</v>
          </cell>
        </row>
        <row r="465">
          <cell r="O465">
            <v>4.3956632321967906</v>
          </cell>
          <cell r="P465">
            <v>5.2</v>
          </cell>
          <cell r="Q465">
            <v>5.0732970552209666</v>
          </cell>
          <cell r="W465">
            <v>5.19</v>
          </cell>
          <cell r="X465">
            <v>5.6908323154805727</v>
          </cell>
          <cell r="Y465">
            <v>3.9566903969233054</v>
          </cell>
          <cell r="Z465">
            <v>4.3236689726113919</v>
          </cell>
          <cell r="AA465">
            <v>4.28771595520264</v>
          </cell>
          <cell r="AB465">
            <v>1.9776700000000001E-2</v>
          </cell>
          <cell r="AC465">
            <v>0.69196099999999849</v>
          </cell>
          <cell r="AI465">
            <v>9.9153999999999996E-3</v>
          </cell>
        </row>
        <row r="466">
          <cell r="O466">
            <v>4.4026708195258522</v>
          </cell>
          <cell r="P466">
            <v>5.2</v>
          </cell>
          <cell r="Q466">
            <v>5.0739230333321741</v>
          </cell>
          <cell r="W466">
            <v>5.39</v>
          </cell>
          <cell r="X466">
            <v>5.6960190840383671</v>
          </cell>
          <cell r="Y466">
            <v>3.97002772771472</v>
          </cell>
          <cell r="Z466">
            <v>4.3301410596596259</v>
          </cell>
          <cell r="AA466">
            <v>4.2866989547164298</v>
          </cell>
          <cell r="AB466">
            <v>0.102688</v>
          </cell>
          <cell r="AC466">
            <v>0.7946489999999985</v>
          </cell>
          <cell r="AI466">
            <v>0.1135224</v>
          </cell>
        </row>
        <row r="467">
          <cell r="O467">
            <v>4.4034676250024427</v>
          </cell>
          <cell r="P467">
            <v>5.0999999999999996</v>
          </cell>
          <cell r="Q467">
            <v>5.0745486198399083</v>
          </cell>
          <cell r="W467">
            <v>5.51</v>
          </cell>
          <cell r="X467">
            <v>5.6771304436587746</v>
          </cell>
          <cell r="Y467">
            <v>3.9577035779201202</v>
          </cell>
          <cell r="Z467">
            <v>4.3213871689972772</v>
          </cell>
          <cell r="AA467">
            <v>4.2924164291072868</v>
          </cell>
          <cell r="AB467">
            <v>0</v>
          </cell>
          <cell r="AC467">
            <v>0.7946489999999985</v>
          </cell>
          <cell r="AI467">
            <v>0</v>
          </cell>
        </row>
        <row r="468">
          <cell r="O468">
            <v>4.4096296420998531</v>
          </cell>
          <cell r="P468">
            <v>4.9000000000000004</v>
          </cell>
          <cell r="Q468">
            <v>5.0745486198399083</v>
          </cell>
          <cell r="W468">
            <v>5.5</v>
          </cell>
          <cell r="X468">
            <v>5.6786014094589428</v>
          </cell>
          <cell r="Y468">
            <v>3.9500699530650487</v>
          </cell>
          <cell r="Z468">
            <v>4.3201379329950358</v>
          </cell>
          <cell r="AA468">
            <v>4.2954060903901077</v>
          </cell>
          <cell r="AB468">
            <v>9.8442500000000002E-2</v>
          </cell>
          <cell r="AC468">
            <v>0.89309149999999848</v>
          </cell>
          <cell r="AI468">
            <v>7.4719999999999995E-2</v>
          </cell>
        </row>
        <row r="469">
          <cell r="O469">
            <v>4.4146862070791713</v>
          </cell>
          <cell r="P469">
            <v>5</v>
          </cell>
          <cell r="Q469">
            <v>5.0764230346342591</v>
          </cell>
          <cell r="W469">
            <v>5.56</v>
          </cell>
          <cell r="X469">
            <v>5.6838178342366037</v>
          </cell>
          <cell r="Y469">
            <v>3.9691214174680227</v>
          </cell>
          <cell r="Z469">
            <v>4.3298250331634414</v>
          </cell>
          <cell r="AA469">
            <v>4.2957876865569711</v>
          </cell>
          <cell r="AB469">
            <v>0</v>
          </cell>
          <cell r="AC469">
            <v>0.89309149999999848</v>
          </cell>
          <cell r="AI469">
            <v>0</v>
          </cell>
        </row>
        <row r="470">
          <cell r="O470">
            <v>4.4223008792064986</v>
          </cell>
          <cell r="P470">
            <v>4.9000000000000004</v>
          </cell>
          <cell r="Q470">
            <v>5.0776706954324142</v>
          </cell>
          <cell r="W470">
            <v>5.52</v>
          </cell>
          <cell r="X470">
            <v>5.6739416326451799</v>
          </cell>
          <cell r="Y470">
            <v>3.9906308380067603</v>
          </cell>
          <cell r="Z470">
            <v>4.3376044171211348</v>
          </cell>
          <cell r="AA470">
            <v>4.3032539535084862</v>
          </cell>
          <cell r="AB470">
            <v>-4.9381800000000003E-2</v>
          </cell>
          <cell r="AC470">
            <v>0.84370969999999845</v>
          </cell>
          <cell r="AI470">
            <v>-1.9380600000000001E-2</v>
          </cell>
        </row>
        <row r="471">
          <cell r="O471">
            <v>4.432773217141702</v>
          </cell>
          <cell r="P471">
            <v>4.8</v>
          </cell>
          <cell r="Q471">
            <v>5.080161356744866</v>
          </cell>
          <cell r="W471">
            <v>5.54</v>
          </cell>
          <cell r="X471">
            <v>5.6874498200353036</v>
          </cell>
          <cell r="Y471">
            <v>4.0166172275580676</v>
          </cell>
          <cell r="Z471">
            <v>4.340019041776209</v>
          </cell>
          <cell r="AA471">
            <v>4.3066832843700915</v>
          </cell>
          <cell r="AB471">
            <v>0.1114467</v>
          </cell>
          <cell r="AC471">
            <v>0.95515639999999846</v>
          </cell>
          <cell r="AI471">
            <v>0.10917109999999999</v>
          </cell>
        </row>
        <row r="472">
          <cell r="O472">
            <v>4.4420169377056284</v>
          </cell>
          <cell r="P472">
            <v>4.9000000000000004</v>
          </cell>
          <cell r="Q472">
            <v>5.0826458300725275</v>
          </cell>
          <cell r="W472">
            <v>5.54</v>
          </cell>
          <cell r="X472">
            <v>5.6814686970596169</v>
          </cell>
          <cell r="Y472">
            <v>4.0003085702955063</v>
          </cell>
          <cell r="Z472">
            <v>4.3416602655072953</v>
          </cell>
          <cell r="AA472">
            <v>4.3096440961799187</v>
          </cell>
          <cell r="AB472">
            <v>-0.1585259</v>
          </cell>
          <cell r="AC472">
            <v>0.79663049999999846</v>
          </cell>
          <cell r="AI472">
            <v>-4.3888299999999998E-2</v>
          </cell>
        </row>
        <row r="473">
          <cell r="O473">
            <v>4.4510231728207774</v>
          </cell>
          <cell r="P473">
            <v>4.7</v>
          </cell>
          <cell r="Q473">
            <v>5.084505142662711</v>
          </cell>
          <cell r="W473">
            <v>5.5</v>
          </cell>
          <cell r="X473">
            <v>5.6894468758888346</v>
          </cell>
          <cell r="Y473">
            <v>4.0069512941395313</v>
          </cell>
          <cell r="Z473">
            <v>4.3422457646620369</v>
          </cell>
          <cell r="AA473">
            <v>4.3159268954693557</v>
          </cell>
          <cell r="AB473">
            <v>0</v>
          </cell>
          <cell r="AC473">
            <v>0.79663049999999846</v>
          </cell>
          <cell r="AI473">
            <v>0</v>
          </cell>
        </row>
        <row r="474">
          <cell r="O474">
            <v>4.4597547426501158</v>
          </cell>
          <cell r="P474">
            <v>4.5999999999999996</v>
          </cell>
          <cell r="Q474">
            <v>5.0857427665830608</v>
          </cell>
          <cell r="W474">
            <v>5.52</v>
          </cell>
          <cell r="X474">
            <v>5.6841918248911973</v>
          </cell>
          <cell r="Y474">
            <v>4.0333907195517602</v>
          </cell>
          <cell r="Z474">
            <v>4.3506004649865124</v>
          </cell>
          <cell r="AA474">
            <v>4.3139752841026908</v>
          </cell>
          <cell r="AB474">
            <v>-7.2062500000000002E-2</v>
          </cell>
          <cell r="AC474">
            <v>0.72456799999999844</v>
          </cell>
          <cell r="AI474">
            <v>-3.4310599999999997E-2</v>
          </cell>
        </row>
        <row r="475">
          <cell r="O475">
            <v>4.4630742219021817</v>
          </cell>
          <cell r="P475">
            <v>4.7</v>
          </cell>
          <cell r="Q475">
            <v>5.0863610046243917</v>
          </cell>
          <cell r="W475">
            <v>5.5</v>
          </cell>
          <cell r="X475">
            <v>5.6314268124640607</v>
          </cell>
          <cell r="Y475">
            <v>4.0427178789333125</v>
          </cell>
          <cell r="Z475">
            <v>4.3474222498619488</v>
          </cell>
          <cell r="AA475">
            <v>4.3220112022638952</v>
          </cell>
          <cell r="AB475">
            <v>4.3289000000000001E-3</v>
          </cell>
          <cell r="AC475">
            <v>0.7288968999999984</v>
          </cell>
          <cell r="AI475">
            <v>8.4732000000000002E-3</v>
          </cell>
        </row>
        <row r="476">
          <cell r="O476">
            <v>4.4683591354458558</v>
          </cell>
          <cell r="P476">
            <v>4.5999999999999996</v>
          </cell>
          <cell r="Q476">
            <v>5.0875963352323836</v>
          </cell>
          <cell r="W476">
            <v>5.56</v>
          </cell>
          <cell r="X476">
            <v>5.5892690878674403</v>
          </cell>
          <cell r="Y476">
            <v>4.0270466819969277</v>
          </cell>
          <cell r="Z476">
            <v>4.3514385529058579</v>
          </cell>
          <cell r="AA476">
            <v>4.3225552538693286</v>
          </cell>
          <cell r="AB476">
            <v>0</v>
          </cell>
          <cell r="AC476">
            <v>0.7288968999999984</v>
          </cell>
          <cell r="AI476">
            <v>0</v>
          </cell>
        </row>
        <row r="477">
          <cell r="O477">
            <v>4.4694730211998088</v>
          </cell>
          <cell r="P477">
            <v>4.5999999999999996</v>
          </cell>
          <cell r="Q477">
            <v>5.0875963352323836</v>
          </cell>
          <cell r="W477">
            <v>5.51</v>
          </cell>
          <cell r="X477">
            <v>5.5793146454710962</v>
          </cell>
          <cell r="Y477">
            <v>4.0388670877528137</v>
          </cell>
          <cell r="Z477">
            <v>4.3530354213232831</v>
          </cell>
          <cell r="AA477">
            <v>4.3298118632251423</v>
          </cell>
          <cell r="AB477">
            <v>-2.4786699999999998E-2</v>
          </cell>
          <cell r="AC477">
            <v>0.70411019999999835</v>
          </cell>
          <cell r="AI477">
            <v>4.74539E-2</v>
          </cell>
        </row>
        <row r="478">
          <cell r="O478">
            <v>4.4703373754579614</v>
          </cell>
          <cell r="P478">
            <v>4.7</v>
          </cell>
          <cell r="Q478">
            <v>5.0875963352323836</v>
          </cell>
          <cell r="W478">
            <v>5.49</v>
          </cell>
          <cell r="X478">
            <v>5.5969022863620967</v>
          </cell>
          <cell r="Y478">
            <v>4.0415062152060992</v>
          </cell>
          <cell r="Z478">
            <v>4.357285583410377</v>
          </cell>
          <cell r="AA478">
            <v>4.3348433038560108</v>
          </cell>
          <cell r="AB478">
            <v>-2.6395999999999999E-2</v>
          </cell>
          <cell r="AC478">
            <v>0.67771419999999838</v>
          </cell>
          <cell r="AI478">
            <v>-3.3034399999999998E-2</v>
          </cell>
        </row>
        <row r="479">
          <cell r="O479">
            <v>4.4740370580834927</v>
          </cell>
          <cell r="P479">
            <v>4.3</v>
          </cell>
          <cell r="Q479">
            <v>5.0888301416813126</v>
          </cell>
          <cell r="W479">
            <v>5.45</v>
          </cell>
          <cell r="X479">
            <v>5.5971989892534175</v>
          </cell>
          <cell r="Y479">
            <v>4.0641945852712178</v>
          </cell>
          <cell r="Z479">
            <v>4.3641681163725687</v>
          </cell>
          <cell r="AA479">
            <v>4.3360481390572208</v>
          </cell>
          <cell r="AB479">
            <v>0</v>
          </cell>
          <cell r="AC479">
            <v>0.67771419999999838</v>
          </cell>
          <cell r="AI479">
            <v>0</v>
          </cell>
        </row>
        <row r="480">
          <cell r="O480">
            <v>4.4804444806776207</v>
          </cell>
          <cell r="P480">
            <v>4.4000000000000004</v>
          </cell>
          <cell r="Q480">
            <v>5.0912931971137105</v>
          </cell>
          <cell r="W480">
            <v>5.49</v>
          </cell>
          <cell r="X480">
            <v>5.6219214481758808</v>
          </cell>
          <cell r="Y480">
            <v>4.0979547044762299</v>
          </cell>
          <cell r="Z480">
            <v>4.3629330059787836</v>
          </cell>
          <cell r="AA480">
            <v>4.3408139388398075</v>
          </cell>
          <cell r="AB480">
            <v>-6.6774899999999998E-2</v>
          </cell>
          <cell r="AC480">
            <v>0.61093929999999841</v>
          </cell>
          <cell r="AI480">
            <v>7.6345999999999997E-2</v>
          </cell>
        </row>
        <row r="481">
          <cell r="O481">
            <v>4.4740108349899534</v>
          </cell>
          <cell r="P481">
            <v>4.5</v>
          </cell>
          <cell r="Q481">
            <v>5.0925224535684404</v>
          </cell>
          <cell r="W481">
            <v>5.56</v>
          </cell>
          <cell r="X481">
            <v>5.6097281725738783</v>
          </cell>
          <cell r="Y481">
            <v>4.0928935099547861</v>
          </cell>
          <cell r="Z481">
            <v>4.3707760839010277</v>
          </cell>
          <cell r="AA481">
            <v>4.3493226415007546</v>
          </cell>
          <cell r="AB481">
            <v>0</v>
          </cell>
          <cell r="AC481">
            <v>0.61093929999999841</v>
          </cell>
          <cell r="AI481">
            <v>0</v>
          </cell>
        </row>
        <row r="482">
          <cell r="O482">
            <v>4.4702595569398618</v>
          </cell>
          <cell r="P482">
            <v>4.5</v>
          </cell>
          <cell r="Q482">
            <v>5.0949764425300064</v>
          </cell>
          <cell r="W482">
            <v>5.54</v>
          </cell>
          <cell r="X482">
            <v>5.5861619257981223</v>
          </cell>
          <cell r="Y482">
            <v>4.0897339496644172</v>
          </cell>
          <cell r="Z482">
            <v>4.3729480487406747</v>
          </cell>
          <cell r="AA482">
            <v>4.3503037424779336</v>
          </cell>
          <cell r="AB482">
            <v>3.2857400000000002E-2</v>
          </cell>
          <cell r="AC482">
            <v>0.64379669999999845</v>
          </cell>
          <cell r="AI482">
            <v>9.4105300000000003E-2</v>
          </cell>
        </row>
        <row r="483">
          <cell r="O483">
            <v>4.4905155019331975</v>
          </cell>
          <cell r="P483">
            <v>4.5</v>
          </cell>
          <cell r="Q483">
            <v>5.0962011824259026</v>
          </cell>
          <cell r="W483">
            <v>5.55</v>
          </cell>
          <cell r="X483">
            <v>5.56409886254648</v>
          </cell>
          <cell r="Y483">
            <v>4.1130518185766851</v>
          </cell>
          <cell r="Z483">
            <v>4.3706875900038877</v>
          </cell>
          <cell r="AA483">
            <v>4.353485689240296</v>
          </cell>
          <cell r="AB483">
            <v>9.9412E-2</v>
          </cell>
          <cell r="AC483">
            <v>0.7432086999999985</v>
          </cell>
          <cell r="AI483">
            <v>7.9864000000000004E-2</v>
          </cell>
        </row>
        <row r="484">
          <cell r="O484">
            <v>4.4883340768552404</v>
          </cell>
          <cell r="P484">
            <v>4.5999999999999996</v>
          </cell>
          <cell r="Q484">
            <v>5.0968129903373081</v>
          </cell>
          <cell r="W484">
            <v>5.51</v>
          </cell>
          <cell r="X484">
            <v>5.5411066701090812</v>
          </cell>
          <cell r="Y484">
            <v>4.1360941264165634</v>
          </cell>
          <cell r="Z484">
            <v>4.3757318641111338</v>
          </cell>
          <cell r="AA484">
            <v>4.3585788719363183</v>
          </cell>
          <cell r="AB484">
            <v>-0.2392213</v>
          </cell>
          <cell r="AC484">
            <v>0.50398739999999853</v>
          </cell>
          <cell r="AI484">
            <v>-0.17485919999999999</v>
          </cell>
        </row>
        <row r="485">
          <cell r="O485">
            <v>4.4962399732026652</v>
          </cell>
          <cell r="P485">
            <v>4.5</v>
          </cell>
          <cell r="Q485">
            <v>5.099256485749784</v>
          </cell>
          <cell r="W485">
            <v>5.07</v>
          </cell>
          <cell r="X485">
            <v>5.5347324600554861</v>
          </cell>
          <cell r="Y485">
            <v>4.1605379632902171</v>
          </cell>
          <cell r="Z485">
            <v>4.3790848117529606</v>
          </cell>
          <cell r="AA485">
            <v>4.3577723634978733</v>
          </cell>
          <cell r="AB485">
            <v>0</v>
          </cell>
          <cell r="AC485">
            <v>0.50398739999999853</v>
          </cell>
          <cell r="AI485">
            <v>0</v>
          </cell>
        </row>
        <row r="486">
          <cell r="O486">
            <v>4.4956499194393453</v>
          </cell>
          <cell r="P486">
            <v>4.4000000000000004</v>
          </cell>
          <cell r="Q486">
            <v>5.1004759980960452</v>
          </cell>
          <cell r="W486">
            <v>4.83</v>
          </cell>
          <cell r="X486">
            <v>5.4930202902303966</v>
          </cell>
          <cell r="Y486">
            <v>4.1610837850383895</v>
          </cell>
          <cell r="Z486">
            <v>4.3871012370716285</v>
          </cell>
          <cell r="AA486">
            <v>4.3592184953478732</v>
          </cell>
          <cell r="AB486">
            <v>-0.14021639999999999</v>
          </cell>
          <cell r="AC486">
            <v>0.36377099999999851</v>
          </cell>
          <cell r="AI486">
            <v>-0.12845599999999999</v>
          </cell>
        </row>
        <row r="487">
          <cell r="O487">
            <v>4.4991438931942893</v>
          </cell>
          <cell r="P487">
            <v>4.4000000000000004</v>
          </cell>
          <cell r="Q487">
            <v>5.10230248262208</v>
          </cell>
          <cell r="W487">
            <v>4.68</v>
          </cell>
          <cell r="X487">
            <v>5.4525823255594661</v>
          </cell>
          <cell r="Y487">
            <v>4.1896698934267942</v>
          </cell>
          <cell r="Z487">
            <v>4.3934980852653247</v>
          </cell>
          <cell r="AA487">
            <v>4.3635189186181407</v>
          </cell>
          <cell r="AB487">
            <v>-0.1692948</v>
          </cell>
          <cell r="AC487">
            <v>0.19447619999999852</v>
          </cell>
          <cell r="AI487">
            <v>-7.1776400000000004E-2</v>
          </cell>
        </row>
        <row r="488">
          <cell r="O488">
            <v>4.5036412094890634</v>
          </cell>
          <cell r="P488">
            <v>4.3</v>
          </cell>
          <cell r="Q488">
            <v>5.1041256371835946</v>
          </cell>
          <cell r="W488">
            <v>4.63</v>
          </cell>
          <cell r="X488">
            <v>5.4735723471352724</v>
          </cell>
          <cell r="Y488">
            <v>4.1546240264392882</v>
          </cell>
          <cell r="Z488">
            <v>4.3991664059884519</v>
          </cell>
          <cell r="AA488">
            <v>4.3663290700665822</v>
          </cell>
          <cell r="AB488">
            <v>0</v>
          </cell>
          <cell r="AC488">
            <v>0.19447619999999852</v>
          </cell>
          <cell r="AI488">
            <v>0</v>
          </cell>
        </row>
        <row r="489">
          <cell r="O489">
            <v>4.5084312860490421</v>
          </cell>
          <cell r="P489">
            <v>4.4000000000000004</v>
          </cell>
          <cell r="Q489">
            <v>5.1041256371835946</v>
          </cell>
          <cell r="W489">
            <v>4.76</v>
          </cell>
          <cell r="X489">
            <v>5.4457023534610949</v>
          </cell>
          <cell r="Y489">
            <v>4.1777508375236012</v>
          </cell>
          <cell r="Z489">
            <v>4.4057675750556795</v>
          </cell>
          <cell r="AA489">
            <v>4.3670018254057714</v>
          </cell>
          <cell r="AB489">
            <v>-0.10983519999999999</v>
          </cell>
          <cell r="AC489">
            <v>8.4640999999998523E-2</v>
          </cell>
          <cell r="AI489">
            <v>-6.9300700000000007E-2</v>
          </cell>
        </row>
        <row r="490">
          <cell r="O490">
            <v>4.5102857155566713</v>
          </cell>
          <cell r="P490">
            <v>4.2</v>
          </cell>
          <cell r="Q490">
            <v>5.1047326174753715</v>
          </cell>
          <cell r="W490">
            <v>4.8099999999999996</v>
          </cell>
          <cell r="X490">
            <v>5.4210658318070903</v>
          </cell>
          <cell r="Y490">
            <v>4.1854337248423548</v>
          </cell>
          <cell r="Z490">
            <v>4.4094958766634269</v>
          </cell>
          <cell r="AA490">
            <v>4.3710415186151259</v>
          </cell>
          <cell r="AB490">
            <v>-0.15775439999999999</v>
          </cell>
          <cell r="AC490">
            <v>-7.3113400000001466E-2</v>
          </cell>
          <cell r="AI490">
            <v>-0.1018476</v>
          </cell>
        </row>
        <row r="491">
          <cell r="O491">
            <v>4.5126151074045255</v>
          </cell>
          <cell r="P491">
            <v>4.3</v>
          </cell>
          <cell r="Q491">
            <v>5.1113851971963991</v>
          </cell>
          <cell r="W491">
            <v>4.74</v>
          </cell>
          <cell r="X491">
            <v>5.4220382935377955</v>
          </cell>
          <cell r="Y491">
            <v>4.2009243342846565</v>
          </cell>
          <cell r="Z491">
            <v>4.4106505340104469</v>
          </cell>
          <cell r="AA491">
            <v>4.3762851840447672</v>
          </cell>
          <cell r="AB491">
            <v>0</v>
          </cell>
          <cell r="AC491">
            <v>-7.3113400000001466E-2</v>
          </cell>
          <cell r="AI491">
            <v>0</v>
          </cell>
        </row>
        <row r="492">
          <cell r="O492">
            <v>4.5199118170361805</v>
          </cell>
          <cell r="P492">
            <v>4.2</v>
          </cell>
          <cell r="Q492">
            <v>5.1119877883565437</v>
          </cell>
          <cell r="W492">
            <v>4.74</v>
          </cell>
          <cell r="X492">
            <v>5.4317550047777532</v>
          </cell>
          <cell r="Y492">
            <v>4.2200369768518451</v>
          </cell>
          <cell r="Z492">
            <v>4.4163918288507658</v>
          </cell>
          <cell r="AA492">
            <v>4.3770392181628344</v>
          </cell>
          <cell r="AB492">
            <v>-0.11190219999999999</v>
          </cell>
          <cell r="AC492">
            <v>-0.18501560000000145</v>
          </cell>
          <cell r="AI492">
            <v>-6.3467599999999999E-2</v>
          </cell>
        </row>
        <row r="493">
          <cell r="O493">
            <v>4.5181766270215382</v>
          </cell>
          <cell r="P493">
            <v>4.3</v>
          </cell>
          <cell r="Q493">
            <v>5.1119877883565437</v>
          </cell>
          <cell r="W493">
            <v>4.76</v>
          </cell>
          <cell r="X493">
            <v>5.4383836104448777</v>
          </cell>
          <cell r="Y493">
            <v>4.2368997014376397</v>
          </cell>
          <cell r="Z493">
            <v>4.4151712332661832</v>
          </cell>
          <cell r="AA493">
            <v>4.3806757226029251</v>
          </cell>
          <cell r="AB493">
            <v>0.25867869999999998</v>
          </cell>
          <cell r="AC493">
            <v>7.3663099999998538E-2</v>
          </cell>
          <cell r="AI493">
            <v>0.26207960000000002</v>
          </cell>
        </row>
        <row r="494">
          <cell r="O494">
            <v>4.5245488943004339</v>
          </cell>
          <cell r="P494">
            <v>4.3</v>
          </cell>
          <cell r="Q494">
            <v>5.1161957897567483</v>
          </cell>
          <cell r="W494">
            <v>4.99</v>
          </cell>
          <cell r="X494">
            <v>5.4187191924003324</v>
          </cell>
          <cell r="Y494">
            <v>4.2346570776417822</v>
          </cell>
          <cell r="Z494">
            <v>4.4114883448235007</v>
          </cell>
          <cell r="AA494">
            <v>4.385221525570401</v>
          </cell>
          <cell r="AB494">
            <v>0</v>
          </cell>
          <cell r="AC494">
            <v>7.3663099999998538E-2</v>
          </cell>
          <cell r="AI494">
            <v>0</v>
          </cell>
        </row>
        <row r="495">
          <cell r="O495">
            <v>4.5287069809110259</v>
          </cell>
          <cell r="P495">
            <v>4.2</v>
          </cell>
          <cell r="Q495">
            <v>5.1185924356013484</v>
          </cell>
          <cell r="W495">
            <v>5.07</v>
          </cell>
          <cell r="X495">
            <v>5.4450980977562313</v>
          </cell>
          <cell r="Y495">
            <v>4.2439994367591023</v>
          </cell>
          <cell r="Z495">
            <v>4.4193705878143028</v>
          </cell>
          <cell r="AA495">
            <v>4.3889153528773033</v>
          </cell>
          <cell r="AB495">
            <v>0.24062040000000001</v>
          </cell>
          <cell r="AC495">
            <v>0.31428349999999855</v>
          </cell>
          <cell r="AI495">
            <v>9.2874399999999996E-2</v>
          </cell>
        </row>
        <row r="496">
          <cell r="O496">
            <v>4.5250983112225329</v>
          </cell>
          <cell r="P496">
            <v>4.2</v>
          </cell>
          <cell r="Q496">
            <v>5.1227727940331063</v>
          </cell>
          <cell r="W496">
            <v>5.22</v>
          </cell>
          <cell r="X496">
            <v>5.4615410476500506</v>
          </cell>
          <cell r="Y496">
            <v>4.2505217587052764</v>
          </cell>
          <cell r="Z496">
            <v>4.425169932882814</v>
          </cell>
          <cell r="AA496">
            <v>4.3929294820361608</v>
          </cell>
          <cell r="AB496">
            <v>0</v>
          </cell>
          <cell r="AC496">
            <v>0.31428349999999855</v>
          </cell>
          <cell r="AI496">
            <v>0</v>
          </cell>
        </row>
        <row r="497">
          <cell r="O497">
            <v>4.5383699090080354</v>
          </cell>
          <cell r="P497">
            <v>4.0999999999999996</v>
          </cell>
          <cell r="Q497">
            <v>5.12455904041457</v>
          </cell>
          <cell r="W497">
            <v>5.2</v>
          </cell>
          <cell r="X497">
            <v>5.4481587747871965</v>
          </cell>
          <cell r="Y497">
            <v>4.2427070944244702</v>
          </cell>
          <cell r="Z497">
            <v>4.4262468487002895</v>
          </cell>
          <cell r="AA497">
            <v>4.397543128826416</v>
          </cell>
          <cell r="AB497">
            <v>-9.68276E-2</v>
          </cell>
          <cell r="AC497">
            <v>0.21745589999999854</v>
          </cell>
          <cell r="AI497">
            <v>-4.96341E-2</v>
          </cell>
        </row>
        <row r="498">
          <cell r="O498">
            <v>4.5432841439155442</v>
          </cell>
          <cell r="P498">
            <v>4.0999999999999996</v>
          </cell>
          <cell r="Q498">
            <v>5.126342101808226</v>
          </cell>
          <cell r="W498">
            <v>5.42</v>
          </cell>
          <cell r="X498">
            <v>5.4414215435164879</v>
          </cell>
          <cell r="Y498">
            <v>4.2486952220520253</v>
          </cell>
          <cell r="Z498">
            <v>4.4313999621038942</v>
          </cell>
          <cell r="AA498">
            <v>4.4018170069930083</v>
          </cell>
          <cell r="AB498">
            <v>0.2367022</v>
          </cell>
          <cell r="AC498">
            <v>0.45415809999999857</v>
          </cell>
          <cell r="AI498">
            <v>0.25117080000000003</v>
          </cell>
        </row>
        <row r="499">
          <cell r="O499">
            <v>4.5510222947974182</v>
          </cell>
          <cell r="P499">
            <v>4</v>
          </cell>
          <cell r="Q499">
            <v>5.1287145821618569</v>
          </cell>
          <cell r="W499">
            <v>5.3</v>
          </cell>
          <cell r="X499">
            <v>5.4229215297725677</v>
          </cell>
          <cell r="Y499">
            <v>4.2732993466821014</v>
          </cell>
          <cell r="Z499">
            <v>4.4585825011452478</v>
          </cell>
          <cell r="AA499">
            <v>4.4073410051522632</v>
          </cell>
          <cell r="AB499">
            <v>-0.18190120000000001</v>
          </cell>
          <cell r="AC499">
            <v>0.27225689999999858</v>
          </cell>
          <cell r="AI499">
            <v>-0.12767719999999999</v>
          </cell>
        </row>
        <row r="500">
          <cell r="O500">
            <v>4.5513632086292093</v>
          </cell>
          <cell r="P500">
            <v>4</v>
          </cell>
          <cell r="Q500">
            <v>5.1316722891390896</v>
          </cell>
          <cell r="W500">
            <v>5.45</v>
          </cell>
          <cell r="X500">
            <v>5.4292579058086323</v>
          </cell>
          <cell r="Y500">
            <v>4.2946561022865817</v>
          </cell>
          <cell r="Z500">
            <v>4.4199002871019628</v>
          </cell>
          <cell r="AA500">
            <v>4.4112334332218213</v>
          </cell>
          <cell r="AB500">
            <v>0</v>
          </cell>
          <cell r="AC500">
            <v>0.27225689999999858</v>
          </cell>
          <cell r="AI500">
            <v>0</v>
          </cell>
        </row>
        <row r="501">
          <cell r="O501">
            <v>4.554575594819009</v>
          </cell>
          <cell r="P501">
            <v>4.0999999999999996</v>
          </cell>
          <cell r="Q501">
            <v>5.1357984370502621</v>
          </cell>
          <cell r="W501">
            <v>5.73</v>
          </cell>
          <cell r="X501">
            <v>5.4026773818722793</v>
          </cell>
          <cell r="Y501">
            <v>4.3214402933747387</v>
          </cell>
          <cell r="Z501">
            <v>4.4274420632042695</v>
          </cell>
          <cell r="AA501">
            <v>4.4177677433266487</v>
          </cell>
          <cell r="AB501">
            <v>4.5138699999999997E-2</v>
          </cell>
          <cell r="AC501">
            <v>0.31739559999999856</v>
          </cell>
          <cell r="AI501">
            <v>7.4226899999999998E-2</v>
          </cell>
        </row>
        <row r="502">
          <cell r="O502">
            <v>4.5587586406605585</v>
          </cell>
          <cell r="P502">
            <v>4</v>
          </cell>
          <cell r="Q502">
            <v>5.1416635565026603</v>
          </cell>
          <cell r="W502">
            <v>5.85</v>
          </cell>
          <cell r="X502">
            <v>5.4198710621006132</v>
          </cell>
          <cell r="Y502">
            <v>4.3115907582702269</v>
          </cell>
          <cell r="Z502">
            <v>4.4426747856252691</v>
          </cell>
          <cell r="AA502">
            <v>4.4233964790969695</v>
          </cell>
          <cell r="AB502">
            <v>-3.9546100000000001E-2</v>
          </cell>
          <cell r="AC502">
            <v>0.27784949999999853</v>
          </cell>
          <cell r="AI502">
            <v>4.54233E-2</v>
          </cell>
        </row>
        <row r="503">
          <cell r="O503">
            <v>4.5662973323246812</v>
          </cell>
          <cell r="P503">
            <v>3.8</v>
          </cell>
          <cell r="Q503">
            <v>5.1410785901215457</v>
          </cell>
          <cell r="W503">
            <v>6.02</v>
          </cell>
          <cell r="X503">
            <v>5.4283802508462049</v>
          </cell>
          <cell r="Y503">
            <v>4.2881966089009111</v>
          </cell>
          <cell r="Z503">
            <v>4.4471587296116635</v>
          </cell>
          <cell r="AA503">
            <v>4.4250142824733185</v>
          </cell>
          <cell r="AB503">
            <v>0</v>
          </cell>
          <cell r="AC503">
            <v>0.27784949999999853</v>
          </cell>
          <cell r="AI503">
            <v>0</v>
          </cell>
        </row>
        <row r="504">
          <cell r="O504">
            <v>4.5684678191371635</v>
          </cell>
          <cell r="P504">
            <v>4</v>
          </cell>
          <cell r="Q504">
            <v>5.1428324637076415</v>
          </cell>
          <cell r="W504">
            <v>6.27</v>
          </cell>
          <cell r="X504">
            <v>5.4539526580794853</v>
          </cell>
          <cell r="Y504">
            <v>4.2951334325195125</v>
          </cell>
          <cell r="Z504">
            <v>4.4513777753081101</v>
          </cell>
          <cell r="AA504">
            <v>4.42926798099632</v>
          </cell>
          <cell r="AB504">
            <v>0.31209310000000001</v>
          </cell>
          <cell r="AC504">
            <v>0.58994259999999854</v>
          </cell>
          <cell r="AI504">
            <v>0.227573</v>
          </cell>
        </row>
        <row r="505">
          <cell r="O505">
            <v>4.5694186482809416</v>
          </cell>
          <cell r="P505">
            <v>4</v>
          </cell>
          <cell r="Q505">
            <v>5.14865659199363</v>
          </cell>
          <cell r="W505">
            <v>6.53</v>
          </cell>
          <cell r="X505">
            <v>5.4376009336504225</v>
          </cell>
          <cell r="Y505">
            <v>4.288567241107601</v>
          </cell>
          <cell r="Z505">
            <v>4.4507478025860925</v>
          </cell>
          <cell r="AA505">
            <v>4.4341208582320162</v>
          </cell>
          <cell r="AB505">
            <v>4.2940899999999997E-2</v>
          </cell>
          <cell r="AC505">
            <v>0.63288349999999849</v>
          </cell>
          <cell r="AI505">
            <v>-6.6848000000000005E-2</v>
          </cell>
        </row>
        <row r="506">
          <cell r="O506">
            <v>4.5683609628540935</v>
          </cell>
          <cell r="P506">
            <v>4</v>
          </cell>
          <cell r="Q506">
            <v>5.1515559851526325</v>
          </cell>
          <cell r="W506">
            <v>6.54</v>
          </cell>
          <cell r="X506">
            <v>5.3918532459392017</v>
          </cell>
          <cell r="Y506">
            <v>4.2893355221167182</v>
          </cell>
          <cell r="Z506">
            <v>4.4499305801627269</v>
          </cell>
          <cell r="AA506">
            <v>4.4351170632479899</v>
          </cell>
          <cell r="AB506">
            <v>0</v>
          </cell>
          <cell r="AC506">
            <v>0.63288349999999849</v>
          </cell>
          <cell r="AI506">
            <v>0</v>
          </cell>
        </row>
        <row r="507">
          <cell r="O507">
            <v>4.5648220375183959</v>
          </cell>
          <cell r="P507">
            <v>4.0999999999999996</v>
          </cell>
          <cell r="Q507">
            <v>5.1515559851526325</v>
          </cell>
          <cell r="W507">
            <v>6.5</v>
          </cell>
          <cell r="X507">
            <v>5.3811868443703315</v>
          </cell>
          <cell r="Y507">
            <v>4.3035920083441992</v>
          </cell>
          <cell r="Z507">
            <v>4.4556836122877099</v>
          </cell>
          <cell r="AA507">
            <v>4.4383597080140422</v>
          </cell>
          <cell r="AB507">
            <v>-6.7214999999999997E-2</v>
          </cell>
          <cell r="AC507">
            <v>0.56566849999999846</v>
          </cell>
          <cell r="AI507">
            <v>-4.9618599999999999E-2</v>
          </cell>
        </row>
        <row r="508">
          <cell r="O508">
            <v>4.568873354124781</v>
          </cell>
          <cell r="P508">
            <v>3.9</v>
          </cell>
          <cell r="Q508">
            <v>5.15675380222625</v>
          </cell>
          <cell r="W508">
            <v>6.52</v>
          </cell>
          <cell r="X508">
            <v>5.3963511068194023</v>
          </cell>
          <cell r="Y508">
            <v>4.3291004288644768</v>
          </cell>
          <cell r="Z508">
            <v>4.4633070376249799</v>
          </cell>
          <cell r="AA508">
            <v>4.4427453697085877</v>
          </cell>
          <cell r="AB508">
            <v>0</v>
          </cell>
          <cell r="AC508">
            <v>0.56566849999999846</v>
          </cell>
          <cell r="AI508">
            <v>0</v>
          </cell>
        </row>
        <row r="509">
          <cell r="O509">
            <v>4.5654892069287065</v>
          </cell>
          <cell r="P509">
            <v>3.9</v>
          </cell>
          <cell r="Q509">
            <v>5.1584804213602373</v>
          </cell>
          <cell r="W509">
            <v>6.51</v>
          </cell>
          <cell r="X509">
            <v>5.4123154706014489</v>
          </cell>
          <cell r="Y509">
            <v>4.319432887902809</v>
          </cell>
          <cell r="Z509">
            <v>4.4637563800372133</v>
          </cell>
          <cell r="AA509">
            <v>4.4439445374888695</v>
          </cell>
          <cell r="AB509">
            <v>-2.9677700000000001E-2</v>
          </cell>
          <cell r="AC509">
            <v>0.53599079999999844</v>
          </cell>
          <cell r="AI509">
            <v>5.7254999999999997E-3</v>
          </cell>
        </row>
        <row r="510">
          <cell r="O510">
            <v>4.565676475574449</v>
          </cell>
          <cell r="P510">
            <v>3.9</v>
          </cell>
          <cell r="Q510">
            <v>5.1602040644184024</v>
          </cell>
          <cell r="W510">
            <v>6.51</v>
          </cell>
          <cell r="X510">
            <v>5.4084713750399294</v>
          </cell>
          <cell r="Y510">
            <v>4.3113493095769009</v>
          </cell>
          <cell r="Z510">
            <v>4.462084726844461</v>
          </cell>
          <cell r="AA510">
            <v>4.447439773222114</v>
          </cell>
          <cell r="AB510">
            <v>2.4629999999999999E-2</v>
          </cell>
          <cell r="AC510">
            <v>0.56062079999999848</v>
          </cell>
          <cell r="AI510">
            <v>1.0177800000000001E-2</v>
          </cell>
        </row>
        <row r="511">
          <cell r="O511">
            <v>4.5627229130848379</v>
          </cell>
          <cell r="P511">
            <v>3.9</v>
          </cell>
          <cell r="Q511">
            <v>5.1624976434055014</v>
          </cell>
          <cell r="W511">
            <v>6.4</v>
          </cell>
          <cell r="X511">
            <v>5.4160559567722926</v>
          </cell>
          <cell r="Y511">
            <v>4.3123281571626828</v>
          </cell>
          <cell r="Z511">
            <v>4.471833060206829</v>
          </cell>
          <cell r="AA511">
            <v>4.4517159302679268</v>
          </cell>
          <cell r="AB511">
            <v>0.20349239999999999</v>
          </cell>
          <cell r="AC511">
            <v>0.76411319999999849</v>
          </cell>
          <cell r="AI511">
            <v>0.13933960000000001</v>
          </cell>
        </row>
        <row r="512">
          <cell r="O512">
            <v>4.5557141501753344</v>
          </cell>
          <cell r="P512">
            <v>4.2</v>
          </cell>
          <cell r="Q512">
            <v>5.1682086812010164</v>
          </cell>
          <cell r="W512">
            <v>5.98</v>
          </cell>
          <cell r="X512">
            <v>5.4197382217523762</v>
          </cell>
          <cell r="Y512">
            <v>4.3161805924363676</v>
          </cell>
          <cell r="Z512">
            <v>4.466069025248653</v>
          </cell>
          <cell r="AA512">
            <v>4.4528461701272404</v>
          </cell>
          <cell r="AB512">
            <v>5.0705E-2</v>
          </cell>
          <cell r="AC512">
            <v>0.81481819999999849</v>
          </cell>
          <cell r="AI512">
            <v>-5.3533999999999998E-2</v>
          </cell>
        </row>
        <row r="513">
          <cell r="O513">
            <v>4.5492144603933138</v>
          </cell>
          <cell r="P513">
            <v>4.2</v>
          </cell>
          <cell r="Q513">
            <v>5.1704839950381514</v>
          </cell>
          <cell r="W513">
            <v>5.49</v>
          </cell>
          <cell r="X513">
            <v>5.4122262406558193</v>
          </cell>
          <cell r="Y513">
            <v>4.3436755432899581</v>
          </cell>
          <cell r="Z513">
            <v>4.4598553548232323</v>
          </cell>
          <cell r="AA513">
            <v>4.4515526973224917</v>
          </cell>
          <cell r="AB513">
            <v>0</v>
          </cell>
          <cell r="AC513">
            <v>0.81481819999999849</v>
          </cell>
          <cell r="AI513">
            <v>0</v>
          </cell>
        </row>
        <row r="514">
          <cell r="O514">
            <v>4.5464324079618006</v>
          </cell>
          <cell r="P514">
            <v>4.3</v>
          </cell>
          <cell r="Q514">
            <v>5.17105201550216</v>
          </cell>
          <cell r="W514">
            <v>5.31</v>
          </cell>
          <cell r="X514">
            <v>5.4227890940588761</v>
          </cell>
          <cell r="Y514">
            <v>4.3320219833133473</v>
          </cell>
          <cell r="Z514">
            <v>4.4537657318288586</v>
          </cell>
          <cell r="AA514">
            <v>4.4543705517970489</v>
          </cell>
          <cell r="AB514">
            <v>-0.48659829999999998</v>
          </cell>
          <cell r="AC514">
            <v>0.32821989999999851</v>
          </cell>
          <cell r="AI514">
            <v>-0.38298470000000001</v>
          </cell>
        </row>
        <row r="515">
          <cell r="O515">
            <v>4.5436074993263746</v>
          </cell>
          <cell r="P515">
            <v>4.4000000000000004</v>
          </cell>
          <cell r="Q515">
            <v>5.1727541435726909</v>
          </cell>
          <cell r="W515">
            <v>4.8</v>
          </cell>
          <cell r="X515">
            <v>5.4234510973048025</v>
          </cell>
          <cell r="Y515">
            <v>4.3151253243471217</v>
          </cell>
          <cell r="Z515">
            <v>4.4642861142612187</v>
          </cell>
          <cell r="AA515">
            <v>4.4543472962535073</v>
          </cell>
          <cell r="AB515">
            <v>0</v>
          </cell>
          <cell r="AC515">
            <v>0.32821989999999851</v>
          </cell>
          <cell r="AI515">
            <v>0</v>
          </cell>
        </row>
        <row r="516">
          <cell r="O516">
            <v>4.5363837217691225</v>
          </cell>
          <cell r="P516">
            <v>4.3</v>
          </cell>
          <cell r="Q516">
            <v>5.1778432130801626</v>
          </cell>
          <cell r="W516">
            <v>4.21</v>
          </cell>
          <cell r="X516">
            <v>5.4372528805688143</v>
          </cell>
          <cell r="Y516">
            <v>4.3274252429822084</v>
          </cell>
          <cell r="Z516">
            <v>4.4699115883176255</v>
          </cell>
          <cell r="AA516">
            <v>4.4559854885671708</v>
          </cell>
          <cell r="AB516">
            <v>-0.40858650000000002</v>
          </cell>
          <cell r="AC516">
            <v>-8.0366600000001509E-2</v>
          </cell>
          <cell r="AI516">
            <v>-0.2400456</v>
          </cell>
        </row>
        <row r="517">
          <cell r="O517">
            <v>4.5298376181692328</v>
          </cell>
          <cell r="P517">
            <v>4.5</v>
          </cell>
          <cell r="Q517">
            <v>5.180096735160606</v>
          </cell>
          <cell r="W517">
            <v>3.97</v>
          </cell>
          <cell r="X517">
            <v>5.4466511610537305</v>
          </cell>
          <cell r="Y517">
            <v>4.3466584908360906</v>
          </cell>
          <cell r="Z517">
            <v>4.4594621002899544</v>
          </cell>
          <cell r="AA517">
            <v>4.4558577828010826</v>
          </cell>
          <cell r="AB517">
            <v>-0.13663239999999999</v>
          </cell>
          <cell r="AC517">
            <v>-0.2169990000000015</v>
          </cell>
          <cell r="AI517">
            <v>-0.14057539999999999</v>
          </cell>
        </row>
        <row r="518">
          <cell r="O518">
            <v>4.5244914427534813</v>
          </cell>
          <cell r="P518">
            <v>4.5999999999999996</v>
          </cell>
          <cell r="Q518">
            <v>5.1784070698754787</v>
          </cell>
          <cell r="W518">
            <v>3.77</v>
          </cell>
          <cell r="X518">
            <v>5.4604362160244717</v>
          </cell>
          <cell r="Y518">
            <v>4.3362444420187538</v>
          </cell>
          <cell r="Z518">
            <v>4.4707240894351683</v>
          </cell>
          <cell r="AA518">
            <v>4.4571688931975757</v>
          </cell>
          <cell r="AB518">
            <v>0</v>
          </cell>
          <cell r="AC518">
            <v>-0.2169990000000015</v>
          </cell>
          <cell r="AI518">
            <v>0</v>
          </cell>
        </row>
        <row r="519">
          <cell r="O519">
            <v>4.5223319076790869</v>
          </cell>
          <cell r="P519">
            <v>4.9000000000000004</v>
          </cell>
          <cell r="Q519">
            <v>5.1784070698754787</v>
          </cell>
          <cell r="W519">
            <v>3.65</v>
          </cell>
          <cell r="X519">
            <v>5.4637046783012826</v>
          </cell>
          <cell r="Y519">
            <v>4.35985770990282</v>
          </cell>
          <cell r="Z519">
            <v>4.4733744291331572</v>
          </cell>
          <cell r="AA519">
            <v>4.4595546446824086</v>
          </cell>
          <cell r="AB519">
            <v>-0.12755150000000001</v>
          </cell>
          <cell r="AC519">
            <v>-0.34455050000000154</v>
          </cell>
          <cell r="AI519">
            <v>-7.33708E-2</v>
          </cell>
        </row>
        <row r="520">
          <cell r="O520">
            <v>4.5189094362981965</v>
          </cell>
          <cell r="P520">
            <v>5</v>
          </cell>
          <cell r="Q520">
            <v>5.1823451902956164</v>
          </cell>
          <cell r="W520">
            <v>3.07</v>
          </cell>
          <cell r="X520">
            <v>5.4232746059524208</v>
          </cell>
          <cell r="Y520">
            <v>4.3273196254495998</v>
          </cell>
          <cell r="Z520">
            <v>4.4634337956728452</v>
          </cell>
          <cell r="AA520">
            <v>4.4546844487135546</v>
          </cell>
          <cell r="AB520">
            <v>0</v>
          </cell>
          <cell r="AC520">
            <v>-0.34455050000000154</v>
          </cell>
          <cell r="AI520">
            <v>0</v>
          </cell>
        </row>
        <row r="521">
          <cell r="O521">
            <v>4.5141967887334351</v>
          </cell>
          <cell r="P521">
            <v>5.3</v>
          </cell>
          <cell r="Q521">
            <v>5.1795338305580696</v>
          </cell>
          <cell r="W521">
            <v>2.4900000000000002</v>
          </cell>
          <cell r="X521">
            <v>5.3552646469897871</v>
          </cell>
          <cell r="Y521">
            <v>4.4582119120201131</v>
          </cell>
          <cell r="Z521">
            <v>4.4752095534620322</v>
          </cell>
          <cell r="AA521">
            <v>4.4599016098968445</v>
          </cell>
          <cell r="AB521">
            <v>-0.16000739999999999</v>
          </cell>
          <cell r="AC521">
            <v>-0.50455790000000156</v>
          </cell>
          <cell r="AI521">
            <v>-0.1091449</v>
          </cell>
        </row>
        <row r="522">
          <cell r="O522">
            <v>4.5088145598951836</v>
          </cell>
          <cell r="P522">
            <v>5.5</v>
          </cell>
          <cell r="Q522">
            <v>5.1789706089154706</v>
          </cell>
          <cell r="W522">
            <v>2.09</v>
          </cell>
          <cell r="X522">
            <v>5.3525687813799525</v>
          </cell>
          <cell r="Y522">
            <v>4.4225445829767702</v>
          </cell>
          <cell r="Z522">
            <v>4.4773595414926728</v>
          </cell>
          <cell r="AA522">
            <v>4.4592769858076879</v>
          </cell>
          <cell r="AB522">
            <v>-0.17163329999999999</v>
          </cell>
          <cell r="AC522">
            <v>-0.67619120000000155</v>
          </cell>
          <cell r="AI522">
            <v>-9.7332600000000005E-2</v>
          </cell>
        </row>
        <row r="523">
          <cell r="O523">
            <v>4.5089268709484713</v>
          </cell>
          <cell r="P523">
            <v>5.7</v>
          </cell>
          <cell r="Q523">
            <v>5.1784070698754787</v>
          </cell>
          <cell r="W523">
            <v>1.82</v>
          </cell>
          <cell r="X523">
            <v>5.3658825527104606</v>
          </cell>
          <cell r="Y523">
            <v>4.3816015443357852</v>
          </cell>
          <cell r="Z523">
            <v>4.4802983339381033</v>
          </cell>
          <cell r="AA523">
            <v>4.4642976271066761</v>
          </cell>
          <cell r="AB523">
            <v>-0.22693730000000001</v>
          </cell>
          <cell r="AC523">
            <v>-0.90312850000000156</v>
          </cell>
          <cell r="AI523">
            <v>9.0832099999999999E-2</v>
          </cell>
        </row>
        <row r="524">
          <cell r="O524">
            <v>4.5152783006785615</v>
          </cell>
          <cell r="P524">
            <v>5.7</v>
          </cell>
          <cell r="Q524">
            <v>5.180096735160606</v>
          </cell>
          <cell r="W524">
            <v>1.73</v>
          </cell>
          <cell r="X524">
            <v>5.3591772548047993</v>
          </cell>
          <cell r="Y524">
            <v>4.3987608336650466</v>
          </cell>
          <cell r="Z524">
            <v>4.4810684795110243</v>
          </cell>
          <cell r="AA524">
            <v>4.4653792431924249</v>
          </cell>
          <cell r="AB524">
            <v>-0.15401110000000001</v>
          </cell>
          <cell r="AC524">
            <v>-1.0571396000000015</v>
          </cell>
          <cell r="AI524">
            <v>6.0436900000000002E-2</v>
          </cell>
        </row>
        <row r="525">
          <cell r="O525">
            <v>4.5152673600587745</v>
          </cell>
          <cell r="P525">
            <v>5.7</v>
          </cell>
          <cell r="Q525">
            <v>5.181783550292085</v>
          </cell>
          <cell r="W525">
            <v>1.74</v>
          </cell>
          <cell r="X525">
            <v>5.3660694685988553</v>
          </cell>
          <cell r="Y525">
            <v>4.4165246750814493</v>
          </cell>
          <cell r="Z525">
            <v>4.4816230698923443</v>
          </cell>
          <cell r="AA525">
            <v>4.4679061213172568</v>
          </cell>
          <cell r="AB525">
            <v>0</v>
          </cell>
          <cell r="AC525">
            <v>-1.0571396000000015</v>
          </cell>
          <cell r="AI525">
            <v>0</v>
          </cell>
        </row>
        <row r="526">
          <cell r="O526">
            <v>4.5231485214705094</v>
          </cell>
          <cell r="P526">
            <v>5.7</v>
          </cell>
          <cell r="Q526">
            <v>5.1845886012196933</v>
          </cell>
          <cell r="W526">
            <v>1.73</v>
          </cell>
          <cell r="X526">
            <v>5.3920353704217883</v>
          </cell>
          <cell r="Y526">
            <v>4.4113912433037852</v>
          </cell>
          <cell r="Z526">
            <v>4.4812382847448298</v>
          </cell>
          <cell r="AA526">
            <v>4.4684451276091561</v>
          </cell>
          <cell r="AB526">
            <v>-0.35770659999999999</v>
          </cell>
          <cell r="AC526">
            <v>-1.4148462000000015</v>
          </cell>
          <cell r="AI526">
            <v>-0.28607759999999999</v>
          </cell>
        </row>
        <row r="527">
          <cell r="O527">
            <v>4.5275707411156558</v>
          </cell>
          <cell r="P527">
            <v>5.9</v>
          </cell>
          <cell r="Q527">
            <v>5.1890603806110871</v>
          </cell>
          <cell r="W527">
            <v>1.75</v>
          </cell>
          <cell r="X527">
            <v>5.3781908291312002</v>
          </cell>
          <cell r="Y527">
            <v>4.4387849684924907</v>
          </cell>
          <cell r="Z527">
            <v>4.4779389059120485</v>
          </cell>
          <cell r="AA527">
            <v>4.4717759268174895</v>
          </cell>
          <cell r="AB527">
            <v>0</v>
          </cell>
          <cell r="AC527">
            <v>-1.4148462000000015</v>
          </cell>
          <cell r="AI527">
            <v>0</v>
          </cell>
        </row>
        <row r="528">
          <cell r="O528">
            <v>4.531679715448691</v>
          </cell>
          <cell r="P528">
            <v>5.8</v>
          </cell>
          <cell r="Q528">
            <v>5.1901752079283332</v>
          </cell>
          <cell r="W528">
            <v>1.75</v>
          </cell>
          <cell r="X528">
            <v>5.377267169526438</v>
          </cell>
          <cell r="Y528">
            <v>4.3987239552960498</v>
          </cell>
          <cell r="Z528">
            <v>4.4790285644800427</v>
          </cell>
          <cell r="AA528">
            <v>4.4734428793071617</v>
          </cell>
          <cell r="AB528">
            <v>0.17835509999999999</v>
          </cell>
          <cell r="AC528">
            <v>-1.2364911000000016</v>
          </cell>
          <cell r="AI528">
            <v>2.5056700000000001E-2</v>
          </cell>
        </row>
        <row r="529">
          <cell r="O529">
            <v>4.5412405461113643</v>
          </cell>
          <cell r="P529">
            <v>5.8</v>
          </cell>
          <cell r="Q529">
            <v>5.1907321558680994</v>
          </cell>
          <cell r="W529">
            <v>1.75</v>
          </cell>
          <cell r="X529">
            <v>5.4297402879084551</v>
          </cell>
          <cell r="Y529">
            <v>4.4181295116541603</v>
          </cell>
          <cell r="Z529">
            <v>4.4884565782897283</v>
          </cell>
          <cell r="AA529">
            <v>4.4736710127205699</v>
          </cell>
          <cell r="AB529">
            <v>3.8953399999999999E-2</v>
          </cell>
          <cell r="AC529">
            <v>-1.1975377000000016</v>
          </cell>
          <cell r="AI529">
            <v>1.54314E-2</v>
          </cell>
        </row>
        <row r="530">
          <cell r="O530">
            <v>4.5390068789338125</v>
          </cell>
          <cell r="P530">
            <v>5.8</v>
          </cell>
          <cell r="Q530">
            <v>5.1929568508902104</v>
          </cell>
          <cell r="W530">
            <v>1.73</v>
          </cell>
          <cell r="X530">
            <v>5.4551501605748252</v>
          </cell>
          <cell r="Y530">
            <v>4.4489490308720825</v>
          </cell>
          <cell r="Z530">
            <v>4.4862852935103774</v>
          </cell>
          <cell r="AA530">
            <v>4.4769617441481238</v>
          </cell>
          <cell r="AB530">
            <v>0</v>
          </cell>
          <cell r="AC530">
            <v>-1.1975377000000016</v>
          </cell>
          <cell r="AI530">
            <v>0</v>
          </cell>
        </row>
        <row r="531">
          <cell r="O531">
            <v>4.5391617851063852</v>
          </cell>
          <cell r="P531">
            <v>5.7</v>
          </cell>
          <cell r="Q531">
            <v>5.195730777772936</v>
          </cell>
          <cell r="W531">
            <v>1.74</v>
          </cell>
          <cell r="X531">
            <v>5.4509526129716308</v>
          </cell>
          <cell r="Y531">
            <v>4.4689609253591049</v>
          </cell>
          <cell r="Z531">
            <v>4.4831268380753624</v>
          </cell>
          <cell r="AA531">
            <v>4.4759608682982757</v>
          </cell>
          <cell r="AB531">
            <v>0.17032639999999999</v>
          </cell>
          <cell r="AC531">
            <v>-1.0272113000000016</v>
          </cell>
          <cell r="AI531">
            <v>0.1244227</v>
          </cell>
        </row>
        <row r="532">
          <cell r="O532">
            <v>4.5403233506599179</v>
          </cell>
          <cell r="P532">
            <v>5.7</v>
          </cell>
          <cell r="Q532">
            <v>5.1973914479580765</v>
          </cell>
          <cell r="W532">
            <v>1.75</v>
          </cell>
          <cell r="X532">
            <v>5.4600109555460241</v>
          </cell>
          <cell r="Y532">
            <v>4.4243315291543084</v>
          </cell>
          <cell r="Z532">
            <v>4.4833866590262996</v>
          </cell>
          <cell r="AA532">
            <v>4.4777685394533844</v>
          </cell>
          <cell r="AB532">
            <v>-4.46106E-2</v>
          </cell>
          <cell r="AC532">
            <v>-1.0718219000000015</v>
          </cell>
          <cell r="AI532">
            <v>-1.09181E-2</v>
          </cell>
        </row>
        <row r="533">
          <cell r="O533">
            <v>4.5372413910280001</v>
          </cell>
          <cell r="P533">
            <v>5.7</v>
          </cell>
          <cell r="Q533">
            <v>5.1996013936088792</v>
          </cell>
          <cell r="W533">
            <v>1.75</v>
          </cell>
          <cell r="X533">
            <v>5.4663286852241972</v>
          </cell>
          <cell r="Y533">
            <v>4.4150986757340753</v>
          </cell>
          <cell r="Z533">
            <v>4.4922478181229755</v>
          </cell>
          <cell r="AA533">
            <v>4.4826522081647679</v>
          </cell>
          <cell r="AB533">
            <v>0</v>
          </cell>
          <cell r="AC533">
            <v>-1.0718219000000015</v>
          </cell>
          <cell r="AI533">
            <v>0</v>
          </cell>
        </row>
        <row r="534">
          <cell r="O534">
            <v>4.5424742329455103</v>
          </cell>
          <cell r="P534">
            <v>5.9</v>
          </cell>
          <cell r="Q534">
            <v>5.2012556537049051</v>
          </cell>
          <cell r="W534">
            <v>1.34</v>
          </cell>
          <cell r="X534">
            <v>5.4723126895955163</v>
          </cell>
          <cell r="Y534">
            <v>4.4250382302671296</v>
          </cell>
          <cell r="Z534">
            <v>4.4986645705092014</v>
          </cell>
          <cell r="AA534">
            <v>4.4832172182369785</v>
          </cell>
          <cell r="AB534">
            <v>-0.2700224</v>
          </cell>
          <cell r="AC534">
            <v>-1.3418443000000015</v>
          </cell>
          <cell r="AI534">
            <v>-0.3121872</v>
          </cell>
        </row>
        <row r="535">
          <cell r="O535">
            <v>4.5374318843420474</v>
          </cell>
          <cell r="P535">
            <v>6</v>
          </cell>
          <cell r="Q535">
            <v>5.2029071817433783</v>
          </cell>
          <cell r="W535">
            <v>1.24</v>
          </cell>
          <cell r="X535">
            <v>5.4974140967036931</v>
          </cell>
          <cell r="Y535">
            <v>4.4603062505525646</v>
          </cell>
          <cell r="Z535">
            <v>4.5007425683788655</v>
          </cell>
          <cell r="AA535">
            <v>4.4849103355568083</v>
          </cell>
          <cell r="AB535">
            <v>4.2556E-3</v>
          </cell>
          <cell r="AC535">
            <v>-1.3375887000000015</v>
          </cell>
          <cell r="AI535">
            <v>7.9770000000000004E-4</v>
          </cell>
        </row>
        <row r="536">
          <cell r="O536">
            <v>4.5442177604498868</v>
          </cell>
          <cell r="P536">
            <v>5.8</v>
          </cell>
          <cell r="Q536">
            <v>5.2072979681608684</v>
          </cell>
          <cell r="W536">
            <v>1.24</v>
          </cell>
          <cell r="X536">
            <v>5.5151208621160475</v>
          </cell>
          <cell r="Y536">
            <v>4.4457405972064228</v>
          </cell>
          <cell r="Z536">
            <v>4.5036135375564257</v>
          </cell>
          <cell r="AA536">
            <v>4.4882992342566759</v>
          </cell>
          <cell r="AB536">
            <v>-2.0990000000000001E-4</v>
          </cell>
          <cell r="AC536">
            <v>-1.3377986000000015</v>
          </cell>
          <cell r="AI536">
            <v>-4.7372900000000003E-2</v>
          </cell>
        </row>
        <row r="537">
          <cell r="O537">
            <v>4.5471755402507483</v>
          </cell>
          <cell r="P537">
            <v>5.9</v>
          </cell>
          <cell r="Q537">
            <v>5.2127594781863902</v>
          </cell>
          <cell r="W537">
            <v>1.26</v>
          </cell>
          <cell r="X537">
            <v>5.5198596364952728</v>
          </cell>
          <cell r="Y537">
            <v>4.4198521442138619</v>
          </cell>
          <cell r="Z537">
            <v>4.5016635064692645</v>
          </cell>
          <cell r="AA537">
            <v>4.486555554651849</v>
          </cell>
          <cell r="AB537">
            <v>0</v>
          </cell>
          <cell r="AC537">
            <v>-1.3377986000000015</v>
          </cell>
          <cell r="AI537">
            <v>0</v>
          </cell>
        </row>
        <row r="538">
          <cell r="O538">
            <v>4.5449349258605549</v>
          </cell>
          <cell r="P538">
            <v>5.9</v>
          </cell>
          <cell r="Q538">
            <v>5.2143921316102757</v>
          </cell>
          <cell r="W538">
            <v>1.25</v>
          </cell>
          <cell r="X538">
            <v>5.5203803342420024</v>
          </cell>
          <cell r="Y538">
            <v>4.4443791745444088</v>
          </cell>
          <cell r="Z538">
            <v>4.506917681789643</v>
          </cell>
          <cell r="AA538">
            <v>4.4871071111243888</v>
          </cell>
          <cell r="AB538">
            <v>3.8384000000000001E-2</v>
          </cell>
          <cell r="AC538">
            <v>-1.2994146000000015</v>
          </cell>
          <cell r="AI538">
            <v>6.5282900000000005E-2</v>
          </cell>
        </row>
        <row r="539">
          <cell r="O539">
            <v>4.5373623263828495</v>
          </cell>
          <cell r="P539">
            <v>6</v>
          </cell>
          <cell r="Q539">
            <v>5.2105784522400302</v>
          </cell>
          <cell r="W539">
            <v>1.26</v>
          </cell>
          <cell r="X539">
            <v>5.5160865015247911</v>
          </cell>
          <cell r="Y539">
            <v>4.4705296070151945</v>
          </cell>
          <cell r="Z539">
            <v>4.5077888628463798</v>
          </cell>
          <cell r="AA539">
            <v>4.4910828129503226</v>
          </cell>
          <cell r="AB539">
            <v>0</v>
          </cell>
          <cell r="AC539">
            <v>-1.2994146000000015</v>
          </cell>
          <cell r="AI539">
            <v>0</v>
          </cell>
        </row>
        <row r="540">
          <cell r="O540">
            <v>4.5378277375177856</v>
          </cell>
          <cell r="P540">
            <v>6.1</v>
          </cell>
          <cell r="Q540">
            <v>5.2089395553968201</v>
          </cell>
          <cell r="W540">
            <v>1.26</v>
          </cell>
          <cell r="X540">
            <v>5.521460917862246</v>
          </cell>
          <cell r="Y540">
            <v>4.4794822386817019</v>
          </cell>
          <cell r="Z540">
            <v>4.5060567830907319</v>
          </cell>
          <cell r="AA540">
            <v>4.4931206821794687</v>
          </cell>
          <cell r="AB540">
            <v>-8.2459999999999999E-3</v>
          </cell>
          <cell r="AC540">
            <v>-1.3076606000000015</v>
          </cell>
          <cell r="AI540">
            <v>1.40816E-2</v>
          </cell>
        </row>
        <row r="541">
          <cell r="O541">
            <v>4.5388765254941665</v>
          </cell>
          <cell r="P541">
            <v>6.3</v>
          </cell>
          <cell r="Q541">
            <v>5.2100324516804646</v>
          </cell>
          <cell r="W541">
            <v>1.22</v>
          </cell>
          <cell r="X541">
            <v>5.5284762527561515</v>
          </cell>
          <cell r="Y541">
            <v>4.494651947672569</v>
          </cell>
          <cell r="Z541">
            <v>4.520080597542977</v>
          </cell>
          <cell r="AA541">
            <v>4.4944173802529086</v>
          </cell>
          <cell r="AB541">
            <v>-0.2121577</v>
          </cell>
          <cell r="AC541">
            <v>-1.5198183000000016</v>
          </cell>
          <cell r="AI541">
            <v>-0.17824090000000001</v>
          </cell>
        </row>
        <row r="542">
          <cell r="O542">
            <v>4.5432969099273146</v>
          </cell>
          <cell r="P542">
            <v>6.2</v>
          </cell>
          <cell r="Q542">
            <v>5.2133039922210802</v>
          </cell>
          <cell r="W542">
            <v>1.01</v>
          </cell>
          <cell r="X542">
            <v>5.5243367786077107</v>
          </cell>
          <cell r="Y542">
            <v>4.5086372589329438</v>
          </cell>
          <cell r="Z542">
            <v>4.5225057111512488</v>
          </cell>
          <cell r="AA542">
            <v>4.4986756942890622</v>
          </cell>
          <cell r="AB542">
            <v>0</v>
          </cell>
          <cell r="AC542">
            <v>-1.5198183000000016</v>
          </cell>
          <cell r="AI542">
            <v>0</v>
          </cell>
        </row>
        <row r="543">
          <cell r="O543">
            <v>4.5411808473555322</v>
          </cell>
          <cell r="P543">
            <v>6.1</v>
          </cell>
          <cell r="Q543">
            <v>5.2176494634805817</v>
          </cell>
          <cell r="W543">
            <v>1.03</v>
          </cell>
          <cell r="X543">
            <v>5.5274032273178761</v>
          </cell>
          <cell r="Y543">
            <v>4.5441348548421248</v>
          </cell>
          <cell r="Z543">
            <v>4.534103737554231</v>
          </cell>
          <cell r="AA543">
            <v>4.5013196408618645</v>
          </cell>
          <cell r="AB543">
            <v>-5.9003699999999999E-2</v>
          </cell>
          <cell r="AC543">
            <v>-1.5788220000000017</v>
          </cell>
          <cell r="AI543">
            <v>-1.14774E-2</v>
          </cell>
        </row>
        <row r="544">
          <cell r="O544">
            <v>4.547394876024498</v>
          </cell>
          <cell r="P544">
            <v>6.1</v>
          </cell>
          <cell r="Q544">
            <v>5.2208962195794522</v>
          </cell>
          <cell r="W544">
            <v>1.01</v>
          </cell>
          <cell r="X544">
            <v>5.5656309016067205</v>
          </cell>
          <cell r="Y544">
            <v>4.5225817406724627</v>
          </cell>
          <cell r="Z544">
            <v>4.5323951712056791</v>
          </cell>
          <cell r="AA544">
            <v>4.5010311462469463</v>
          </cell>
          <cell r="AB544">
            <v>-0.20556859999999999</v>
          </cell>
          <cell r="AC544">
            <v>-1.7843906000000018</v>
          </cell>
          <cell r="AI544">
            <v>-0.16755890000000001</v>
          </cell>
        </row>
        <row r="545">
          <cell r="O545">
            <v>4.5482241025456247</v>
          </cell>
          <cell r="P545">
            <v>6</v>
          </cell>
          <cell r="Q545">
            <v>5.2198151383930789</v>
          </cell>
          <cell r="W545">
            <v>1.01</v>
          </cell>
          <cell r="X545">
            <v>5.6132740811346986</v>
          </cell>
          <cell r="Y545">
            <v>4.5252499708120428</v>
          </cell>
          <cell r="Z545">
            <v>4.5315774656847179</v>
          </cell>
          <cell r="AA545">
            <v>4.5045207778381613</v>
          </cell>
          <cell r="AB545">
            <v>-0.1934256</v>
          </cell>
          <cell r="AC545">
            <v>-1.9778162000000019</v>
          </cell>
          <cell r="AI545">
            <v>-0.1738297</v>
          </cell>
        </row>
        <row r="546">
          <cell r="O546">
            <v>4.5561637484332564</v>
          </cell>
          <cell r="P546">
            <v>5.8</v>
          </cell>
          <cell r="Q546">
            <v>5.2203558250783244</v>
          </cell>
          <cell r="W546">
            <v>1</v>
          </cell>
          <cell r="X546">
            <v>5.6300282860675388</v>
          </cell>
          <cell r="Y546">
            <v>4.5470218705925198</v>
          </cell>
          <cell r="Z546">
            <v>4.5408129817449518</v>
          </cell>
          <cell r="AA546">
            <v>4.5070059372008604</v>
          </cell>
          <cell r="AB546">
            <v>0</v>
          </cell>
          <cell r="AC546">
            <v>-1.9778162000000019</v>
          </cell>
          <cell r="AI546">
            <v>0</v>
          </cell>
        </row>
        <row r="547">
          <cell r="O547">
            <v>4.5552117897011692</v>
          </cell>
          <cell r="P547">
            <v>5.7</v>
          </cell>
          <cell r="Q547">
            <v>5.2230548820474896</v>
          </cell>
          <cell r="W547">
            <v>0.98</v>
          </cell>
          <cell r="X547">
            <v>5.6467887531360805</v>
          </cell>
          <cell r="Y547">
            <v>4.5415059492192036</v>
          </cell>
          <cell r="Z547">
            <v>4.5373302210774451</v>
          </cell>
          <cell r="AA547">
            <v>4.5105297818339709</v>
          </cell>
          <cell r="AB547">
            <v>-0.23147980000000001</v>
          </cell>
          <cell r="AC547">
            <v>-2.2092960000000019</v>
          </cell>
          <cell r="AI547">
            <v>-0.19224659999999999</v>
          </cell>
        </row>
        <row r="548">
          <cell r="O548">
            <v>4.5570424023962</v>
          </cell>
          <cell r="P548">
            <v>5.7</v>
          </cell>
          <cell r="Q548">
            <v>5.2273582776075429</v>
          </cell>
          <cell r="W548">
            <v>1</v>
          </cell>
          <cell r="X548">
            <v>5.6752115176681652</v>
          </cell>
          <cell r="Y548">
            <v>4.5404503150743105</v>
          </cell>
          <cell r="Z548">
            <v>4.5448680121797098</v>
          </cell>
          <cell r="AA548">
            <v>4.5147420694953597</v>
          </cell>
          <cell r="AB548">
            <v>-0.1027214</v>
          </cell>
          <cell r="AC548">
            <v>-2.312017400000002</v>
          </cell>
          <cell r="AI548">
            <v>-0.18042730000000001</v>
          </cell>
        </row>
        <row r="549">
          <cell r="O549">
            <v>4.5626373538193432</v>
          </cell>
          <cell r="P549">
            <v>5.6</v>
          </cell>
          <cell r="Q549">
            <v>5.2295030505476765</v>
          </cell>
          <cell r="W549">
            <v>1.01</v>
          </cell>
          <cell r="X549">
            <v>5.6883642219278201</v>
          </cell>
          <cell r="Y549">
            <v>4.5546134623709387</v>
          </cell>
          <cell r="Z549">
            <v>4.5362808805665615</v>
          </cell>
          <cell r="AA549">
            <v>4.5178351202532756</v>
          </cell>
          <cell r="AB549">
            <v>0</v>
          </cell>
          <cell r="AC549">
            <v>-2.312017400000002</v>
          </cell>
          <cell r="AI549">
            <v>0</v>
          </cell>
        </row>
        <row r="550">
          <cell r="O550">
            <v>4.5571924417162268</v>
          </cell>
          <cell r="P550">
            <v>5.8</v>
          </cell>
          <cell r="Q550">
            <v>5.2316432332800442</v>
          </cell>
          <cell r="W550">
            <v>1</v>
          </cell>
          <cell r="X550">
            <v>5.7188352772824933</v>
          </cell>
          <cell r="Y550">
            <v>4.5680081522993232</v>
          </cell>
          <cell r="Z550">
            <v>4.5511362974956056</v>
          </cell>
          <cell r="AA550">
            <v>4.5167323375261725</v>
          </cell>
          <cell r="AB550">
            <v>7.3171E-2</v>
          </cell>
          <cell r="AC550">
            <v>-2.2388464000000021</v>
          </cell>
          <cell r="AI550">
            <v>-0.1155938</v>
          </cell>
        </row>
        <row r="551">
          <cell r="O551">
            <v>4.5610354186235131</v>
          </cell>
          <cell r="P551">
            <v>5.6</v>
          </cell>
          <cell r="Q551">
            <v>5.2332453698043215</v>
          </cell>
          <cell r="W551">
            <v>1</v>
          </cell>
          <cell r="X551">
            <v>5.7219170448516836</v>
          </cell>
          <cell r="Y551">
            <v>4.5580366488540331</v>
          </cell>
          <cell r="Z551">
            <v>4.5467462658503743</v>
          </cell>
          <cell r="AA551">
            <v>4.5215168009908382</v>
          </cell>
          <cell r="AB551">
            <v>0</v>
          </cell>
          <cell r="AC551">
            <v>-2.2388464000000021</v>
          </cell>
          <cell r="AI551">
            <v>0</v>
          </cell>
        </row>
        <row r="552">
          <cell r="O552">
            <v>4.5687260944507466</v>
          </cell>
          <cell r="P552">
            <v>5.6</v>
          </cell>
          <cell r="Q552">
            <v>5.2375052271512796</v>
          </cell>
          <cell r="W552">
            <v>1</v>
          </cell>
          <cell r="X552">
            <v>5.7084051071416448</v>
          </cell>
          <cell r="Y552">
            <v>4.5854673537122235</v>
          </cell>
          <cell r="Z552">
            <v>4.5499428475976575</v>
          </cell>
          <cell r="AA552">
            <v>4.5230595082042173</v>
          </cell>
          <cell r="AB552">
            <v>-0.1168102</v>
          </cell>
          <cell r="AC552">
            <v>-2.3556566000000023</v>
          </cell>
          <cell r="AI552">
            <v>-0.1538611</v>
          </cell>
        </row>
        <row r="553">
          <cell r="O553">
            <v>4.5606381929261506</v>
          </cell>
          <cell r="P553">
            <v>5.6</v>
          </cell>
          <cell r="Q553">
            <v>5.2412177745074642</v>
          </cell>
          <cell r="W553">
            <v>1.03</v>
          </cell>
          <cell r="X553">
            <v>5.6893454268584316</v>
          </cell>
          <cell r="Y553">
            <v>4.5485045918690235</v>
          </cell>
          <cell r="Z553">
            <v>4.5448998763956663</v>
          </cell>
          <cell r="AA553">
            <v>4.5257372923401809</v>
          </cell>
          <cell r="AB553">
            <v>0.1512154</v>
          </cell>
          <cell r="AC553">
            <v>-2.2044412000000024</v>
          </cell>
          <cell r="AI553">
            <v>1.4772E-2</v>
          </cell>
        </row>
        <row r="554">
          <cell r="O554">
            <v>4.5683526628590734</v>
          </cell>
          <cell r="P554">
            <v>5.5</v>
          </cell>
          <cell r="Q554">
            <v>5.2422759756644117</v>
          </cell>
          <cell r="W554">
            <v>1.26</v>
          </cell>
          <cell r="X554">
            <v>5.6834096848482636</v>
          </cell>
          <cell r="Y554">
            <v>4.5776242565581402</v>
          </cell>
          <cell r="Z554">
            <v>4.5491605238448907</v>
          </cell>
          <cell r="AA554">
            <v>4.5287749847343779</v>
          </cell>
          <cell r="AB554">
            <v>0</v>
          </cell>
          <cell r="AC554">
            <v>-2.2044412000000024</v>
          </cell>
          <cell r="AI554">
            <v>0</v>
          </cell>
        </row>
        <row r="555">
          <cell r="O555">
            <v>4.5689728976762032</v>
          </cell>
          <cell r="P555">
            <v>5.4</v>
          </cell>
          <cell r="Q555">
            <v>5.2428046566177775</v>
          </cell>
          <cell r="W555">
            <v>1.43</v>
          </cell>
          <cell r="X555">
            <v>5.6762742352395996</v>
          </cell>
          <cell r="Y555">
            <v>4.5732872851203643</v>
          </cell>
          <cell r="Z555">
            <v>4.5550446305805412</v>
          </cell>
          <cell r="AA555">
            <v>4.5308021800285099</v>
          </cell>
          <cell r="AB555">
            <v>0.28112890000000001</v>
          </cell>
          <cell r="AC555">
            <v>-1.9233123000000023</v>
          </cell>
          <cell r="AI555">
            <v>6.2300000000000001E-2</v>
          </cell>
        </row>
        <row r="556">
          <cell r="O556">
            <v>4.5695886031604029</v>
          </cell>
          <cell r="P556">
            <v>5.4</v>
          </cell>
          <cell r="Q556">
            <v>5.2459708861758276</v>
          </cell>
          <cell r="W556">
            <v>1.61</v>
          </cell>
          <cell r="X556">
            <v>5.6933953817697143</v>
          </cell>
          <cell r="Y556">
            <v>4.5992828898192037</v>
          </cell>
          <cell r="Z556">
            <v>4.5605074920818982</v>
          </cell>
          <cell r="AA556">
            <v>4.5352840585239251</v>
          </cell>
          <cell r="AB556">
            <v>0.14964079999999999</v>
          </cell>
          <cell r="AC556">
            <v>-1.7736715000000023</v>
          </cell>
          <cell r="AI556">
            <v>0.1167787</v>
          </cell>
        </row>
        <row r="557">
          <cell r="O557">
            <v>4.5789976538568071</v>
          </cell>
          <cell r="P557">
            <v>5.5</v>
          </cell>
          <cell r="Q557">
            <v>5.2512257590141864</v>
          </cell>
          <cell r="W557">
            <v>1.76</v>
          </cell>
          <cell r="X557">
            <v>5.6710182070622279</v>
          </cell>
          <cell r="Y557">
            <v>4.5900362434033743</v>
          </cell>
          <cell r="Z557">
            <v>4.5627531700972943</v>
          </cell>
          <cell r="AA557">
            <v>4.5386991320446493</v>
          </cell>
          <cell r="AB557">
            <v>0</v>
          </cell>
          <cell r="AC557">
            <v>-1.7736715000000023</v>
          </cell>
          <cell r="AI557">
            <v>0</v>
          </cell>
        </row>
        <row r="558">
          <cell r="O558">
            <v>4.5811079996373323</v>
          </cell>
          <cell r="P558">
            <v>5.4</v>
          </cell>
          <cell r="Q558">
            <v>5.2559316500515987</v>
          </cell>
          <cell r="W558">
            <v>1.93</v>
          </cell>
          <cell r="X558">
            <v>5.697730867227766</v>
          </cell>
          <cell r="Y558">
            <v>4.5894370669990918</v>
          </cell>
          <cell r="Z558">
            <v>4.5619703666818721</v>
          </cell>
          <cell r="AA558">
            <v>4.5413247579393383</v>
          </cell>
          <cell r="AB558">
            <v>0.31822139999999999</v>
          </cell>
          <cell r="AC558">
            <v>-1.4554501000000024</v>
          </cell>
          <cell r="AI558">
            <v>0.2427629</v>
          </cell>
        </row>
        <row r="559">
          <cell r="O559">
            <v>4.5881583009457234</v>
          </cell>
          <cell r="P559">
            <v>5.4</v>
          </cell>
          <cell r="Q559">
            <v>5.2559316500515987</v>
          </cell>
          <cell r="W559">
            <v>2.16</v>
          </cell>
          <cell r="X559">
            <v>5.6908323154805727</v>
          </cell>
          <cell r="Y559">
            <v>4.6128704626142794</v>
          </cell>
          <cell r="Z559">
            <v>4.5669489731678938</v>
          </cell>
          <cell r="AA559">
            <v>4.5444855623715847</v>
          </cell>
          <cell r="AB559">
            <v>0.16138449999999999</v>
          </cell>
          <cell r="AC559">
            <v>-1.2940656000000024</v>
          </cell>
          <cell r="AI559">
            <v>9.8183000000000006E-2</v>
          </cell>
        </row>
        <row r="560">
          <cell r="O560">
            <v>4.5929822134811209</v>
          </cell>
          <cell r="P560">
            <v>5.3</v>
          </cell>
          <cell r="Q560">
            <v>5.2554098655367598</v>
          </cell>
          <cell r="W560">
            <v>2.2799999999999998</v>
          </cell>
          <cell r="X560">
            <v>5.6739759750735361</v>
          </cell>
          <cell r="Y560">
            <v>4.5995443908365248</v>
          </cell>
          <cell r="Z560">
            <v>4.5772232839371405</v>
          </cell>
          <cell r="AA560">
            <v>4.543475616982251</v>
          </cell>
          <cell r="AB560">
            <v>0</v>
          </cell>
          <cell r="AC560">
            <v>-1.2940656000000024</v>
          </cell>
          <cell r="AI560">
            <v>0</v>
          </cell>
        </row>
        <row r="561">
          <cell r="O561">
            <v>4.5995132154594387</v>
          </cell>
          <cell r="P561">
            <v>5.4</v>
          </cell>
          <cell r="Q561">
            <v>5.259576538231606</v>
          </cell>
          <cell r="W561">
            <v>2.5</v>
          </cell>
          <cell r="X561">
            <v>5.6701567470065406</v>
          </cell>
          <cell r="Y561">
            <v>4.6065791928715116</v>
          </cell>
          <cell r="Z561">
            <v>4.5808570014058079</v>
          </cell>
          <cell r="AA561">
            <v>4.5461523975232181</v>
          </cell>
          <cell r="AB561">
            <v>0.1223306</v>
          </cell>
          <cell r="AC561">
            <v>-1.1717350000000024</v>
          </cell>
          <cell r="AI561">
            <v>8.5238999999999995E-2</v>
          </cell>
        </row>
        <row r="562">
          <cell r="O562">
            <v>4.5983942813084848</v>
          </cell>
          <cell r="P562">
            <v>5.2</v>
          </cell>
          <cell r="Q562">
            <v>5.2632081894344687</v>
          </cell>
          <cell r="W562">
            <v>2.63</v>
          </cell>
          <cell r="X562">
            <v>5.6975631748422844</v>
          </cell>
          <cell r="Y562">
            <v>4.6178988319648155</v>
          </cell>
          <cell r="Z562">
            <v>4.5719132540866392</v>
          </cell>
          <cell r="AA562">
            <v>4.5507245597983701</v>
          </cell>
          <cell r="AB562">
            <v>5.5443600000000003E-2</v>
          </cell>
          <cell r="AC562">
            <v>-1.1162914000000024</v>
          </cell>
          <cell r="AI562">
            <v>8.2026600000000005E-2</v>
          </cell>
        </row>
        <row r="563">
          <cell r="O563">
            <v>4.599750526127365</v>
          </cell>
          <cell r="P563">
            <v>5.2</v>
          </cell>
          <cell r="Q563">
            <v>5.2663105704129505</v>
          </cell>
          <cell r="W563">
            <v>2.79</v>
          </cell>
          <cell r="X563">
            <v>5.7012793444380829</v>
          </cell>
          <cell r="Y563">
            <v>4.6486127438309284</v>
          </cell>
          <cell r="Z563">
            <v>4.5829552514169336</v>
          </cell>
          <cell r="AA563">
            <v>4.5529396103844393</v>
          </cell>
          <cell r="AB563">
            <v>0</v>
          </cell>
          <cell r="AC563">
            <v>-1.1162914000000024</v>
          </cell>
          <cell r="AI563">
            <v>0</v>
          </cell>
        </row>
        <row r="564">
          <cell r="O564">
            <v>4.601578744475769</v>
          </cell>
          <cell r="P564">
            <v>5.0999999999999996</v>
          </cell>
          <cell r="Q564">
            <v>5.265794174842477</v>
          </cell>
          <cell r="W564">
            <v>3</v>
          </cell>
          <cell r="X564">
            <v>5.6961870355343702</v>
          </cell>
          <cell r="Y564">
            <v>4.6048001175212026</v>
          </cell>
          <cell r="Z564">
            <v>4.5776345357935702</v>
          </cell>
          <cell r="AA564">
            <v>4.5558748942632139</v>
          </cell>
          <cell r="AB564">
            <v>0.30341570000000001</v>
          </cell>
          <cell r="AC564">
            <v>-0.81287570000000242</v>
          </cell>
          <cell r="AI564">
            <v>0.155223</v>
          </cell>
        </row>
        <row r="565">
          <cell r="O565">
            <v>4.6054321516720851</v>
          </cell>
          <cell r="P565">
            <v>5</v>
          </cell>
          <cell r="Q565">
            <v>5.2663105704129505</v>
          </cell>
          <cell r="W565">
            <v>3.04</v>
          </cell>
          <cell r="X565">
            <v>5.6978650008921639</v>
          </cell>
          <cell r="Y565">
            <v>4.6538841567786911</v>
          </cell>
          <cell r="Z565">
            <v>4.5824234289921755</v>
          </cell>
          <cell r="AA565">
            <v>4.5602564985645797</v>
          </cell>
          <cell r="AB565">
            <v>0.2362667</v>
          </cell>
          <cell r="AC565">
            <v>-0.57660900000000237</v>
          </cell>
          <cell r="AI565">
            <v>9.4652799999999995E-2</v>
          </cell>
        </row>
        <row r="566">
          <cell r="O566">
            <v>4.6026139215262933</v>
          </cell>
          <cell r="P566">
            <v>5</v>
          </cell>
          <cell r="Q566">
            <v>5.2724866065135148</v>
          </cell>
          <cell r="W566">
            <v>3.26</v>
          </cell>
          <cell r="X566">
            <v>5.6795922358549831</v>
          </cell>
          <cell r="Y566">
            <v>4.6901177681507908</v>
          </cell>
          <cell r="Z566">
            <v>4.5807852760524019</v>
          </cell>
          <cell r="AA566">
            <v>4.5630556898807439</v>
          </cell>
          <cell r="AB566">
            <v>0</v>
          </cell>
          <cell r="AC566">
            <v>-0.57660900000000237</v>
          </cell>
          <cell r="AI566">
            <v>0</v>
          </cell>
        </row>
        <row r="567">
          <cell r="O567">
            <v>4.6045419887134944</v>
          </cell>
          <cell r="P567">
            <v>4.9000000000000004</v>
          </cell>
          <cell r="Q567">
            <v>5.2786247332023004</v>
          </cell>
          <cell r="W567">
            <v>3.5</v>
          </cell>
          <cell r="X567">
            <v>5.6719821621064037</v>
          </cell>
          <cell r="Y567">
            <v>4.6381503132826829</v>
          </cell>
          <cell r="Z567">
            <v>4.5879121185518104</v>
          </cell>
          <cell r="AA567">
            <v>4.5656182179759766</v>
          </cell>
          <cell r="AB567">
            <v>6.1947200000000001E-2</v>
          </cell>
          <cell r="AC567">
            <v>-0.51466180000000239</v>
          </cell>
          <cell r="AI567">
            <v>1.8240699999999999E-2</v>
          </cell>
        </row>
        <row r="568">
          <cell r="O568">
            <v>4.5854551148587586</v>
          </cell>
          <cell r="P568">
            <v>5</v>
          </cell>
          <cell r="Q568">
            <v>5.2922992942224738</v>
          </cell>
          <cell r="W568">
            <v>3.62</v>
          </cell>
          <cell r="X568">
            <v>5.6836137803656746</v>
          </cell>
          <cell r="Y568">
            <v>4.6119868993150135</v>
          </cell>
          <cell r="Z568">
            <v>4.5809594572730328</v>
          </cell>
          <cell r="AA568">
            <v>4.5671255809484448</v>
          </cell>
          <cell r="AB568">
            <v>0.24896989999999999</v>
          </cell>
          <cell r="AC568">
            <v>-0.26569190000000242</v>
          </cell>
          <cell r="AI568">
            <v>0.1452309</v>
          </cell>
        </row>
        <row r="569">
          <cell r="O569">
            <v>4.5983358852665113</v>
          </cell>
          <cell r="P569">
            <v>5</v>
          </cell>
          <cell r="Q569">
            <v>5.2938072110701508</v>
          </cell>
          <cell r="W569">
            <v>3.78</v>
          </cell>
          <cell r="X569">
            <v>5.698166735870565</v>
          </cell>
          <cell r="Y569">
            <v>4.6028875828305393</v>
          </cell>
          <cell r="Z569">
            <v>4.5978333370140732</v>
          </cell>
          <cell r="AA569">
            <v>4.5668866335624827</v>
          </cell>
          <cell r="AB569">
            <v>0</v>
          </cell>
          <cell r="AC569">
            <v>-0.26569190000000242</v>
          </cell>
          <cell r="AI569">
            <v>0</v>
          </cell>
        </row>
        <row r="570">
          <cell r="O570">
            <v>4.6081467516179773</v>
          </cell>
          <cell r="P570">
            <v>5</v>
          </cell>
          <cell r="Q570">
            <v>5.2887719537045053</v>
          </cell>
          <cell r="W570">
            <v>4</v>
          </cell>
          <cell r="X570">
            <v>5.6954142249856847</v>
          </cell>
          <cell r="Y570">
            <v>4.6211517970003904</v>
          </cell>
          <cell r="Z570">
            <v>4.6001375434600167</v>
          </cell>
          <cell r="AA570">
            <v>4.5709513426014077</v>
          </cell>
          <cell r="AB570">
            <v>0.22275490000000001</v>
          </cell>
          <cell r="AC570">
            <v>-4.2937000000002418E-2</v>
          </cell>
          <cell r="AI570">
            <v>6.9968699999999995E-2</v>
          </cell>
        </row>
        <row r="571">
          <cell r="O571">
            <v>4.6140783898570987</v>
          </cell>
          <cell r="P571">
            <v>4.9000000000000004</v>
          </cell>
          <cell r="Q571">
            <v>5.2887719537045053</v>
          </cell>
          <cell r="W571">
            <v>4.16</v>
          </cell>
          <cell r="X571">
            <v>5.7073095804323577</v>
          </cell>
          <cell r="Y571">
            <v>4.6363490344690916</v>
          </cell>
          <cell r="Z571">
            <v>4.6024264253170282</v>
          </cell>
          <cell r="AA571">
            <v>4.5736175974749846</v>
          </cell>
          <cell r="AB571">
            <v>4.8736799999999997E-2</v>
          </cell>
          <cell r="AC571">
            <v>5.7997999999975791E-3</v>
          </cell>
          <cell r="AI571">
            <v>1.6412E-3</v>
          </cell>
        </row>
        <row r="572">
          <cell r="O572">
            <v>4.6153739500708797</v>
          </cell>
          <cell r="P572">
            <v>4.7</v>
          </cell>
          <cell r="Q572">
            <v>5.2948112272187489</v>
          </cell>
          <cell r="W572">
            <v>4.29</v>
          </cell>
          <cell r="X572">
            <v>5.7311057703050912</v>
          </cell>
          <cell r="Y572">
            <v>4.6666038921721835</v>
          </cell>
          <cell r="Z572">
            <v>4.6061197350236798</v>
          </cell>
          <cell r="AA572">
            <v>4.5721613391810987</v>
          </cell>
          <cell r="AB572">
            <v>0.1203751</v>
          </cell>
          <cell r="AC572">
            <v>0.12617489999999759</v>
          </cell>
          <cell r="AI572">
            <v>1.5128600000000001E-2</v>
          </cell>
        </row>
        <row r="573">
          <cell r="O573">
            <v>4.6151017047831253</v>
          </cell>
          <cell r="P573">
            <v>4.8</v>
          </cell>
          <cell r="Q573">
            <v>5.2953128575277377</v>
          </cell>
          <cell r="W573">
            <v>4.49</v>
          </cell>
          <cell r="X573">
            <v>5.7416561270842825</v>
          </cell>
          <cell r="Y573">
            <v>4.6537698558241534</v>
          </cell>
          <cell r="Z573">
            <v>4.6120166950651491</v>
          </cell>
          <cell r="AA573">
            <v>4.5777887116468534</v>
          </cell>
          <cell r="AB573">
            <v>0</v>
          </cell>
          <cell r="AC573">
            <v>0.12617489999999759</v>
          </cell>
          <cell r="AI573">
            <v>0</v>
          </cell>
        </row>
        <row r="574">
          <cell r="O574">
            <v>4.6177487431949258</v>
          </cell>
          <cell r="P574">
            <v>4.7</v>
          </cell>
          <cell r="Q574">
            <v>5.2968162404217694</v>
          </cell>
          <cell r="W574">
            <v>4.59</v>
          </cell>
          <cell r="X574">
            <v>5.7393748183593241</v>
          </cell>
          <cell r="Y574">
            <v>4.6605670492083791</v>
          </cell>
          <cell r="Z574">
            <v>4.6069486036655025</v>
          </cell>
          <cell r="AA574">
            <v>4.5812770037680934</v>
          </cell>
          <cell r="AB574">
            <v>0.1017777</v>
          </cell>
          <cell r="AC574">
            <v>0.22795259999999759</v>
          </cell>
          <cell r="AI574">
            <v>4.6656099999999999E-2</v>
          </cell>
        </row>
        <row r="575">
          <cell r="O575">
            <v>4.6216771926087956</v>
          </cell>
          <cell r="P575">
            <v>4.7</v>
          </cell>
          <cell r="Q575">
            <v>5.3018112558022921</v>
          </cell>
          <cell r="W575">
            <v>4.79</v>
          </cell>
          <cell r="X575">
            <v>5.7662876800075979</v>
          </cell>
          <cell r="Y575">
            <v>4.6620229975808742</v>
          </cell>
          <cell r="Z575">
            <v>4.6123642465683314</v>
          </cell>
          <cell r="AA575">
            <v>4.581973204383889</v>
          </cell>
          <cell r="AB575">
            <v>0</v>
          </cell>
          <cell r="AC575">
            <v>0.22795259999999759</v>
          </cell>
          <cell r="AI575">
            <v>0</v>
          </cell>
        </row>
        <row r="576">
          <cell r="O576">
            <v>4.6203090134808766</v>
          </cell>
          <cell r="P576">
            <v>4.5999999999999996</v>
          </cell>
          <cell r="Q576">
            <v>5.3047963326457461</v>
          </cell>
          <cell r="W576">
            <v>4.9400000000000004</v>
          </cell>
          <cell r="X576">
            <v>5.8014837329465383</v>
          </cell>
          <cell r="Y576">
            <v>4.6511086689292558</v>
          </cell>
          <cell r="Z576">
            <v>4.6121060769892042</v>
          </cell>
          <cell r="AA576">
            <v>4.5858242543905536</v>
          </cell>
          <cell r="AB576">
            <v>0.17008309999999999</v>
          </cell>
          <cell r="AC576">
            <v>0.39803569999999755</v>
          </cell>
          <cell r="AI576">
            <v>0.12680630000000001</v>
          </cell>
        </row>
        <row r="577">
          <cell r="O577">
            <v>4.624161700107174</v>
          </cell>
          <cell r="P577">
            <v>4.5999999999999996</v>
          </cell>
          <cell r="Q577">
            <v>5.3072771079195089</v>
          </cell>
          <cell r="W577">
            <v>4.99</v>
          </cell>
          <cell r="X577">
            <v>5.8058876975933549</v>
          </cell>
          <cell r="Y577">
            <v>4.6644762918854985</v>
          </cell>
          <cell r="Z577">
            <v>4.6105357654865013</v>
          </cell>
          <cell r="AA577">
            <v>4.5851307306503646</v>
          </cell>
          <cell r="AB577">
            <v>0.44131140000000002</v>
          </cell>
          <cell r="AC577">
            <v>0.83934709999999757</v>
          </cell>
          <cell r="AI577">
            <v>0.29465180000000002</v>
          </cell>
        </row>
        <row r="578">
          <cell r="O578">
            <v>4.6239732943237364</v>
          </cell>
          <cell r="P578">
            <v>4.7</v>
          </cell>
          <cell r="Q578">
            <v>5.3127132468317688</v>
          </cell>
          <cell r="W578">
            <v>5.24</v>
          </cell>
          <cell r="X578">
            <v>5.8226908028592961</v>
          </cell>
          <cell r="Y578">
            <v>4.6779093646283965</v>
          </cell>
          <cell r="Z578">
            <v>4.6158034519048448</v>
          </cell>
          <cell r="AA578">
            <v>4.5879324665017558</v>
          </cell>
          <cell r="AB578">
            <v>0</v>
          </cell>
          <cell r="AC578">
            <v>0.83934709999999757</v>
          </cell>
          <cell r="AI578">
            <v>0</v>
          </cell>
        </row>
        <row r="579">
          <cell r="O579">
            <v>4.6274403546338192</v>
          </cell>
          <cell r="P579">
            <v>4.7</v>
          </cell>
          <cell r="Q579">
            <v>5.3171391207886245</v>
          </cell>
          <cell r="W579">
            <v>5.25</v>
          </cell>
          <cell r="X579">
            <v>5.832205005910728</v>
          </cell>
          <cell r="Y579">
            <v>4.6612385615076279</v>
          </cell>
          <cell r="Z579">
            <v>4.6142785783520823</v>
          </cell>
          <cell r="AA579">
            <v>4.5881257513788327</v>
          </cell>
          <cell r="AB579">
            <v>6.11265E-2</v>
          </cell>
          <cell r="AC579">
            <v>0.90047359999999754</v>
          </cell>
          <cell r="AI579">
            <v>6.3313900000000006E-2</v>
          </cell>
        </row>
        <row r="580">
          <cell r="O580">
            <v>4.6260438081918771</v>
          </cell>
          <cell r="P580">
            <v>4.5</v>
          </cell>
          <cell r="Q580">
            <v>5.3122202717170284</v>
          </cell>
          <cell r="W580">
            <v>5.25</v>
          </cell>
          <cell r="X580">
            <v>5.8345767915708375</v>
          </cell>
          <cell r="Y580">
            <v>4.679581683501902</v>
          </cell>
          <cell r="Z580">
            <v>4.6199110043095901</v>
          </cell>
          <cell r="AA580">
            <v>4.5906249145460558</v>
          </cell>
          <cell r="AB580">
            <v>6.1020499999999998E-2</v>
          </cell>
          <cell r="AC580">
            <v>0.96149409999999758</v>
          </cell>
          <cell r="AI580">
            <v>-2.7317299999999999E-2</v>
          </cell>
        </row>
        <row r="581">
          <cell r="O581">
            <v>4.6257989425337476</v>
          </cell>
          <cell r="P581">
            <v>4.4000000000000004</v>
          </cell>
          <cell r="Q581">
            <v>5.307772525318792</v>
          </cell>
          <cell r="W581">
            <v>5.25</v>
          </cell>
          <cell r="X581">
            <v>5.8498433774404033</v>
          </cell>
          <cell r="Y581">
            <v>4.6801292244535464</v>
          </cell>
          <cell r="Z581">
            <v>4.6285253191856714</v>
          </cell>
          <cell r="AA581">
            <v>4.594806669785612</v>
          </cell>
          <cell r="AB581">
            <v>-6.5343899999999996E-2</v>
          </cell>
          <cell r="AC581">
            <v>0.89615019999999757</v>
          </cell>
          <cell r="AI581">
            <v>-5.6401899999999998E-2</v>
          </cell>
        </row>
        <row r="582">
          <cell r="O582">
            <v>4.6246619806670921</v>
          </cell>
          <cell r="P582">
            <v>4.5</v>
          </cell>
          <cell r="Q582">
            <v>5.3082676974012051</v>
          </cell>
          <cell r="W582">
            <v>5.25</v>
          </cell>
          <cell r="X582">
            <v>5.8718924119671367</v>
          </cell>
          <cell r="Y582">
            <v>4.682353424658741</v>
          </cell>
          <cell r="Z582">
            <v>4.6303114783944235</v>
          </cell>
          <cell r="AA582">
            <v>4.5962707028010588</v>
          </cell>
          <cell r="AB582">
            <v>0</v>
          </cell>
          <cell r="AC582">
            <v>0.89615019999999757</v>
          </cell>
          <cell r="AI582">
            <v>0</v>
          </cell>
        </row>
        <row r="583">
          <cell r="O583">
            <v>4.634487211431165</v>
          </cell>
          <cell r="P583">
            <v>4.4000000000000004</v>
          </cell>
          <cell r="Q583">
            <v>5.3136984685863391</v>
          </cell>
          <cell r="W583">
            <v>5.24</v>
          </cell>
          <cell r="X583">
            <v>5.8842968439144521</v>
          </cell>
          <cell r="Y583">
            <v>4.6958149542101415</v>
          </cell>
          <cell r="Z583">
            <v>4.6407882635898376</v>
          </cell>
          <cell r="AA583">
            <v>4.5976922961321325</v>
          </cell>
          <cell r="AB583">
            <v>5.0971099999999998E-2</v>
          </cell>
          <cell r="AC583">
            <v>0.94712129999999761</v>
          </cell>
          <cell r="AI583">
            <v>8.4948800000000005E-2</v>
          </cell>
        </row>
        <row r="584">
          <cell r="O584">
            <v>4.6298179195226323</v>
          </cell>
          <cell r="P584">
            <v>4.5999999999999996</v>
          </cell>
          <cell r="Q584">
            <v>5.3153563746425716</v>
          </cell>
          <cell r="W584">
            <v>5.25</v>
          </cell>
          <cell r="X584">
            <v>5.8828766066910827</v>
          </cell>
          <cell r="Y584">
            <v>4.6980683683548223</v>
          </cell>
          <cell r="Z584">
            <v>4.6362327114399093</v>
          </cell>
          <cell r="AA584">
            <v>4.5999264616650377</v>
          </cell>
          <cell r="AB584">
            <v>-6.7077200000000003E-2</v>
          </cell>
          <cell r="AC584">
            <v>0.88004409999999766</v>
          </cell>
          <cell r="AI584">
            <v>-7.1945099999999998E-2</v>
          </cell>
        </row>
        <row r="585">
          <cell r="O585">
            <v>4.6406348154209978</v>
          </cell>
          <cell r="P585">
            <v>4.5</v>
          </cell>
          <cell r="Q585">
            <v>5.3192272237761111</v>
          </cell>
          <cell r="W585">
            <v>5.26</v>
          </cell>
          <cell r="X585">
            <v>5.9039166625875579</v>
          </cell>
          <cell r="Y585">
            <v>4.6958240875894468</v>
          </cell>
          <cell r="Z585">
            <v>4.6331549345228549</v>
          </cell>
          <cell r="AA585">
            <v>4.6023762866836968</v>
          </cell>
          <cell r="AB585">
            <v>0</v>
          </cell>
          <cell r="AC585">
            <v>0.88004409999999766</v>
          </cell>
          <cell r="AI585">
            <v>0</v>
          </cell>
        </row>
        <row r="586">
          <cell r="O586">
            <v>4.6420564456546991</v>
          </cell>
          <cell r="P586">
            <v>4.4000000000000004</v>
          </cell>
          <cell r="Q586">
            <v>5.3244138712693108</v>
          </cell>
          <cell r="W586">
            <v>5.26</v>
          </cell>
          <cell r="X586">
            <v>5.9437438108965699</v>
          </cell>
          <cell r="Y586">
            <v>4.6979043233696736</v>
          </cell>
          <cell r="Z586">
            <v>4.6363878058054482</v>
          </cell>
          <cell r="AA586">
            <v>4.6020453086405668</v>
          </cell>
          <cell r="AB586">
            <v>0.15645319999999999</v>
          </cell>
          <cell r="AC586">
            <v>1.0364972999999977</v>
          </cell>
          <cell r="AI586">
            <v>-7.8233E-3</v>
          </cell>
        </row>
        <row r="587">
          <cell r="O587">
            <v>4.6493076382990655</v>
          </cell>
          <cell r="P587">
            <v>4.5</v>
          </cell>
          <cell r="Q587">
            <v>5.3274100407513094</v>
          </cell>
          <cell r="W587">
            <v>5.25</v>
          </cell>
          <cell r="X587">
            <v>5.963322241161702</v>
          </cell>
          <cell r="Y587">
            <v>4.7035936961641838</v>
          </cell>
          <cell r="Z587">
            <v>4.6337284878960521</v>
          </cell>
          <cell r="AA587">
            <v>4.605080181937848</v>
          </cell>
          <cell r="AB587">
            <v>0</v>
          </cell>
          <cell r="AC587">
            <v>1.0364972999999977</v>
          </cell>
          <cell r="AI587">
            <v>0</v>
          </cell>
        </row>
        <row r="588">
          <cell r="O588">
            <v>4.6497993241312958</v>
          </cell>
          <cell r="P588">
            <v>4.4000000000000004</v>
          </cell>
          <cell r="Q588">
            <v>5.3315345174082331</v>
          </cell>
          <cell r="W588">
            <v>5.25</v>
          </cell>
          <cell r="X588">
            <v>5.9834071734802485</v>
          </cell>
          <cell r="Y588">
            <v>4.7214231628123411</v>
          </cell>
          <cell r="Z588">
            <v>4.6333980057779591</v>
          </cell>
          <cell r="AA588">
            <v>4.6036189834953545</v>
          </cell>
          <cell r="AB588">
            <v>-1.25519E-2</v>
          </cell>
          <cell r="AC588">
            <v>1.0239453999999977</v>
          </cell>
          <cell r="AI588">
            <v>-3.9509799999999998E-2</v>
          </cell>
        </row>
        <row r="589">
          <cell r="O589">
            <v>4.649689337592581</v>
          </cell>
          <cell r="P589">
            <v>4.5999999999999996</v>
          </cell>
          <cell r="Q589">
            <v>5.3338485895876921</v>
          </cell>
          <cell r="W589">
            <v>5.25</v>
          </cell>
          <cell r="X589">
            <v>6.0040845784640844</v>
          </cell>
          <cell r="Y589">
            <v>4.7097283798718648</v>
          </cell>
          <cell r="Z589">
            <v>4.6327075289811797</v>
          </cell>
          <cell r="AA589">
            <v>4.6051701859880918</v>
          </cell>
          <cell r="AB589">
            <v>-7.20803E-2</v>
          </cell>
          <cell r="AC589">
            <v>0.95186509999999769</v>
          </cell>
          <cell r="AI589">
            <v>-0.1098971</v>
          </cell>
        </row>
        <row r="590">
          <cell r="O590">
            <v>4.6496099484869244</v>
          </cell>
          <cell r="P590">
            <v>4.7</v>
          </cell>
          <cell r="Q590">
            <v>5.3356276020543731</v>
          </cell>
          <cell r="W590">
            <v>5.26</v>
          </cell>
          <cell r="X590">
            <v>6.0178873693390864</v>
          </cell>
          <cell r="Y590">
            <v>4.7101246192056028</v>
          </cell>
          <cell r="Z590">
            <v>4.638363153343855</v>
          </cell>
          <cell r="AA590">
            <v>4.6065891787415056</v>
          </cell>
          <cell r="AB590">
            <v>0</v>
          </cell>
          <cell r="AC590">
            <v>0.95186509999999769</v>
          </cell>
          <cell r="AI590">
            <v>0</v>
          </cell>
        </row>
        <row r="591">
          <cell r="O591">
            <v>4.6513025355811228</v>
          </cell>
          <cell r="P591">
            <v>4.5999999999999996</v>
          </cell>
          <cell r="Q591">
            <v>5.3359358352544914</v>
          </cell>
          <cell r="W591">
            <v>5.0199999999999996</v>
          </cell>
          <cell r="X591">
            <v>6.006279265245996</v>
          </cell>
          <cell r="Y591">
            <v>4.722899886888869</v>
          </cell>
          <cell r="Z591">
            <v>4.6322793884667091</v>
          </cell>
          <cell r="AA591">
            <v>4.6114007357387274</v>
          </cell>
          <cell r="AB591">
            <v>2.4510400000000002E-2</v>
          </cell>
          <cell r="AC591">
            <v>0.97637549999999773</v>
          </cell>
          <cell r="AI591">
            <v>0.1068538</v>
          </cell>
        </row>
        <row r="592">
          <cell r="O592">
            <v>4.6548513816424686</v>
          </cell>
          <cell r="P592">
            <v>4.7</v>
          </cell>
          <cell r="Q592">
            <v>5.34016443549993</v>
          </cell>
          <cell r="W592">
            <v>4.9400000000000004</v>
          </cell>
          <cell r="X592">
            <v>6.0184958861590125</v>
          </cell>
          <cell r="Y592">
            <v>4.7348115221444891</v>
          </cell>
          <cell r="Z592">
            <v>4.6332716160989662</v>
          </cell>
          <cell r="AA592">
            <v>4.6087238641873887</v>
          </cell>
          <cell r="AB592">
            <v>-0.59515879999999999</v>
          </cell>
          <cell r="AC592">
            <v>0.38121669999999774</v>
          </cell>
          <cell r="AI592">
            <v>-0.48466300000000001</v>
          </cell>
        </row>
        <row r="593">
          <cell r="O593">
            <v>4.6495410757235884</v>
          </cell>
          <cell r="P593">
            <v>4.7</v>
          </cell>
          <cell r="Q593">
            <v>5.3432429299010291</v>
          </cell>
          <cell r="W593">
            <v>4.76</v>
          </cell>
          <cell r="X593">
            <v>6.0261316390162838</v>
          </cell>
          <cell r="Y593">
            <v>4.7326306879907811</v>
          </cell>
          <cell r="Z593">
            <v>4.6303309816465914</v>
          </cell>
          <cell r="AA593">
            <v>4.6082952977355891</v>
          </cell>
          <cell r="AB593">
            <v>-0.32200030000000002</v>
          </cell>
          <cell r="AC593">
            <v>5.9216399999997726E-2</v>
          </cell>
          <cell r="AI593">
            <v>-0.26173960000000002</v>
          </cell>
        </row>
        <row r="594">
          <cell r="O594">
            <v>4.6554649319921051</v>
          </cell>
          <cell r="P594">
            <v>4.7</v>
          </cell>
          <cell r="Q594">
            <v>5.3510710939839026</v>
          </cell>
          <cell r="W594">
            <v>4.49</v>
          </cell>
          <cell r="X594">
            <v>6.0229389890677263</v>
          </cell>
          <cell r="Y594">
            <v>4.7282989079692266</v>
          </cell>
          <cell r="Z594">
            <v>4.6348454862978414</v>
          </cell>
          <cell r="AA594">
            <v>4.6114802356841134</v>
          </cell>
          <cell r="AB594">
            <v>0</v>
          </cell>
          <cell r="AC594">
            <v>5.9216399999997726E-2</v>
          </cell>
          <cell r="AI594">
            <v>0</v>
          </cell>
        </row>
        <row r="595">
          <cell r="O595">
            <v>4.655218605840771</v>
          </cell>
          <cell r="P595">
            <v>5</v>
          </cell>
          <cell r="Q595">
            <v>5.3539649173868513</v>
          </cell>
          <cell r="W595">
            <v>4.24</v>
          </cell>
          <cell r="X595">
            <v>6.0255760767367494</v>
          </cell>
          <cell r="Y595">
            <v>4.7188738010001678</v>
          </cell>
          <cell r="Z595">
            <v>4.636368420325172</v>
          </cell>
          <cell r="AA595">
            <v>4.6115100465342707</v>
          </cell>
          <cell r="AB595">
            <v>-5.9216199999999997E-2</v>
          </cell>
          <cell r="AC595">
            <v>1.9999999772979393E-7</v>
          </cell>
          <cell r="AI595">
            <v>3.9384799999999998E-2</v>
          </cell>
        </row>
        <row r="596">
          <cell r="O596">
            <v>4.6526213588705732</v>
          </cell>
          <cell r="P596">
            <v>5</v>
          </cell>
          <cell r="Q596">
            <v>5.3574066927540249</v>
          </cell>
          <cell r="W596">
            <v>3.94</v>
          </cell>
          <cell r="X596">
            <v>6.0385866541767168</v>
          </cell>
          <cell r="Y596">
            <v>4.7086469284588093</v>
          </cell>
          <cell r="Z596">
            <v>4.631101056011441</v>
          </cell>
          <cell r="AA596">
            <v>4.6136243486346489</v>
          </cell>
        </row>
        <row r="597">
          <cell r="O597">
            <v>4.6500728034303309</v>
          </cell>
          <cell r="P597">
            <v>4.9000000000000004</v>
          </cell>
          <cell r="Q597">
            <v>5.359821601391479</v>
          </cell>
          <cell r="W597">
            <v>2.98</v>
          </cell>
          <cell r="X597">
            <v>6.0969950483174458</v>
          </cell>
          <cell r="Y597">
            <v>4.6929246201756643</v>
          </cell>
          <cell r="Z597">
            <v>4.6199011505880856</v>
          </cell>
          <cell r="AA597">
            <v>4.6158034519048448</v>
          </cell>
        </row>
        <row r="598">
          <cell r="O598">
            <v>4.6472608154506325</v>
          </cell>
          <cell r="P598">
            <v>5.0999999999999996</v>
          </cell>
          <cell r="Q598">
            <v>5.3633932432842242</v>
          </cell>
          <cell r="W598">
            <v>2.61</v>
          </cell>
          <cell r="X598">
            <v>6.1304653303097636</v>
          </cell>
          <cell r="Y598">
            <v>4.6913478822291435</v>
          </cell>
          <cell r="Z598">
            <v>4.6340199990921462</v>
          </cell>
          <cell r="AA598">
            <v>4.6139316916566644</v>
          </cell>
        </row>
        <row r="599">
          <cell r="O599">
            <v>4.6398614257780215</v>
          </cell>
          <cell r="P599">
            <v>5</v>
          </cell>
          <cell r="Q599">
            <v>5.3657049502497323</v>
          </cell>
          <cell r="W599">
            <v>2.2799999999999998</v>
          </cell>
          <cell r="X599">
            <v>6.1356514674204794</v>
          </cell>
          <cell r="Y599">
            <v>4.6930528499636193</v>
          </cell>
          <cell r="Z599">
            <v>4.6359224505273859</v>
          </cell>
          <cell r="AA599">
            <v>4.6154768889767306</v>
          </cell>
        </row>
        <row r="600">
          <cell r="O600">
            <v>4.6352327448181221</v>
          </cell>
          <cell r="P600">
            <v>5.4</v>
          </cell>
          <cell r="Q600">
            <v>5.3716050023178559</v>
          </cell>
          <cell r="W600">
            <v>1.98</v>
          </cell>
          <cell r="X600">
            <v>6.1460722653344204</v>
          </cell>
          <cell r="Y600">
            <v>4.6995890596061347</v>
          </cell>
          <cell r="Z600">
            <v>4.6359030560237882</v>
          </cell>
          <cell r="AA600">
            <v>4.6150611091360627</v>
          </cell>
        </row>
        <row r="601">
          <cell r="O601">
            <v>4.6332482808728859</v>
          </cell>
          <cell r="P601">
            <v>5.6</v>
          </cell>
          <cell r="Q601">
            <v>5.382028721115022</v>
          </cell>
          <cell r="W601">
            <v>2</v>
          </cell>
          <cell r="X601">
            <v>6.1425319069573119</v>
          </cell>
          <cell r="Y601">
            <v>4.6909900200389698</v>
          </cell>
          <cell r="Z601">
            <v>4.6341948650287073</v>
          </cell>
          <cell r="AA601">
            <v>4.6150314039599332</v>
          </cell>
        </row>
        <row r="602">
          <cell r="O602">
            <v>4.6280005779165085</v>
          </cell>
          <cell r="P602">
            <v>5.8</v>
          </cell>
          <cell r="Q602">
            <v>5.3891447865085267</v>
          </cell>
          <cell r="W602">
            <v>2.0099999999999998</v>
          </cell>
          <cell r="X602">
            <v>6.1446147266016569</v>
          </cell>
          <cell r="Y602">
            <v>4.6658324541547174</v>
          </cell>
          <cell r="Z602">
            <v>4.6292479754671207</v>
          </cell>
          <cell r="AA602">
            <v>4.6147541130899388</v>
          </cell>
        </row>
        <row r="603">
          <cell r="O603">
            <v>4.6129716750801695</v>
          </cell>
          <cell r="P603">
            <v>6.1</v>
          </cell>
          <cell r="Q603">
            <v>5.3876552019002313</v>
          </cell>
          <cell r="W603">
            <v>2</v>
          </cell>
          <cell r="X603">
            <v>6.0999601432612804</v>
          </cell>
          <cell r="Y603">
            <v>4.6820386302446684</v>
          </cell>
          <cell r="Z603">
            <v>4.6262465115900078</v>
          </cell>
          <cell r="AA603">
            <v>4.6127513760084042</v>
          </cell>
        </row>
        <row r="604">
          <cell r="O604">
            <v>4.5693585353722987</v>
          </cell>
          <cell r="P604">
            <v>6.1</v>
          </cell>
          <cell r="Q604">
            <v>5.3885099281999045</v>
          </cell>
          <cell r="W604">
            <v>1.81</v>
          </cell>
          <cell r="X604">
            <v>6.0519950468480141</v>
          </cell>
          <cell r="Y604">
            <v>4.6419937976185741</v>
          </cell>
          <cell r="Z604">
            <v>4.6105755506466419</v>
          </cell>
          <cell r="AA604">
            <v>4.6147442084223647</v>
          </cell>
        </row>
        <row r="605">
          <cell r="O605">
            <v>4.5784637219594559</v>
          </cell>
          <cell r="P605">
            <v>6.5</v>
          </cell>
          <cell r="Q605">
            <v>5.3798743118003465</v>
          </cell>
          <cell r="W605">
            <v>0.97</v>
          </cell>
          <cell r="X605">
            <v>5.9142594761990104</v>
          </cell>
          <cell r="Y605">
            <v>4.5972892125372153</v>
          </cell>
          <cell r="Z605">
            <v>4.6117584357316117</v>
          </cell>
          <cell r="AA605">
            <v>4.61463525060379</v>
          </cell>
        </row>
        <row r="606">
          <cell r="O606">
            <v>4.5658959514025641</v>
          </cell>
          <cell r="P606">
            <v>6.8</v>
          </cell>
          <cell r="Q606">
            <v>5.3620102177075282</v>
          </cell>
          <cell r="W606">
            <v>0.39</v>
          </cell>
          <cell r="X606">
            <v>5.8011813806433334</v>
          </cell>
          <cell r="Y606">
            <v>4.5926724131581107</v>
          </cell>
          <cell r="Z606">
            <v>4.6075473582738429</v>
          </cell>
          <cell r="AA606">
            <v>4.6138523863709251</v>
          </cell>
        </row>
        <row r="607">
          <cell r="O607">
            <v>4.5368420934866176</v>
          </cell>
          <cell r="P607">
            <v>7.3</v>
          </cell>
          <cell r="Q607">
            <v>5.3537426126534466</v>
          </cell>
          <cell r="W607">
            <v>0.16</v>
          </cell>
          <cell r="X607">
            <v>5.7280522336289392</v>
          </cell>
          <cell r="Y607">
            <v>4.5764723130405462</v>
          </cell>
          <cell r="Z607">
            <v>4.6009211716986762</v>
          </cell>
          <cell r="AA607">
            <v>4.6102870723675533</v>
          </cell>
        </row>
        <row r="608">
          <cell r="O608">
            <v>4.5133037696177185</v>
          </cell>
          <cell r="P608">
            <v>7.8</v>
          </cell>
          <cell r="Q608">
            <v>5.3562701869857134</v>
          </cell>
          <cell r="W608">
            <v>0.15</v>
          </cell>
          <cell r="X608">
            <v>5.7759170724154005</v>
          </cell>
          <cell r="Y608">
            <v>4.6070084952617316</v>
          </cell>
          <cell r="Z608">
            <v>4.6073677695315789</v>
          </cell>
          <cell r="AA608">
            <v>4.6098193618022023</v>
          </cell>
        </row>
        <row r="609">
          <cell r="O609">
            <v>4.5068636215035847</v>
          </cell>
          <cell r="P609">
            <v>8.3000000000000007</v>
          </cell>
          <cell r="Q609">
            <v>5.3599062292171586</v>
          </cell>
          <cell r="W609">
            <v>0.22</v>
          </cell>
          <cell r="X609">
            <v>5.7563749247753719</v>
          </cell>
          <cell r="Y609">
            <v>4.5884206931299758</v>
          </cell>
          <cell r="Z609">
            <v>4.6106948966307915</v>
          </cell>
          <cell r="AA609">
            <v>4.6058799340573318</v>
          </cell>
        </row>
        <row r="610">
          <cell r="O610">
            <v>4.4912755805785105</v>
          </cell>
          <cell r="P610">
            <v>8.6999999999999993</v>
          </cell>
          <cell r="Q610">
            <v>5.3589184586758858</v>
          </cell>
          <cell r="W610">
            <v>0.18</v>
          </cell>
          <cell r="X610">
            <v>5.7421053489753602</v>
          </cell>
          <cell r="Y610">
            <v>4.5764105643166664</v>
          </cell>
          <cell r="Z610">
            <v>4.604369865817322</v>
          </cell>
          <cell r="AA610">
            <v>4.6061097444647574</v>
          </cell>
        </row>
        <row r="611">
          <cell r="O611">
            <v>4.4828409570372152</v>
          </cell>
          <cell r="P611">
            <v>9</v>
          </cell>
          <cell r="Q611">
            <v>5.3599250344280831</v>
          </cell>
          <cell r="W611">
            <v>0.15</v>
          </cell>
          <cell r="X611">
            <v>5.8062788926993774</v>
          </cell>
          <cell r="Y611">
            <v>4.568153442308815</v>
          </cell>
          <cell r="Z611">
            <v>4.6028073967989025</v>
          </cell>
          <cell r="AA611">
            <v>4.605500131550067</v>
          </cell>
        </row>
        <row r="612">
          <cell r="O612">
            <v>4.4725652212395701</v>
          </cell>
          <cell r="P612">
            <v>9.4</v>
          </cell>
          <cell r="Q612">
            <v>5.3613954467607305</v>
          </cell>
          <cell r="W612">
            <v>0.18</v>
          </cell>
          <cell r="X612">
            <v>5.8631196811707591</v>
          </cell>
          <cell r="Y612">
            <v>4.5889086815092703</v>
          </cell>
          <cell r="Z612">
            <v>4.6026369801297351</v>
          </cell>
          <cell r="AA612">
            <v>4.6031281023538666</v>
          </cell>
        </row>
        <row r="613">
          <cell r="O613">
            <v>4.4683648684868036</v>
          </cell>
          <cell r="P613">
            <v>9.5</v>
          </cell>
          <cell r="Q613">
            <v>5.3696608066161717</v>
          </cell>
          <cell r="W613">
            <v>0.21</v>
          </cell>
          <cell r="X613">
            <v>5.9024420582788455</v>
          </cell>
          <cell r="Y613">
            <v>4.5967649608440739</v>
          </cell>
          <cell r="Z613">
            <v>4.5951804543587231</v>
          </cell>
          <cell r="AA613">
            <v>4.6027973730928382</v>
          </cell>
        </row>
        <row r="614">
          <cell r="O614">
            <v>4.4791998506753048</v>
          </cell>
          <cell r="P614">
            <v>9.5</v>
          </cell>
          <cell r="Q614">
            <v>5.369362796761016</v>
          </cell>
          <cell r="W614">
            <v>0.16</v>
          </cell>
          <cell r="X614">
            <v>5.8970164955642668</v>
          </cell>
          <cell r="Y614">
            <v>4.6155560655405088</v>
          </cell>
          <cell r="Z614">
            <v>4.6000571366012686</v>
          </cell>
          <cell r="AA614">
            <v>4.6031581632271372</v>
          </cell>
        </row>
        <row r="615">
          <cell r="O615">
            <v>4.4899725552901675</v>
          </cell>
          <cell r="P615">
            <v>9.6</v>
          </cell>
          <cell r="Q615">
            <v>5.3727056565518954</v>
          </cell>
          <cell r="W615">
            <v>0.16</v>
          </cell>
          <cell r="X615">
            <v>5.9429306001121267</v>
          </cell>
          <cell r="Y615">
            <v>4.6868884122729488</v>
          </cell>
          <cell r="Z615">
            <v>4.6056100892164764</v>
          </cell>
          <cell r="AA615">
            <v>4.6049801679358042</v>
          </cell>
        </row>
        <row r="616">
          <cell r="O616">
            <v>4.4975214989060417</v>
          </cell>
          <cell r="P616">
            <v>9.8000000000000007</v>
          </cell>
          <cell r="Q616">
            <v>5.3746346820187316</v>
          </cell>
          <cell r="W616">
            <v>0.15</v>
          </cell>
          <cell r="X616">
            <v>5.9367971457656736</v>
          </cell>
          <cell r="Y616">
            <v>4.5893049967985089</v>
          </cell>
          <cell r="Z616">
            <v>4.6061996559020528</v>
          </cell>
          <cell r="AA616">
            <v>4.6047500977633877</v>
          </cell>
        </row>
        <row r="617">
          <cell r="O617">
            <v>4.5017311564262323</v>
          </cell>
          <cell r="P617">
            <v>10</v>
          </cell>
          <cell r="Q617">
            <v>5.3776321170173169</v>
          </cell>
          <cell r="W617">
            <v>0.12</v>
          </cell>
          <cell r="X617">
            <v>5.9447135524185288</v>
          </cell>
          <cell r="Y617">
            <v>4.5977527446602293</v>
          </cell>
          <cell r="Z617">
            <v>4.6084049484980207</v>
          </cell>
          <cell r="AA617">
            <v>4.6055501138063768</v>
          </cell>
        </row>
        <row r="618">
          <cell r="O618">
            <v>4.5045882347832391</v>
          </cell>
          <cell r="P618">
            <v>9.9</v>
          </cell>
          <cell r="Q618">
            <v>5.3809751135622479</v>
          </cell>
          <cell r="W618">
            <v>0.12</v>
          </cell>
          <cell r="X618">
            <v>6.0000277777684703</v>
          </cell>
          <cell r="Y618">
            <v>4.6192308696364259</v>
          </cell>
          <cell r="Z618">
            <v>4.6061696863211745</v>
          </cell>
          <cell r="AA618">
            <v>4.6027973730928382</v>
          </cell>
        </row>
        <row r="619">
          <cell r="O619">
            <v>4.5081216961980308</v>
          </cell>
          <cell r="P619">
            <v>9.9</v>
          </cell>
          <cell r="Q619">
            <v>5.3814951547170455</v>
          </cell>
          <cell r="W619">
            <v>0.12</v>
          </cell>
          <cell r="X619">
            <v>6.0324865216309034</v>
          </cell>
          <cell r="Y619">
            <v>4.6223615638006681</v>
          </cell>
          <cell r="Z619">
            <v>4.6124138869239655</v>
          </cell>
          <cell r="AA619">
            <v>4.6075573344805898</v>
          </cell>
        </row>
        <row r="620">
          <cell r="O620">
            <v>4.5197887526455771</v>
          </cell>
          <cell r="P620">
            <v>9.8000000000000007</v>
          </cell>
          <cell r="Q620">
            <v>5.3821436765928921</v>
          </cell>
          <cell r="W620">
            <v>0.11</v>
          </cell>
          <cell r="X620">
            <v>6.059870579772042</v>
          </cell>
          <cell r="Y620">
            <v>4.6100781223406742</v>
          </cell>
          <cell r="Z620">
            <v>4.6134359304051236</v>
          </cell>
          <cell r="AA620">
            <v>4.6068387930886372</v>
          </cell>
        </row>
        <row r="621">
          <cell r="O621">
            <v>4.5228651712265444</v>
          </cell>
          <cell r="P621">
            <v>9.8000000000000007</v>
          </cell>
          <cell r="Q621">
            <v>5.381191446716147</v>
          </cell>
          <cell r="W621">
            <v>0.13</v>
          </cell>
          <cell r="X621">
            <v>6.0335896921586292</v>
          </cell>
          <cell r="Y621">
            <v>4.6124535974343503</v>
          </cell>
          <cell r="Z621">
            <v>4.6180666677231113</v>
          </cell>
          <cell r="AA621">
            <v>4.6093813067595564</v>
          </cell>
        </row>
        <row r="622">
          <cell r="O622">
            <v>4.5295744923407284</v>
          </cell>
          <cell r="P622">
            <v>9.9</v>
          </cell>
          <cell r="Q622">
            <v>5.3815227599620439</v>
          </cell>
          <cell r="W622">
            <v>0.16</v>
          </cell>
          <cell r="X622">
            <v>6.0718917962205969</v>
          </cell>
          <cell r="Y622">
            <v>4.6556826756269354</v>
          </cell>
          <cell r="Z622">
            <v>4.6203247729597114</v>
          </cell>
          <cell r="AA622">
            <v>4.6092418853581449</v>
          </cell>
        </row>
        <row r="623">
          <cell r="O623">
            <v>4.533254117549621</v>
          </cell>
          <cell r="P623">
            <v>9.9</v>
          </cell>
          <cell r="Q623">
            <v>5.3817527740399198</v>
          </cell>
          <cell r="W623">
            <v>0.2</v>
          </cell>
          <cell r="X623">
            <v>6.090132718904683</v>
          </cell>
          <cell r="Y623">
            <v>4.6518056495040758</v>
          </cell>
          <cell r="Z623">
            <v>4.6206497568364773</v>
          </cell>
          <cell r="AA623">
            <v>4.6116392166166724</v>
          </cell>
        </row>
        <row r="624">
          <cell r="O624">
            <v>4.5484347415075197</v>
          </cell>
          <cell r="P624">
            <v>9.6</v>
          </cell>
          <cell r="Q624">
            <v>5.3812328668753446</v>
          </cell>
          <cell r="W624">
            <v>0.2</v>
          </cell>
          <cell r="X624">
            <v>6.0682866897092662</v>
          </cell>
          <cell r="Y624">
            <v>4.6549788789000228</v>
          </cell>
          <cell r="Z624">
            <v>4.6210435351443815</v>
          </cell>
          <cell r="AA624">
            <v>4.6152888195092538</v>
          </cell>
        </row>
        <row r="625">
          <cell r="O625">
            <v>4.550532357508037</v>
          </cell>
          <cell r="P625">
            <v>9.4</v>
          </cell>
          <cell r="Q625">
            <v>5.3808139839976166</v>
          </cell>
          <cell r="W625">
            <v>0.18</v>
          </cell>
          <cell r="X625">
            <v>6.0423715168817873</v>
          </cell>
          <cell r="Y625">
            <v>4.6601412092326049</v>
          </cell>
          <cell r="Z625">
            <v>4.6243451653741321</v>
          </cell>
          <cell r="AA625">
            <v>4.6163375976799879</v>
          </cell>
        </row>
        <row r="626">
          <cell r="O626">
            <v>4.5554987335982489</v>
          </cell>
          <cell r="P626">
            <v>9.4</v>
          </cell>
          <cell r="Q626">
            <v>5.3826814926589748</v>
          </cell>
          <cell r="W626">
            <v>0.18</v>
          </cell>
          <cell r="X626">
            <v>6.0521832821426882</v>
          </cell>
          <cell r="Y626">
            <v>4.666923582263574</v>
          </cell>
          <cell r="Z626">
            <v>4.6205709825641144</v>
          </cell>
          <cell r="AA626">
            <v>4.6174445468634797</v>
          </cell>
        </row>
        <row r="627">
          <cell r="O627">
            <v>4.5589859235056096</v>
          </cell>
          <cell r="P627">
            <v>9.5</v>
          </cell>
          <cell r="Q627">
            <v>5.3841417893862138</v>
          </cell>
          <cell r="W627">
            <v>0.19</v>
          </cell>
          <cell r="X627">
            <v>6.1072901126135726</v>
          </cell>
          <cell r="Y627">
            <v>4.6724829802687156</v>
          </cell>
          <cell r="Z627">
            <v>4.6310133559456093</v>
          </cell>
          <cell r="AA627">
            <v>4.6201376131098781</v>
          </cell>
        </row>
        <row r="628">
          <cell r="O628">
            <v>4.5613750259884203</v>
          </cell>
          <cell r="P628">
            <v>9.5</v>
          </cell>
          <cell r="Q628">
            <v>5.385755735696871</v>
          </cell>
          <cell r="W628">
            <v>0.19</v>
          </cell>
          <cell r="X628">
            <v>6.1597083084405293</v>
          </cell>
          <cell r="Y628">
            <v>4.6757963895283883</v>
          </cell>
          <cell r="Z628">
            <v>4.6332132770127341</v>
          </cell>
          <cell r="AA628">
            <v>4.6206891416457614</v>
          </cell>
        </row>
        <row r="629">
          <cell r="O629">
            <v>4.5589199434849643</v>
          </cell>
          <cell r="P629">
            <v>9.4</v>
          </cell>
          <cell r="Q629">
            <v>5.3892315343986663</v>
          </cell>
          <cell r="W629">
            <v>0.19</v>
          </cell>
          <cell r="X629">
            <v>6.192464733736502</v>
          </cell>
          <cell r="Y629">
            <v>4.7018158372896224</v>
          </cell>
          <cell r="Z629">
            <v>4.6370563748504132</v>
          </cell>
          <cell r="AA629">
            <v>4.6226269265875519</v>
          </cell>
        </row>
        <row r="630">
          <cell r="O630">
            <v>4.5593147114016377</v>
          </cell>
          <cell r="P630">
            <v>9.8000000000000007</v>
          </cell>
          <cell r="Q630">
            <v>5.3917621712579002</v>
          </cell>
          <cell r="W630">
            <v>0.19</v>
          </cell>
          <cell r="X630">
            <v>6.1969531631834709</v>
          </cell>
          <cell r="Y630">
            <v>4.7009620679371249</v>
          </cell>
          <cell r="Z630">
            <v>4.6435347635310764</v>
          </cell>
          <cell r="AA630">
            <v>4.6262269285137014</v>
          </cell>
        </row>
        <row r="631">
          <cell r="O631">
            <v>4.5684449964239979</v>
          </cell>
          <cell r="P631">
            <v>9.3000000000000007</v>
          </cell>
          <cell r="Q631">
            <v>5.3957707026967494</v>
          </cell>
          <cell r="W631">
            <v>0.18</v>
          </cell>
          <cell r="X631">
            <v>6.229102544572644</v>
          </cell>
          <cell r="Y631">
            <v>4.703348974669618</v>
          </cell>
          <cell r="Z631">
            <v>4.642359992091202</v>
          </cell>
          <cell r="AA631">
            <v>4.6278998977387378</v>
          </cell>
        </row>
        <row r="632">
          <cell r="O632">
            <v>4.5681586308473339</v>
          </cell>
          <cell r="P632">
            <v>9.1999999999999993</v>
          </cell>
          <cell r="Q632">
            <v>5.3988321606378999</v>
          </cell>
          <cell r="W632">
            <v>0.17</v>
          </cell>
          <cell r="X632">
            <v>6.2880258324163538</v>
          </cell>
          <cell r="Y632">
            <v>4.7101606331790284</v>
          </cell>
          <cell r="Z632">
            <v>4.6462737408665085</v>
          </cell>
          <cell r="AA632">
            <v>4.6276261528086424</v>
          </cell>
        </row>
        <row r="633">
          <cell r="O633">
            <v>4.5630723779637838</v>
          </cell>
          <cell r="P633">
            <v>9</v>
          </cell>
          <cell r="Q633">
            <v>5.4022448559139793</v>
          </cell>
          <cell r="W633">
            <v>0.16</v>
          </cell>
          <cell r="X633">
            <v>6.3325688960557569</v>
          </cell>
          <cell r="Y633">
            <v>4.709782421754336</v>
          </cell>
          <cell r="Z633">
            <v>4.6469069619681722</v>
          </cell>
          <cell r="AA633">
            <v>4.6287695182384159</v>
          </cell>
        </row>
        <row r="634">
          <cell r="O634">
            <v>4.5715668656990776</v>
          </cell>
          <cell r="P634">
            <v>9</v>
          </cell>
          <cell r="Q634">
            <v>5.407369061414216</v>
          </cell>
          <cell r="W634">
            <v>0.14000000000000001</v>
          </cell>
          <cell r="X634">
            <v>6.3393005423795099</v>
          </cell>
          <cell r="Y634">
            <v>4.7240903526436639</v>
          </cell>
          <cell r="Z634">
            <v>4.64389077409969</v>
          </cell>
          <cell r="AA634">
            <v>4.6319776339076819</v>
          </cell>
        </row>
        <row r="635">
          <cell r="O635">
            <v>4.5673655097810952</v>
          </cell>
          <cell r="P635">
            <v>9.1</v>
          </cell>
          <cell r="Q635">
            <v>5.4119138731305769</v>
          </cell>
          <cell r="W635">
            <v>0.1</v>
          </cell>
          <cell r="X635">
            <v>6.3555172086355993</v>
          </cell>
          <cell r="Y635">
            <v>4.7166936714733305</v>
          </cell>
          <cell r="Z635">
            <v>4.6467918606789107</v>
          </cell>
          <cell r="AA635">
            <v>4.6314128161924488</v>
          </cell>
        </row>
        <row r="636">
          <cell r="O636">
            <v>4.5699967913802055</v>
          </cell>
          <cell r="P636">
            <v>9</v>
          </cell>
          <cell r="Q636">
            <v>5.4155180104250231</v>
          </cell>
          <cell r="W636">
            <v>0.09</v>
          </cell>
          <cell r="X636">
            <v>6.3263998890256188</v>
          </cell>
          <cell r="Y636">
            <v>4.7058115841059411</v>
          </cell>
          <cell r="Z636">
            <v>4.6425430390528932</v>
          </cell>
          <cell r="AA636">
            <v>4.6337770789970874</v>
          </cell>
        </row>
        <row r="637">
          <cell r="O637">
            <v>4.5722460874838582</v>
          </cell>
          <cell r="P637">
            <v>9.1</v>
          </cell>
          <cell r="Q637">
            <v>5.4153934857311707</v>
          </cell>
          <cell r="W637">
            <v>0.09</v>
          </cell>
          <cell r="X637">
            <v>6.3231395812453908</v>
          </cell>
          <cell r="Y637">
            <v>4.701634245271908</v>
          </cell>
          <cell r="Z637">
            <v>4.6484020743800922</v>
          </cell>
          <cell r="AA637">
            <v>4.6351560814783479</v>
          </cell>
        </row>
        <row r="638">
          <cell r="O638">
            <v>4.5764733421536405</v>
          </cell>
          <cell r="P638">
            <v>9</v>
          </cell>
          <cell r="Q638">
            <v>5.4179608926404867</v>
          </cell>
          <cell r="W638">
            <v>7.0000000000000007E-2</v>
          </cell>
          <cell r="X638">
            <v>6.315900349904064</v>
          </cell>
          <cell r="Y638">
            <v>4.7168725495505104</v>
          </cell>
          <cell r="Z638">
            <v>4.6453519756209234</v>
          </cell>
          <cell r="AA638">
            <v>4.6380632292901165</v>
          </cell>
        </row>
        <row r="639">
          <cell r="O639">
            <v>4.5826167587084248</v>
          </cell>
          <cell r="P639">
            <v>9</v>
          </cell>
          <cell r="Q639">
            <v>5.4208977653231321</v>
          </cell>
          <cell r="W639">
            <v>0.1</v>
          </cell>
          <cell r="X639">
            <v>6.2981952862284594</v>
          </cell>
          <cell r="Y639">
            <v>4.713028579350242</v>
          </cell>
          <cell r="Z639">
            <v>4.6422636381251987</v>
          </cell>
          <cell r="AA639">
            <v>4.6389143919522517</v>
          </cell>
        </row>
        <row r="640">
          <cell r="O640">
            <v>4.5826811936422036</v>
          </cell>
          <cell r="P640">
            <v>9</v>
          </cell>
          <cell r="Q640">
            <v>5.4235216851249035</v>
          </cell>
          <cell r="W640">
            <v>0.08</v>
          </cell>
          <cell r="X640">
            <v>6.2687742621659206</v>
          </cell>
          <cell r="Y640">
            <v>4.7320318855776788</v>
          </cell>
          <cell r="Z640">
            <v>4.6423696269771977</v>
          </cell>
          <cell r="AA640">
            <v>4.6397358504254003</v>
          </cell>
        </row>
        <row r="641">
          <cell r="O641">
            <v>4.5893415718311763</v>
          </cell>
          <cell r="P641">
            <v>8.8000000000000007</v>
          </cell>
          <cell r="Q641">
            <v>5.4241170715593015</v>
          </cell>
          <cell r="W641">
            <v>7.0000000000000007E-2</v>
          </cell>
          <cell r="X641">
            <v>6.2282151018284084</v>
          </cell>
          <cell r="Y641">
            <v>4.7486556223301761</v>
          </cell>
          <cell r="Z641">
            <v>4.6478847883956282</v>
          </cell>
          <cell r="AA641">
            <v>4.6393976845373182</v>
          </cell>
        </row>
        <row r="642">
          <cell r="O642">
            <v>4.5878500547471477</v>
          </cell>
          <cell r="P642">
            <v>8.6</v>
          </cell>
          <cell r="Q642">
            <v>5.4256414083715754</v>
          </cell>
          <cell r="W642">
            <v>0.08</v>
          </cell>
          <cell r="X642">
            <v>6.2067372040416222</v>
          </cell>
          <cell r="Y642">
            <v>4.7454798044482764</v>
          </cell>
          <cell r="Z642">
            <v>4.6451021845794367</v>
          </cell>
          <cell r="AA642">
            <v>4.6388950553897121</v>
          </cell>
        </row>
        <row r="643">
          <cell r="O643">
            <v>4.5929366606289221</v>
          </cell>
          <cell r="P643">
            <v>8.5</v>
          </cell>
          <cell r="Q643">
            <v>5.4255885800767283</v>
          </cell>
          <cell r="W643">
            <v>7.0000000000000007E-2</v>
          </cell>
          <cell r="X643">
            <v>6.175721729369692</v>
          </cell>
          <cell r="Y643">
            <v>4.7525896907727807</v>
          </cell>
          <cell r="Z643">
            <v>4.6404697599750246</v>
          </cell>
          <cell r="AA643">
            <v>4.6389047237177197</v>
          </cell>
        </row>
        <row r="644">
          <cell r="O644">
            <v>4.6002541219224788</v>
          </cell>
          <cell r="P644">
            <v>8.3000000000000007</v>
          </cell>
          <cell r="Q644">
            <v>5.4282880523735608</v>
          </cell>
          <cell r="W644">
            <v>0.08</v>
          </cell>
          <cell r="X644">
            <v>6.1913599421023813</v>
          </cell>
          <cell r="Y644">
            <v>4.7674675909511182</v>
          </cell>
          <cell r="Z644">
            <v>4.6474151675818369</v>
          </cell>
          <cell r="AA644">
            <v>4.6405373298253823</v>
          </cell>
        </row>
        <row r="645">
          <cell r="O645">
            <v>4.6025557713826064</v>
          </cell>
          <cell r="P645">
            <v>8.3000000000000007</v>
          </cell>
          <cell r="Q645">
            <v>5.4305948483548727</v>
          </cell>
          <cell r="W645">
            <v>0.1</v>
          </cell>
          <cell r="X645">
            <v>6.2125058903303216</v>
          </cell>
          <cell r="Y645">
            <v>4.7783837237513183</v>
          </cell>
          <cell r="Z645">
            <v>4.6509080776619456</v>
          </cell>
          <cell r="AA645">
            <v>4.6439003942481296</v>
          </cell>
        </row>
        <row r="646">
          <cell r="O646">
            <v>4.5960154085983316</v>
          </cell>
          <cell r="P646">
            <v>8.1999999999999993</v>
          </cell>
          <cell r="Q646">
            <v>5.4331366794470739</v>
          </cell>
          <cell r="W646">
            <v>0.13</v>
          </cell>
          <cell r="X646">
            <v>6.2181019876764472</v>
          </cell>
          <cell r="Y646">
            <v>4.7818089596465478</v>
          </cell>
          <cell r="Z646">
            <v>4.650353854563412</v>
          </cell>
          <cell r="AA646">
            <v>4.6415889002834367</v>
          </cell>
        </row>
        <row r="647">
          <cell r="O647">
            <v>4.6044499266636079</v>
          </cell>
          <cell r="P647">
            <v>8.1999999999999993</v>
          </cell>
          <cell r="Q647">
            <v>5.4344728133290836</v>
          </cell>
          <cell r="W647">
            <v>0.14000000000000001</v>
          </cell>
          <cell r="X647">
            <v>6.1963422896152993</v>
          </cell>
          <cell r="Y647">
            <v>4.7847295982373161</v>
          </cell>
          <cell r="Z647">
            <v>4.6511086689292558</v>
          </cell>
          <cell r="AA647">
            <v>4.6430149529614413</v>
          </cell>
        </row>
        <row r="648">
          <cell r="O648">
            <v>4.605678056999774</v>
          </cell>
          <cell r="P648">
            <v>8.1999999999999993</v>
          </cell>
          <cell r="Q648">
            <v>5.432782697915969</v>
          </cell>
          <cell r="W648">
            <v>0.16</v>
          </cell>
          <cell r="X648">
            <v>6.1756801424113563</v>
          </cell>
          <cell r="Y648">
            <v>4.7816580934226947</v>
          </cell>
          <cell r="Z648">
            <v>4.6521873507511478</v>
          </cell>
          <cell r="AA648">
            <v>4.6432363867945474</v>
          </cell>
        </row>
        <row r="649">
          <cell r="O649">
            <v>4.6048611382377542</v>
          </cell>
          <cell r="P649">
            <v>8.1999999999999993</v>
          </cell>
          <cell r="Q649">
            <v>5.432087480676314</v>
          </cell>
          <cell r="W649">
            <v>0.16</v>
          </cell>
          <cell r="X649">
            <v>6.1628094131883042</v>
          </cell>
          <cell r="Y649">
            <v>4.7816832393739883</v>
          </cell>
          <cell r="Z649">
            <v>4.6480476665487584</v>
          </cell>
          <cell r="AA649">
            <v>4.6432267602561064</v>
          </cell>
        </row>
        <row r="650">
          <cell r="O650">
            <v>4.6079024499530679</v>
          </cell>
          <cell r="P650">
            <v>8.1999999999999993</v>
          </cell>
          <cell r="Q650">
            <v>5.4319037576601144</v>
          </cell>
          <cell r="W650">
            <v>0.16</v>
          </cell>
          <cell r="X650">
            <v>6.1753265834205155</v>
          </cell>
          <cell r="Y650">
            <v>4.7892318945060852</v>
          </cell>
          <cell r="Z650">
            <v>4.652225512863807</v>
          </cell>
          <cell r="AA650">
            <v>4.6451886577703991</v>
          </cell>
        </row>
        <row r="651">
          <cell r="O651">
            <v>4.6034987899836564</v>
          </cell>
          <cell r="P651">
            <v>8</v>
          </cell>
          <cell r="Q651">
            <v>5.4376922775144623</v>
          </cell>
          <cell r="W651">
            <v>0.13</v>
          </cell>
          <cell r="X651">
            <v>6.191523691974818</v>
          </cell>
          <cell r="Y651">
            <v>4.7945170077187989</v>
          </cell>
          <cell r="Z651">
            <v>4.6528454431653472</v>
          </cell>
          <cell r="AA651">
            <v>4.6417624477876807</v>
          </cell>
        </row>
        <row r="652">
          <cell r="O652">
            <v>4.6043588569496796</v>
          </cell>
          <cell r="P652">
            <v>7.8</v>
          </cell>
          <cell r="Q652">
            <v>5.4428678256549929</v>
          </cell>
          <cell r="W652">
            <v>0.14000000000000001</v>
          </cell>
          <cell r="X652">
            <v>6.2023128203280402</v>
          </cell>
          <cell r="Y652">
            <v>4.8131919776318597</v>
          </cell>
          <cell r="Z652">
            <v>4.6531504985066583</v>
          </cell>
          <cell r="AA652">
            <v>4.6441601032792876</v>
          </cell>
        </row>
        <row r="653">
          <cell r="O653">
            <v>4.6070464247508154</v>
          </cell>
          <cell r="P653">
            <v>7.8</v>
          </cell>
          <cell r="Q653">
            <v>5.4456203687404123</v>
          </cell>
          <cell r="W653">
            <v>0.16</v>
          </cell>
          <cell r="X653">
            <v>6.1864760778434329</v>
          </cell>
          <cell r="Y653">
            <v>4.7991320639387212</v>
          </cell>
          <cell r="Z653">
            <v>4.6522732134567342</v>
          </cell>
          <cell r="AA653">
            <v>4.6442370411519933</v>
          </cell>
        </row>
        <row r="654">
          <cell r="O654">
            <v>4.6115845697718933</v>
          </cell>
          <cell r="P654">
            <v>7.7</v>
          </cell>
          <cell r="Q654">
            <v>5.4432917872798381</v>
          </cell>
          <cell r="W654">
            <v>0.16</v>
          </cell>
          <cell r="X654">
            <v>6.169568890611913</v>
          </cell>
          <cell r="Y654">
            <v>4.8197975775339614</v>
          </cell>
          <cell r="Z654">
            <v>4.6502582678040172</v>
          </cell>
          <cell r="AA654">
            <v>4.6455440801263643</v>
          </cell>
        </row>
        <row r="655">
          <cell r="O655">
            <v>4.6137135869853854</v>
          </cell>
          <cell r="P655">
            <v>7.9</v>
          </cell>
          <cell r="Q655">
            <v>5.443131741255451</v>
          </cell>
          <cell r="W655">
            <v>0.16</v>
          </cell>
          <cell r="X655">
            <v>6.1841282721682171</v>
          </cell>
          <cell r="Y655">
            <v>4.8362104758289073</v>
          </cell>
          <cell r="Z655">
            <v>4.6533887582585658</v>
          </cell>
          <cell r="AA655">
            <v>4.6452463024104249</v>
          </cell>
        </row>
        <row r="656">
          <cell r="O656">
            <v>4.6144569303798235</v>
          </cell>
          <cell r="P656">
            <v>8</v>
          </cell>
          <cell r="Q656">
            <v>5.4443379436156594</v>
          </cell>
          <cell r="W656">
            <v>0.14000000000000001</v>
          </cell>
          <cell r="X656">
            <v>6.1868462806365221</v>
          </cell>
          <cell r="Y656">
            <v>4.8391666310200678</v>
          </cell>
          <cell r="Z656">
            <v>4.6637409353458708</v>
          </cell>
          <cell r="AA656">
            <v>4.6449772656564603</v>
          </cell>
        </row>
        <row r="657">
          <cell r="O657">
            <v>4.6185058691731209</v>
          </cell>
          <cell r="P657">
            <v>7.7</v>
          </cell>
          <cell r="Q657">
            <v>5.4501926023721898</v>
          </cell>
          <cell r="W657">
            <v>0.15</v>
          </cell>
          <cell r="Y657">
            <v>4.8444862543018541</v>
          </cell>
          <cell r="Z657">
            <v>4.6636277555596601</v>
          </cell>
          <cell r="AA657">
            <v>4.6462065575279512</v>
          </cell>
        </row>
        <row r="658">
          <cell r="O658">
            <v>4.6206596031842215</v>
          </cell>
          <cell r="P658">
            <v>7.5</v>
          </cell>
          <cell r="Q658">
            <v>5.4477928489369098</v>
          </cell>
          <cell r="W658">
            <v>0.14000000000000001</v>
          </cell>
          <cell r="Y658">
            <v>4.8350430446402681</v>
          </cell>
          <cell r="Z658">
            <v>4.663778659094862</v>
          </cell>
          <cell r="AA658">
            <v>4.6493401697325654</v>
          </cell>
        </row>
        <row r="659">
          <cell r="O659">
            <v>4.6204380369066866</v>
          </cell>
          <cell r="P659">
            <v>7.6</v>
          </cell>
          <cell r="Q659">
            <v>5.4453225782144239</v>
          </cell>
          <cell r="W659">
            <v>0.15</v>
          </cell>
          <cell r="Y659">
            <v>4.8400446601780001</v>
          </cell>
          <cell r="Z659">
            <v>4.6607562532276372</v>
          </cell>
          <cell r="AA659">
            <v>4.6495028110275491</v>
          </cell>
        </row>
        <row r="660">
          <cell r="O660">
            <v>4.6197523475896771</v>
          </cell>
          <cell r="P660">
            <v>7.5</v>
          </cell>
          <cell r="Q660">
            <v>5.4466942672890539</v>
          </cell>
          <cell r="W660">
            <v>0.11</v>
          </cell>
          <cell r="Y660">
            <v>4.8447695939335196</v>
          </cell>
          <cell r="Z660">
            <v>4.6681355954340349</v>
          </cell>
          <cell r="AA660">
            <v>4.6499236421752643</v>
          </cell>
        </row>
        <row r="661">
          <cell r="O661">
            <v>4.6216545688976698</v>
          </cell>
          <cell r="P661">
            <v>7.5</v>
          </cell>
          <cell r="Q661">
            <v>5.4492471505692226</v>
          </cell>
          <cell r="W661">
            <v>0.09</v>
          </cell>
          <cell r="Y661">
            <v>4.8504508923687117</v>
          </cell>
          <cell r="Z661">
            <v>4.667628419827702</v>
          </cell>
          <cell r="AA661">
            <v>4.65206331382615</v>
          </cell>
        </row>
        <row r="662">
          <cell r="O662">
            <v>4.6177754053454869</v>
          </cell>
          <cell r="P662">
            <v>7.3</v>
          </cell>
          <cell r="Q662">
            <v>5.4509526129716308</v>
          </cell>
          <cell r="W662">
            <v>0.09</v>
          </cell>
          <cell r="Y662">
            <v>4.8528034024709692</v>
          </cell>
          <cell r="Z662">
            <v>4.6721557107687142</v>
          </cell>
          <cell r="AA662">
            <v>4.6512710228707546</v>
          </cell>
        </row>
        <row r="663">
          <cell r="O663">
            <v>4.6254060527558298</v>
          </cell>
          <cell r="P663">
            <v>7.2</v>
          </cell>
          <cell r="Q663">
            <v>5.4528094166732526</v>
          </cell>
          <cell r="W663">
            <v>0.08</v>
          </cell>
          <cell r="Y663">
            <v>4.8534979363613155</v>
          </cell>
          <cell r="Z663">
            <v>4.6647495558366172</v>
          </cell>
          <cell r="AA663">
            <v>4.653341110849385</v>
          </cell>
        </row>
        <row r="664">
          <cell r="O664">
            <v>4.6311897227031738</v>
          </cell>
          <cell r="P664">
            <v>7.2</v>
          </cell>
          <cell r="Q664">
            <v>5.4543505590501802</v>
          </cell>
          <cell r="W664">
            <v>0.08</v>
          </cell>
          <cell r="Y664">
            <v>4.8529439089188857</v>
          </cell>
          <cell r="Z664">
            <v>4.6769232446511904</v>
          </cell>
          <cell r="AA664">
            <v>4.6560533963026609</v>
          </cell>
        </row>
        <row r="665">
          <cell r="O665">
            <v>4.6313582651765195</v>
          </cell>
          <cell r="P665">
            <v>7.2</v>
          </cell>
          <cell r="Q665">
            <v>5.4549064995018952</v>
          </cell>
          <cell r="W665">
            <v>0.09</v>
          </cell>
          <cell r="Y665">
            <v>4.8592928895922789</v>
          </cell>
          <cell r="Z665">
            <v>4.6742670520674174</v>
          </cell>
          <cell r="AA665">
            <v>4.6589194619822818</v>
          </cell>
        </row>
        <row r="666">
          <cell r="O666">
            <v>4.6339160365146945</v>
          </cell>
          <cell r="P666">
            <v>7</v>
          </cell>
          <cell r="Q666">
            <v>5.4554834953357521</v>
          </cell>
          <cell r="W666">
            <v>0.08</v>
          </cell>
          <cell r="Y666">
            <v>4.8698164600744969</v>
          </cell>
          <cell r="Z666">
            <v>4.6764205075162577</v>
          </cell>
          <cell r="AA666">
            <v>4.6637126416002017</v>
          </cell>
        </row>
        <row r="667">
          <cell r="O667">
            <v>4.6365612891231356</v>
          </cell>
          <cell r="P667">
            <v>6.7</v>
          </cell>
          <cell r="Q667">
            <v>5.4582953205000386</v>
          </cell>
          <cell r="W667">
            <v>0.09</v>
          </cell>
          <cell r="Y667">
            <v>4.8605330748488615</v>
          </cell>
          <cell r="Z667">
            <v>4.6825200404154232</v>
          </cell>
          <cell r="AA667">
            <v>4.6652393594540014</v>
          </cell>
        </row>
        <row r="668">
          <cell r="O668">
            <v>4.6347746182565315</v>
          </cell>
          <cell r="P668">
            <v>6.6</v>
          </cell>
          <cell r="Q668">
            <v>5.460130046710451</v>
          </cell>
          <cell r="W668">
            <v>7.0000000000000007E-2</v>
          </cell>
          <cell r="Y668">
            <v>4.8438484464493694</v>
          </cell>
          <cell r="Z668">
            <v>4.670489652108734</v>
          </cell>
          <cell r="AA668">
            <v>4.6642029532407818</v>
          </cell>
        </row>
        <row r="669">
          <cell r="O669">
            <v>4.6425420757355367</v>
          </cell>
          <cell r="P669">
            <v>6.7</v>
          </cell>
          <cell r="Q669">
            <v>5.4610992614673739</v>
          </cell>
          <cell r="W669">
            <v>7.0000000000000007E-2</v>
          </cell>
          <cell r="Y669">
            <v>4.8684340456984181</v>
          </cell>
          <cell r="Z669">
            <v>4.6817329996940531</v>
          </cell>
          <cell r="AA669">
            <v>4.6662652853479019</v>
          </cell>
        </row>
        <row r="670">
          <cell r="O670">
            <v>4.6507313329644226</v>
          </cell>
          <cell r="P670">
            <v>6.6</v>
          </cell>
          <cell r="Q670">
            <v>5.4629415783829565</v>
          </cell>
          <cell r="W670">
            <v>0.08</v>
          </cell>
          <cell r="Y670">
            <v>4.8961891847034362</v>
          </cell>
          <cell r="Z670">
            <v>4.6840737835835569</v>
          </cell>
          <cell r="AA670">
            <v>4.667600235861558</v>
          </cell>
        </row>
        <row r="671">
          <cell r="O671">
            <v>4.6526213588705732</v>
          </cell>
          <cell r="P671">
            <v>6.2</v>
          </cell>
          <cell r="Q671">
            <v>5.4648482374356675</v>
          </cell>
          <cell r="W671">
            <v>0.09</v>
          </cell>
          <cell r="Y671">
            <v>4.8952992620829239</v>
          </cell>
          <cell r="Z671">
            <v>4.6879107895270709</v>
          </cell>
          <cell r="AA671">
            <v>4.6699368061091118</v>
          </cell>
        </row>
        <row r="672">
          <cell r="O672">
            <v>4.6563014172441219</v>
          </cell>
          <cell r="P672">
            <v>6.3</v>
          </cell>
          <cell r="Q672">
            <v>5.4678491484135971</v>
          </cell>
          <cell r="W672">
            <v>0.09</v>
          </cell>
          <cell r="Y672">
            <v>4.9007832250160712</v>
          </cell>
          <cell r="Z672">
            <v>4.6840275760655858</v>
          </cell>
          <cell r="AA672">
            <v>4.6715850706540696</v>
          </cell>
        </row>
        <row r="673">
          <cell r="O673">
            <v>4.6607562532276372</v>
          </cell>
          <cell r="P673">
            <v>6.1</v>
          </cell>
          <cell r="Q673">
            <v>5.4695274185872726</v>
          </cell>
          <cell r="W673">
            <v>0.1</v>
          </cell>
          <cell r="Y673">
            <v>4.9104613051257298</v>
          </cell>
          <cell r="Z673">
            <v>4.6895848611304523</v>
          </cell>
          <cell r="AA673">
            <v>4.6746869202349837</v>
          </cell>
        </row>
        <row r="674">
          <cell r="O674">
            <v>4.664196354487852</v>
          </cell>
          <cell r="P674">
            <v>6.2</v>
          </cell>
          <cell r="Q674">
            <v>5.4705717523299446</v>
          </cell>
          <cell r="W674">
            <v>0.09</v>
          </cell>
          <cell r="Y674">
            <v>4.911617583217887</v>
          </cell>
          <cell r="Z674">
            <v>4.690329014736041</v>
          </cell>
          <cell r="AA674">
            <v>4.6753583428367911</v>
          </cell>
        </row>
        <row r="675">
          <cell r="O675">
            <v>4.6645121031375867</v>
          </cell>
          <cell r="P675">
            <v>6.1</v>
          </cell>
          <cell r="Q675">
            <v>5.4697843921562166</v>
          </cell>
          <cell r="W675">
            <v>0.09</v>
          </cell>
          <cell r="Y675">
            <v>4.9284703360416184</v>
          </cell>
          <cell r="Z675">
            <v>4.6961802243314548</v>
          </cell>
          <cell r="AA675">
            <v>4.6801848897935372</v>
          </cell>
        </row>
        <row r="676">
          <cell r="O676">
            <v>4.6698112018728963</v>
          </cell>
          <cell r="P676">
            <v>5.9</v>
          </cell>
          <cell r="Q676">
            <v>5.4706980091111532</v>
          </cell>
          <cell r="W676">
            <v>0.09</v>
          </cell>
          <cell r="Y676">
            <v>4.9208929185953947</v>
          </cell>
          <cell r="Z676">
            <v>4.6929795778124994</v>
          </cell>
          <cell r="AA676">
            <v>4.683907426525475</v>
          </cell>
        </row>
        <row r="677">
          <cell r="O677">
            <v>4.6713913531824405</v>
          </cell>
          <cell r="P677">
            <v>5.7</v>
          </cell>
          <cell r="Q677">
            <v>5.4712323196424197</v>
          </cell>
          <cell r="W677">
            <v>0.09</v>
          </cell>
          <cell r="Y677">
            <v>4.9260573176209581</v>
          </cell>
          <cell r="Z677">
            <v>4.6973208342707471</v>
          </cell>
          <cell r="AA677">
            <v>4.688076481983841</v>
          </cell>
        </row>
        <row r="678">
          <cell r="O678">
            <v>4.6802739478928732</v>
          </cell>
          <cell r="P678">
            <v>5.8</v>
          </cell>
          <cell r="Q678">
            <v>5.4683428016048374</v>
          </cell>
          <cell r="W678">
            <v>0.09</v>
          </cell>
          <cell r="Y678">
            <v>4.9414852674039293</v>
          </cell>
          <cell r="Z678">
            <v>4.7024057837123703</v>
          </cell>
          <cell r="AA678">
            <v>4.690227989328065</v>
          </cell>
        </row>
        <row r="679">
          <cell r="O679">
            <v>4.6813049599335566</v>
          </cell>
          <cell r="P679">
            <v>5.6</v>
          </cell>
          <cell r="Q679">
            <v>5.465034471362948</v>
          </cell>
          <cell r="W679">
            <v>0.12</v>
          </cell>
          <cell r="Y679">
            <v>4.9380502642410828</v>
          </cell>
          <cell r="Z679">
            <v>4.7030044503364463</v>
          </cell>
          <cell r="AA679">
            <v>4.6930345324291594</v>
          </cell>
        </row>
        <row r="680">
          <cell r="O680">
            <v>4.6784234358278862</v>
          </cell>
          <cell r="P680">
            <v>5.7</v>
          </cell>
          <cell r="Q680">
            <v>5.4582101006113692</v>
          </cell>
          <cell r="W680">
            <v>0.11</v>
          </cell>
          <cell r="Y680">
            <v>4.9378136737243912</v>
          </cell>
          <cell r="Z680">
            <v>4.7016978062291575</v>
          </cell>
          <cell r="AA680">
            <v>4.6944165635022861</v>
          </cell>
        </row>
        <row r="681">
          <cell r="O681">
            <v>4.6769027677059034</v>
          </cell>
          <cell r="P681">
            <v>5.5</v>
          </cell>
          <cell r="Q681">
            <v>5.4603766904433355</v>
          </cell>
          <cell r="W681">
            <v>0.11</v>
          </cell>
          <cell r="Y681">
            <v>4.9316930917556361</v>
          </cell>
          <cell r="Z681">
            <v>4.6986787438457878</v>
          </cell>
          <cell r="AA681">
            <v>4.6968556225226017</v>
          </cell>
        </row>
        <row r="682">
          <cell r="O682">
            <v>4.6750450683890321</v>
          </cell>
          <cell r="P682">
            <v>5.5</v>
          </cell>
          <cell r="Q682">
            <v>5.4627295027984237</v>
          </cell>
          <cell r="W682">
            <v>0.11</v>
          </cell>
          <cell r="Y682">
            <v>4.9507012670976502</v>
          </cell>
          <cell r="Z682">
            <v>4.7075281986416613</v>
          </cell>
          <cell r="AA682">
            <v>4.69537645387424</v>
          </cell>
        </row>
        <row r="683">
          <cell r="O683">
            <v>4.6733884909091294</v>
          </cell>
          <cell r="P683">
            <v>5.4</v>
          </cell>
          <cell r="Q683">
            <v>5.4637555309303742</v>
          </cell>
          <cell r="W683">
            <v>0.12</v>
          </cell>
          <cell r="Y683">
            <v>4.9531897802235072</v>
          </cell>
          <cell r="Z683">
            <v>4.7055764495807786</v>
          </cell>
          <cell r="AA683">
            <v>4.6996982418313769</v>
          </cell>
        </row>
        <row r="684">
          <cell r="O684">
            <v>4.6696949570311306</v>
          </cell>
          <cell r="P684">
            <v>5.5</v>
          </cell>
          <cell r="Q684">
            <v>5.4681909342691002</v>
          </cell>
          <cell r="W684">
            <v>0.12</v>
          </cell>
          <cell r="Y684">
            <v>4.9674702790681824</v>
          </cell>
          <cell r="Z684">
            <v>4.715736129865685</v>
          </cell>
          <cell r="AA684">
            <v>4.7022878222674782</v>
          </cell>
        </row>
        <row r="685">
          <cell r="O685">
            <v>4.6694014724339175</v>
          </cell>
          <cell r="P685">
            <v>5.3</v>
          </cell>
          <cell r="Q685">
            <v>5.4713711095210753</v>
          </cell>
          <cell r="W685">
            <v>0.13</v>
          </cell>
          <cell r="Y685">
            <v>4.957361091636761</v>
          </cell>
          <cell r="Z685">
            <v>4.717909411883741</v>
          </cell>
          <cell r="AA685">
            <v>4.7043456133618937</v>
          </cell>
        </row>
        <row r="686">
          <cell r="O686">
            <v>4.6770098016511232</v>
          </cell>
          <cell r="P686">
            <v>5.3</v>
          </cell>
          <cell r="Q686">
            <v>5.4726865535679954</v>
          </cell>
          <cell r="W686">
            <v>0.13</v>
          </cell>
          <cell r="Y686">
            <v>4.9699591222766868</v>
          </cell>
          <cell r="Z686">
            <v>4.7203097306990571</v>
          </cell>
          <cell r="AA686">
            <v>4.7052326919446177</v>
          </cell>
        </row>
        <row r="687">
          <cell r="O687">
            <v>4.6755401089043627</v>
          </cell>
          <cell r="P687">
            <v>5.0999999999999996</v>
          </cell>
          <cell r="Q687">
            <v>5.4719807156713296</v>
          </cell>
          <cell r="W687">
            <v>0.14000000000000001</v>
          </cell>
          <cell r="Y687">
            <v>4.9754639710848148</v>
          </cell>
          <cell r="Z687">
            <v>4.7237617835590582</v>
          </cell>
          <cell r="AA687">
            <v>4.7087551262444673</v>
          </cell>
        </row>
        <row r="688">
          <cell r="O688">
            <v>4.673685476784871</v>
          </cell>
          <cell r="P688">
            <v>5.0999999999999996</v>
          </cell>
          <cell r="Q688">
            <v>5.4704454796059476</v>
          </cell>
          <cell r="W688">
            <v>0.14000000000000001</v>
          </cell>
          <cell r="Y688">
            <v>4.9815085318453258</v>
          </cell>
          <cell r="Z688">
            <v>4.7207463438355735</v>
          </cell>
          <cell r="AA688">
            <v>4.7117889097699956</v>
          </cell>
        </row>
      </sheetData>
      <sheetData sheetId="7">
        <row r="21">
          <cell r="B21">
            <v>138.9</v>
          </cell>
          <cell r="D21">
            <v>286.60000000000002</v>
          </cell>
        </row>
        <row r="22">
          <cell r="B22">
            <v>139.4</v>
          </cell>
          <cell r="D22">
            <v>287.7</v>
          </cell>
        </row>
        <row r="23">
          <cell r="B23">
            <v>139.69999999999999</v>
          </cell>
          <cell r="D23">
            <v>289.2</v>
          </cell>
        </row>
        <row r="24">
          <cell r="B24">
            <v>139.69999999999999</v>
          </cell>
          <cell r="D24">
            <v>290.10000000000002</v>
          </cell>
        </row>
        <row r="25">
          <cell r="B25">
            <v>140.69999999999999</v>
          </cell>
          <cell r="D25">
            <v>292.2</v>
          </cell>
        </row>
        <row r="26">
          <cell r="B26">
            <v>141.19999999999999</v>
          </cell>
          <cell r="D26">
            <v>294.10000000000002</v>
          </cell>
        </row>
        <row r="27">
          <cell r="B27">
            <v>141.69999999999999</v>
          </cell>
          <cell r="D27">
            <v>295.2</v>
          </cell>
        </row>
        <row r="28">
          <cell r="B28">
            <v>141.9</v>
          </cell>
          <cell r="D28">
            <v>296.39999999999998</v>
          </cell>
        </row>
        <row r="29">
          <cell r="B29">
            <v>141</v>
          </cell>
          <cell r="D29">
            <v>296.7</v>
          </cell>
        </row>
        <row r="30">
          <cell r="B30">
            <v>140.5</v>
          </cell>
          <cell r="D30">
            <v>296.5</v>
          </cell>
        </row>
        <row r="31">
          <cell r="B31">
            <v>140.4</v>
          </cell>
          <cell r="D31">
            <v>297.10000000000002</v>
          </cell>
        </row>
        <row r="32">
          <cell r="B32">
            <v>139.9</v>
          </cell>
          <cell r="D32">
            <v>297.8</v>
          </cell>
          <cell r="J32">
            <v>10.56</v>
          </cell>
        </row>
        <row r="33">
          <cell r="B33">
            <v>140</v>
          </cell>
          <cell r="D33">
            <v>298.2</v>
          </cell>
          <cell r="J33">
            <v>10.624000000000001</v>
          </cell>
        </row>
        <row r="34">
          <cell r="B34">
            <v>139.9</v>
          </cell>
          <cell r="D34">
            <v>298.5</v>
          </cell>
          <cell r="J34">
            <v>10.481999999999999</v>
          </cell>
        </row>
        <row r="35">
          <cell r="B35">
            <v>139.80000000000001</v>
          </cell>
          <cell r="D35">
            <v>299.39999999999998</v>
          </cell>
          <cell r="J35">
            <v>10.423999999999999</v>
          </cell>
        </row>
        <row r="36">
          <cell r="B36">
            <v>139.6</v>
          </cell>
          <cell r="D36">
            <v>300.10000000000002</v>
          </cell>
          <cell r="J36">
            <v>10.317</v>
          </cell>
        </row>
        <row r="37">
          <cell r="B37">
            <v>139.6</v>
          </cell>
          <cell r="D37">
            <v>300.89999999999998</v>
          </cell>
          <cell r="J37">
            <v>10.042999999999999</v>
          </cell>
        </row>
        <row r="38">
          <cell r="B38">
            <v>139.6</v>
          </cell>
          <cell r="D38">
            <v>302.3</v>
          </cell>
          <cell r="J38">
            <v>10.148</v>
          </cell>
        </row>
        <row r="39">
          <cell r="B39">
            <v>140.19999999999999</v>
          </cell>
          <cell r="D39">
            <v>304.10000000000002</v>
          </cell>
          <cell r="J39">
            <v>10.177</v>
          </cell>
        </row>
        <row r="40">
          <cell r="B40">
            <v>141.30000000000001</v>
          </cell>
          <cell r="D40">
            <v>306.89999999999998</v>
          </cell>
          <cell r="J40">
            <v>10.202</v>
          </cell>
        </row>
        <row r="41">
          <cell r="B41">
            <v>141.19999999999999</v>
          </cell>
          <cell r="D41">
            <v>308.39999999999998</v>
          </cell>
          <cell r="J41">
            <v>10.15</v>
          </cell>
        </row>
        <row r="42">
          <cell r="B42">
            <v>140.9</v>
          </cell>
          <cell r="D42">
            <v>309.5</v>
          </cell>
          <cell r="J42">
            <v>10.194000000000001</v>
          </cell>
        </row>
        <row r="43">
          <cell r="B43">
            <v>140.9</v>
          </cell>
          <cell r="D43">
            <v>310.89999999999998</v>
          </cell>
          <cell r="J43">
            <v>10.167999999999999</v>
          </cell>
        </row>
        <row r="44">
          <cell r="B44">
            <v>140.69999999999999</v>
          </cell>
          <cell r="D44">
            <v>312.39999999999998</v>
          </cell>
          <cell r="J44">
            <v>10.194000000000001</v>
          </cell>
        </row>
        <row r="45">
          <cell r="B45">
            <v>141.1</v>
          </cell>
          <cell r="D45">
            <v>314.10000000000002</v>
          </cell>
          <cell r="J45">
            <v>10.074</v>
          </cell>
        </row>
        <row r="46">
          <cell r="B46">
            <v>141.6</v>
          </cell>
          <cell r="D46">
            <v>316.5</v>
          </cell>
          <cell r="J46">
            <v>10.154999999999999</v>
          </cell>
        </row>
        <row r="47">
          <cell r="B47">
            <v>141.9</v>
          </cell>
          <cell r="D47">
            <v>318.3</v>
          </cell>
          <cell r="J47">
            <v>10.161</v>
          </cell>
        </row>
        <row r="48">
          <cell r="B48">
            <v>142.1</v>
          </cell>
          <cell r="D48">
            <v>319.89999999999998</v>
          </cell>
          <cell r="J48">
            <v>10.343999999999999</v>
          </cell>
        </row>
        <row r="49">
          <cell r="B49">
            <v>142.69999999999999</v>
          </cell>
          <cell r="D49">
            <v>322.2</v>
          </cell>
          <cell r="J49">
            <v>10.451000000000001</v>
          </cell>
        </row>
        <row r="50">
          <cell r="B50">
            <v>142.9</v>
          </cell>
          <cell r="D50">
            <v>324.3</v>
          </cell>
          <cell r="J50">
            <v>10.615</v>
          </cell>
        </row>
        <row r="51">
          <cell r="B51">
            <v>142.9</v>
          </cell>
          <cell r="D51">
            <v>325.60000000000002</v>
          </cell>
          <cell r="J51">
            <v>10.782</v>
          </cell>
        </row>
        <row r="52">
          <cell r="B52">
            <v>143.5</v>
          </cell>
          <cell r="D52">
            <v>327.60000000000002</v>
          </cell>
          <cell r="J52">
            <v>10.932</v>
          </cell>
        </row>
        <row r="53">
          <cell r="B53">
            <v>143.80000000000001</v>
          </cell>
          <cell r="D53">
            <v>329.5</v>
          </cell>
          <cell r="J53">
            <v>11.048999999999999</v>
          </cell>
        </row>
        <row r="54">
          <cell r="B54">
            <v>144.1</v>
          </cell>
          <cell r="D54">
            <v>331.1</v>
          </cell>
          <cell r="J54">
            <v>11.166</v>
          </cell>
        </row>
        <row r="55">
          <cell r="B55">
            <v>144.80000000000001</v>
          </cell>
          <cell r="D55">
            <v>333.4</v>
          </cell>
          <cell r="J55">
            <v>11.172000000000001</v>
          </cell>
        </row>
        <row r="56">
          <cell r="B56">
            <v>145.19999999999999</v>
          </cell>
          <cell r="D56">
            <v>335.5</v>
          </cell>
          <cell r="J56">
            <v>11.259</v>
          </cell>
        </row>
        <row r="57">
          <cell r="B57">
            <v>145.19999999999999</v>
          </cell>
          <cell r="D57">
            <v>337.5</v>
          </cell>
          <cell r="J57">
            <v>11.096</v>
          </cell>
        </row>
        <row r="58">
          <cell r="B58">
            <v>145.69999999999999</v>
          </cell>
          <cell r="D58">
            <v>340.1</v>
          </cell>
          <cell r="J58">
            <v>11.038</v>
          </cell>
        </row>
        <row r="59">
          <cell r="B59">
            <v>146</v>
          </cell>
          <cell r="D59">
            <v>343.1</v>
          </cell>
          <cell r="J59">
            <v>11.066000000000001</v>
          </cell>
        </row>
        <row r="60">
          <cell r="B60">
            <v>146.4</v>
          </cell>
          <cell r="D60">
            <v>345.5</v>
          </cell>
          <cell r="J60">
            <v>10.94</v>
          </cell>
        </row>
        <row r="61">
          <cell r="B61">
            <v>146.80000000000001</v>
          </cell>
          <cell r="D61">
            <v>347.5</v>
          </cell>
          <cell r="J61">
            <v>11.023999999999999</v>
          </cell>
        </row>
        <row r="62">
          <cell r="B62">
            <v>146.6</v>
          </cell>
          <cell r="D62">
            <v>349.3</v>
          </cell>
          <cell r="J62">
            <v>11.07</v>
          </cell>
        </row>
        <row r="63">
          <cell r="B63">
            <v>146.5</v>
          </cell>
          <cell r="D63">
            <v>350.8</v>
          </cell>
          <cell r="J63">
            <v>11.169</v>
          </cell>
        </row>
        <row r="64">
          <cell r="B64">
            <v>146.6</v>
          </cell>
          <cell r="D64">
            <v>352.8</v>
          </cell>
          <cell r="J64">
            <v>11.250999999999999</v>
          </cell>
        </row>
        <row r="65">
          <cell r="B65">
            <v>146.30000000000001</v>
          </cell>
          <cell r="D65">
            <v>354.9</v>
          </cell>
          <cell r="J65">
            <v>11.342000000000001</v>
          </cell>
        </row>
        <row r="66">
          <cell r="B66">
            <v>146.69999999999999</v>
          </cell>
          <cell r="D66">
            <v>357.2</v>
          </cell>
          <cell r="J66">
            <v>11.384</v>
          </cell>
        </row>
        <row r="67">
          <cell r="B67">
            <v>147.30000000000001</v>
          </cell>
          <cell r="D67">
            <v>359.8</v>
          </cell>
          <cell r="J67">
            <v>11.366</v>
          </cell>
        </row>
        <row r="68">
          <cell r="B68">
            <v>147.80000000000001</v>
          </cell>
          <cell r="D68">
            <v>362.7</v>
          </cell>
          <cell r="J68">
            <v>11.403</v>
          </cell>
        </row>
        <row r="69">
          <cell r="B69">
            <v>148.30000000000001</v>
          </cell>
          <cell r="D69">
            <v>365.2</v>
          </cell>
          <cell r="J69">
            <v>11.233000000000001</v>
          </cell>
        </row>
        <row r="70">
          <cell r="B70">
            <v>148.9</v>
          </cell>
          <cell r="D70">
            <v>367.9</v>
          </cell>
          <cell r="J70">
            <v>11.17</v>
          </cell>
        </row>
        <row r="71">
          <cell r="B71">
            <v>149.19999999999999</v>
          </cell>
          <cell r="D71">
            <v>370.7</v>
          </cell>
          <cell r="J71">
            <v>11.257999999999999</v>
          </cell>
        </row>
        <row r="72">
          <cell r="B72">
            <v>149.69999999999999</v>
          </cell>
          <cell r="D72">
            <v>373.3</v>
          </cell>
          <cell r="J72">
            <v>11.323</v>
          </cell>
        </row>
        <row r="73">
          <cell r="B73">
            <v>150.4</v>
          </cell>
          <cell r="D73">
            <v>376.1</v>
          </cell>
          <cell r="J73">
            <v>11.226000000000001</v>
          </cell>
        </row>
        <row r="74">
          <cell r="B74">
            <v>150.4</v>
          </cell>
          <cell r="D74">
            <v>378.4</v>
          </cell>
          <cell r="J74">
            <v>11.302</v>
          </cell>
        </row>
        <row r="75">
          <cell r="B75">
            <v>151.30000000000001</v>
          </cell>
          <cell r="D75">
            <v>381.1</v>
          </cell>
          <cell r="J75">
            <v>11.231</v>
          </cell>
        </row>
        <row r="76">
          <cell r="B76">
            <v>151.80000000000001</v>
          </cell>
          <cell r="D76">
            <v>383.6</v>
          </cell>
          <cell r="J76">
            <v>11.303000000000001</v>
          </cell>
        </row>
        <row r="77">
          <cell r="B77">
            <v>152</v>
          </cell>
          <cell r="D77">
            <v>386</v>
          </cell>
          <cell r="J77">
            <v>11.387</v>
          </cell>
        </row>
        <row r="78">
          <cell r="B78">
            <v>152.6</v>
          </cell>
          <cell r="D78">
            <v>388.3</v>
          </cell>
          <cell r="J78">
            <v>11.372</v>
          </cell>
        </row>
        <row r="79">
          <cell r="B79">
            <v>153.6</v>
          </cell>
          <cell r="D79">
            <v>391.5</v>
          </cell>
          <cell r="J79">
            <v>11.343999999999999</v>
          </cell>
        </row>
        <row r="80">
          <cell r="B80">
            <v>153.30000000000001</v>
          </cell>
          <cell r="D80">
            <v>393.2</v>
          </cell>
          <cell r="J80">
            <v>11.420999999999999</v>
          </cell>
        </row>
        <row r="81">
          <cell r="B81">
            <v>153.69999999999999</v>
          </cell>
          <cell r="D81">
            <v>395.2</v>
          </cell>
          <cell r="J81">
            <v>11.29</v>
          </cell>
        </row>
        <row r="82">
          <cell r="B82">
            <v>154.30000000000001</v>
          </cell>
          <cell r="D82">
            <v>397.6</v>
          </cell>
          <cell r="J82">
            <v>11.255000000000001</v>
          </cell>
        </row>
        <row r="83">
          <cell r="B83">
            <v>154.5</v>
          </cell>
          <cell r="D83">
            <v>399.8</v>
          </cell>
          <cell r="J83">
            <v>11.319000000000001</v>
          </cell>
        </row>
        <row r="84">
          <cell r="B84">
            <v>154.80000000000001</v>
          </cell>
          <cell r="D84">
            <v>401.7</v>
          </cell>
          <cell r="J84">
            <v>11.215999999999999</v>
          </cell>
        </row>
        <row r="85">
          <cell r="B85">
            <v>155.30000000000001</v>
          </cell>
          <cell r="D85">
            <v>404.2</v>
          </cell>
          <cell r="J85">
            <v>11.138999999999999</v>
          </cell>
          <cell r="N85">
            <v>3.36</v>
          </cell>
        </row>
        <row r="86">
          <cell r="B86">
            <v>155.6</v>
          </cell>
          <cell r="D86">
            <v>407.1</v>
          </cell>
          <cell r="J86">
            <v>11.231999999999999</v>
          </cell>
          <cell r="N86">
            <v>3.54</v>
          </cell>
        </row>
        <row r="87">
          <cell r="B87">
            <v>156.80000000000001</v>
          </cell>
          <cell r="D87">
            <v>410.1</v>
          </cell>
          <cell r="J87">
            <v>11.154999999999999</v>
          </cell>
          <cell r="N87">
            <v>3.61</v>
          </cell>
        </row>
        <row r="88">
          <cell r="B88">
            <v>157.80000000000001</v>
          </cell>
          <cell r="D88">
            <v>413.4</v>
          </cell>
          <cell r="J88">
            <v>11.183999999999999</v>
          </cell>
          <cell r="N88">
            <v>3.72</v>
          </cell>
        </row>
        <row r="89">
          <cell r="B89">
            <v>158.69999999999999</v>
          </cell>
          <cell r="D89">
            <v>416.9</v>
          </cell>
          <cell r="J89">
            <v>11.137</v>
          </cell>
          <cell r="N89">
            <v>3.96</v>
          </cell>
        </row>
        <row r="90">
          <cell r="B90">
            <v>159.19999999999999</v>
          </cell>
          <cell r="D90">
            <v>419.1</v>
          </cell>
          <cell r="J90">
            <v>11.198</v>
          </cell>
          <cell r="N90">
            <v>4.07</v>
          </cell>
        </row>
        <row r="91">
          <cell r="B91">
            <v>160</v>
          </cell>
          <cell r="D91">
            <v>422</v>
          </cell>
          <cell r="J91">
            <v>11.397</v>
          </cell>
          <cell r="N91">
            <v>4.3899999999999997</v>
          </cell>
        </row>
        <row r="92">
          <cell r="B92">
            <v>160.30000000000001</v>
          </cell>
          <cell r="D92">
            <v>424.7</v>
          </cell>
          <cell r="J92">
            <v>11.369</v>
          </cell>
          <cell r="N92">
            <v>4.42</v>
          </cell>
        </row>
        <row r="93">
          <cell r="B93">
            <v>160.69999999999999</v>
          </cell>
          <cell r="D93">
            <v>427.5</v>
          </cell>
          <cell r="J93">
            <v>11.260999999999999</v>
          </cell>
          <cell r="N93">
            <v>5</v>
          </cell>
        </row>
        <row r="94">
          <cell r="B94">
            <v>160.9</v>
          </cell>
          <cell r="D94">
            <v>430.4</v>
          </cell>
          <cell r="J94">
            <v>11.285</v>
          </cell>
          <cell r="N94">
            <v>4.8</v>
          </cell>
        </row>
        <row r="95">
          <cell r="B95">
            <v>161.5</v>
          </cell>
          <cell r="D95">
            <v>433.2</v>
          </cell>
          <cell r="J95">
            <v>11.326000000000001</v>
          </cell>
          <cell r="N95">
            <v>4.8099999999999996</v>
          </cell>
        </row>
        <row r="96">
          <cell r="B96">
            <v>162</v>
          </cell>
          <cell r="D96">
            <v>435.4</v>
          </cell>
          <cell r="J96">
            <v>11.263</v>
          </cell>
          <cell r="N96">
            <v>5.14</v>
          </cell>
        </row>
        <row r="97">
          <cell r="B97">
            <v>161.69999999999999</v>
          </cell>
          <cell r="D97">
            <v>437.1</v>
          </cell>
          <cell r="J97">
            <v>11.326000000000001</v>
          </cell>
          <cell r="N97">
            <v>5.03</v>
          </cell>
        </row>
        <row r="98">
          <cell r="B98">
            <v>162.19999999999999</v>
          </cell>
          <cell r="D98">
            <v>440.1</v>
          </cell>
          <cell r="J98">
            <v>11.387</v>
          </cell>
          <cell r="N98">
            <v>4.66</v>
          </cell>
        </row>
        <row r="99">
          <cell r="B99">
            <v>163</v>
          </cell>
          <cell r="D99">
            <v>442.9</v>
          </cell>
          <cell r="J99">
            <v>11.48</v>
          </cell>
          <cell r="N99">
            <v>4.0199999999999996</v>
          </cell>
        </row>
        <row r="100">
          <cell r="B100">
            <v>163.69999999999999</v>
          </cell>
          <cell r="D100">
            <v>445.8</v>
          </cell>
          <cell r="J100">
            <v>11.518000000000001</v>
          </cell>
          <cell r="N100">
            <v>4.04</v>
          </cell>
        </row>
        <row r="101">
          <cell r="B101">
            <v>164.8</v>
          </cell>
          <cell r="D101">
            <v>449.5</v>
          </cell>
          <cell r="J101">
            <v>11.567</v>
          </cell>
          <cell r="N101">
            <v>4.21</v>
          </cell>
        </row>
        <row r="102">
          <cell r="B102">
            <v>166</v>
          </cell>
          <cell r="D102">
            <v>452.6</v>
          </cell>
          <cell r="J102">
            <v>11.598000000000001</v>
          </cell>
          <cell r="N102">
            <v>3.36</v>
          </cell>
        </row>
        <row r="103">
          <cell r="B103">
            <v>166.7</v>
          </cell>
          <cell r="D103">
            <v>455.7</v>
          </cell>
          <cell r="J103">
            <v>11.747</v>
          </cell>
          <cell r="N103">
            <v>3.2</v>
          </cell>
        </row>
        <row r="104">
          <cell r="B104">
            <v>167.8</v>
          </cell>
          <cell r="D104">
            <v>459.2</v>
          </cell>
          <cell r="J104">
            <v>11.653</v>
          </cell>
          <cell r="N104">
            <v>2.95</v>
          </cell>
        </row>
        <row r="105">
          <cell r="B105">
            <v>169.1</v>
          </cell>
          <cell r="D105">
            <v>462</v>
          </cell>
          <cell r="J105">
            <v>11.478999999999999</v>
          </cell>
          <cell r="N105">
            <v>3.07</v>
          </cell>
        </row>
        <row r="106">
          <cell r="B106">
            <v>169.6</v>
          </cell>
          <cell r="D106">
            <v>464.6</v>
          </cell>
          <cell r="J106">
            <v>11.472</v>
          </cell>
          <cell r="N106">
            <v>3.04</v>
          </cell>
        </row>
        <row r="107">
          <cell r="B107">
            <v>170.5</v>
          </cell>
          <cell r="D107">
            <v>467.2</v>
          </cell>
          <cell r="J107">
            <v>11.571</v>
          </cell>
          <cell r="N107">
            <v>3.08</v>
          </cell>
        </row>
        <row r="108">
          <cell r="B108">
            <v>171.8</v>
          </cell>
          <cell r="D108">
            <v>469.3</v>
          </cell>
          <cell r="J108">
            <v>11.417</v>
          </cell>
          <cell r="N108">
            <v>2.86</v>
          </cell>
        </row>
        <row r="109">
          <cell r="B109">
            <v>171.3</v>
          </cell>
          <cell r="D109">
            <v>470.1</v>
          </cell>
          <cell r="J109">
            <v>11.467000000000001</v>
          </cell>
          <cell r="N109">
            <v>2.81</v>
          </cell>
        </row>
        <row r="110">
          <cell r="B110">
            <v>171.6</v>
          </cell>
          <cell r="D110">
            <v>471.2</v>
          </cell>
          <cell r="J110">
            <v>11.544</v>
          </cell>
          <cell r="N110">
            <v>2.93</v>
          </cell>
        </row>
        <row r="111">
          <cell r="B111">
            <v>170.3</v>
          </cell>
          <cell r="D111">
            <v>470.9</v>
          </cell>
          <cell r="J111">
            <v>11.531000000000001</v>
          </cell>
          <cell r="N111">
            <v>2.88</v>
          </cell>
        </row>
        <row r="112">
          <cell r="B112">
            <v>170.8</v>
          </cell>
          <cell r="D112">
            <v>472.6</v>
          </cell>
          <cell r="J112">
            <v>11.516999999999999</v>
          </cell>
          <cell r="N112">
            <v>2.88</v>
          </cell>
        </row>
        <row r="113">
          <cell r="B113">
            <v>172</v>
          </cell>
          <cell r="D113">
            <v>475.4</v>
          </cell>
          <cell r="J113">
            <v>11.63</v>
          </cell>
          <cell r="N113">
            <v>2.87</v>
          </cell>
        </row>
        <row r="114">
          <cell r="B114">
            <v>171.2</v>
          </cell>
          <cell r="D114">
            <v>475.7</v>
          </cell>
          <cell r="J114">
            <v>11.654999999999999</v>
          </cell>
          <cell r="N114">
            <v>3.06</v>
          </cell>
        </row>
        <row r="115">
          <cell r="B115">
            <v>171.4</v>
          </cell>
          <cell r="D115">
            <v>477.3</v>
          </cell>
          <cell r="J115">
            <v>11.872</v>
          </cell>
          <cell r="N115">
            <v>2.92</v>
          </cell>
        </row>
        <row r="116">
          <cell r="B116">
            <v>172</v>
          </cell>
          <cell r="D116">
            <v>480.2</v>
          </cell>
          <cell r="J116">
            <v>11.875</v>
          </cell>
          <cell r="N116">
            <v>3.06</v>
          </cell>
        </row>
        <row r="117">
          <cell r="B117">
            <v>171.9</v>
          </cell>
          <cell r="D117">
            <v>481.6</v>
          </cell>
          <cell r="J117">
            <v>11.711</v>
          </cell>
          <cell r="N117">
            <v>3.06</v>
          </cell>
        </row>
        <row r="118">
          <cell r="B118">
            <v>173</v>
          </cell>
          <cell r="D118">
            <v>485.1</v>
          </cell>
          <cell r="J118">
            <v>11.603999999999999</v>
          </cell>
          <cell r="N118">
            <v>3.05</v>
          </cell>
        </row>
        <row r="119">
          <cell r="B119">
            <v>174.8</v>
          </cell>
          <cell r="D119">
            <v>489.7</v>
          </cell>
          <cell r="J119">
            <v>11.621</v>
          </cell>
          <cell r="N119">
            <v>3.07</v>
          </cell>
        </row>
        <row r="120">
          <cell r="B120">
            <v>174.2</v>
          </cell>
          <cell r="D120">
            <v>492.1</v>
          </cell>
          <cell r="J120">
            <v>11.574999999999999</v>
          </cell>
          <cell r="N120">
            <v>3.18</v>
          </cell>
        </row>
        <row r="121">
          <cell r="B121">
            <v>175.7</v>
          </cell>
          <cell r="D121">
            <v>497.2</v>
          </cell>
          <cell r="J121">
            <v>11.548999999999999</v>
          </cell>
          <cell r="N121">
            <v>3.28</v>
          </cell>
        </row>
        <row r="122">
          <cell r="B122">
            <v>177</v>
          </cell>
          <cell r="D122">
            <v>502</v>
          </cell>
          <cell r="J122">
            <v>11.629</v>
          </cell>
          <cell r="N122">
            <v>3.28</v>
          </cell>
        </row>
        <row r="123">
          <cell r="B123">
            <v>178.1</v>
          </cell>
          <cell r="D123">
            <v>506.3</v>
          </cell>
          <cell r="J123">
            <v>11.43</v>
          </cell>
          <cell r="N123">
            <v>3.06</v>
          </cell>
        </row>
        <row r="124">
          <cell r="B124">
            <v>179.7</v>
          </cell>
          <cell r="D124">
            <v>510.8</v>
          </cell>
          <cell r="J124">
            <v>11.46</v>
          </cell>
          <cell r="N124">
            <v>2.99</v>
          </cell>
        </row>
        <row r="125">
          <cell r="B125">
            <v>180.7</v>
          </cell>
          <cell r="D125">
            <v>514.70000000000005</v>
          </cell>
          <cell r="J125">
            <v>11.465</v>
          </cell>
          <cell r="N125">
            <v>3.03</v>
          </cell>
        </row>
        <row r="126">
          <cell r="B126">
            <v>181.6</v>
          </cell>
          <cell r="D126">
            <v>518.20000000000005</v>
          </cell>
          <cell r="G126">
            <v>18.888999999999999</v>
          </cell>
          <cell r="J126">
            <v>11.598000000000001</v>
          </cell>
          <cell r="N126">
            <v>3.03</v>
          </cell>
        </row>
        <row r="127">
          <cell r="B127">
            <v>182.4</v>
          </cell>
          <cell r="D127">
            <v>521.20000000000005</v>
          </cell>
          <cell r="G127">
            <v>18.57</v>
          </cell>
          <cell r="J127">
            <v>11.69</v>
          </cell>
          <cell r="N127">
            <v>3.29</v>
          </cell>
        </row>
        <row r="128">
          <cell r="B128">
            <v>183.3</v>
          </cell>
          <cell r="D128">
            <v>524.79999999999995</v>
          </cell>
          <cell r="G128">
            <v>18.431000000000001</v>
          </cell>
          <cell r="J128">
            <v>11.923999999999999</v>
          </cell>
          <cell r="N128">
            <v>3.2</v>
          </cell>
        </row>
        <row r="129">
          <cell r="B129">
            <v>184.3</v>
          </cell>
          <cell r="D129">
            <v>527.4</v>
          </cell>
          <cell r="G129">
            <v>18.678000000000001</v>
          </cell>
          <cell r="J129">
            <v>11.916</v>
          </cell>
          <cell r="N129">
            <v>3.06</v>
          </cell>
        </row>
        <row r="130">
          <cell r="B130">
            <v>184.7</v>
          </cell>
          <cell r="D130">
            <v>530.4</v>
          </cell>
          <cell r="G130">
            <v>18.552</v>
          </cell>
          <cell r="J130">
            <v>12.237</v>
          </cell>
          <cell r="N130">
            <v>2.98</v>
          </cell>
        </row>
        <row r="131">
          <cell r="B131">
            <v>185.5</v>
          </cell>
          <cell r="D131">
            <v>533.20000000000005</v>
          </cell>
          <cell r="G131">
            <v>18.454000000000001</v>
          </cell>
          <cell r="J131">
            <v>12.342000000000001</v>
          </cell>
          <cell r="N131">
            <v>3</v>
          </cell>
        </row>
        <row r="132">
          <cell r="B132">
            <v>186.6</v>
          </cell>
          <cell r="D132">
            <v>535.70000000000005</v>
          </cell>
          <cell r="G132">
            <v>18.683</v>
          </cell>
          <cell r="J132">
            <v>12.329000000000001</v>
          </cell>
          <cell r="N132">
            <v>3.01</v>
          </cell>
        </row>
        <row r="133">
          <cell r="B133">
            <v>188</v>
          </cell>
          <cell r="D133">
            <v>538.9</v>
          </cell>
          <cell r="G133">
            <v>18.591000000000001</v>
          </cell>
          <cell r="J133">
            <v>12.351000000000001</v>
          </cell>
          <cell r="N133">
            <v>3.04</v>
          </cell>
        </row>
        <row r="134">
          <cell r="B134">
            <v>189.4</v>
          </cell>
          <cell r="D134">
            <v>542.6</v>
          </cell>
          <cell r="G134">
            <v>18.622</v>
          </cell>
          <cell r="J134">
            <v>12.606999999999999</v>
          </cell>
          <cell r="N134">
            <v>3.01</v>
          </cell>
        </row>
        <row r="135">
          <cell r="B135">
            <v>190.5</v>
          </cell>
          <cell r="D135">
            <v>545.6</v>
          </cell>
          <cell r="G135">
            <v>18.606999999999999</v>
          </cell>
          <cell r="J135">
            <v>12.598000000000001</v>
          </cell>
          <cell r="N135">
            <v>3.03</v>
          </cell>
        </row>
        <row r="136">
          <cell r="B136">
            <v>191.8</v>
          </cell>
          <cell r="D136">
            <v>549.4</v>
          </cell>
          <cell r="G136">
            <v>18.611999999999998</v>
          </cell>
          <cell r="J136">
            <v>12.757999999999999</v>
          </cell>
          <cell r="N136">
            <v>3.11</v>
          </cell>
        </row>
        <row r="137">
          <cell r="B137">
            <v>192.7</v>
          </cell>
          <cell r="D137">
            <v>553.6</v>
          </cell>
          <cell r="G137">
            <v>18.66</v>
          </cell>
          <cell r="J137">
            <v>12.959</v>
          </cell>
          <cell r="N137">
            <v>3.12</v>
          </cell>
        </row>
        <row r="138">
          <cell r="B138">
            <v>194</v>
          </cell>
          <cell r="D138">
            <v>557.6</v>
          </cell>
          <cell r="G138">
            <v>18.536999999999999</v>
          </cell>
          <cell r="J138">
            <v>12.999000000000001</v>
          </cell>
          <cell r="N138">
            <v>3.2</v>
          </cell>
        </row>
        <row r="139">
          <cell r="B139">
            <v>196</v>
          </cell>
          <cell r="D139">
            <v>562.4</v>
          </cell>
          <cell r="G139">
            <v>17.946999999999999</v>
          </cell>
          <cell r="J139">
            <v>12.952</v>
          </cell>
          <cell r="N139">
            <v>3.48</v>
          </cell>
        </row>
        <row r="140">
          <cell r="B140">
            <v>197.4</v>
          </cell>
          <cell r="D140">
            <v>566.79999999999995</v>
          </cell>
          <cell r="G140">
            <v>17.776</v>
          </cell>
          <cell r="J140">
            <v>12.993</v>
          </cell>
          <cell r="N140">
            <v>3.53</v>
          </cell>
        </row>
        <row r="141">
          <cell r="B141">
            <v>198.7</v>
          </cell>
          <cell r="D141">
            <v>569.29999999999995</v>
          </cell>
          <cell r="G141">
            <v>17.864000000000001</v>
          </cell>
          <cell r="J141">
            <v>12.815</v>
          </cell>
          <cell r="N141">
            <v>3.57</v>
          </cell>
        </row>
        <row r="142">
          <cell r="B142">
            <v>199.3</v>
          </cell>
          <cell r="D142">
            <v>571.9</v>
          </cell>
          <cell r="G142">
            <v>17.937999999999999</v>
          </cell>
          <cell r="J142">
            <v>12.526999999999999</v>
          </cell>
          <cell r="N142">
            <v>3.64</v>
          </cell>
        </row>
        <row r="143">
          <cell r="B143">
            <v>200</v>
          </cell>
          <cell r="D143">
            <v>574.4</v>
          </cell>
          <cell r="G143">
            <v>18.013999999999999</v>
          </cell>
          <cell r="J143">
            <v>12.432</v>
          </cell>
          <cell r="N143">
            <v>3.74</v>
          </cell>
        </row>
        <row r="144">
          <cell r="B144">
            <v>200.7</v>
          </cell>
          <cell r="D144">
            <v>575.70000000000005</v>
          </cell>
          <cell r="G144">
            <v>18.204000000000001</v>
          </cell>
          <cell r="J144">
            <v>12.388999999999999</v>
          </cell>
          <cell r="N144">
            <v>3.81</v>
          </cell>
        </row>
        <row r="145">
          <cell r="B145">
            <v>200.8</v>
          </cell>
          <cell r="D145">
            <v>576.5</v>
          </cell>
          <cell r="G145">
            <v>18.11</v>
          </cell>
          <cell r="J145">
            <v>12.557</v>
          </cell>
          <cell r="N145">
            <v>3.79</v>
          </cell>
        </row>
        <row r="146">
          <cell r="B146">
            <v>201.3</v>
          </cell>
          <cell r="D146">
            <v>578.5</v>
          </cell>
          <cell r="G146">
            <v>17.687999999999999</v>
          </cell>
          <cell r="J146">
            <v>12.928000000000001</v>
          </cell>
          <cell r="N146">
            <v>3.78</v>
          </cell>
        </row>
        <row r="147">
          <cell r="B147">
            <v>201.7</v>
          </cell>
          <cell r="D147">
            <v>579.5</v>
          </cell>
          <cell r="G147">
            <v>17.872</v>
          </cell>
          <cell r="J147">
            <v>12.875</v>
          </cell>
          <cell r="N147">
            <v>3.91</v>
          </cell>
        </row>
        <row r="148">
          <cell r="B148">
            <v>201.7</v>
          </cell>
          <cell r="D148">
            <v>580.1</v>
          </cell>
          <cell r="G148">
            <v>17.716999999999999</v>
          </cell>
          <cell r="J148">
            <v>12.930999999999999</v>
          </cell>
          <cell r="N148">
            <v>3.91</v>
          </cell>
        </row>
        <row r="149">
          <cell r="B149">
            <v>202.1</v>
          </cell>
          <cell r="D149">
            <v>582.1</v>
          </cell>
          <cell r="G149">
            <v>16.68</v>
          </cell>
          <cell r="J149">
            <v>13.086</v>
          </cell>
          <cell r="N149">
            <v>3.84</v>
          </cell>
        </row>
        <row r="150">
          <cell r="B150">
            <v>202.9</v>
          </cell>
          <cell r="D150">
            <v>583.4</v>
          </cell>
          <cell r="G150">
            <v>16.718</v>
          </cell>
          <cell r="J150">
            <v>13.103999999999999</v>
          </cell>
          <cell r="N150">
            <v>3.83</v>
          </cell>
        </row>
        <row r="151">
          <cell r="B151">
            <v>203.6</v>
          </cell>
          <cell r="D151">
            <v>585.4</v>
          </cell>
          <cell r="G151">
            <v>16.523</v>
          </cell>
          <cell r="J151">
            <v>13.021000000000001</v>
          </cell>
          <cell r="N151">
            <v>3.72</v>
          </cell>
        </row>
        <row r="152">
          <cell r="B152">
            <v>203.9</v>
          </cell>
          <cell r="D152">
            <v>587.9</v>
          </cell>
          <cell r="G152">
            <v>16.445</v>
          </cell>
          <cell r="J152">
            <v>12.893000000000001</v>
          </cell>
          <cell r="N152">
            <v>3.74</v>
          </cell>
        </row>
        <row r="153">
          <cell r="B153">
            <v>206.2</v>
          </cell>
          <cell r="D153">
            <v>589.6</v>
          </cell>
          <cell r="G153">
            <v>16.46</v>
          </cell>
          <cell r="J153">
            <v>12.879</v>
          </cell>
          <cell r="N153">
            <v>3.84</v>
          </cell>
        </row>
        <row r="154">
          <cell r="B154">
            <v>205</v>
          </cell>
          <cell r="D154">
            <v>586.29999999999995</v>
          </cell>
          <cell r="G154">
            <v>16.419</v>
          </cell>
          <cell r="J154">
            <v>12.750999999999999</v>
          </cell>
          <cell r="N154">
            <v>3.86</v>
          </cell>
        </row>
        <row r="155">
          <cell r="B155">
            <v>205.7</v>
          </cell>
          <cell r="D155">
            <v>587.29999999999995</v>
          </cell>
          <cell r="G155">
            <v>16.550999999999998</v>
          </cell>
          <cell r="J155">
            <v>12.468</v>
          </cell>
          <cell r="N155">
            <v>3.91</v>
          </cell>
        </row>
        <row r="156">
          <cell r="B156">
            <v>206.7</v>
          </cell>
          <cell r="D156">
            <v>588.4</v>
          </cell>
          <cell r="G156">
            <v>16.556999999999999</v>
          </cell>
          <cell r="J156">
            <v>12.47</v>
          </cell>
          <cell r="N156">
            <v>4.0199999999999996</v>
          </cell>
        </row>
        <row r="157">
          <cell r="B157">
            <v>207.2</v>
          </cell>
          <cell r="D157">
            <v>591.5</v>
          </cell>
          <cell r="G157">
            <v>16.690000000000001</v>
          </cell>
          <cell r="J157">
            <v>12.41</v>
          </cell>
          <cell r="N157">
            <v>3.94</v>
          </cell>
        </row>
        <row r="158">
          <cell r="B158">
            <v>207.6</v>
          </cell>
          <cell r="D158">
            <v>595.20000000000005</v>
          </cell>
          <cell r="G158">
            <v>16.803999999999998</v>
          </cell>
          <cell r="J158">
            <v>12.239000000000001</v>
          </cell>
          <cell r="N158">
            <v>4.03</v>
          </cell>
        </row>
        <row r="159">
          <cell r="B159">
            <v>208</v>
          </cell>
          <cell r="D159">
            <v>599.1</v>
          </cell>
          <cell r="G159">
            <v>17.093</v>
          </cell>
          <cell r="J159">
            <v>12.565</v>
          </cell>
          <cell r="N159">
            <v>4.0599999999999996</v>
          </cell>
        </row>
        <row r="160">
          <cell r="B160">
            <v>209.9</v>
          </cell>
          <cell r="D160">
            <v>604.9</v>
          </cell>
          <cell r="G160">
            <v>17.172000000000001</v>
          </cell>
          <cell r="J160">
            <v>12.743</v>
          </cell>
          <cell r="N160">
            <v>4.04</v>
          </cell>
        </row>
        <row r="161">
          <cell r="B161">
            <v>211.8</v>
          </cell>
          <cell r="D161">
            <v>611.20000000000005</v>
          </cell>
          <cell r="G161">
            <v>17.266999999999999</v>
          </cell>
          <cell r="J161">
            <v>12.754</v>
          </cell>
          <cell r="N161">
            <v>4.03</v>
          </cell>
        </row>
        <row r="162">
          <cell r="B162">
            <v>212.9</v>
          </cell>
          <cell r="D162">
            <v>616.4</v>
          </cell>
          <cell r="G162">
            <v>17.192</v>
          </cell>
          <cell r="J162">
            <v>12.968999999999999</v>
          </cell>
          <cell r="N162">
            <v>3.99</v>
          </cell>
        </row>
        <row r="163">
          <cell r="B163">
            <v>213.7</v>
          </cell>
          <cell r="D163">
            <v>621.1</v>
          </cell>
          <cell r="G163">
            <v>16.917000000000002</v>
          </cell>
          <cell r="J163">
            <v>13.048999999999999</v>
          </cell>
          <cell r="N163">
            <v>3.98</v>
          </cell>
        </row>
        <row r="164">
          <cell r="B164">
            <v>214.4</v>
          </cell>
          <cell r="D164">
            <v>626.5</v>
          </cell>
          <cell r="G164">
            <v>16.951000000000001</v>
          </cell>
          <cell r="J164">
            <v>13.128</v>
          </cell>
          <cell r="N164">
            <v>4.07</v>
          </cell>
        </row>
        <row r="165">
          <cell r="B165">
            <v>215.5</v>
          </cell>
          <cell r="D165">
            <v>632.9</v>
          </cell>
          <cell r="G165">
            <v>17.056999999999999</v>
          </cell>
          <cell r="J165">
            <v>13.019</v>
          </cell>
          <cell r="N165">
            <v>4.2</v>
          </cell>
        </row>
        <row r="166">
          <cell r="B166">
            <v>217.4</v>
          </cell>
          <cell r="D166">
            <v>641</v>
          </cell>
          <cell r="G166">
            <v>17.149000000000001</v>
          </cell>
          <cell r="J166">
            <v>13.173</v>
          </cell>
          <cell r="N166">
            <v>4.3</v>
          </cell>
        </row>
        <row r="167">
          <cell r="B167">
            <v>218.8</v>
          </cell>
          <cell r="D167">
            <v>649.9</v>
          </cell>
          <cell r="G167">
            <v>17.204000000000001</v>
          </cell>
          <cell r="J167">
            <v>13.364000000000001</v>
          </cell>
          <cell r="N167">
            <v>4.37</v>
          </cell>
        </row>
        <row r="168">
          <cell r="B168">
            <v>220</v>
          </cell>
          <cell r="D168">
            <v>658.4</v>
          </cell>
          <cell r="G168">
            <v>17.257000000000001</v>
          </cell>
          <cell r="J168">
            <v>13.04</v>
          </cell>
          <cell r="N168">
            <v>4.72</v>
          </cell>
        </row>
        <row r="169">
          <cell r="B169">
            <v>222</v>
          </cell>
          <cell r="D169">
            <v>666.7</v>
          </cell>
          <cell r="G169">
            <v>17.138000000000002</v>
          </cell>
          <cell r="J169">
            <v>13.196999999999999</v>
          </cell>
          <cell r="N169">
            <v>4.88</v>
          </cell>
        </row>
        <row r="170">
          <cell r="B170">
            <v>223.5</v>
          </cell>
          <cell r="D170">
            <v>673</v>
          </cell>
          <cell r="G170">
            <v>17.236000000000001</v>
          </cell>
          <cell r="J170">
            <v>12.798999999999999</v>
          </cell>
          <cell r="N170">
            <v>4.9400000000000004</v>
          </cell>
        </row>
        <row r="171">
          <cell r="B171">
            <v>224.9</v>
          </cell>
          <cell r="D171">
            <v>679.6</v>
          </cell>
          <cell r="G171">
            <v>17.372</v>
          </cell>
          <cell r="J171">
            <v>13.445</v>
          </cell>
          <cell r="N171">
            <v>4.97</v>
          </cell>
        </row>
        <row r="172">
          <cell r="B172">
            <v>225.6</v>
          </cell>
          <cell r="D172">
            <v>685.5</v>
          </cell>
          <cell r="G172">
            <v>16.702000000000002</v>
          </cell>
          <cell r="J172">
            <v>13.847</v>
          </cell>
          <cell r="N172">
            <v>4.9000000000000004</v>
          </cell>
        </row>
        <row r="173">
          <cell r="B173">
            <v>226.5</v>
          </cell>
          <cell r="D173">
            <v>692.5</v>
          </cell>
          <cell r="G173">
            <v>16.917000000000002</v>
          </cell>
          <cell r="J173">
            <v>14.016999999999999</v>
          </cell>
          <cell r="N173">
            <v>4.93</v>
          </cell>
        </row>
        <row r="174">
          <cell r="B174">
            <v>227.2</v>
          </cell>
          <cell r="D174">
            <v>698.4</v>
          </cell>
          <cell r="G174">
            <v>16.937000000000001</v>
          </cell>
          <cell r="J174">
            <v>14.055</v>
          </cell>
          <cell r="N174">
            <v>4.97</v>
          </cell>
        </row>
        <row r="175">
          <cell r="B175">
            <v>227.8</v>
          </cell>
          <cell r="D175">
            <v>704.6</v>
          </cell>
          <cell r="G175">
            <v>16.712</v>
          </cell>
          <cell r="J175">
            <v>14.225</v>
          </cell>
          <cell r="N175">
            <v>5.17</v>
          </cell>
        </row>
        <row r="176">
          <cell r="B176">
            <v>228.3</v>
          </cell>
          <cell r="D176">
            <v>710.3</v>
          </cell>
          <cell r="G176">
            <v>16.701000000000001</v>
          </cell>
          <cell r="J176">
            <v>14.24</v>
          </cell>
          <cell r="N176">
            <v>5.54</v>
          </cell>
        </row>
        <row r="177">
          <cell r="B177">
            <v>230.1</v>
          </cell>
          <cell r="D177">
            <v>717.7</v>
          </cell>
          <cell r="G177">
            <v>16.696000000000002</v>
          </cell>
          <cell r="J177">
            <v>14.488</v>
          </cell>
          <cell r="N177">
            <v>5.82</v>
          </cell>
        </row>
        <row r="178">
          <cell r="B178">
            <v>232.3</v>
          </cell>
          <cell r="D178">
            <v>725.7</v>
          </cell>
          <cell r="G178">
            <v>16.760000000000002</v>
          </cell>
          <cell r="J178">
            <v>14.478999999999999</v>
          </cell>
          <cell r="N178">
            <v>5.58</v>
          </cell>
        </row>
        <row r="179">
          <cell r="B179">
            <v>234.3</v>
          </cell>
          <cell r="D179">
            <v>733.5</v>
          </cell>
          <cell r="G179">
            <v>16.824999999999999</v>
          </cell>
          <cell r="J179">
            <v>14.606</v>
          </cell>
          <cell r="N179">
            <v>5.54</v>
          </cell>
        </row>
        <row r="180">
          <cell r="B180">
            <v>235.6</v>
          </cell>
          <cell r="D180">
            <v>738.4</v>
          </cell>
          <cell r="G180">
            <v>16.952000000000002</v>
          </cell>
          <cell r="J180">
            <v>14.698</v>
          </cell>
          <cell r="N180">
            <v>5.2</v>
          </cell>
        </row>
        <row r="181">
          <cell r="B181">
            <v>235.9</v>
          </cell>
          <cell r="D181">
            <v>743.3</v>
          </cell>
          <cell r="G181">
            <v>16.73</v>
          </cell>
          <cell r="J181">
            <v>14.564</v>
          </cell>
          <cell r="N181">
            <v>4.75</v>
          </cell>
        </row>
        <row r="182">
          <cell r="B182">
            <v>236.6</v>
          </cell>
          <cell r="D182">
            <v>749.7</v>
          </cell>
          <cell r="G182">
            <v>16.887</v>
          </cell>
          <cell r="J182">
            <v>14.302</v>
          </cell>
          <cell r="N182">
            <v>4.71</v>
          </cell>
        </row>
        <row r="183">
          <cell r="B183">
            <v>238.8</v>
          </cell>
          <cell r="D183">
            <v>759.5</v>
          </cell>
          <cell r="G183">
            <v>16.93</v>
          </cell>
          <cell r="J183">
            <v>14.38</v>
          </cell>
          <cell r="N183">
            <v>4.3499999999999996</v>
          </cell>
        </row>
        <row r="184">
          <cell r="B184">
            <v>240.9</v>
          </cell>
          <cell r="D184">
            <v>768.7</v>
          </cell>
          <cell r="G184">
            <v>17.036999999999999</v>
          </cell>
          <cell r="J184">
            <v>14.928000000000001</v>
          </cell>
          <cell r="N184">
            <v>4.1100000000000003</v>
          </cell>
        </row>
        <row r="185">
          <cell r="B185">
            <v>243.2</v>
          </cell>
          <cell r="D185">
            <v>778.3</v>
          </cell>
          <cell r="G185">
            <v>17.251000000000001</v>
          </cell>
          <cell r="J185">
            <v>14.853999999999999</v>
          </cell>
          <cell r="N185">
            <v>4.1500000000000004</v>
          </cell>
        </row>
        <row r="186">
          <cell r="B186">
            <v>245</v>
          </cell>
          <cell r="D186">
            <v>786.9</v>
          </cell>
          <cell r="G186">
            <v>17.285</v>
          </cell>
          <cell r="J186">
            <v>14.864000000000001</v>
          </cell>
          <cell r="N186">
            <v>4.4800000000000004</v>
          </cell>
        </row>
        <row r="187">
          <cell r="B187">
            <v>246.4</v>
          </cell>
          <cell r="D187">
            <v>793.9</v>
          </cell>
          <cell r="G187">
            <v>17.009</v>
          </cell>
          <cell r="J187">
            <v>15.103999999999999</v>
          </cell>
          <cell r="N187">
            <v>5.01</v>
          </cell>
        </row>
        <row r="188">
          <cell r="B188">
            <v>249.2</v>
          </cell>
          <cell r="D188">
            <v>802.3</v>
          </cell>
          <cell r="G188">
            <v>17.151</v>
          </cell>
          <cell r="J188">
            <v>15.347</v>
          </cell>
          <cell r="N188">
            <v>5.13</v>
          </cell>
        </row>
        <row r="189">
          <cell r="B189">
            <v>251.5</v>
          </cell>
          <cell r="D189">
            <v>810.3</v>
          </cell>
          <cell r="G189">
            <v>17.091999999999999</v>
          </cell>
          <cell r="J189">
            <v>15.331</v>
          </cell>
          <cell r="N189">
            <v>5.24</v>
          </cell>
        </row>
        <row r="190">
          <cell r="B190">
            <v>252.2</v>
          </cell>
          <cell r="D190">
            <v>814.1</v>
          </cell>
          <cell r="G190">
            <v>17.096</v>
          </cell>
          <cell r="J190">
            <v>15.382</v>
          </cell>
          <cell r="N190">
            <v>5.37</v>
          </cell>
        </row>
        <row r="191">
          <cell r="B191">
            <v>251.7</v>
          </cell>
          <cell r="D191">
            <v>815.3</v>
          </cell>
          <cell r="G191">
            <v>17.335999999999999</v>
          </cell>
          <cell r="J191">
            <v>15.534000000000001</v>
          </cell>
          <cell r="N191">
            <v>5.61</v>
          </cell>
        </row>
        <row r="192">
          <cell r="B192">
            <v>252.7</v>
          </cell>
          <cell r="D192">
            <v>819.7</v>
          </cell>
          <cell r="G192">
            <v>17.417000000000002</v>
          </cell>
          <cell r="J192">
            <v>15.628</v>
          </cell>
          <cell r="N192">
            <v>5.71</v>
          </cell>
        </row>
        <row r="193">
          <cell r="B193">
            <v>254.9</v>
          </cell>
          <cell r="D193">
            <v>826.8</v>
          </cell>
          <cell r="G193">
            <v>17.32</v>
          </cell>
          <cell r="J193">
            <v>15.808999999999999</v>
          </cell>
          <cell r="N193">
            <v>5.43</v>
          </cell>
        </row>
        <row r="194">
          <cell r="B194">
            <v>256.7</v>
          </cell>
          <cell r="D194">
            <v>833.3</v>
          </cell>
          <cell r="G194">
            <v>17.593</v>
          </cell>
          <cell r="J194">
            <v>15.597</v>
          </cell>
          <cell r="N194">
            <v>5.41</v>
          </cell>
        </row>
        <row r="195">
          <cell r="B195">
            <v>257.5</v>
          </cell>
          <cell r="D195">
            <v>836.5</v>
          </cell>
          <cell r="G195">
            <v>17.725000000000001</v>
          </cell>
          <cell r="J195">
            <v>15.622999999999999</v>
          </cell>
          <cell r="N195">
            <v>5.58</v>
          </cell>
        </row>
        <row r="196">
          <cell r="B196">
            <v>257.7</v>
          </cell>
          <cell r="D196">
            <v>838.8</v>
          </cell>
          <cell r="G196">
            <v>17.800999999999998</v>
          </cell>
          <cell r="J196">
            <v>15.459</v>
          </cell>
          <cell r="N196">
            <v>5.71</v>
          </cell>
        </row>
        <row r="197">
          <cell r="B197">
            <v>257.89999999999998</v>
          </cell>
          <cell r="D197">
            <v>839.3</v>
          </cell>
          <cell r="G197">
            <v>17.978999999999999</v>
          </cell>
          <cell r="J197">
            <v>15.637</v>
          </cell>
          <cell r="N197">
            <v>6.14</v>
          </cell>
        </row>
        <row r="198">
          <cell r="B198">
            <v>259</v>
          </cell>
          <cell r="D198">
            <v>842.6</v>
          </cell>
          <cell r="G198">
            <v>18.007000000000001</v>
          </cell>
          <cell r="J198">
            <v>15.833</v>
          </cell>
          <cell r="N198">
            <v>5.98</v>
          </cell>
        </row>
        <row r="199">
          <cell r="B199">
            <v>261</v>
          </cell>
          <cell r="D199">
            <v>848.9</v>
          </cell>
          <cell r="G199">
            <v>17.792999999999999</v>
          </cell>
          <cell r="J199">
            <v>15.595000000000001</v>
          </cell>
          <cell r="N199">
            <v>5.65</v>
          </cell>
        </row>
        <row r="200">
          <cell r="B200">
            <v>262.89999999999998</v>
          </cell>
          <cell r="D200">
            <v>855.5</v>
          </cell>
          <cell r="G200">
            <v>17.847999999999999</v>
          </cell>
          <cell r="J200">
            <v>15.548</v>
          </cell>
          <cell r="N200">
            <v>5.43</v>
          </cell>
        </row>
        <row r="201">
          <cell r="B201">
            <v>263.8</v>
          </cell>
          <cell r="D201">
            <v>859.7</v>
          </cell>
          <cell r="G201">
            <v>18.067</v>
          </cell>
          <cell r="J201">
            <v>15.12</v>
          </cell>
          <cell r="N201">
            <v>5.45</v>
          </cell>
        </row>
        <row r="202">
          <cell r="B202">
            <v>265.3</v>
          </cell>
          <cell r="D202">
            <v>864.2</v>
          </cell>
          <cell r="G202">
            <v>18.042999999999999</v>
          </cell>
          <cell r="J202">
            <v>15.099</v>
          </cell>
          <cell r="N202">
            <v>5.57</v>
          </cell>
        </row>
        <row r="203">
          <cell r="B203">
            <v>266.7</v>
          </cell>
          <cell r="D203">
            <v>870.1</v>
          </cell>
          <cell r="G203">
            <v>18.196999999999999</v>
          </cell>
          <cell r="J203">
            <v>15.02</v>
          </cell>
          <cell r="N203">
            <v>5.75</v>
          </cell>
        </row>
        <row r="204">
          <cell r="B204">
            <v>267.2</v>
          </cell>
          <cell r="D204">
            <v>872.9</v>
          </cell>
          <cell r="G204">
            <v>18.329000000000001</v>
          </cell>
          <cell r="J204">
            <v>14.829000000000001</v>
          </cell>
          <cell r="N204">
            <v>6.19</v>
          </cell>
        </row>
        <row r="205">
          <cell r="B205">
            <v>267.60000000000002</v>
          </cell>
          <cell r="D205">
            <v>874.6</v>
          </cell>
          <cell r="G205">
            <v>18.015000000000001</v>
          </cell>
          <cell r="J205">
            <v>14.895</v>
          </cell>
          <cell r="N205">
            <v>6.34</v>
          </cell>
        </row>
        <row r="206">
          <cell r="B206">
            <v>268.5</v>
          </cell>
          <cell r="D206">
            <v>877.8</v>
          </cell>
          <cell r="G206">
            <v>18.16</v>
          </cell>
          <cell r="J206">
            <v>15.035</v>
          </cell>
          <cell r="N206">
            <v>6.41</v>
          </cell>
        </row>
        <row r="207">
          <cell r="B207">
            <v>269.3</v>
          </cell>
          <cell r="D207">
            <v>881.4</v>
          </cell>
          <cell r="G207">
            <v>18.332000000000001</v>
          </cell>
          <cell r="J207">
            <v>14.631</v>
          </cell>
          <cell r="N207">
            <v>6.34</v>
          </cell>
        </row>
        <row r="208">
          <cell r="B208">
            <v>270.10000000000002</v>
          </cell>
          <cell r="D208">
            <v>884.1</v>
          </cell>
          <cell r="G208">
            <v>18.201000000000001</v>
          </cell>
          <cell r="J208">
            <v>14.882999999999999</v>
          </cell>
          <cell r="N208">
            <v>6.26</v>
          </cell>
        </row>
        <row r="209">
          <cell r="B209">
            <v>271</v>
          </cell>
          <cell r="D209">
            <v>887.9</v>
          </cell>
          <cell r="G209">
            <v>18.757000000000001</v>
          </cell>
          <cell r="J209">
            <v>15.448</v>
          </cell>
          <cell r="N209">
            <v>6.42</v>
          </cell>
        </row>
        <row r="210">
          <cell r="B210">
            <v>272.3</v>
          </cell>
          <cell r="D210">
            <v>893.3</v>
          </cell>
          <cell r="G210">
            <v>18.812999999999999</v>
          </cell>
          <cell r="J210">
            <v>15.585000000000001</v>
          </cell>
          <cell r="N210">
            <v>7.04</v>
          </cell>
        </row>
        <row r="211">
          <cell r="B211">
            <v>273.7</v>
          </cell>
          <cell r="D211">
            <v>898.6</v>
          </cell>
          <cell r="G211">
            <v>18.454000000000001</v>
          </cell>
          <cell r="J211">
            <v>15.723000000000001</v>
          </cell>
          <cell r="N211">
            <v>7.6</v>
          </cell>
        </row>
        <row r="212">
          <cell r="B212">
            <v>274.2</v>
          </cell>
          <cell r="D212">
            <v>902.1</v>
          </cell>
          <cell r="G212">
            <v>18.468</v>
          </cell>
          <cell r="J212">
            <v>16.170999999999999</v>
          </cell>
          <cell r="N212">
            <v>7.54</v>
          </cell>
        </row>
        <row r="213">
          <cell r="B213">
            <v>273.89999999999998</v>
          </cell>
          <cell r="D213">
            <v>906.3</v>
          </cell>
          <cell r="G213">
            <v>18.765000000000001</v>
          </cell>
          <cell r="J213">
            <v>15.933</v>
          </cell>
          <cell r="N213">
            <v>7.82</v>
          </cell>
        </row>
        <row r="214">
          <cell r="B214">
            <v>275</v>
          </cell>
          <cell r="D214">
            <v>914.1</v>
          </cell>
          <cell r="G214">
            <v>18.707999999999998</v>
          </cell>
          <cell r="J214">
            <v>15.817</v>
          </cell>
          <cell r="N214">
            <v>7.64</v>
          </cell>
        </row>
        <row r="215">
          <cell r="B215">
            <v>276.39999999999998</v>
          </cell>
          <cell r="D215">
            <v>925</v>
          </cell>
          <cell r="G215">
            <v>18.745000000000001</v>
          </cell>
          <cell r="J215">
            <v>15.561</v>
          </cell>
          <cell r="N215">
            <v>7.89</v>
          </cell>
        </row>
        <row r="216">
          <cell r="B216">
            <v>276.2</v>
          </cell>
          <cell r="D216">
            <v>935.1</v>
          </cell>
          <cell r="G216">
            <v>19.170000000000002</v>
          </cell>
          <cell r="J216">
            <v>14.833</v>
          </cell>
          <cell r="N216">
            <v>8.17</v>
          </cell>
        </row>
        <row r="217">
          <cell r="B217">
            <v>279.2</v>
          </cell>
          <cell r="D217">
            <v>947.9</v>
          </cell>
          <cell r="G217">
            <v>18.779</v>
          </cell>
          <cell r="J217">
            <v>14.361000000000001</v>
          </cell>
          <cell r="N217">
            <v>8.1</v>
          </cell>
        </row>
        <row r="218">
          <cell r="B218">
            <v>282.39999999999998</v>
          </cell>
          <cell r="D218">
            <v>963</v>
          </cell>
          <cell r="G218">
            <v>19.286000000000001</v>
          </cell>
          <cell r="J218">
            <v>14.185</v>
          </cell>
          <cell r="N218">
            <v>7.59</v>
          </cell>
        </row>
        <row r="219">
          <cell r="B219">
            <v>283.7</v>
          </cell>
          <cell r="D219">
            <v>975.1</v>
          </cell>
          <cell r="G219">
            <v>19.408999999999999</v>
          </cell>
          <cell r="J219">
            <v>14.055</v>
          </cell>
          <cell r="N219">
            <v>6.97</v>
          </cell>
        </row>
        <row r="220">
          <cell r="B220">
            <v>284.10000000000002</v>
          </cell>
          <cell r="D220">
            <v>983.1</v>
          </cell>
          <cell r="G220">
            <v>19.207000000000001</v>
          </cell>
          <cell r="J220">
            <v>14.102</v>
          </cell>
          <cell r="N220">
            <v>7.06</v>
          </cell>
        </row>
        <row r="221">
          <cell r="B221">
            <v>285.7</v>
          </cell>
          <cell r="D221">
            <v>991.5</v>
          </cell>
          <cell r="G221">
            <v>19.55</v>
          </cell>
          <cell r="J221">
            <v>15.536</v>
          </cell>
          <cell r="N221">
            <v>7.75</v>
          </cell>
        </row>
        <row r="222">
          <cell r="B222">
            <v>285.39999999999998</v>
          </cell>
          <cell r="D222">
            <v>997.8</v>
          </cell>
          <cell r="G222">
            <v>19.762</v>
          </cell>
          <cell r="J222">
            <v>16.201000000000001</v>
          </cell>
          <cell r="N222">
            <v>7.55</v>
          </cell>
        </row>
        <row r="223">
          <cell r="B223">
            <v>286.8</v>
          </cell>
          <cell r="D223">
            <v>1006.9</v>
          </cell>
          <cell r="G223">
            <v>19.686</v>
          </cell>
          <cell r="J223">
            <v>16.823</v>
          </cell>
          <cell r="N223">
            <v>7.1</v>
          </cell>
        </row>
        <row r="224">
          <cell r="B224">
            <v>287.10000000000002</v>
          </cell>
          <cell r="D224">
            <v>1016.2</v>
          </cell>
          <cell r="G224">
            <v>19.419</v>
          </cell>
          <cell r="J224">
            <v>16.873999999999999</v>
          </cell>
          <cell r="N224">
            <v>6.98</v>
          </cell>
        </row>
        <row r="225">
          <cell r="B225">
            <v>288.39999999999998</v>
          </cell>
          <cell r="D225">
            <v>1026.5999999999999</v>
          </cell>
          <cell r="G225">
            <v>19.384</v>
          </cell>
          <cell r="J225">
            <v>17.123000000000001</v>
          </cell>
          <cell r="N225">
            <v>6.73</v>
          </cell>
        </row>
        <row r="226">
          <cell r="B226">
            <v>290.8</v>
          </cell>
          <cell r="D226">
            <v>1040.3</v>
          </cell>
          <cell r="G226">
            <v>19.245999999999999</v>
          </cell>
          <cell r="J226">
            <v>17.332999999999998</v>
          </cell>
          <cell r="N226">
            <v>6.43</v>
          </cell>
        </row>
        <row r="227">
          <cell r="B227">
            <v>292.7</v>
          </cell>
          <cell r="D227">
            <v>1050</v>
          </cell>
          <cell r="G227">
            <v>19.367999999999999</v>
          </cell>
          <cell r="J227">
            <v>17.387</v>
          </cell>
          <cell r="N227">
            <v>5.51</v>
          </cell>
        </row>
        <row r="228">
          <cell r="B228">
            <v>294.7</v>
          </cell>
          <cell r="D228">
            <v>1060.8</v>
          </cell>
          <cell r="G228">
            <v>19.745000000000001</v>
          </cell>
          <cell r="J228">
            <v>17.288</v>
          </cell>
          <cell r="L228">
            <v>4.0000000000000001E-3</v>
          </cell>
          <cell r="N228">
            <v>5</v>
          </cell>
        </row>
        <row r="229">
          <cell r="B229">
            <v>295.89999999999998</v>
          </cell>
          <cell r="D229">
            <v>1072.0999999999999</v>
          </cell>
          <cell r="G229">
            <v>19.609000000000002</v>
          </cell>
          <cell r="J229">
            <v>17.488</v>
          </cell>
          <cell r="L229">
            <v>1.6E-2</v>
          </cell>
          <cell r="N229">
            <v>4.57</v>
          </cell>
        </row>
        <row r="230">
          <cell r="B230">
            <v>296.2</v>
          </cell>
          <cell r="D230">
            <v>1077.5999999999999</v>
          </cell>
          <cell r="G230">
            <v>19.957000000000001</v>
          </cell>
          <cell r="J230">
            <v>17.331</v>
          </cell>
          <cell r="L230">
            <v>0.02</v>
          </cell>
          <cell r="N230">
            <v>3.89</v>
          </cell>
        </row>
        <row r="231">
          <cell r="B231">
            <v>297.2</v>
          </cell>
          <cell r="D231">
            <v>1086.3</v>
          </cell>
          <cell r="G231">
            <v>20.428999999999998</v>
          </cell>
          <cell r="J231">
            <v>17.449000000000002</v>
          </cell>
          <cell r="L231">
            <v>1.2E-2</v>
          </cell>
          <cell r="N231">
            <v>3.69</v>
          </cell>
        </row>
        <row r="232">
          <cell r="B232">
            <v>299</v>
          </cell>
          <cell r="D232">
            <v>1098.7</v>
          </cell>
          <cell r="G232">
            <v>20.445</v>
          </cell>
          <cell r="J232">
            <v>17.437999999999999</v>
          </cell>
          <cell r="L232">
            <v>1.4E-2</v>
          </cell>
          <cell r="N232">
            <v>4.3</v>
          </cell>
        </row>
        <row r="233">
          <cell r="B233">
            <v>299.60000000000002</v>
          </cell>
          <cell r="D233">
            <v>1110.8</v>
          </cell>
          <cell r="G233">
            <v>20.77</v>
          </cell>
          <cell r="J233">
            <v>17.396999999999998</v>
          </cell>
          <cell r="L233">
            <v>1.0999999999999999E-2</v>
          </cell>
          <cell r="N233">
            <v>5.04</v>
          </cell>
        </row>
        <row r="234">
          <cell r="B234">
            <v>302</v>
          </cell>
          <cell r="D234">
            <v>1125</v>
          </cell>
          <cell r="G234">
            <v>21.177</v>
          </cell>
          <cell r="J234">
            <v>17.789000000000001</v>
          </cell>
          <cell r="L234">
            <v>5.0000000000000001E-3</v>
          </cell>
          <cell r="N234">
            <v>5.64</v>
          </cell>
        </row>
        <row r="235">
          <cell r="B235">
            <v>303.60000000000002</v>
          </cell>
          <cell r="D235">
            <v>1138.2</v>
          </cell>
          <cell r="G235">
            <v>21.283000000000001</v>
          </cell>
          <cell r="J235">
            <v>17.692</v>
          </cell>
          <cell r="L235">
            <v>1.2E-2</v>
          </cell>
          <cell r="N235">
            <v>6.04</v>
          </cell>
        </row>
        <row r="236">
          <cell r="B236">
            <v>306.2</v>
          </cell>
          <cell r="D236">
            <v>1152</v>
          </cell>
          <cell r="G236">
            <v>21.315000000000001</v>
          </cell>
          <cell r="J236">
            <v>17.536999999999999</v>
          </cell>
          <cell r="L236">
            <v>1.0999999999999999E-2</v>
          </cell>
          <cell r="N236">
            <v>5.8</v>
          </cell>
        </row>
        <row r="237">
          <cell r="B237">
            <v>308.3</v>
          </cell>
          <cell r="D237">
            <v>1165.2</v>
          </cell>
          <cell r="G237">
            <v>21.242999999999999</v>
          </cell>
          <cell r="J237">
            <v>17.725000000000001</v>
          </cell>
          <cell r="L237">
            <v>8.9999999999999993E-3</v>
          </cell>
          <cell r="N237">
            <v>5.41</v>
          </cell>
        </row>
        <row r="238">
          <cell r="B238">
            <v>311.5</v>
          </cell>
          <cell r="D238">
            <v>1177.5999999999999</v>
          </cell>
          <cell r="G238">
            <v>21.148</v>
          </cell>
          <cell r="J238">
            <v>17.821000000000002</v>
          </cell>
          <cell r="L238">
            <v>3.0000000000000001E-3</v>
          </cell>
          <cell r="N238">
            <v>4.91</v>
          </cell>
        </row>
        <row r="239">
          <cell r="B239">
            <v>313.89999999999998</v>
          </cell>
          <cell r="D239">
            <v>1188.5</v>
          </cell>
          <cell r="G239">
            <v>21.302</v>
          </cell>
          <cell r="J239">
            <v>17.675000000000001</v>
          </cell>
          <cell r="L239">
            <v>0</v>
          </cell>
          <cell r="N239">
            <v>4.67</v>
          </cell>
        </row>
        <row r="240">
          <cell r="B240">
            <v>316</v>
          </cell>
          <cell r="D240">
            <v>1199.5999999999999</v>
          </cell>
          <cell r="G240">
            <v>21.556000000000001</v>
          </cell>
          <cell r="J240">
            <v>17.826000000000001</v>
          </cell>
          <cell r="L240">
            <v>0</v>
          </cell>
          <cell r="N240">
            <v>4.5999999999999996</v>
          </cell>
        </row>
        <row r="241">
          <cell r="B241">
            <v>317.2</v>
          </cell>
          <cell r="D241">
            <v>1209</v>
          </cell>
          <cell r="G241">
            <v>21.626999999999999</v>
          </cell>
          <cell r="J241">
            <v>17.82</v>
          </cell>
          <cell r="L241">
            <v>0</v>
          </cell>
          <cell r="N241">
            <v>4.28</v>
          </cell>
        </row>
        <row r="242">
          <cell r="B242">
            <v>318.8</v>
          </cell>
          <cell r="D242">
            <v>1217.8</v>
          </cell>
          <cell r="G242">
            <v>21.501999999999999</v>
          </cell>
          <cell r="J242">
            <v>17.713999999999999</v>
          </cell>
          <cell r="L242">
            <v>0</v>
          </cell>
          <cell r="N242">
            <v>4.2699999999999996</v>
          </cell>
        </row>
        <row r="243">
          <cell r="B243">
            <v>320.2</v>
          </cell>
          <cell r="D243">
            <v>1226.7</v>
          </cell>
          <cell r="G243">
            <v>22.125</v>
          </cell>
          <cell r="J243">
            <v>17.952999999999999</v>
          </cell>
          <cell r="L243">
            <v>0</v>
          </cell>
          <cell r="N243">
            <v>4.67</v>
          </cell>
        </row>
        <row r="244">
          <cell r="B244">
            <v>322.3</v>
          </cell>
          <cell r="D244">
            <v>1237</v>
          </cell>
          <cell r="G244">
            <v>22.245999999999999</v>
          </cell>
          <cell r="J244">
            <v>17.948</v>
          </cell>
          <cell r="L244">
            <v>0</v>
          </cell>
          <cell r="N244">
            <v>4.96</v>
          </cell>
        </row>
        <row r="245">
          <cell r="B245">
            <v>324.5</v>
          </cell>
          <cell r="D245">
            <v>1246.2</v>
          </cell>
          <cell r="G245">
            <v>22.454999999999998</v>
          </cell>
          <cell r="J245">
            <v>17.983000000000001</v>
          </cell>
          <cell r="L245">
            <v>0</v>
          </cell>
          <cell r="N245">
            <v>4.6399999999999997</v>
          </cell>
        </row>
        <row r="246">
          <cell r="B246">
            <v>326.39999999999998</v>
          </cell>
          <cell r="D246">
            <v>1254</v>
          </cell>
          <cell r="G246">
            <v>23</v>
          </cell>
          <cell r="J246">
            <v>18.268000000000001</v>
          </cell>
          <cell r="L246">
            <v>0</v>
          </cell>
          <cell r="N246">
            <v>4.93</v>
          </cell>
        </row>
        <row r="247">
          <cell r="B247">
            <v>328.6</v>
          </cell>
          <cell r="D247">
            <v>1262.4000000000001</v>
          </cell>
          <cell r="G247">
            <v>22.669</v>
          </cell>
          <cell r="J247">
            <v>18.335000000000001</v>
          </cell>
          <cell r="L247">
            <v>0</v>
          </cell>
          <cell r="N247">
            <v>4.96</v>
          </cell>
        </row>
        <row r="248">
          <cell r="B248">
            <v>330.9</v>
          </cell>
          <cell r="D248">
            <v>1270.3</v>
          </cell>
          <cell r="G248">
            <v>22.245999999999999</v>
          </cell>
          <cell r="J248">
            <v>18.353000000000002</v>
          </cell>
          <cell r="L248">
            <v>0</v>
          </cell>
          <cell r="N248">
            <v>4.9800000000000004</v>
          </cell>
        </row>
        <row r="249">
          <cell r="B249">
            <v>334.4</v>
          </cell>
          <cell r="D249">
            <v>1279.7</v>
          </cell>
          <cell r="G249">
            <v>22.591000000000001</v>
          </cell>
          <cell r="J249">
            <v>18.227</v>
          </cell>
          <cell r="L249">
            <v>0</v>
          </cell>
          <cell r="N249">
            <v>5.52</v>
          </cell>
        </row>
        <row r="250">
          <cell r="B250">
            <v>335.3</v>
          </cell>
          <cell r="D250">
            <v>1285.5</v>
          </cell>
          <cell r="G250">
            <v>23.324999999999999</v>
          </cell>
          <cell r="J250">
            <v>18.300999999999998</v>
          </cell>
          <cell r="L250">
            <v>0</v>
          </cell>
          <cell r="N250">
            <v>5.52</v>
          </cell>
        </row>
        <row r="251">
          <cell r="B251">
            <v>337</v>
          </cell>
          <cell r="D251">
            <v>1292.2</v>
          </cell>
          <cell r="G251">
            <v>22.722999999999999</v>
          </cell>
          <cell r="J251">
            <v>18.405999999999999</v>
          </cell>
          <cell r="L251">
            <v>0</v>
          </cell>
          <cell r="N251">
            <v>5.27</v>
          </cell>
        </row>
        <row r="252">
          <cell r="B252">
            <v>339.9</v>
          </cell>
          <cell r="D252">
            <v>1300.4000000000001</v>
          </cell>
          <cell r="G252">
            <v>22.41</v>
          </cell>
          <cell r="J252">
            <v>18.379000000000001</v>
          </cell>
          <cell r="L252">
            <v>0</v>
          </cell>
          <cell r="N252">
            <v>5.52</v>
          </cell>
        </row>
        <row r="253">
          <cell r="B253">
            <v>344.9</v>
          </cell>
          <cell r="D253">
            <v>1310.5</v>
          </cell>
          <cell r="G253">
            <v>22.361000000000001</v>
          </cell>
          <cell r="J253">
            <v>18.207999999999998</v>
          </cell>
          <cell r="L253">
            <v>0</v>
          </cell>
          <cell r="N253">
            <v>5.89</v>
          </cell>
        </row>
        <row r="254">
          <cell r="B254">
            <v>346.9</v>
          </cell>
          <cell r="D254">
            <v>1318.5</v>
          </cell>
          <cell r="G254">
            <v>22.268000000000001</v>
          </cell>
          <cell r="J254">
            <v>18.425000000000001</v>
          </cell>
          <cell r="L254">
            <v>0</v>
          </cell>
          <cell r="N254">
            <v>6.19</v>
          </cell>
        </row>
        <row r="255">
          <cell r="B255">
            <v>347.6</v>
          </cell>
          <cell r="D255">
            <v>1324.1</v>
          </cell>
          <cell r="G255">
            <v>22.672999999999998</v>
          </cell>
          <cell r="J255">
            <v>17.858000000000001</v>
          </cell>
          <cell r="L255">
            <v>0</v>
          </cell>
          <cell r="N255">
            <v>6.85</v>
          </cell>
        </row>
        <row r="256">
          <cell r="B256">
            <v>349.6</v>
          </cell>
          <cell r="D256">
            <v>1333.5</v>
          </cell>
          <cell r="G256">
            <v>23.016999999999999</v>
          </cell>
          <cell r="J256">
            <v>18.247</v>
          </cell>
          <cell r="L256">
            <v>0</v>
          </cell>
          <cell r="N256">
            <v>6.85</v>
          </cell>
        </row>
        <row r="257">
          <cell r="B257">
            <v>352.2</v>
          </cell>
          <cell r="D257">
            <v>1345</v>
          </cell>
          <cell r="G257">
            <v>23.094000000000001</v>
          </cell>
          <cell r="J257">
            <v>17.658000000000001</v>
          </cell>
          <cell r="L257">
            <v>0</v>
          </cell>
          <cell r="N257">
            <v>6.89</v>
          </cell>
        </row>
        <row r="258">
          <cell r="B258">
            <v>353.3</v>
          </cell>
          <cell r="D258">
            <v>1352.3</v>
          </cell>
          <cell r="G258">
            <v>23.577000000000002</v>
          </cell>
          <cell r="J258">
            <v>18.149999999999999</v>
          </cell>
          <cell r="L258">
            <v>0</v>
          </cell>
          <cell r="N258">
            <v>7.31</v>
          </cell>
        </row>
        <row r="259">
          <cell r="B259">
            <v>355.4</v>
          </cell>
          <cell r="D259">
            <v>1359.1</v>
          </cell>
          <cell r="G259">
            <v>23.047000000000001</v>
          </cell>
          <cell r="J259">
            <v>18.420000000000002</v>
          </cell>
          <cell r="L259">
            <v>0</v>
          </cell>
          <cell r="N259">
            <v>8.39</v>
          </cell>
        </row>
        <row r="260">
          <cell r="B260">
            <v>357.3</v>
          </cell>
          <cell r="D260">
            <v>1366</v>
          </cell>
          <cell r="G260">
            <v>22.785</v>
          </cell>
          <cell r="J260">
            <v>18.806000000000001</v>
          </cell>
          <cell r="L260">
            <v>0</v>
          </cell>
          <cell r="N260">
            <v>8.82</v>
          </cell>
        </row>
        <row r="261">
          <cell r="B261">
            <v>358.6</v>
          </cell>
          <cell r="D261">
            <v>1371.6</v>
          </cell>
          <cell r="G261">
            <v>23.35</v>
          </cell>
          <cell r="J261">
            <v>19.155000000000001</v>
          </cell>
          <cell r="L261">
            <v>0</v>
          </cell>
          <cell r="N261">
            <v>8.31</v>
          </cell>
        </row>
        <row r="262">
          <cell r="B262">
            <v>359.9</v>
          </cell>
          <cell r="D262">
            <v>1377.8</v>
          </cell>
          <cell r="G262">
            <v>23.071000000000002</v>
          </cell>
          <cell r="J262">
            <v>18.957999999999998</v>
          </cell>
          <cell r="L262">
            <v>0</v>
          </cell>
          <cell r="N262">
            <v>7.4</v>
          </cell>
        </row>
        <row r="263">
          <cell r="B263">
            <v>362.5</v>
          </cell>
          <cell r="D263">
            <v>1387.8</v>
          </cell>
          <cell r="G263">
            <v>22.699000000000002</v>
          </cell>
          <cell r="J263">
            <v>18.850999999999999</v>
          </cell>
          <cell r="L263">
            <v>0</v>
          </cell>
          <cell r="N263">
            <v>7.57</v>
          </cell>
        </row>
        <row r="264">
          <cell r="B264">
            <v>368</v>
          </cell>
          <cell r="D264">
            <v>1402.1</v>
          </cell>
          <cell r="G264">
            <v>23.187999999999999</v>
          </cell>
          <cell r="J264">
            <v>18.443000000000001</v>
          </cell>
          <cell r="L264">
            <v>0</v>
          </cell>
          <cell r="N264">
            <v>7.27</v>
          </cell>
        </row>
        <row r="265">
          <cell r="B265">
            <v>369.6</v>
          </cell>
          <cell r="D265">
            <v>1410.2</v>
          </cell>
          <cell r="G265">
            <v>23.376000000000001</v>
          </cell>
          <cell r="J265">
            <v>18.774000000000001</v>
          </cell>
          <cell r="L265">
            <v>0</v>
          </cell>
          <cell r="N265">
            <v>7.42</v>
          </cell>
        </row>
        <row r="266">
          <cell r="B266">
            <v>373.4</v>
          </cell>
          <cell r="D266">
            <v>1423</v>
          </cell>
          <cell r="G266">
            <v>23.684999999999999</v>
          </cell>
          <cell r="J266">
            <v>18.800999999999998</v>
          </cell>
          <cell r="L266">
            <v>0</v>
          </cell>
          <cell r="N266">
            <v>6.88</v>
          </cell>
        </row>
        <row r="267">
          <cell r="B267">
            <v>377.2</v>
          </cell>
          <cell r="D267">
            <v>1434.8</v>
          </cell>
          <cell r="G267">
            <v>23.54</v>
          </cell>
          <cell r="J267">
            <v>18.771999999999998</v>
          </cell>
          <cell r="L267">
            <v>0</v>
          </cell>
          <cell r="N267">
            <v>7.76</v>
          </cell>
        </row>
        <row r="268">
          <cell r="B268">
            <v>378.8</v>
          </cell>
          <cell r="D268">
            <v>1446.6</v>
          </cell>
          <cell r="G268">
            <v>23.524999999999999</v>
          </cell>
          <cell r="J268">
            <v>18.934000000000001</v>
          </cell>
          <cell r="L268">
            <v>0</v>
          </cell>
          <cell r="N268">
            <v>8.6199999999999992</v>
          </cell>
        </row>
        <row r="269">
          <cell r="B269">
            <v>379.3</v>
          </cell>
          <cell r="D269">
            <v>1454.1</v>
          </cell>
          <cell r="G269">
            <v>23.907</v>
          </cell>
          <cell r="J269">
            <v>18.832000000000001</v>
          </cell>
          <cell r="L269">
            <v>0</v>
          </cell>
          <cell r="N269">
            <v>8.7799999999999994</v>
          </cell>
        </row>
        <row r="270">
          <cell r="B270">
            <v>380.8</v>
          </cell>
          <cell r="D270">
            <v>1460.4</v>
          </cell>
          <cell r="G270">
            <v>24.89</v>
          </cell>
          <cell r="J270">
            <v>19.169</v>
          </cell>
          <cell r="L270">
            <v>0</v>
          </cell>
          <cell r="N270">
            <v>8.67</v>
          </cell>
        </row>
        <row r="271">
          <cell r="B271">
            <v>380.8</v>
          </cell>
          <cell r="D271">
            <v>1465.9</v>
          </cell>
          <cell r="G271">
            <v>24.73</v>
          </cell>
          <cell r="J271">
            <v>18.885000000000002</v>
          </cell>
          <cell r="L271">
            <v>0</v>
          </cell>
          <cell r="N271">
            <v>8.8000000000000007</v>
          </cell>
        </row>
        <row r="272">
          <cell r="B272">
            <v>381.8</v>
          </cell>
          <cell r="D272">
            <v>1473.7</v>
          </cell>
          <cell r="G272">
            <v>24.594999999999999</v>
          </cell>
          <cell r="J272">
            <v>18.818000000000001</v>
          </cell>
          <cell r="L272">
            <v>0</v>
          </cell>
          <cell r="N272">
            <v>9.36</v>
          </cell>
        </row>
        <row r="273">
          <cell r="B273">
            <v>385.8</v>
          </cell>
          <cell r="D273">
            <v>1482.7</v>
          </cell>
          <cell r="G273">
            <v>24.84</v>
          </cell>
          <cell r="J273">
            <v>18.422999999999998</v>
          </cell>
          <cell r="L273">
            <v>0</v>
          </cell>
          <cell r="N273">
            <v>8.8699999999999992</v>
          </cell>
        </row>
        <row r="274">
          <cell r="B274">
            <v>390.1</v>
          </cell>
          <cell r="D274">
            <v>1494.6</v>
          </cell>
          <cell r="G274">
            <v>25.16</v>
          </cell>
          <cell r="J274">
            <v>18.439</v>
          </cell>
          <cell r="L274">
            <v>0</v>
          </cell>
          <cell r="N274">
            <v>8.0500000000000007</v>
          </cell>
        </row>
        <row r="275">
          <cell r="B275">
            <v>388.4</v>
          </cell>
          <cell r="D275">
            <v>1499.8</v>
          </cell>
          <cell r="G275">
            <v>24.864000000000001</v>
          </cell>
          <cell r="J275">
            <v>18.587</v>
          </cell>
          <cell r="L275">
            <v>0</v>
          </cell>
          <cell r="N275">
            <v>7.66</v>
          </cell>
        </row>
        <row r="276">
          <cell r="B276">
            <v>383.8</v>
          </cell>
          <cell r="D276">
            <v>1502.2</v>
          </cell>
          <cell r="G276">
            <v>25.251000000000001</v>
          </cell>
          <cell r="J276">
            <v>17.788</v>
          </cell>
          <cell r="L276">
            <v>0</v>
          </cell>
          <cell r="N276">
            <v>7.31</v>
          </cell>
        </row>
        <row r="277">
          <cell r="B277">
            <v>384.8</v>
          </cell>
          <cell r="D277">
            <v>1512.3</v>
          </cell>
          <cell r="G277">
            <v>25.096</v>
          </cell>
          <cell r="J277">
            <v>18.39</v>
          </cell>
          <cell r="L277">
            <v>0</v>
          </cell>
          <cell r="N277">
            <v>6.83</v>
          </cell>
        </row>
        <row r="278">
          <cell r="B278">
            <v>389.1</v>
          </cell>
          <cell r="D278">
            <v>1529.2</v>
          </cell>
          <cell r="G278">
            <v>25.347000000000001</v>
          </cell>
          <cell r="J278">
            <v>18.821999999999999</v>
          </cell>
          <cell r="L278">
            <v>0</v>
          </cell>
          <cell r="N278">
            <v>5.98</v>
          </cell>
        </row>
        <row r="279">
          <cell r="B279">
            <v>394</v>
          </cell>
          <cell r="D279">
            <v>1545.5</v>
          </cell>
          <cell r="G279">
            <v>25.416</v>
          </cell>
          <cell r="J279">
            <v>18.922999999999998</v>
          </cell>
          <cell r="L279">
            <v>0</v>
          </cell>
          <cell r="N279">
            <v>6.11</v>
          </cell>
        </row>
        <row r="280">
          <cell r="B280">
            <v>399.2</v>
          </cell>
          <cell r="D280">
            <v>1561.5</v>
          </cell>
          <cell r="G280">
            <v>25.475000000000001</v>
          </cell>
          <cell r="J280">
            <v>18.667000000000002</v>
          </cell>
          <cell r="L280">
            <v>0</v>
          </cell>
          <cell r="N280">
            <v>6.9</v>
          </cell>
        </row>
        <row r="281">
          <cell r="B281">
            <v>404.8</v>
          </cell>
          <cell r="D281">
            <v>1574</v>
          </cell>
          <cell r="G281">
            <v>25.67</v>
          </cell>
          <cell r="J281">
            <v>18.353000000000002</v>
          </cell>
          <cell r="L281">
            <v>0</v>
          </cell>
          <cell r="N281">
            <v>6.39</v>
          </cell>
        </row>
        <row r="282">
          <cell r="B282">
            <v>409</v>
          </cell>
          <cell r="D282">
            <v>1584.8</v>
          </cell>
          <cell r="G282">
            <v>26.981000000000002</v>
          </cell>
          <cell r="J282">
            <v>18.492000000000001</v>
          </cell>
          <cell r="L282">
            <v>0</v>
          </cell>
          <cell r="N282">
            <v>6.29</v>
          </cell>
        </row>
        <row r="283">
          <cell r="B283">
            <v>410.7</v>
          </cell>
          <cell r="D283">
            <v>1595.8</v>
          </cell>
          <cell r="G283">
            <v>26.396000000000001</v>
          </cell>
          <cell r="J283">
            <v>19.248000000000001</v>
          </cell>
          <cell r="L283">
            <v>0</v>
          </cell>
          <cell r="N283">
            <v>7.11</v>
          </cell>
        </row>
        <row r="284">
          <cell r="B284">
            <v>408.5</v>
          </cell>
          <cell r="D284">
            <v>1599.8</v>
          </cell>
          <cell r="G284">
            <v>26.515000000000001</v>
          </cell>
          <cell r="J284">
            <v>19.452000000000002</v>
          </cell>
          <cell r="L284">
            <v>0</v>
          </cell>
          <cell r="N284">
            <v>7.7</v>
          </cell>
        </row>
        <row r="285">
          <cell r="B285">
            <v>411.3</v>
          </cell>
          <cell r="D285">
            <v>1606.9</v>
          </cell>
          <cell r="G285">
            <v>27.158999999999999</v>
          </cell>
          <cell r="J285">
            <v>19.027000000000001</v>
          </cell>
          <cell r="L285">
            <v>0</v>
          </cell>
          <cell r="N285">
            <v>7.75</v>
          </cell>
        </row>
        <row r="286">
          <cell r="B286">
            <v>414.8</v>
          </cell>
          <cell r="D286">
            <v>1618.7</v>
          </cell>
          <cell r="G286">
            <v>27.379000000000001</v>
          </cell>
          <cell r="J286">
            <v>17.879000000000001</v>
          </cell>
          <cell r="L286">
            <v>9.9000000000000005E-2</v>
          </cell>
          <cell r="N286">
            <v>6.95</v>
          </cell>
        </row>
        <row r="287">
          <cell r="B287">
            <v>419</v>
          </cell>
          <cell r="D287">
            <v>1636.6</v>
          </cell>
          <cell r="G287">
            <v>27.004999999999999</v>
          </cell>
          <cell r="J287">
            <v>18.173999999999999</v>
          </cell>
          <cell r="L287">
            <v>0.55200000000000005</v>
          </cell>
          <cell r="N287">
            <v>6.49</v>
          </cell>
        </row>
        <row r="288">
          <cell r="B288">
            <v>427.4</v>
          </cell>
          <cell r="D288">
            <v>1659.2</v>
          </cell>
          <cell r="G288">
            <v>27.405000000000001</v>
          </cell>
          <cell r="J288">
            <v>19.420999999999999</v>
          </cell>
          <cell r="L288">
            <v>0.74299999999999999</v>
          </cell>
          <cell r="N288">
            <v>6.6</v>
          </cell>
        </row>
        <row r="289">
          <cell r="B289">
            <v>424.7</v>
          </cell>
          <cell r="D289">
            <v>1664.2</v>
          </cell>
          <cell r="G289">
            <v>27.385000000000002</v>
          </cell>
          <cell r="J289">
            <v>20.196000000000002</v>
          </cell>
          <cell r="L289">
            <v>0.307</v>
          </cell>
          <cell r="N289">
            <v>5.81</v>
          </cell>
        </row>
        <row r="290">
          <cell r="B290">
            <v>425.2</v>
          </cell>
          <cell r="D290">
            <v>1670.3</v>
          </cell>
          <cell r="G290">
            <v>27.271000000000001</v>
          </cell>
          <cell r="J290">
            <v>20.401</v>
          </cell>
          <cell r="L290">
            <v>0.253</v>
          </cell>
          <cell r="N290">
            <v>5.91</v>
          </cell>
        </row>
        <row r="291">
          <cell r="B291">
            <v>426.9</v>
          </cell>
          <cell r="D291">
            <v>1681.9</v>
          </cell>
          <cell r="G291">
            <v>28.05</v>
          </cell>
          <cell r="J291">
            <v>20.352</v>
          </cell>
          <cell r="L291">
            <v>0.24099999999999999</v>
          </cell>
          <cell r="N291">
            <v>6.21</v>
          </cell>
        </row>
        <row r="292">
          <cell r="B292">
            <v>426.9</v>
          </cell>
          <cell r="D292">
            <v>1694.3</v>
          </cell>
          <cell r="G292">
            <v>26</v>
          </cell>
          <cell r="J292">
            <v>19.920999999999999</v>
          </cell>
          <cell r="L292">
            <v>9.0999999999999998E-2</v>
          </cell>
          <cell r="N292">
            <v>5.92</v>
          </cell>
        </row>
        <row r="293">
          <cell r="B293">
            <v>427</v>
          </cell>
          <cell r="D293">
            <v>1706</v>
          </cell>
          <cell r="G293">
            <v>25.317</v>
          </cell>
          <cell r="J293">
            <v>19.837</v>
          </cell>
          <cell r="L293">
            <v>0</v>
          </cell>
          <cell r="N293">
            <v>6.4</v>
          </cell>
        </row>
        <row r="294">
          <cell r="B294">
            <v>428.4</v>
          </cell>
          <cell r="D294">
            <v>1721.8</v>
          </cell>
          <cell r="G294">
            <v>26.396000000000001</v>
          </cell>
          <cell r="J294">
            <v>20.091000000000001</v>
          </cell>
          <cell r="L294">
            <v>0</v>
          </cell>
          <cell r="N294">
            <v>6.52</v>
          </cell>
        </row>
        <row r="295">
          <cell r="B295">
            <v>431.3</v>
          </cell>
          <cell r="D295">
            <v>1736.1</v>
          </cell>
          <cell r="G295">
            <v>25.704000000000001</v>
          </cell>
          <cell r="J295">
            <v>20.324999999999999</v>
          </cell>
          <cell r="L295">
            <v>3.0000000000000001E-3</v>
          </cell>
          <cell r="N295">
            <v>6.2</v>
          </cell>
        </row>
        <row r="296">
          <cell r="B296">
            <v>436.7</v>
          </cell>
          <cell r="D296">
            <v>1755.5</v>
          </cell>
          <cell r="G296">
            <v>26.036000000000001</v>
          </cell>
          <cell r="J296">
            <v>20.277999999999999</v>
          </cell>
          <cell r="L296">
            <v>7.0000000000000007E-2</v>
          </cell>
          <cell r="N296">
            <v>6</v>
          </cell>
        </row>
        <row r="297">
          <cell r="B297">
            <v>442.7</v>
          </cell>
          <cell r="D297">
            <v>1770.4</v>
          </cell>
          <cell r="G297">
            <v>26.526</v>
          </cell>
          <cell r="J297">
            <v>20.536000000000001</v>
          </cell>
          <cell r="L297">
            <v>2.1000000000000001E-2</v>
          </cell>
          <cell r="N297">
            <v>5.84</v>
          </cell>
        </row>
        <row r="298">
          <cell r="B298">
            <v>441.9</v>
          </cell>
          <cell r="D298">
            <v>1774.5</v>
          </cell>
          <cell r="G298">
            <v>26.405999999999999</v>
          </cell>
          <cell r="J298">
            <v>21.071999999999999</v>
          </cell>
          <cell r="L298">
            <v>1.4999999999999999E-2</v>
          </cell>
          <cell r="N298">
            <v>5.5</v>
          </cell>
        </row>
        <row r="299">
          <cell r="B299">
            <v>442.7</v>
          </cell>
          <cell r="D299">
            <v>1786.5</v>
          </cell>
          <cell r="G299">
            <v>26.102</v>
          </cell>
          <cell r="J299">
            <v>20.849</v>
          </cell>
          <cell r="L299">
            <v>8.0000000000000002E-3</v>
          </cell>
          <cell r="N299">
            <v>5.29</v>
          </cell>
        </row>
        <row r="300">
          <cell r="B300">
            <v>447.1</v>
          </cell>
          <cell r="D300">
            <v>1803.9</v>
          </cell>
          <cell r="G300">
            <v>27.21</v>
          </cell>
          <cell r="J300">
            <v>20.219000000000001</v>
          </cell>
          <cell r="L300">
            <v>6.0000000000000001E-3</v>
          </cell>
          <cell r="N300">
            <v>4.8899999999999997</v>
          </cell>
        </row>
        <row r="301">
          <cell r="B301">
            <v>446.7</v>
          </cell>
          <cell r="D301">
            <v>1815.4</v>
          </cell>
          <cell r="G301">
            <v>27.417999999999999</v>
          </cell>
          <cell r="J301">
            <v>20.289000000000001</v>
          </cell>
          <cell r="L301">
            <v>7.0000000000000001E-3</v>
          </cell>
          <cell r="N301">
            <v>5.29</v>
          </cell>
        </row>
        <row r="302">
          <cell r="B302">
            <v>447.5</v>
          </cell>
          <cell r="D302">
            <v>1826</v>
          </cell>
          <cell r="G302">
            <v>27.605</v>
          </cell>
          <cell r="J302">
            <v>20.65</v>
          </cell>
          <cell r="L302">
            <v>3.0000000000000001E-3</v>
          </cell>
          <cell r="N302">
            <v>5.47</v>
          </cell>
        </row>
        <row r="303">
          <cell r="B303">
            <v>448</v>
          </cell>
          <cell r="D303">
            <v>1831.8</v>
          </cell>
          <cell r="G303">
            <v>28.571000000000002</v>
          </cell>
          <cell r="J303">
            <v>20.936</v>
          </cell>
          <cell r="L303">
            <v>0.08</v>
          </cell>
          <cell r="N303">
            <v>5.5</v>
          </cell>
        </row>
        <row r="304">
          <cell r="B304">
            <v>451.4</v>
          </cell>
          <cell r="D304">
            <v>1845.6</v>
          </cell>
          <cell r="G304">
            <v>28.385000000000002</v>
          </cell>
          <cell r="J304">
            <v>21.030999999999999</v>
          </cell>
          <cell r="L304">
            <v>0.30099999999999999</v>
          </cell>
          <cell r="N304">
            <v>5.44</v>
          </cell>
        </row>
        <row r="305">
          <cell r="B305">
            <v>456.9</v>
          </cell>
          <cell r="D305">
            <v>1858.8</v>
          </cell>
          <cell r="G305">
            <v>28.472999999999999</v>
          </cell>
          <cell r="J305">
            <v>21.114999999999998</v>
          </cell>
          <cell r="L305">
            <v>0.438</v>
          </cell>
          <cell r="N305">
            <v>5.84</v>
          </cell>
        </row>
        <row r="306">
          <cell r="B306">
            <v>464.5</v>
          </cell>
          <cell r="D306">
            <v>1870.1</v>
          </cell>
          <cell r="G306">
            <v>29.385000000000002</v>
          </cell>
          <cell r="J306">
            <v>21.675000000000001</v>
          </cell>
          <cell r="L306">
            <v>0.16500000000000001</v>
          </cell>
          <cell r="N306">
            <v>5.8</v>
          </cell>
        </row>
        <row r="307">
          <cell r="B307">
            <v>471.5</v>
          </cell>
          <cell r="D307">
            <v>1884.1</v>
          </cell>
          <cell r="G307">
            <v>28.635000000000002</v>
          </cell>
          <cell r="J307">
            <v>21.806999999999999</v>
          </cell>
          <cell r="L307">
            <v>0.14799999999999999</v>
          </cell>
          <cell r="N307">
            <v>5.94</v>
          </cell>
        </row>
        <row r="308">
          <cell r="B308">
            <v>474.8</v>
          </cell>
          <cell r="D308">
            <v>1906.4</v>
          </cell>
          <cell r="G308">
            <v>28.475000000000001</v>
          </cell>
          <cell r="J308">
            <v>21.152000000000001</v>
          </cell>
          <cell r="L308">
            <v>0.19700000000000001</v>
          </cell>
          <cell r="N308">
            <v>6.37</v>
          </cell>
        </row>
        <row r="309">
          <cell r="B309">
            <v>477.2</v>
          </cell>
          <cell r="D309">
            <v>1959.8</v>
          </cell>
          <cell r="G309">
            <v>29.55</v>
          </cell>
          <cell r="J309">
            <v>20.762</v>
          </cell>
          <cell r="L309">
            <v>0.23200000000000001</v>
          </cell>
          <cell r="N309">
            <v>6.53</v>
          </cell>
        </row>
        <row r="310">
          <cell r="B310">
            <v>484.3</v>
          </cell>
          <cell r="D310">
            <v>1997.2</v>
          </cell>
          <cell r="G310">
            <v>29.882999999999999</v>
          </cell>
          <cell r="J310">
            <v>20.898</v>
          </cell>
          <cell r="L310">
            <v>0.308</v>
          </cell>
          <cell r="N310">
            <v>6.97</v>
          </cell>
        </row>
        <row r="311">
          <cell r="B311">
            <v>490.6</v>
          </cell>
          <cell r="D311">
            <v>2015.5</v>
          </cell>
          <cell r="G311">
            <v>29.789000000000001</v>
          </cell>
          <cell r="J311">
            <v>20.768999999999998</v>
          </cell>
          <cell r="L311">
            <v>0.245</v>
          </cell>
          <cell r="N311">
            <v>6.95</v>
          </cell>
        </row>
        <row r="312">
          <cell r="B312">
            <v>493.2</v>
          </cell>
          <cell r="D312">
            <v>2028.9</v>
          </cell>
          <cell r="G312">
            <v>30.495000000000001</v>
          </cell>
          <cell r="J312">
            <v>21.285</v>
          </cell>
          <cell r="L312">
            <v>0.17599999999999999</v>
          </cell>
          <cell r="N312">
            <v>6.96</v>
          </cell>
        </row>
        <row r="313">
          <cell r="B313">
            <v>500</v>
          </cell>
          <cell r="D313">
            <v>2043.4</v>
          </cell>
          <cell r="G313">
            <v>30.274000000000001</v>
          </cell>
          <cell r="J313">
            <v>21.164000000000001</v>
          </cell>
          <cell r="L313">
            <v>0.104</v>
          </cell>
          <cell r="N313">
            <v>7.28</v>
          </cell>
        </row>
        <row r="314">
          <cell r="B314">
            <v>504</v>
          </cell>
          <cell r="D314">
            <v>2053.8000000000002</v>
          </cell>
          <cell r="G314">
            <v>30.143999999999998</v>
          </cell>
          <cell r="J314">
            <v>21.49</v>
          </cell>
          <cell r="L314">
            <v>0.05</v>
          </cell>
          <cell r="N314">
            <v>7.34</v>
          </cell>
        </row>
        <row r="315">
          <cell r="B315">
            <v>507.8</v>
          </cell>
          <cell r="D315">
            <v>2065.1</v>
          </cell>
          <cell r="G315">
            <v>30.016999999999999</v>
          </cell>
          <cell r="J315">
            <v>21.832999999999998</v>
          </cell>
          <cell r="L315">
            <v>9.4E-2</v>
          </cell>
          <cell r="N315">
            <v>7.31</v>
          </cell>
        </row>
        <row r="316">
          <cell r="B316">
            <v>510.5</v>
          </cell>
          <cell r="D316">
            <v>2074.3000000000002</v>
          </cell>
          <cell r="G316">
            <v>29.847999999999999</v>
          </cell>
          <cell r="J316">
            <v>21.751999999999999</v>
          </cell>
          <cell r="L316">
            <v>0.11899999999999999</v>
          </cell>
          <cell r="N316">
            <v>7.45</v>
          </cell>
        </row>
        <row r="317">
          <cell r="B317">
            <v>512.79999999999995</v>
          </cell>
          <cell r="D317">
            <v>2083.5</v>
          </cell>
          <cell r="G317">
            <v>29.681999999999999</v>
          </cell>
          <cell r="J317">
            <v>22.411999999999999</v>
          </cell>
          <cell r="L317">
            <v>0.14099999999999999</v>
          </cell>
          <cell r="N317">
            <v>7.82</v>
          </cell>
        </row>
        <row r="318">
          <cell r="B318">
            <v>517.20000000000005</v>
          </cell>
          <cell r="D318">
            <v>2099.5</v>
          </cell>
          <cell r="G318">
            <v>29.911000000000001</v>
          </cell>
          <cell r="J318">
            <v>22.733000000000001</v>
          </cell>
          <cell r="L318">
            <v>0.188</v>
          </cell>
          <cell r="N318">
            <v>8.09</v>
          </cell>
        </row>
        <row r="319">
          <cell r="B319">
            <v>519</v>
          </cell>
          <cell r="D319">
            <v>2112.6</v>
          </cell>
          <cell r="G319">
            <v>28.460999999999999</v>
          </cell>
          <cell r="J319">
            <v>22.966000000000001</v>
          </cell>
          <cell r="L319">
            <v>0.186</v>
          </cell>
          <cell r="N319">
            <v>8.39</v>
          </cell>
        </row>
        <row r="320">
          <cell r="B320">
            <v>521.4</v>
          </cell>
          <cell r="D320">
            <v>2123.8000000000002</v>
          </cell>
          <cell r="G320">
            <v>27.882000000000001</v>
          </cell>
          <cell r="J320">
            <v>22.696999999999999</v>
          </cell>
          <cell r="L320">
            <v>0.157</v>
          </cell>
          <cell r="N320">
            <v>8.31</v>
          </cell>
        </row>
        <row r="321">
          <cell r="B321">
            <v>525.1</v>
          </cell>
          <cell r="D321">
            <v>2138.5</v>
          </cell>
          <cell r="G321">
            <v>28.3</v>
          </cell>
          <cell r="J321">
            <v>23.318999999999999</v>
          </cell>
          <cell r="L321">
            <v>0.27900000000000003</v>
          </cell>
          <cell r="N321">
            <v>8.64</v>
          </cell>
        </row>
        <row r="322">
          <cell r="B322">
            <v>527.5</v>
          </cell>
          <cell r="D322">
            <v>2158.6</v>
          </cell>
          <cell r="G322">
            <v>27.731000000000002</v>
          </cell>
          <cell r="J322">
            <v>23.620999999999999</v>
          </cell>
          <cell r="L322">
            <v>0.317</v>
          </cell>
          <cell r="N322">
            <v>9.14</v>
          </cell>
        </row>
        <row r="323">
          <cell r="B323">
            <v>531.4</v>
          </cell>
          <cell r="D323">
            <v>2175.5</v>
          </cell>
          <cell r="G323">
            <v>27.66</v>
          </cell>
          <cell r="J323">
            <v>23.89</v>
          </cell>
          <cell r="L323">
            <v>0.40500000000000003</v>
          </cell>
          <cell r="N323">
            <v>10.01</v>
          </cell>
        </row>
        <row r="324">
          <cell r="B324">
            <v>535</v>
          </cell>
          <cell r="D324">
            <v>2192.1</v>
          </cell>
          <cell r="G324">
            <v>27.66</v>
          </cell>
          <cell r="J324">
            <v>23.907</v>
          </cell>
          <cell r="L324">
            <v>0.51300000000000001</v>
          </cell>
          <cell r="N324">
            <v>10.3</v>
          </cell>
        </row>
        <row r="325">
          <cell r="B325">
            <v>536.70000000000005</v>
          </cell>
          <cell r="D325">
            <v>2204.5</v>
          </cell>
          <cell r="G325">
            <v>27.161000000000001</v>
          </cell>
          <cell r="J325">
            <v>23.640999999999998</v>
          </cell>
          <cell r="L325">
            <v>0.95799999999999996</v>
          </cell>
          <cell r="N325">
            <v>10.41</v>
          </cell>
        </row>
        <row r="326">
          <cell r="B326">
            <v>540.20000000000005</v>
          </cell>
          <cell r="D326">
            <v>2215.4</v>
          </cell>
          <cell r="G326">
            <v>27.207000000000001</v>
          </cell>
          <cell r="J326">
            <v>23.902999999999999</v>
          </cell>
          <cell r="L326">
            <v>0.57799999999999996</v>
          </cell>
          <cell r="N326">
            <v>10.24</v>
          </cell>
        </row>
        <row r="327">
          <cell r="B327">
            <v>540.9</v>
          </cell>
          <cell r="D327">
            <v>2223.9</v>
          </cell>
          <cell r="G327">
            <v>27.312000000000001</v>
          </cell>
          <cell r="J327">
            <v>23.83</v>
          </cell>
          <cell r="L327">
            <v>0.49099999999999999</v>
          </cell>
          <cell r="N327">
            <v>10.25</v>
          </cell>
        </row>
        <row r="328">
          <cell r="B328">
            <v>541</v>
          </cell>
          <cell r="D328">
            <v>2230.6999999999998</v>
          </cell>
          <cell r="G328">
            <v>27.216999999999999</v>
          </cell>
          <cell r="J328">
            <v>23.994</v>
          </cell>
          <cell r="L328">
            <v>0.51500000000000001</v>
          </cell>
          <cell r="N328">
            <v>10.119999999999999</v>
          </cell>
        </row>
        <row r="329">
          <cell r="B329">
            <v>543.1</v>
          </cell>
          <cell r="D329">
            <v>2244.8000000000002</v>
          </cell>
          <cell r="G329">
            <v>27.219000000000001</v>
          </cell>
          <cell r="J329">
            <v>24.61</v>
          </cell>
          <cell r="L329">
            <v>0.25600000000000001</v>
          </cell>
          <cell r="N329">
            <v>10.119999999999999</v>
          </cell>
        </row>
        <row r="330">
          <cell r="B330">
            <v>543.70000000000005</v>
          </cell>
          <cell r="D330">
            <v>2259.1999999999998</v>
          </cell>
          <cell r="G330">
            <v>27.169</v>
          </cell>
          <cell r="J330">
            <v>24.491</v>
          </cell>
          <cell r="L330">
            <v>6.0000000000000001E-3</v>
          </cell>
          <cell r="N330">
            <v>9.57</v>
          </cell>
        </row>
        <row r="331">
          <cell r="B331">
            <v>547.5</v>
          </cell>
          <cell r="D331">
            <v>2281.6999999999998</v>
          </cell>
          <cell r="G331">
            <v>26.504000000000001</v>
          </cell>
          <cell r="J331">
            <v>24.593</v>
          </cell>
          <cell r="L331">
            <v>2E-3</v>
          </cell>
          <cell r="N331">
            <v>9.64</v>
          </cell>
        </row>
        <row r="332">
          <cell r="B332">
            <v>551.6</v>
          </cell>
          <cell r="D332">
            <v>2306.8000000000002</v>
          </cell>
          <cell r="G332">
            <v>26.297999999999998</v>
          </cell>
          <cell r="J332">
            <v>24.736000000000001</v>
          </cell>
          <cell r="L332">
            <v>4.0000000000000001E-3</v>
          </cell>
          <cell r="N332">
            <v>9.98</v>
          </cell>
        </row>
        <row r="333">
          <cell r="B333">
            <v>557</v>
          </cell>
          <cell r="D333">
            <v>2332.6999999999998</v>
          </cell>
          <cell r="G333">
            <v>26.559000000000001</v>
          </cell>
          <cell r="J333">
            <v>25.262</v>
          </cell>
          <cell r="L333">
            <v>5.0000000000000001E-3</v>
          </cell>
          <cell r="N333">
            <v>10.84</v>
          </cell>
        </row>
        <row r="334">
          <cell r="B334">
            <v>563.6</v>
          </cell>
          <cell r="D334">
            <v>2354.4</v>
          </cell>
          <cell r="G334">
            <v>26.22</v>
          </cell>
          <cell r="J334">
            <v>24.812000000000001</v>
          </cell>
          <cell r="L334">
            <v>2.7E-2</v>
          </cell>
          <cell r="N334">
            <v>12.44</v>
          </cell>
        </row>
        <row r="335">
          <cell r="B335">
            <v>566.6</v>
          </cell>
          <cell r="D335">
            <v>2366.6</v>
          </cell>
          <cell r="G335">
            <v>25.962</v>
          </cell>
          <cell r="J335">
            <v>24.457000000000001</v>
          </cell>
          <cell r="L335">
            <v>4.3999999999999997E-2</v>
          </cell>
          <cell r="N335">
            <v>12.39</v>
          </cell>
        </row>
        <row r="336">
          <cell r="B336">
            <v>570.4</v>
          </cell>
          <cell r="D336">
            <v>2375.6999999999998</v>
          </cell>
          <cell r="G336">
            <v>26.245000000000001</v>
          </cell>
          <cell r="J336">
            <v>22.893999999999998</v>
          </cell>
          <cell r="L336">
            <v>3.6999999999999998E-2</v>
          </cell>
          <cell r="N336">
            <v>11.98</v>
          </cell>
        </row>
        <row r="337">
          <cell r="B337">
            <v>575.1</v>
          </cell>
          <cell r="D337">
            <v>2389.9</v>
          </cell>
          <cell r="G337">
            <v>26.064</v>
          </cell>
          <cell r="J337">
            <v>22.794</v>
          </cell>
          <cell r="L337">
            <v>1.873</v>
          </cell>
          <cell r="N337">
            <v>12.06</v>
          </cell>
        </row>
        <row r="338">
          <cell r="B338">
            <v>582.29999999999995</v>
          </cell>
          <cell r="D338">
            <v>2413</v>
          </cell>
          <cell r="G338">
            <v>25.78</v>
          </cell>
          <cell r="J338">
            <v>20.056999999999999</v>
          </cell>
          <cell r="L338">
            <v>5.008</v>
          </cell>
          <cell r="N338">
            <v>13.92</v>
          </cell>
        </row>
        <row r="339">
          <cell r="B339">
            <v>589.1</v>
          </cell>
          <cell r="D339">
            <v>2429.9</v>
          </cell>
          <cell r="G339">
            <v>26.309000000000001</v>
          </cell>
          <cell r="J339">
            <v>18.023</v>
          </cell>
          <cell r="L339">
            <v>7.0430000000000001</v>
          </cell>
          <cell r="N339">
            <v>15.82</v>
          </cell>
        </row>
        <row r="340">
          <cell r="B340">
            <v>596.20000000000005</v>
          </cell>
          <cell r="D340">
            <v>2444.4</v>
          </cell>
          <cell r="G340">
            <v>26.507000000000001</v>
          </cell>
          <cell r="J340">
            <v>18.847999999999999</v>
          </cell>
          <cell r="L340">
            <v>6.4589999999999996</v>
          </cell>
          <cell r="N340">
            <v>13.3</v>
          </cell>
        </row>
        <row r="341">
          <cell r="B341">
            <v>603.29999999999995</v>
          </cell>
          <cell r="D341">
            <v>2456.8000000000002</v>
          </cell>
          <cell r="G341">
            <v>26.689</v>
          </cell>
          <cell r="J341">
            <v>20.242000000000001</v>
          </cell>
          <cell r="L341">
            <v>5.0570000000000004</v>
          </cell>
          <cell r="N341">
            <v>9.39</v>
          </cell>
        </row>
        <row r="342">
          <cell r="B342">
            <v>607.79999999999995</v>
          </cell>
          <cell r="D342">
            <v>2468.5</v>
          </cell>
          <cell r="G342">
            <v>27.140999999999998</v>
          </cell>
          <cell r="J342">
            <v>21.901</v>
          </cell>
          <cell r="L342">
            <v>3.8370000000000002</v>
          </cell>
          <cell r="N342">
            <v>8.16</v>
          </cell>
        </row>
        <row r="343">
          <cell r="B343">
            <v>612.20000000000005</v>
          </cell>
          <cell r="D343">
            <v>2478.1999999999998</v>
          </cell>
          <cell r="G343">
            <v>26.100999999999999</v>
          </cell>
          <cell r="J343">
            <v>23.727</v>
          </cell>
          <cell r="L343">
            <v>2.6040000000000001</v>
          </cell>
          <cell r="N343">
            <v>8.65</v>
          </cell>
        </row>
        <row r="344">
          <cell r="B344">
            <v>619.79999999999995</v>
          </cell>
          <cell r="D344">
            <v>2492.6</v>
          </cell>
          <cell r="G344">
            <v>25.948</v>
          </cell>
          <cell r="J344">
            <v>25.683</v>
          </cell>
          <cell r="L344">
            <v>1.05</v>
          </cell>
          <cell r="N344">
            <v>10.24</v>
          </cell>
        </row>
        <row r="345">
          <cell r="B345">
            <v>621.4</v>
          </cell>
          <cell r="D345">
            <v>2502.6999999999998</v>
          </cell>
          <cell r="G345">
            <v>26.41</v>
          </cell>
          <cell r="J345">
            <v>26.306999999999999</v>
          </cell>
          <cell r="L345">
            <v>0.80300000000000005</v>
          </cell>
          <cell r="N345">
            <v>11.52</v>
          </cell>
        </row>
        <row r="346">
          <cell r="B346">
            <v>625.20000000000005</v>
          </cell>
          <cell r="D346">
            <v>2513.4</v>
          </cell>
          <cell r="G346">
            <v>26.058</v>
          </cell>
          <cell r="J346">
            <v>25.998000000000001</v>
          </cell>
          <cell r="L346">
            <v>1.0589999999999999</v>
          </cell>
          <cell r="N346">
            <v>12.49</v>
          </cell>
        </row>
        <row r="347">
          <cell r="B347">
            <v>633.5</v>
          </cell>
          <cell r="D347">
            <v>2533.6999999999998</v>
          </cell>
          <cell r="G347">
            <v>25.831</v>
          </cell>
          <cell r="J347">
            <v>26.547999999999998</v>
          </cell>
          <cell r="L347">
            <v>0.86799999999999999</v>
          </cell>
          <cell r="N347">
            <v>14.15</v>
          </cell>
        </row>
        <row r="348">
          <cell r="B348">
            <v>641</v>
          </cell>
          <cell r="D348">
            <v>2558.4</v>
          </cell>
          <cell r="G348">
            <v>26.693999999999999</v>
          </cell>
          <cell r="J348">
            <v>26.821999999999999</v>
          </cell>
          <cell r="L348">
            <v>0.53400000000000003</v>
          </cell>
          <cell r="N348">
            <v>14.88</v>
          </cell>
        </row>
        <row r="349">
          <cell r="B349">
            <v>652</v>
          </cell>
          <cell r="D349">
            <v>2585.5</v>
          </cell>
          <cell r="G349">
            <v>26.474</v>
          </cell>
          <cell r="J349">
            <v>27.643999999999998</v>
          </cell>
          <cell r="L349">
            <v>0.66500000000000004</v>
          </cell>
          <cell r="N349">
            <v>14.08</v>
          </cell>
        </row>
        <row r="350">
          <cell r="B350">
            <v>660.6</v>
          </cell>
          <cell r="D350">
            <v>2605.8000000000002</v>
          </cell>
          <cell r="G350">
            <v>26.285</v>
          </cell>
          <cell r="J350">
            <v>28.035</v>
          </cell>
          <cell r="L350">
            <v>0.50700000000000001</v>
          </cell>
          <cell r="N350">
            <v>14.57</v>
          </cell>
        </row>
        <row r="351">
          <cell r="B351">
            <v>670.3</v>
          </cell>
          <cell r="D351">
            <v>2627.5</v>
          </cell>
          <cell r="G351">
            <v>26.911000000000001</v>
          </cell>
          <cell r="J351">
            <v>28.58</v>
          </cell>
          <cell r="L351">
            <v>0.56999999999999995</v>
          </cell>
          <cell r="N351">
            <v>13.71</v>
          </cell>
        </row>
        <row r="352">
          <cell r="B352">
            <v>678.7</v>
          </cell>
          <cell r="D352">
            <v>2647.4</v>
          </cell>
          <cell r="G352">
            <v>26.963000000000001</v>
          </cell>
          <cell r="J352">
            <v>28.742000000000001</v>
          </cell>
          <cell r="L352">
            <v>0.65600000000000003</v>
          </cell>
          <cell r="N352">
            <v>14.32</v>
          </cell>
        </row>
        <row r="353">
          <cell r="B353">
            <v>687.4</v>
          </cell>
          <cell r="D353">
            <v>2668.9</v>
          </cell>
          <cell r="G353">
            <v>27.134</v>
          </cell>
          <cell r="J353">
            <v>29.303000000000001</v>
          </cell>
          <cell r="L353">
            <v>0.629</v>
          </cell>
          <cell r="N353">
            <v>16.2</v>
          </cell>
        </row>
        <row r="354">
          <cell r="B354">
            <v>694.9</v>
          </cell>
          <cell r="D354">
            <v>2688.7</v>
          </cell>
          <cell r="G354">
            <v>28.16</v>
          </cell>
          <cell r="J354">
            <v>29.175999999999998</v>
          </cell>
          <cell r="L354">
            <v>0.53</v>
          </cell>
          <cell r="N354">
            <v>14.86</v>
          </cell>
        </row>
        <row r="355">
          <cell r="B355">
            <v>705.4</v>
          </cell>
          <cell r="D355">
            <v>2702.5</v>
          </cell>
          <cell r="G355">
            <v>27.53</v>
          </cell>
          <cell r="J355">
            <v>30.251000000000001</v>
          </cell>
          <cell r="L355">
            <v>0.499</v>
          </cell>
          <cell r="N355">
            <v>15.72</v>
          </cell>
        </row>
        <row r="356">
          <cell r="B356">
            <v>724.7</v>
          </cell>
          <cell r="D356">
            <v>2729.2</v>
          </cell>
          <cell r="G356">
            <v>27.132000000000001</v>
          </cell>
          <cell r="J356">
            <v>30.794</v>
          </cell>
          <cell r="L356">
            <v>0.497</v>
          </cell>
          <cell r="N356">
            <v>16.72</v>
          </cell>
        </row>
        <row r="357">
          <cell r="B357">
            <v>730.2</v>
          </cell>
          <cell r="D357">
            <v>2745</v>
          </cell>
          <cell r="G357">
            <v>27.936</v>
          </cell>
          <cell r="J357">
            <v>30.774999999999999</v>
          </cell>
          <cell r="L357">
            <v>0.49199999999999999</v>
          </cell>
          <cell r="N357">
            <v>16.52</v>
          </cell>
        </row>
        <row r="358">
          <cell r="B358">
            <v>730.7</v>
          </cell>
          <cell r="D358">
            <v>2748.6</v>
          </cell>
          <cell r="G358">
            <v>27.93</v>
          </cell>
          <cell r="J358">
            <v>31.33</v>
          </cell>
          <cell r="L358">
            <v>0.51800000000000002</v>
          </cell>
          <cell r="N358">
            <v>15.38</v>
          </cell>
        </row>
        <row r="359">
          <cell r="B359">
            <v>733.8</v>
          </cell>
          <cell r="D359">
            <v>2754.9</v>
          </cell>
          <cell r="G359">
            <v>27.954000000000001</v>
          </cell>
          <cell r="J359">
            <v>31.625</v>
          </cell>
          <cell r="L359">
            <v>0.63400000000000001</v>
          </cell>
          <cell r="N359">
            <v>12.41</v>
          </cell>
        </row>
        <row r="360">
          <cell r="B360">
            <v>743.9</v>
          </cell>
          <cell r="D360">
            <v>2769.1</v>
          </cell>
          <cell r="G360">
            <v>28.7</v>
          </cell>
          <cell r="J360">
            <v>32.39</v>
          </cell>
          <cell r="L360">
            <v>0.58399999999999996</v>
          </cell>
          <cell r="N360">
            <v>12.85</v>
          </cell>
        </row>
        <row r="361">
          <cell r="B361">
            <v>745.8</v>
          </cell>
          <cell r="D361">
            <v>2774.4</v>
          </cell>
          <cell r="G361">
            <v>28.048999999999999</v>
          </cell>
          <cell r="J361">
            <v>33.143999999999998</v>
          </cell>
          <cell r="L361">
            <v>0.53100000000000003</v>
          </cell>
          <cell r="N361">
            <v>14.32</v>
          </cell>
        </row>
        <row r="362">
          <cell r="B362">
            <v>743.2</v>
          </cell>
          <cell r="D362">
            <v>2776.1</v>
          </cell>
          <cell r="G362">
            <v>28.195</v>
          </cell>
          <cell r="J362">
            <v>33.917000000000002</v>
          </cell>
          <cell r="L362">
            <v>0.378</v>
          </cell>
          <cell r="N362">
            <v>14.73</v>
          </cell>
        </row>
        <row r="363">
          <cell r="B363">
            <v>743</v>
          </cell>
          <cell r="D363">
            <v>2780.6</v>
          </cell>
          <cell r="G363">
            <v>28.722000000000001</v>
          </cell>
          <cell r="J363">
            <v>34.319000000000003</v>
          </cell>
          <cell r="L363">
            <v>0.46500000000000002</v>
          </cell>
          <cell r="N363">
            <v>13.95</v>
          </cell>
        </row>
        <row r="364">
          <cell r="B364">
            <v>744.9</v>
          </cell>
          <cell r="D364">
            <v>2789.8</v>
          </cell>
          <cell r="G364">
            <v>29.85</v>
          </cell>
          <cell r="J364">
            <v>34.613</v>
          </cell>
          <cell r="L364">
            <v>0.56999999999999995</v>
          </cell>
          <cell r="N364">
            <v>13.98</v>
          </cell>
        </row>
        <row r="365">
          <cell r="B365">
            <v>747.6</v>
          </cell>
          <cell r="D365">
            <v>2801.2</v>
          </cell>
          <cell r="G365">
            <v>31.347000000000001</v>
          </cell>
          <cell r="J365">
            <v>35.420999999999999</v>
          </cell>
          <cell r="L365">
            <v>0.497</v>
          </cell>
          <cell r="N365">
            <v>13.34</v>
          </cell>
        </row>
        <row r="366">
          <cell r="B366">
            <v>756.2</v>
          </cell>
          <cell r="D366">
            <v>2816.8</v>
          </cell>
          <cell r="G366">
            <v>31.99</v>
          </cell>
          <cell r="J366">
            <v>36.518999999999998</v>
          </cell>
          <cell r="L366">
            <v>0.41799999999999998</v>
          </cell>
          <cell r="N366">
            <v>14.07</v>
          </cell>
        </row>
        <row r="367">
          <cell r="B367">
            <v>753.2</v>
          </cell>
          <cell r="D367">
            <v>2821.4</v>
          </cell>
          <cell r="G367">
            <v>30.626000000000001</v>
          </cell>
          <cell r="J367">
            <v>38.014000000000003</v>
          </cell>
          <cell r="L367">
            <v>0.30299999999999999</v>
          </cell>
          <cell r="N367">
            <v>13.24</v>
          </cell>
        </row>
        <row r="368">
          <cell r="B368">
            <v>750.2</v>
          </cell>
          <cell r="D368">
            <v>2828.8</v>
          </cell>
          <cell r="G368">
            <v>30.439</v>
          </cell>
          <cell r="J368">
            <v>38.664000000000001</v>
          </cell>
          <cell r="L368">
            <v>0.22500000000000001</v>
          </cell>
          <cell r="N368">
            <v>11.43</v>
          </cell>
        </row>
        <row r="369">
          <cell r="B369">
            <v>756.2</v>
          </cell>
          <cell r="D369">
            <v>2849.8</v>
          </cell>
          <cell r="G369">
            <v>30.983000000000001</v>
          </cell>
          <cell r="J369">
            <v>38.450000000000003</v>
          </cell>
          <cell r="L369">
            <v>0.28299999999999997</v>
          </cell>
          <cell r="N369">
            <v>10.85</v>
          </cell>
        </row>
        <row r="370">
          <cell r="B370">
            <v>757.7</v>
          </cell>
          <cell r="D370">
            <v>2872.7</v>
          </cell>
          <cell r="G370">
            <v>30.189</v>
          </cell>
          <cell r="J370">
            <v>38.301000000000002</v>
          </cell>
          <cell r="L370">
            <v>0.26400000000000001</v>
          </cell>
          <cell r="N370">
            <v>9.32</v>
          </cell>
        </row>
        <row r="371">
          <cell r="B371">
            <v>761.8</v>
          </cell>
          <cell r="D371">
            <v>2893</v>
          </cell>
          <cell r="G371">
            <v>29.95</v>
          </cell>
          <cell r="J371">
            <v>38.540999999999997</v>
          </cell>
          <cell r="L371">
            <v>0.27</v>
          </cell>
          <cell r="N371">
            <v>9.16</v>
          </cell>
        </row>
        <row r="372">
          <cell r="B372">
            <v>768.1</v>
          </cell>
          <cell r="D372">
            <v>2913.1</v>
          </cell>
          <cell r="G372">
            <v>30.353999999999999</v>
          </cell>
          <cell r="J372">
            <v>38.777000000000001</v>
          </cell>
          <cell r="L372">
            <v>0.28799999999999998</v>
          </cell>
          <cell r="N372">
            <v>8.91</v>
          </cell>
        </row>
        <row r="373">
          <cell r="B373">
            <v>771.7</v>
          </cell>
          <cell r="D373">
            <v>2928.5</v>
          </cell>
          <cell r="G373">
            <v>30.19</v>
          </cell>
          <cell r="J373">
            <v>38.686</v>
          </cell>
          <cell r="L373">
            <v>0.27300000000000002</v>
          </cell>
          <cell r="N373">
            <v>8.6199999999999992</v>
          </cell>
        </row>
        <row r="374">
          <cell r="B374">
            <v>778.3</v>
          </cell>
          <cell r="D374">
            <v>2940.7</v>
          </cell>
          <cell r="G374">
            <v>30.327000000000002</v>
          </cell>
          <cell r="J374">
            <v>38.408000000000001</v>
          </cell>
          <cell r="L374">
            <v>0.19500000000000001</v>
          </cell>
          <cell r="N374">
            <v>8.92</v>
          </cell>
        </row>
        <row r="375">
          <cell r="B375">
            <v>781.4</v>
          </cell>
          <cell r="D375">
            <v>2949.5</v>
          </cell>
          <cell r="G375">
            <v>31.597999999999999</v>
          </cell>
          <cell r="J375">
            <v>38.561999999999998</v>
          </cell>
          <cell r="L375">
            <v>0.13200000000000001</v>
          </cell>
          <cell r="N375">
            <v>9.0399999999999991</v>
          </cell>
        </row>
        <row r="376">
          <cell r="B376">
            <v>783.3</v>
          </cell>
          <cell r="D376">
            <v>2954.5</v>
          </cell>
          <cell r="G376">
            <v>32.26</v>
          </cell>
          <cell r="J376">
            <v>38.177999999999997</v>
          </cell>
          <cell r="L376">
            <v>0.40899999999999997</v>
          </cell>
          <cell r="N376">
            <v>8.98</v>
          </cell>
        </row>
        <row r="377">
          <cell r="B377">
            <v>783.7</v>
          </cell>
          <cell r="D377">
            <v>2959.4</v>
          </cell>
          <cell r="G377">
            <v>32.676000000000002</v>
          </cell>
          <cell r="J377">
            <v>38.884</v>
          </cell>
          <cell r="L377">
            <v>0.44900000000000001</v>
          </cell>
          <cell r="N377">
            <v>8.9</v>
          </cell>
        </row>
        <row r="378">
          <cell r="B378">
            <v>783.3</v>
          </cell>
          <cell r="D378">
            <v>2967.8</v>
          </cell>
          <cell r="G378">
            <v>32.908000000000001</v>
          </cell>
          <cell r="J378">
            <v>38.71</v>
          </cell>
          <cell r="L378">
            <v>0.39400000000000002</v>
          </cell>
          <cell r="N378">
            <v>9.66</v>
          </cell>
        </row>
        <row r="379">
          <cell r="B379">
            <v>784.9</v>
          </cell>
          <cell r="D379">
            <v>2982.7</v>
          </cell>
          <cell r="G379">
            <v>32.128999999999998</v>
          </cell>
          <cell r="J379">
            <v>38.136000000000003</v>
          </cell>
          <cell r="L379">
            <v>0.48299999999999998</v>
          </cell>
          <cell r="N379">
            <v>10.199999999999999</v>
          </cell>
        </row>
        <row r="380">
          <cell r="B380">
            <v>786.7</v>
          </cell>
          <cell r="D380">
            <v>2990.6</v>
          </cell>
          <cell r="G380">
            <v>32.393999999999998</v>
          </cell>
          <cell r="J380">
            <v>38.383000000000003</v>
          </cell>
          <cell r="L380">
            <v>0.372</v>
          </cell>
          <cell r="N380">
            <v>10.53</v>
          </cell>
        </row>
        <row r="381">
          <cell r="B381">
            <v>785.7</v>
          </cell>
          <cell r="D381">
            <v>2994</v>
          </cell>
          <cell r="G381">
            <v>34.008000000000003</v>
          </cell>
          <cell r="J381">
            <v>39.01</v>
          </cell>
          <cell r="L381">
            <v>0.20499999999999999</v>
          </cell>
          <cell r="N381">
            <v>10.16</v>
          </cell>
        </row>
        <row r="382">
          <cell r="B382">
            <v>783.8</v>
          </cell>
          <cell r="D382">
            <v>2994.4</v>
          </cell>
          <cell r="G382">
            <v>32.981999999999999</v>
          </cell>
          <cell r="J382">
            <v>37.515000000000001</v>
          </cell>
          <cell r="L382">
            <v>1.478</v>
          </cell>
          <cell r="N382">
            <v>9.81</v>
          </cell>
        </row>
        <row r="383">
          <cell r="B383">
            <v>783</v>
          </cell>
          <cell r="D383">
            <v>3002.1</v>
          </cell>
          <cell r="G383">
            <v>32.350999999999999</v>
          </cell>
          <cell r="J383">
            <v>36.628999999999998</v>
          </cell>
          <cell r="L383">
            <v>2.6240000000000001</v>
          </cell>
          <cell r="N383">
            <v>9.94</v>
          </cell>
        </row>
        <row r="384">
          <cell r="B384">
            <v>779.2</v>
          </cell>
          <cell r="D384">
            <v>3008.3</v>
          </cell>
          <cell r="G384">
            <v>31.588000000000001</v>
          </cell>
          <cell r="J384">
            <v>37.381</v>
          </cell>
          <cell r="L384">
            <v>2.1070000000000002</v>
          </cell>
          <cell r="N384">
            <v>10.11</v>
          </cell>
        </row>
        <row r="385">
          <cell r="B385">
            <v>775</v>
          </cell>
          <cell r="D385">
            <v>3013.9</v>
          </cell>
          <cell r="G385">
            <v>29.123000000000001</v>
          </cell>
          <cell r="J385">
            <v>37.195</v>
          </cell>
          <cell r="L385">
            <v>2.5539999999999998</v>
          </cell>
          <cell r="N385">
            <v>9.9</v>
          </cell>
        </row>
        <row r="386">
          <cell r="B386">
            <v>773.5</v>
          </cell>
          <cell r="D386">
            <v>3030.2</v>
          </cell>
          <cell r="G386">
            <v>29.364999999999998</v>
          </cell>
          <cell r="J386">
            <v>37.075000000000003</v>
          </cell>
          <cell r="L386">
            <v>2.5379999999999998</v>
          </cell>
          <cell r="N386">
            <v>10.039999999999999</v>
          </cell>
        </row>
        <row r="387">
          <cell r="B387">
            <v>777.8</v>
          </cell>
          <cell r="D387">
            <v>3054.7</v>
          </cell>
          <cell r="G387">
            <v>30.036999999999999</v>
          </cell>
          <cell r="J387">
            <v>37.229999999999997</v>
          </cell>
          <cell r="L387">
            <v>2.653</v>
          </cell>
          <cell r="N387">
            <v>10.59</v>
          </cell>
        </row>
        <row r="388">
          <cell r="B388">
            <v>779.4</v>
          </cell>
          <cell r="D388">
            <v>3076.7</v>
          </cell>
          <cell r="G388">
            <v>28.928999999999998</v>
          </cell>
          <cell r="J388">
            <v>37.503999999999998</v>
          </cell>
          <cell r="L388">
            <v>2.0590000000000002</v>
          </cell>
          <cell r="N388">
            <v>10.9</v>
          </cell>
        </row>
        <row r="389">
          <cell r="B389">
            <v>781</v>
          </cell>
          <cell r="D389">
            <v>3094.8</v>
          </cell>
          <cell r="G389">
            <v>27.353999999999999</v>
          </cell>
          <cell r="J389">
            <v>38.124000000000002</v>
          </cell>
          <cell r="L389">
            <v>1.7809999999999999</v>
          </cell>
          <cell r="N389">
            <v>11.66</v>
          </cell>
        </row>
        <row r="390">
          <cell r="B390">
            <v>786.6</v>
          </cell>
          <cell r="D390">
            <v>3116.4</v>
          </cell>
          <cell r="G390">
            <v>27.22</v>
          </cell>
          <cell r="J390">
            <v>37.686999999999998</v>
          </cell>
          <cell r="L390">
            <v>2.3220000000000001</v>
          </cell>
          <cell r="N390">
            <v>12.08</v>
          </cell>
        </row>
        <row r="391">
          <cell r="B391">
            <v>787.9</v>
          </cell>
          <cell r="D391">
            <v>3135.3</v>
          </cell>
          <cell r="G391">
            <v>26.672999999999998</v>
          </cell>
          <cell r="J391">
            <v>38.738</v>
          </cell>
          <cell r="L391">
            <v>1.244</v>
          </cell>
          <cell r="N391">
            <v>12.03</v>
          </cell>
        </row>
        <row r="392">
          <cell r="B392">
            <v>792.9</v>
          </cell>
          <cell r="D392">
            <v>3154.4</v>
          </cell>
          <cell r="G392">
            <v>26.727</v>
          </cell>
          <cell r="J392">
            <v>38.773000000000003</v>
          </cell>
          <cell r="L392">
            <v>1.038</v>
          </cell>
          <cell r="N392">
            <v>11.82</v>
          </cell>
        </row>
        <row r="393">
          <cell r="B393">
            <v>795.4</v>
          </cell>
          <cell r="D393">
            <v>3168.5</v>
          </cell>
          <cell r="G393">
            <v>27.321999999999999</v>
          </cell>
          <cell r="J393">
            <v>38.851999999999997</v>
          </cell>
          <cell r="L393">
            <v>1.05</v>
          </cell>
          <cell r="N393">
            <v>11.58</v>
          </cell>
        </row>
        <row r="394">
          <cell r="B394">
            <v>798.1</v>
          </cell>
          <cell r="D394">
            <v>3180.9</v>
          </cell>
          <cell r="G394">
            <v>26.984000000000002</v>
          </cell>
          <cell r="J394">
            <v>38.031999999999996</v>
          </cell>
          <cell r="L394">
            <v>1.3340000000000001</v>
          </cell>
          <cell r="N394">
            <v>10.9</v>
          </cell>
        </row>
        <row r="395">
          <cell r="B395">
            <v>801.5</v>
          </cell>
          <cell r="D395">
            <v>3191.7</v>
          </cell>
          <cell r="G395">
            <v>26.626999999999999</v>
          </cell>
          <cell r="J395">
            <v>37.244</v>
          </cell>
          <cell r="L395">
            <v>1.7070000000000001</v>
          </cell>
          <cell r="N395">
            <v>9.82</v>
          </cell>
        </row>
        <row r="396">
          <cell r="B396">
            <v>806.1</v>
          </cell>
          <cell r="D396">
            <v>3203.2</v>
          </cell>
          <cell r="G396">
            <v>27.106000000000002</v>
          </cell>
          <cell r="J396">
            <v>37.581000000000003</v>
          </cell>
          <cell r="L396">
            <v>1.1970000000000001</v>
          </cell>
          <cell r="N396">
            <v>9.33</v>
          </cell>
        </row>
        <row r="397">
          <cell r="B397">
            <v>804.2</v>
          </cell>
          <cell r="D397">
            <v>3202.1</v>
          </cell>
          <cell r="G397">
            <v>26.981000000000002</v>
          </cell>
          <cell r="J397">
            <v>37.594999999999999</v>
          </cell>
          <cell r="L397">
            <v>0.91700000000000004</v>
          </cell>
          <cell r="N397">
            <v>9.02</v>
          </cell>
        </row>
        <row r="398">
          <cell r="B398">
            <v>808.8</v>
          </cell>
          <cell r="D398">
            <v>3215</v>
          </cell>
          <cell r="G398">
            <v>25.497</v>
          </cell>
          <cell r="J398">
            <v>38.744</v>
          </cell>
          <cell r="L398">
            <v>0.106</v>
          </cell>
          <cell r="N398">
            <v>9.2899999999999991</v>
          </cell>
        </row>
        <row r="399">
          <cell r="B399">
            <v>810.1</v>
          </cell>
          <cell r="D399">
            <v>3225.6</v>
          </cell>
          <cell r="G399">
            <v>25.689</v>
          </cell>
          <cell r="J399">
            <v>38.722999999999999</v>
          </cell>
          <cell r="L399">
            <v>4.1000000000000002E-2</v>
          </cell>
          <cell r="N399">
            <v>9.86</v>
          </cell>
        </row>
        <row r="400">
          <cell r="B400">
            <v>815.7</v>
          </cell>
          <cell r="D400">
            <v>3243.2</v>
          </cell>
          <cell r="G400">
            <v>25.89</v>
          </cell>
          <cell r="J400">
            <v>38.981000000000002</v>
          </cell>
          <cell r="L400">
            <v>2.1999999999999999E-2</v>
          </cell>
          <cell r="N400">
            <v>9.14</v>
          </cell>
        </row>
        <row r="401">
          <cell r="B401">
            <v>820.2</v>
          </cell>
          <cell r="D401">
            <v>3255.8</v>
          </cell>
          <cell r="G401">
            <v>26.167000000000002</v>
          </cell>
          <cell r="J401">
            <v>39.607999999999997</v>
          </cell>
          <cell r="L401">
            <v>2.1000000000000001E-2</v>
          </cell>
          <cell r="N401">
            <v>8.4600000000000009</v>
          </cell>
        </row>
        <row r="402">
          <cell r="B402">
            <v>819.9</v>
          </cell>
          <cell r="D402">
            <v>3260.4</v>
          </cell>
          <cell r="G402">
            <v>26.712</v>
          </cell>
          <cell r="J402">
            <v>39.820999999999998</v>
          </cell>
          <cell r="L402">
            <v>2.1000000000000001E-2</v>
          </cell>
          <cell r="N402">
            <v>7.8</v>
          </cell>
        </row>
        <row r="403">
          <cell r="B403">
            <v>822.1</v>
          </cell>
          <cell r="D403">
            <v>3263.6</v>
          </cell>
          <cell r="G403">
            <v>25.968</v>
          </cell>
          <cell r="J403">
            <v>40.222000000000001</v>
          </cell>
          <cell r="L403">
            <v>0.02</v>
          </cell>
          <cell r="N403">
            <v>7.86</v>
          </cell>
        </row>
        <row r="404">
          <cell r="B404">
            <v>824.7</v>
          </cell>
          <cell r="D404">
            <v>3272.7</v>
          </cell>
          <cell r="G404">
            <v>24.251000000000001</v>
          </cell>
          <cell r="J404">
            <v>40.292000000000002</v>
          </cell>
          <cell r="L404">
            <v>2.5999999999999999E-2</v>
          </cell>
          <cell r="N404">
            <v>8.0500000000000007</v>
          </cell>
        </row>
        <row r="405">
          <cell r="B405">
            <v>827.2</v>
          </cell>
          <cell r="D405">
            <v>3288.4</v>
          </cell>
          <cell r="G405">
            <v>24.564</v>
          </cell>
          <cell r="J405">
            <v>39.295999999999999</v>
          </cell>
          <cell r="L405">
            <v>0.53500000000000003</v>
          </cell>
          <cell r="N405">
            <v>8.07</v>
          </cell>
        </row>
        <row r="406">
          <cell r="B406">
            <v>832.6</v>
          </cell>
          <cell r="D406">
            <v>3304.8</v>
          </cell>
          <cell r="G406">
            <v>24.204000000000001</v>
          </cell>
          <cell r="J406">
            <v>38.527000000000001</v>
          </cell>
          <cell r="L406">
            <v>1.95</v>
          </cell>
          <cell r="N406">
            <v>8.01</v>
          </cell>
        </row>
        <row r="407">
          <cell r="B407">
            <v>838.7</v>
          </cell>
          <cell r="D407">
            <v>3322.2</v>
          </cell>
          <cell r="G407">
            <v>24.03</v>
          </cell>
          <cell r="J407">
            <v>39.237000000000002</v>
          </cell>
          <cell r="L407">
            <v>1.3839999999999999</v>
          </cell>
          <cell r="N407">
            <v>7.88</v>
          </cell>
        </row>
        <row r="408">
          <cell r="B408">
            <v>843.1</v>
          </cell>
          <cell r="D408">
            <v>3332.5</v>
          </cell>
          <cell r="G408">
            <v>24.271000000000001</v>
          </cell>
          <cell r="J408">
            <v>39.418999999999997</v>
          </cell>
          <cell r="L408">
            <v>0.872</v>
          </cell>
          <cell r="N408">
            <v>7.67</v>
          </cell>
        </row>
        <row r="409">
          <cell r="B409">
            <v>848.8</v>
          </cell>
          <cell r="D409">
            <v>3343.1</v>
          </cell>
          <cell r="G409">
            <v>24.472000000000001</v>
          </cell>
          <cell r="J409">
            <v>39.786000000000001</v>
          </cell>
          <cell r="L409">
            <v>0.34599999999999997</v>
          </cell>
          <cell r="N409">
            <v>7.73</v>
          </cell>
        </row>
        <row r="410">
          <cell r="B410">
            <v>856.7</v>
          </cell>
          <cell r="D410">
            <v>3352</v>
          </cell>
          <cell r="G410">
            <v>23.382000000000001</v>
          </cell>
          <cell r="J410">
            <v>39.817999999999998</v>
          </cell>
          <cell r="L410">
            <v>0.28000000000000003</v>
          </cell>
          <cell r="N410">
            <v>7.61</v>
          </cell>
        </row>
        <row r="411">
          <cell r="B411">
            <v>861.6</v>
          </cell>
          <cell r="D411">
            <v>3355.9</v>
          </cell>
          <cell r="G411">
            <v>24.251999999999999</v>
          </cell>
          <cell r="J411">
            <v>39.947000000000003</v>
          </cell>
          <cell r="L411">
            <v>0.127</v>
          </cell>
          <cell r="N411">
            <v>7.03</v>
          </cell>
        </row>
        <row r="412">
          <cell r="B412">
            <v>866.8</v>
          </cell>
          <cell r="D412">
            <v>3354.7</v>
          </cell>
          <cell r="G412">
            <v>24.606000000000002</v>
          </cell>
          <cell r="J412">
            <v>40.466000000000001</v>
          </cell>
          <cell r="L412">
            <v>6.0000000000000001E-3</v>
          </cell>
          <cell r="N412">
            <v>6.44</v>
          </cell>
        </row>
        <row r="413">
          <cell r="B413">
            <v>869.7</v>
          </cell>
          <cell r="D413">
            <v>3354.6</v>
          </cell>
          <cell r="G413">
            <v>24.806000000000001</v>
          </cell>
          <cell r="J413">
            <v>40.398000000000003</v>
          </cell>
          <cell r="L413">
            <v>1.7999999999999999E-2</v>
          </cell>
          <cell r="N413">
            <v>6.65</v>
          </cell>
        </row>
        <row r="414">
          <cell r="B414">
            <v>878</v>
          </cell>
          <cell r="D414">
            <v>3359.6</v>
          </cell>
          <cell r="G414">
            <v>24.431999999999999</v>
          </cell>
          <cell r="J414">
            <v>40.741</v>
          </cell>
          <cell r="L414">
            <v>2.5000000000000001E-2</v>
          </cell>
          <cell r="N414">
            <v>6.73</v>
          </cell>
        </row>
        <row r="415">
          <cell r="B415">
            <v>887.6</v>
          </cell>
          <cell r="D415">
            <v>3365</v>
          </cell>
          <cell r="G415">
            <v>23.532</v>
          </cell>
          <cell r="J415">
            <v>41.441000000000003</v>
          </cell>
          <cell r="L415">
            <v>2.3E-2</v>
          </cell>
          <cell r="N415">
            <v>6.27</v>
          </cell>
        </row>
        <row r="416">
          <cell r="B416">
            <v>897</v>
          </cell>
          <cell r="D416">
            <v>3371.6</v>
          </cell>
          <cell r="G416">
            <v>22.163</v>
          </cell>
          <cell r="J416">
            <v>41.76</v>
          </cell>
          <cell r="L416">
            <v>2.7E-2</v>
          </cell>
          <cell r="N416">
            <v>5.93</v>
          </cell>
        </row>
        <row r="417">
          <cell r="B417">
            <v>910.4</v>
          </cell>
          <cell r="D417">
            <v>3380.3</v>
          </cell>
          <cell r="G417">
            <v>22.565999999999999</v>
          </cell>
          <cell r="J417">
            <v>41.82</v>
          </cell>
          <cell r="L417">
            <v>3.4000000000000002E-2</v>
          </cell>
          <cell r="N417">
            <v>5.77</v>
          </cell>
        </row>
        <row r="418">
          <cell r="B418">
            <v>925.2</v>
          </cell>
          <cell r="D418">
            <v>3399</v>
          </cell>
          <cell r="G418">
            <v>22.01</v>
          </cell>
          <cell r="J418">
            <v>41.564</v>
          </cell>
          <cell r="L418">
            <v>5.2999999999999999E-2</v>
          </cell>
          <cell r="N418">
            <v>5.72</v>
          </cell>
        </row>
        <row r="419">
          <cell r="B419">
            <v>936.7</v>
          </cell>
          <cell r="D419">
            <v>3402.9</v>
          </cell>
          <cell r="G419">
            <v>21.806999999999999</v>
          </cell>
          <cell r="J419">
            <v>41.631</v>
          </cell>
          <cell r="L419">
            <v>8.5999999999999993E-2</v>
          </cell>
          <cell r="N419">
            <v>5.8</v>
          </cell>
        </row>
        <row r="420">
          <cell r="B420">
            <v>943.8</v>
          </cell>
          <cell r="D420">
            <v>3398.7</v>
          </cell>
          <cell r="G420">
            <v>22.138999999999999</v>
          </cell>
          <cell r="J420">
            <v>42.107999999999997</v>
          </cell>
          <cell r="L420">
            <v>8.7999999999999995E-2</v>
          </cell>
          <cell r="N420">
            <v>5.87</v>
          </cell>
        </row>
        <row r="421">
          <cell r="B421">
            <v>950.6</v>
          </cell>
          <cell r="D421">
            <v>3397.5</v>
          </cell>
          <cell r="G421">
            <v>21.965</v>
          </cell>
          <cell r="J421">
            <v>42.372</v>
          </cell>
          <cell r="L421">
            <v>8.0000000000000002E-3</v>
          </cell>
          <cell r="N421">
            <v>5.78</v>
          </cell>
        </row>
        <row r="422">
          <cell r="B422">
            <v>954.3</v>
          </cell>
          <cell r="D422">
            <v>3392.3</v>
          </cell>
          <cell r="G422">
            <v>20.585000000000001</v>
          </cell>
          <cell r="J422">
            <v>42.378</v>
          </cell>
          <cell r="L422">
            <v>4.5999999999999999E-2</v>
          </cell>
          <cell r="N422">
            <v>5.96</v>
          </cell>
        </row>
        <row r="423">
          <cell r="B423">
            <v>963.3</v>
          </cell>
          <cell r="D423">
            <v>3392.6</v>
          </cell>
          <cell r="G423">
            <v>21.059000000000001</v>
          </cell>
          <cell r="J423">
            <v>42.628999999999998</v>
          </cell>
          <cell r="L423">
            <v>0.3</v>
          </cell>
          <cell r="N423">
            <v>6.03</v>
          </cell>
        </row>
        <row r="424">
          <cell r="B424">
            <v>973.7</v>
          </cell>
          <cell r="D424">
            <v>3397.5</v>
          </cell>
          <cell r="G424">
            <v>20.943000000000001</v>
          </cell>
          <cell r="J424">
            <v>42.912999999999997</v>
          </cell>
          <cell r="L424">
            <v>0.30199999999999999</v>
          </cell>
          <cell r="N424">
            <v>6.5</v>
          </cell>
        </row>
        <row r="425">
          <cell r="B425">
            <v>988</v>
          </cell>
          <cell r="D425">
            <v>3409</v>
          </cell>
          <cell r="G425">
            <v>20.986000000000001</v>
          </cell>
          <cell r="J425">
            <v>43.746000000000002</v>
          </cell>
          <cell r="L425">
            <v>1.2E-2</v>
          </cell>
          <cell r="N425">
            <v>7</v>
          </cell>
        </row>
        <row r="426">
          <cell r="B426">
            <v>1003.7</v>
          </cell>
          <cell r="D426">
            <v>3422.4</v>
          </cell>
          <cell r="G426">
            <v>21.324999999999999</v>
          </cell>
          <cell r="J426">
            <v>44.506999999999998</v>
          </cell>
          <cell r="L426">
            <v>1E-3</v>
          </cell>
          <cell r="N426">
            <v>6.8</v>
          </cell>
        </row>
        <row r="427">
          <cell r="B427">
            <v>1015.7</v>
          </cell>
          <cell r="D427">
            <v>3424.9</v>
          </cell>
          <cell r="G427">
            <v>18.382999999999999</v>
          </cell>
          <cell r="J427">
            <v>45.323999999999998</v>
          </cell>
          <cell r="L427">
            <v>1E-3</v>
          </cell>
          <cell r="N427">
            <v>6.68</v>
          </cell>
        </row>
        <row r="428">
          <cell r="B428">
            <v>1024.9000000000001</v>
          </cell>
          <cell r="D428">
            <v>3423.1</v>
          </cell>
          <cell r="G428">
            <v>19.443999999999999</v>
          </cell>
          <cell r="J428">
            <v>46.140999999999998</v>
          </cell>
          <cell r="L428">
            <v>1E-3</v>
          </cell>
          <cell r="N428">
            <v>7.03</v>
          </cell>
        </row>
        <row r="429">
          <cell r="B429">
            <v>1030.4000000000001</v>
          </cell>
          <cell r="D429">
            <v>3417.3</v>
          </cell>
          <cell r="G429">
            <v>20.344000000000001</v>
          </cell>
          <cell r="J429">
            <v>47.524999999999999</v>
          </cell>
          <cell r="L429">
            <v>2E-3</v>
          </cell>
          <cell r="N429">
            <v>7.67</v>
          </cell>
        </row>
        <row r="430">
          <cell r="B430">
            <v>1033.5</v>
          </cell>
          <cell r="D430">
            <v>3412.5</v>
          </cell>
          <cell r="G430">
            <v>19.545999999999999</v>
          </cell>
          <cell r="J430">
            <v>48.183</v>
          </cell>
          <cell r="L430">
            <v>2E-3</v>
          </cell>
          <cell r="N430">
            <v>7.59</v>
          </cell>
        </row>
        <row r="431">
          <cell r="B431">
            <v>1038.4000000000001</v>
          </cell>
          <cell r="D431">
            <v>3409.8</v>
          </cell>
          <cell r="G431">
            <v>20.196000000000002</v>
          </cell>
          <cell r="J431">
            <v>48.951999999999998</v>
          </cell>
          <cell r="L431">
            <v>2E-3</v>
          </cell>
          <cell r="N431">
            <v>6.96</v>
          </cell>
        </row>
        <row r="432">
          <cell r="B432">
            <v>1047.5999999999999</v>
          </cell>
          <cell r="D432">
            <v>3409.4</v>
          </cell>
          <cell r="G432">
            <v>19.882000000000001</v>
          </cell>
          <cell r="J432">
            <v>49.182000000000002</v>
          </cell>
          <cell r="L432">
            <v>0</v>
          </cell>
          <cell r="N432">
            <v>7.17</v>
          </cell>
        </row>
        <row r="433">
          <cell r="B433">
            <v>1065.9000000000001</v>
          </cell>
          <cell r="D433">
            <v>3435</v>
          </cell>
          <cell r="G433">
            <v>19.27</v>
          </cell>
          <cell r="J433">
            <v>49.040999999999997</v>
          </cell>
          <cell r="L433">
            <v>0</v>
          </cell>
          <cell r="N433">
            <v>6.99</v>
          </cell>
        </row>
        <row r="434">
          <cell r="B434">
            <v>1075.0999999999999</v>
          </cell>
          <cell r="D434">
            <v>3440.5</v>
          </cell>
          <cell r="G434">
            <v>20.125</v>
          </cell>
          <cell r="J434">
            <v>49.470999999999997</v>
          </cell>
          <cell r="L434">
            <v>0</v>
          </cell>
          <cell r="N434">
            <v>6.64</v>
          </cell>
        </row>
        <row r="435">
          <cell r="B435">
            <v>1084.5999999999999</v>
          </cell>
          <cell r="D435">
            <v>3440</v>
          </cell>
          <cell r="G435">
            <v>20.055</v>
          </cell>
          <cell r="J435">
            <v>50.228999999999999</v>
          </cell>
          <cell r="L435">
            <v>0</v>
          </cell>
          <cell r="N435">
            <v>6.71</v>
          </cell>
        </row>
        <row r="436">
          <cell r="B436">
            <v>1094.2</v>
          </cell>
          <cell r="D436">
            <v>3443.6</v>
          </cell>
          <cell r="G436">
            <v>20.795999999999999</v>
          </cell>
          <cell r="J436">
            <v>51.106999999999999</v>
          </cell>
          <cell r="L436">
            <v>0</v>
          </cell>
          <cell r="N436">
            <v>7.01</v>
          </cell>
        </row>
        <row r="437">
          <cell r="B437">
            <v>1104.2</v>
          </cell>
          <cell r="D437">
            <v>3450.1</v>
          </cell>
          <cell r="G437">
            <v>21.734000000000002</v>
          </cell>
          <cell r="J437">
            <v>52.625</v>
          </cell>
          <cell r="L437">
            <v>0</v>
          </cell>
          <cell r="N437">
            <v>7.4</v>
          </cell>
        </row>
        <row r="438">
          <cell r="B438">
            <v>1113.0999999999999</v>
          </cell>
          <cell r="D438">
            <v>3454.5</v>
          </cell>
          <cell r="G438">
            <v>21.518999999999998</v>
          </cell>
          <cell r="J438">
            <v>53.646000000000001</v>
          </cell>
          <cell r="L438">
            <v>0</v>
          </cell>
          <cell r="N438">
            <v>7.49</v>
          </cell>
        </row>
        <row r="439">
          <cell r="B439">
            <v>1124.0999999999999</v>
          </cell>
          <cell r="D439">
            <v>3468</v>
          </cell>
          <cell r="G439">
            <v>20.347999999999999</v>
          </cell>
          <cell r="J439">
            <v>54.298000000000002</v>
          </cell>
          <cell r="L439">
            <v>1E-3</v>
          </cell>
          <cell r="N439">
            <v>7.75</v>
          </cell>
        </row>
        <row r="440">
          <cell r="B440">
            <v>1129.5999999999999</v>
          </cell>
          <cell r="D440">
            <v>3472.4</v>
          </cell>
          <cell r="G440">
            <v>21.963999999999999</v>
          </cell>
          <cell r="J440">
            <v>54.805</v>
          </cell>
          <cell r="L440">
            <v>1E-3</v>
          </cell>
          <cell r="N440">
            <v>8.17</v>
          </cell>
        </row>
        <row r="441">
          <cell r="B441">
            <v>1131.5999999999999</v>
          </cell>
          <cell r="D441">
            <v>3472.4</v>
          </cell>
          <cell r="G441">
            <v>23.195</v>
          </cell>
          <cell r="J441">
            <v>54.640999999999998</v>
          </cell>
          <cell r="L441">
            <v>0</v>
          </cell>
          <cell r="N441">
            <v>8.09</v>
          </cell>
        </row>
        <row r="442">
          <cell r="B442">
            <v>1136.3</v>
          </cell>
          <cell r="D442">
            <v>3473.2</v>
          </cell>
          <cell r="G442">
            <v>22.326000000000001</v>
          </cell>
          <cell r="J442">
            <v>54.878999999999998</v>
          </cell>
          <cell r="L442">
            <v>0</v>
          </cell>
          <cell r="N442">
            <v>8.11</v>
          </cell>
        </row>
        <row r="443">
          <cell r="B443">
            <v>1140.0999999999999</v>
          </cell>
          <cell r="D443">
            <v>3477.6</v>
          </cell>
          <cell r="G443">
            <v>23.382000000000001</v>
          </cell>
          <cell r="J443">
            <v>55.284999999999997</v>
          </cell>
          <cell r="L443">
            <v>0</v>
          </cell>
          <cell r="N443">
            <v>8.48</v>
          </cell>
        </row>
        <row r="444">
          <cell r="B444">
            <v>1141.0999999999999</v>
          </cell>
          <cell r="D444">
            <v>3478.8</v>
          </cell>
          <cell r="G444">
            <v>23.484000000000002</v>
          </cell>
          <cell r="J444">
            <v>56.533999999999999</v>
          </cell>
          <cell r="L444">
            <v>0</v>
          </cell>
          <cell r="N444">
            <v>8.99</v>
          </cell>
        </row>
        <row r="445">
          <cell r="B445">
            <v>1143.3</v>
          </cell>
          <cell r="D445">
            <v>3488.2</v>
          </cell>
          <cell r="G445">
            <v>23.405999999999999</v>
          </cell>
          <cell r="J445">
            <v>56.905000000000001</v>
          </cell>
          <cell r="L445">
            <v>0</v>
          </cell>
          <cell r="N445">
            <v>9.0500000000000007</v>
          </cell>
        </row>
        <row r="446">
          <cell r="B446">
            <v>1145.2</v>
          </cell>
          <cell r="D446">
            <v>3476.7</v>
          </cell>
          <cell r="G446">
            <v>25.004000000000001</v>
          </cell>
          <cell r="J446">
            <v>57.485999999999997</v>
          </cell>
          <cell r="L446">
            <v>0</v>
          </cell>
          <cell r="N446">
            <v>9.25</v>
          </cell>
        </row>
        <row r="447">
          <cell r="B447">
            <v>1150.7</v>
          </cell>
          <cell r="D447">
            <v>3485.2</v>
          </cell>
          <cell r="G447">
            <v>25.419</v>
          </cell>
          <cell r="J447">
            <v>57.832000000000001</v>
          </cell>
          <cell r="L447">
            <v>0</v>
          </cell>
          <cell r="N447">
            <v>9.57</v>
          </cell>
        </row>
        <row r="448">
          <cell r="B448">
            <v>1150.5999999999999</v>
          </cell>
          <cell r="D448">
            <v>3482.5</v>
          </cell>
          <cell r="G448">
            <v>26.37</v>
          </cell>
          <cell r="J448">
            <v>58.444000000000003</v>
          </cell>
          <cell r="L448">
            <v>0</v>
          </cell>
          <cell r="N448">
            <v>9.36</v>
          </cell>
        </row>
        <row r="449">
          <cell r="B449">
            <v>1151.9000000000001</v>
          </cell>
          <cell r="D449">
            <v>3482.7</v>
          </cell>
          <cell r="G449">
            <v>27.582000000000001</v>
          </cell>
          <cell r="J449">
            <v>59.308999999999997</v>
          </cell>
          <cell r="L449">
            <v>0</v>
          </cell>
          <cell r="N449">
            <v>8.98</v>
          </cell>
        </row>
        <row r="450">
          <cell r="B450">
            <v>1150.2</v>
          </cell>
          <cell r="D450">
            <v>3480.8</v>
          </cell>
          <cell r="G450">
            <v>26.337</v>
          </cell>
          <cell r="J450">
            <v>60.215000000000003</v>
          </cell>
          <cell r="L450">
            <v>0</v>
          </cell>
          <cell r="N450">
            <v>8.44</v>
          </cell>
        </row>
        <row r="451">
          <cell r="B451">
            <v>1150.9000000000001</v>
          </cell>
          <cell r="D451">
            <v>3483.7</v>
          </cell>
          <cell r="G451">
            <v>24.661999999999999</v>
          </cell>
          <cell r="J451">
            <v>60.484999999999999</v>
          </cell>
          <cell r="L451">
            <v>0</v>
          </cell>
          <cell r="N451">
            <v>7.89</v>
          </cell>
        </row>
        <row r="452">
          <cell r="B452">
            <v>1150.7</v>
          </cell>
          <cell r="D452">
            <v>3482.7</v>
          </cell>
          <cell r="G452">
            <v>27.109000000000002</v>
          </cell>
          <cell r="J452">
            <v>60.822000000000003</v>
          </cell>
          <cell r="L452">
            <v>0</v>
          </cell>
          <cell r="N452">
            <v>8.18</v>
          </cell>
        </row>
        <row r="453">
          <cell r="B453">
            <v>1151.4000000000001</v>
          </cell>
          <cell r="D453">
            <v>3488.2</v>
          </cell>
          <cell r="G453">
            <v>28.887</v>
          </cell>
          <cell r="J453">
            <v>60.445999999999998</v>
          </cell>
          <cell r="L453">
            <v>0</v>
          </cell>
          <cell r="N453">
            <v>8.2200000000000006</v>
          </cell>
        </row>
        <row r="454">
          <cell r="B454">
            <v>1147.4000000000001</v>
          </cell>
          <cell r="D454">
            <v>3485.4</v>
          </cell>
          <cell r="G454">
            <v>28.332999999999998</v>
          </cell>
          <cell r="J454">
            <v>60.244</v>
          </cell>
          <cell r="L454">
            <v>0</v>
          </cell>
          <cell r="N454">
            <v>7.99</v>
          </cell>
        </row>
        <row r="455">
          <cell r="B455">
            <v>1146.7</v>
          </cell>
          <cell r="D455">
            <v>3486.7</v>
          </cell>
          <cell r="G455">
            <v>29.475000000000001</v>
          </cell>
          <cell r="J455">
            <v>60.38</v>
          </cell>
          <cell r="L455">
            <v>0</v>
          </cell>
          <cell r="N455">
            <v>7.77</v>
          </cell>
        </row>
        <row r="456">
          <cell r="B456">
            <v>1149.3</v>
          </cell>
          <cell r="D456">
            <v>3494.7</v>
          </cell>
          <cell r="G456">
            <v>30.257999999999999</v>
          </cell>
          <cell r="J456">
            <v>59.771999999999998</v>
          </cell>
          <cell r="L456">
            <v>0</v>
          </cell>
          <cell r="N456">
            <v>7.72</v>
          </cell>
        </row>
        <row r="457">
          <cell r="B457">
            <v>1145.3</v>
          </cell>
          <cell r="D457">
            <v>3519.4</v>
          </cell>
          <cell r="G457">
            <v>30.15</v>
          </cell>
          <cell r="J457">
            <v>59.715000000000003</v>
          </cell>
          <cell r="L457">
            <v>0</v>
          </cell>
          <cell r="N457">
            <v>7.92</v>
          </cell>
        </row>
        <row r="458">
          <cell r="B458">
            <v>1144.2</v>
          </cell>
          <cell r="D458">
            <v>3544.1</v>
          </cell>
          <cell r="G458">
            <v>31.914000000000001</v>
          </cell>
          <cell r="J458">
            <v>59.863</v>
          </cell>
          <cell r="L458">
            <v>0</v>
          </cell>
          <cell r="N458">
            <v>8.11</v>
          </cell>
        </row>
        <row r="459">
          <cell r="B459">
            <v>1145.5</v>
          </cell>
          <cell r="D459">
            <v>3562.4</v>
          </cell>
          <cell r="G459">
            <v>32.926000000000002</v>
          </cell>
          <cell r="J459">
            <v>59.491</v>
          </cell>
          <cell r="L459">
            <v>0</v>
          </cell>
          <cell r="N459">
            <v>8.35</v>
          </cell>
        </row>
        <row r="460">
          <cell r="B460">
            <v>1145.4000000000001</v>
          </cell>
          <cell r="D460">
            <v>3583.9</v>
          </cell>
          <cell r="G460">
            <v>34.729999999999997</v>
          </cell>
          <cell r="J460">
            <v>59.313000000000002</v>
          </cell>
          <cell r="L460">
            <v>0</v>
          </cell>
          <cell r="N460">
            <v>8.4</v>
          </cell>
        </row>
        <row r="461">
          <cell r="B461">
            <v>1142</v>
          </cell>
          <cell r="D461">
            <v>3597</v>
          </cell>
          <cell r="G461">
            <v>37.164999999999999</v>
          </cell>
          <cell r="J461">
            <v>58.994</v>
          </cell>
          <cell r="L461">
            <v>0</v>
          </cell>
          <cell r="N461">
            <v>8.32</v>
          </cell>
        </row>
        <row r="462">
          <cell r="B462">
            <v>1137.3</v>
          </cell>
          <cell r="D462">
            <v>3608.1</v>
          </cell>
          <cell r="G462">
            <v>36.572000000000003</v>
          </cell>
          <cell r="J462">
            <v>59.162999999999997</v>
          </cell>
          <cell r="L462">
            <v>0</v>
          </cell>
          <cell r="N462">
            <v>8.1</v>
          </cell>
        </row>
        <row r="463">
          <cell r="B463">
            <v>1134.0999999999999</v>
          </cell>
          <cell r="D463">
            <v>3614.7</v>
          </cell>
          <cell r="G463">
            <v>33.597000000000001</v>
          </cell>
          <cell r="J463">
            <v>59.256999999999998</v>
          </cell>
          <cell r="L463">
            <v>0</v>
          </cell>
          <cell r="N463">
            <v>7.94</v>
          </cell>
        </row>
        <row r="464">
          <cell r="B464">
            <v>1127.5</v>
          </cell>
          <cell r="D464">
            <v>3624.4</v>
          </cell>
          <cell r="G464">
            <v>35.308999999999997</v>
          </cell>
          <cell r="J464">
            <v>59.268000000000001</v>
          </cell>
          <cell r="L464">
            <v>4.0000000000000001E-3</v>
          </cell>
          <cell r="N464">
            <v>7.78</v>
          </cell>
        </row>
        <row r="465">
          <cell r="B465">
            <v>1123.5</v>
          </cell>
          <cell r="D465">
            <v>3642.6</v>
          </cell>
          <cell r="G465">
            <v>37.814</v>
          </cell>
          <cell r="J465">
            <v>58.593000000000004</v>
          </cell>
          <cell r="L465">
            <v>0</v>
          </cell>
          <cell r="N465">
            <v>7.76</v>
          </cell>
        </row>
        <row r="466">
          <cell r="B466">
            <v>1118.5</v>
          </cell>
          <cell r="D466">
            <v>3656.6</v>
          </cell>
          <cell r="G466">
            <v>36.417999999999999</v>
          </cell>
          <cell r="J466">
            <v>58.140999999999998</v>
          </cell>
          <cell r="L466">
            <v>0</v>
          </cell>
          <cell r="N466">
            <v>7.55</v>
          </cell>
        </row>
        <row r="467">
          <cell r="B467">
            <v>1122.5999999999999</v>
          </cell>
          <cell r="D467">
            <v>3681.7</v>
          </cell>
          <cell r="G467">
            <v>36.302</v>
          </cell>
          <cell r="J467">
            <v>57.863</v>
          </cell>
          <cell r="L467">
            <v>0</v>
          </cell>
          <cell r="N467">
            <v>7.31</v>
          </cell>
        </row>
        <row r="468">
          <cell r="B468">
            <v>1124.8</v>
          </cell>
          <cell r="D468">
            <v>3692.1</v>
          </cell>
          <cell r="G468">
            <v>36.148000000000003</v>
          </cell>
          <cell r="J468">
            <v>57.491999999999997</v>
          </cell>
          <cell r="L468">
            <v>0</v>
          </cell>
          <cell r="N468">
            <v>7.05</v>
          </cell>
        </row>
        <row r="469">
          <cell r="B469">
            <v>1116.5</v>
          </cell>
          <cell r="D469">
            <v>3703.2</v>
          </cell>
          <cell r="G469">
            <v>35.585999999999999</v>
          </cell>
          <cell r="J469">
            <v>57.103999999999999</v>
          </cell>
          <cell r="L469">
            <v>0</v>
          </cell>
          <cell r="N469">
            <v>6.64</v>
          </cell>
        </row>
        <row r="470">
          <cell r="B470">
            <v>1115.2</v>
          </cell>
          <cell r="D470">
            <v>3716.5</v>
          </cell>
          <cell r="G470">
            <v>36.655999999999999</v>
          </cell>
          <cell r="J470">
            <v>57.445999999999998</v>
          </cell>
          <cell r="L470">
            <v>0</v>
          </cell>
          <cell r="N470">
            <v>6.27</v>
          </cell>
        </row>
        <row r="471">
          <cell r="B471">
            <v>1112.4000000000001</v>
          </cell>
          <cell r="D471">
            <v>3731.4</v>
          </cell>
          <cell r="G471">
            <v>37.204999999999998</v>
          </cell>
          <cell r="J471">
            <v>57.256999999999998</v>
          </cell>
          <cell r="L471">
            <v>0</v>
          </cell>
          <cell r="N471">
            <v>6.4</v>
          </cell>
        </row>
        <row r="472">
          <cell r="B472">
            <v>1101.5999999999999</v>
          </cell>
          <cell r="D472">
            <v>3738.3</v>
          </cell>
          <cell r="G472">
            <v>37.49</v>
          </cell>
          <cell r="J472">
            <v>57.033000000000001</v>
          </cell>
          <cell r="L472">
            <v>0</v>
          </cell>
          <cell r="N472">
            <v>6.24</v>
          </cell>
        </row>
        <row r="473">
          <cell r="B473">
            <v>1096.2</v>
          </cell>
          <cell r="D473">
            <v>3746.6</v>
          </cell>
          <cell r="G473">
            <v>37.692</v>
          </cell>
          <cell r="J473">
            <v>56.473999999999997</v>
          </cell>
          <cell r="L473">
            <v>0</v>
          </cell>
          <cell r="N473">
            <v>6.13</v>
          </cell>
        </row>
        <row r="474">
          <cell r="B474">
            <v>1085.7</v>
          </cell>
          <cell r="D474">
            <v>3761.5</v>
          </cell>
          <cell r="G474">
            <v>37.435000000000002</v>
          </cell>
          <cell r="J474">
            <v>56.101999999999997</v>
          </cell>
          <cell r="L474">
            <v>0</v>
          </cell>
          <cell r="N474">
            <v>6.36</v>
          </cell>
        </row>
        <row r="475">
          <cell r="B475">
            <v>1083.5</v>
          </cell>
          <cell r="D475">
            <v>3781.2</v>
          </cell>
          <cell r="G475">
            <v>34.167000000000002</v>
          </cell>
          <cell r="J475">
            <v>56.225999999999999</v>
          </cell>
          <cell r="L475">
            <v>0</v>
          </cell>
          <cell r="N475">
            <v>6.31</v>
          </cell>
        </row>
        <row r="476">
          <cell r="B476">
            <v>1081.3</v>
          </cell>
          <cell r="D476">
            <v>3802.4</v>
          </cell>
          <cell r="G476">
            <v>35.923000000000002</v>
          </cell>
          <cell r="J476">
            <v>55.845999999999997</v>
          </cell>
          <cell r="L476">
            <v>0</v>
          </cell>
          <cell r="N476">
            <v>5.78</v>
          </cell>
        </row>
        <row r="477">
          <cell r="B477">
            <v>1081.2</v>
          </cell>
          <cell r="D477">
            <v>3817.2</v>
          </cell>
          <cell r="G477">
            <v>38.359000000000002</v>
          </cell>
          <cell r="J477">
            <v>54.588000000000001</v>
          </cell>
          <cell r="L477">
            <v>0</v>
          </cell>
          <cell r="N477">
            <v>5.57</v>
          </cell>
        </row>
        <row r="478">
          <cell r="B478">
            <v>1078.8</v>
          </cell>
          <cell r="D478">
            <v>3828.9</v>
          </cell>
          <cell r="G478">
            <v>36.454999999999998</v>
          </cell>
          <cell r="J478">
            <v>55.274000000000001</v>
          </cell>
          <cell r="L478">
            <v>0</v>
          </cell>
          <cell r="N478">
            <v>5.33</v>
          </cell>
        </row>
        <row r="479">
          <cell r="B479">
            <v>1072.5</v>
          </cell>
          <cell r="D479">
            <v>3844.1</v>
          </cell>
          <cell r="G479">
            <v>37.926000000000002</v>
          </cell>
          <cell r="J479">
            <v>55.088000000000001</v>
          </cell>
          <cell r="L479">
            <v>0</v>
          </cell>
          <cell r="N479">
            <v>4.8899999999999997</v>
          </cell>
        </row>
        <row r="480">
          <cell r="B480">
            <v>1063.9000000000001</v>
          </cell>
          <cell r="D480">
            <v>3859.9</v>
          </cell>
          <cell r="G480">
            <v>37.884999999999998</v>
          </cell>
          <cell r="J480">
            <v>53.914000000000001</v>
          </cell>
          <cell r="L480">
            <v>0</v>
          </cell>
          <cell r="N480">
            <v>4.38</v>
          </cell>
        </row>
        <row r="481">
          <cell r="B481">
            <v>1063.8</v>
          </cell>
          <cell r="D481">
            <v>3871.2</v>
          </cell>
          <cell r="G481">
            <v>36.878999999999998</v>
          </cell>
          <cell r="J481">
            <v>53.759</v>
          </cell>
          <cell r="L481">
            <v>0</v>
          </cell>
          <cell r="N481">
            <v>4.1500000000000004</v>
          </cell>
        </row>
        <row r="482">
          <cell r="B482">
            <v>1066.0999999999999</v>
          </cell>
          <cell r="D482">
            <v>3888</v>
          </cell>
          <cell r="G482">
            <v>37.225000000000001</v>
          </cell>
          <cell r="J482">
            <v>53.01</v>
          </cell>
          <cell r="L482">
            <v>0</v>
          </cell>
          <cell r="N482">
            <v>4.29</v>
          </cell>
        </row>
        <row r="483">
          <cell r="B483">
            <v>1065.5</v>
          </cell>
          <cell r="D483">
            <v>3905.8</v>
          </cell>
          <cell r="G483">
            <v>36.371000000000002</v>
          </cell>
          <cell r="J483">
            <v>51.828000000000003</v>
          </cell>
          <cell r="L483">
            <v>0</v>
          </cell>
          <cell r="N483">
            <v>4.63</v>
          </cell>
        </row>
        <row r="484">
          <cell r="B484">
            <v>1075.3</v>
          </cell>
          <cell r="D484">
            <v>3939.6</v>
          </cell>
          <cell r="G484">
            <v>36.991</v>
          </cell>
          <cell r="J484">
            <v>50.945</v>
          </cell>
          <cell r="L484">
            <v>0</v>
          </cell>
          <cell r="N484">
            <v>4.3</v>
          </cell>
        </row>
        <row r="485">
          <cell r="B485">
            <v>1066.9000000000001</v>
          </cell>
          <cell r="D485">
            <v>3955.1</v>
          </cell>
          <cell r="G485">
            <v>37.765000000000001</v>
          </cell>
          <cell r="J485">
            <v>49.750999999999998</v>
          </cell>
          <cell r="L485">
            <v>0</v>
          </cell>
          <cell r="N485">
            <v>4.1900000000000004</v>
          </cell>
        </row>
        <row r="486">
          <cell r="B486">
            <v>1065.5999999999999</v>
          </cell>
          <cell r="D486">
            <v>3974.2</v>
          </cell>
          <cell r="G486">
            <v>36.392000000000003</v>
          </cell>
          <cell r="J486">
            <v>49.566000000000003</v>
          </cell>
          <cell r="L486">
            <v>0</v>
          </cell>
          <cell r="N486">
            <v>4.17</v>
          </cell>
        </row>
        <row r="487">
          <cell r="B487">
            <v>1070.9000000000001</v>
          </cell>
          <cell r="D487">
            <v>3997.2</v>
          </cell>
          <cell r="G487">
            <v>32.765000000000001</v>
          </cell>
          <cell r="J487">
            <v>50.03</v>
          </cell>
          <cell r="L487">
            <v>0</v>
          </cell>
          <cell r="N487">
            <v>3.6</v>
          </cell>
        </row>
        <row r="488">
          <cell r="B488">
            <v>1072.3</v>
          </cell>
          <cell r="D488">
            <v>4015.1</v>
          </cell>
          <cell r="G488">
            <v>34.548999999999999</v>
          </cell>
          <cell r="J488">
            <v>49.639000000000003</v>
          </cell>
          <cell r="L488">
            <v>0</v>
          </cell>
          <cell r="N488">
            <v>3.47</v>
          </cell>
        </row>
        <row r="489">
          <cell r="B489">
            <v>1074</v>
          </cell>
          <cell r="D489">
            <v>4038.2</v>
          </cell>
          <cell r="G489">
            <v>35.798000000000002</v>
          </cell>
          <cell r="J489">
            <v>48.673000000000002</v>
          </cell>
          <cell r="L489">
            <v>0</v>
          </cell>
          <cell r="N489">
            <v>3.18</v>
          </cell>
        </row>
        <row r="490">
          <cell r="B490">
            <v>1077.8</v>
          </cell>
          <cell r="D490">
            <v>4070.6</v>
          </cell>
          <cell r="G490">
            <v>33.15</v>
          </cell>
          <cell r="J490">
            <v>47.694000000000003</v>
          </cell>
          <cell r="L490">
            <v>0</v>
          </cell>
          <cell r="N490">
            <v>3.3</v>
          </cell>
        </row>
        <row r="491">
          <cell r="B491">
            <v>1076.9000000000001</v>
          </cell>
          <cell r="D491">
            <v>4096.2</v>
          </cell>
          <cell r="G491">
            <v>33.832000000000001</v>
          </cell>
          <cell r="J491">
            <v>47.093000000000004</v>
          </cell>
          <cell r="L491">
            <v>0</v>
          </cell>
          <cell r="N491">
            <v>3.68</v>
          </cell>
        </row>
        <row r="492">
          <cell r="B492">
            <v>1076.5</v>
          </cell>
          <cell r="D492">
            <v>4121.8999999999996</v>
          </cell>
          <cell r="G492">
            <v>33.92</v>
          </cell>
          <cell r="J492">
            <v>46.414000000000001</v>
          </cell>
          <cell r="L492">
            <v>0</v>
          </cell>
          <cell r="N492">
            <v>3.71</v>
          </cell>
        </row>
        <row r="493">
          <cell r="B493">
            <v>1079.0999999999999</v>
          </cell>
          <cell r="D493">
            <v>4145.6000000000004</v>
          </cell>
          <cell r="G493">
            <v>32.863</v>
          </cell>
          <cell r="J493">
            <v>46.570999999999998</v>
          </cell>
          <cell r="L493">
            <v>0</v>
          </cell>
          <cell r="N493">
            <v>3.5</v>
          </cell>
        </row>
        <row r="494">
          <cell r="B494">
            <v>1076.3</v>
          </cell>
          <cell r="D494">
            <v>4165.3999999999996</v>
          </cell>
          <cell r="G494">
            <v>33.545999999999999</v>
          </cell>
          <cell r="J494">
            <v>46.347000000000001</v>
          </cell>
          <cell r="L494">
            <v>0</v>
          </cell>
          <cell r="N494">
            <v>3.39</v>
          </cell>
        </row>
        <row r="495">
          <cell r="B495">
            <v>1075.0999999999999</v>
          </cell>
          <cell r="D495">
            <v>4184.6000000000004</v>
          </cell>
          <cell r="G495">
            <v>33.088999999999999</v>
          </cell>
          <cell r="J495">
            <v>46.316000000000003</v>
          </cell>
          <cell r="L495">
            <v>0</v>
          </cell>
          <cell r="N495">
            <v>3.33</v>
          </cell>
        </row>
        <row r="496">
          <cell r="B496">
            <v>1075.9000000000001</v>
          </cell>
          <cell r="D496">
            <v>4209.5</v>
          </cell>
          <cell r="G496">
            <v>33.881</v>
          </cell>
          <cell r="J496">
            <v>45.81</v>
          </cell>
          <cell r="L496">
            <v>0</v>
          </cell>
          <cell r="N496">
            <v>3.24</v>
          </cell>
        </row>
        <row r="497">
          <cell r="B497">
            <v>1079.9000000000001</v>
          </cell>
          <cell r="D497">
            <v>4247.8999999999996</v>
          </cell>
          <cell r="G497">
            <v>35.366999999999997</v>
          </cell>
          <cell r="J497">
            <v>45.69</v>
          </cell>
          <cell r="L497">
            <v>0</v>
          </cell>
          <cell r="N497">
            <v>3.36</v>
          </cell>
        </row>
        <row r="498">
          <cell r="B498">
            <v>1086</v>
          </cell>
          <cell r="D498">
            <v>4287.1000000000004</v>
          </cell>
          <cell r="G498">
            <v>34.076000000000001</v>
          </cell>
          <cell r="J498">
            <v>46.258000000000003</v>
          </cell>
          <cell r="L498">
            <v>0</v>
          </cell>
          <cell r="N498">
            <v>3.54</v>
          </cell>
        </row>
        <row r="499">
          <cell r="B499">
            <v>1094.9000000000001</v>
          </cell>
          <cell r="D499">
            <v>4325.6000000000004</v>
          </cell>
          <cell r="G499">
            <v>30.882999999999999</v>
          </cell>
          <cell r="J499">
            <v>46.551000000000002</v>
          </cell>
          <cell r="L499">
            <v>0</v>
          </cell>
          <cell r="N499">
            <v>3.47</v>
          </cell>
        </row>
        <row r="500">
          <cell r="B500">
            <v>1095</v>
          </cell>
          <cell r="D500">
            <v>4354.3999999999996</v>
          </cell>
          <cell r="G500">
            <v>33.386000000000003</v>
          </cell>
          <cell r="J500">
            <v>46.448999999999998</v>
          </cell>
          <cell r="L500">
            <v>0</v>
          </cell>
          <cell r="N500">
            <v>3.44</v>
          </cell>
        </row>
        <row r="501">
          <cell r="B501">
            <v>1098.0999999999999</v>
          </cell>
          <cell r="D501">
            <v>4381.3</v>
          </cell>
          <cell r="G501">
            <v>35.369999999999997</v>
          </cell>
          <cell r="J501">
            <v>45.685000000000002</v>
          </cell>
          <cell r="L501">
            <v>0</v>
          </cell>
          <cell r="N501">
            <v>3.36</v>
          </cell>
        </row>
        <row r="502">
          <cell r="B502">
            <v>1096.7</v>
          </cell>
          <cell r="D502">
            <v>4404.3</v>
          </cell>
          <cell r="G502">
            <v>32.771000000000001</v>
          </cell>
          <cell r="J502">
            <v>45.813000000000002</v>
          </cell>
          <cell r="L502">
            <v>0</v>
          </cell>
          <cell r="N502">
            <v>3.39</v>
          </cell>
        </row>
        <row r="503">
          <cell r="B503">
            <v>1096.5999999999999</v>
          </cell>
          <cell r="D503">
            <v>4411.5</v>
          </cell>
          <cell r="G503">
            <v>33.884999999999998</v>
          </cell>
          <cell r="J503">
            <v>46.058999999999997</v>
          </cell>
          <cell r="L503">
            <v>0</v>
          </cell>
          <cell r="N503">
            <v>3.58</v>
          </cell>
        </row>
        <row r="504">
          <cell r="B504">
            <v>1101.5999999999999</v>
          </cell>
          <cell r="D504">
            <v>4439.2</v>
          </cell>
          <cell r="G504">
            <v>32.933</v>
          </cell>
          <cell r="J504">
            <v>45.378999999999998</v>
          </cell>
          <cell r="L504">
            <v>0</v>
          </cell>
          <cell r="N504">
            <v>3.61</v>
          </cell>
        </row>
        <row r="505">
          <cell r="B505">
            <v>1103.8</v>
          </cell>
          <cell r="D505">
            <v>4463.1000000000004</v>
          </cell>
          <cell r="G505">
            <v>32.426000000000002</v>
          </cell>
          <cell r="J505">
            <v>45.165999999999997</v>
          </cell>
          <cell r="L505">
            <v>0</v>
          </cell>
          <cell r="N505">
            <v>3.54</v>
          </cell>
        </row>
        <row r="506">
          <cell r="B506">
            <v>1099.8</v>
          </cell>
          <cell r="D506">
            <v>4484.8</v>
          </cell>
          <cell r="G506">
            <v>33.26</v>
          </cell>
          <cell r="J506">
            <v>44.636000000000003</v>
          </cell>
          <cell r="L506">
            <v>0</v>
          </cell>
          <cell r="N506">
            <v>3.87</v>
          </cell>
        </row>
        <row r="507">
          <cell r="B507">
            <v>1099.0999999999999</v>
          </cell>
          <cell r="D507">
            <v>4511.7</v>
          </cell>
          <cell r="G507">
            <v>32.081000000000003</v>
          </cell>
          <cell r="J507">
            <v>44.686</v>
          </cell>
          <cell r="L507">
            <v>0</v>
          </cell>
          <cell r="N507">
            <v>4.32</v>
          </cell>
        </row>
        <row r="508">
          <cell r="B508">
            <v>1099.2</v>
          </cell>
          <cell r="D508">
            <v>4529.2</v>
          </cell>
          <cell r="G508">
            <v>33.378</v>
          </cell>
          <cell r="J508">
            <v>44.598999999999997</v>
          </cell>
          <cell r="L508">
            <v>0</v>
          </cell>
          <cell r="N508">
            <v>4.82</v>
          </cell>
        </row>
        <row r="509">
          <cell r="B509">
            <v>1096.5</v>
          </cell>
          <cell r="D509">
            <v>4544.8</v>
          </cell>
          <cell r="G509">
            <v>30.227</v>
          </cell>
          <cell r="J509">
            <v>44.713999999999999</v>
          </cell>
          <cell r="L509">
            <v>0</v>
          </cell>
          <cell r="N509">
            <v>5.31</v>
          </cell>
        </row>
        <row r="510">
          <cell r="B510">
            <v>1103.3</v>
          </cell>
          <cell r="D510">
            <v>4568.3</v>
          </cell>
          <cell r="G510">
            <v>21.96</v>
          </cell>
          <cell r="J510">
            <v>44.731999999999999</v>
          </cell>
          <cell r="L510">
            <v>0</v>
          </cell>
          <cell r="N510">
            <v>5.27</v>
          </cell>
        </row>
        <row r="511">
          <cell r="B511">
            <v>1110.7</v>
          </cell>
          <cell r="D511">
            <v>4587.1000000000004</v>
          </cell>
          <cell r="G511">
            <v>19.789000000000001</v>
          </cell>
          <cell r="J511">
            <v>45.058</v>
          </cell>
          <cell r="L511">
            <v>0</v>
          </cell>
          <cell r="N511">
            <v>5.48</v>
          </cell>
        </row>
        <row r="512">
          <cell r="B512">
            <v>1122.2</v>
          </cell>
          <cell r="D512">
            <v>4614.8999999999996</v>
          </cell>
          <cell r="G512">
            <v>21.712</v>
          </cell>
          <cell r="J512">
            <v>44.823999999999998</v>
          </cell>
          <cell r="L512">
            <v>0</v>
          </cell>
          <cell r="N512">
            <v>5.56</v>
          </cell>
        </row>
        <row r="513">
          <cell r="B513">
            <v>1122</v>
          </cell>
          <cell r="D513">
            <v>4643.3999999999996</v>
          </cell>
          <cell r="G513">
            <v>23.498000000000001</v>
          </cell>
          <cell r="J513">
            <v>44.81</v>
          </cell>
          <cell r="L513">
            <v>0</v>
          </cell>
          <cell r="N513">
            <v>5.76</v>
          </cell>
        </row>
        <row r="514">
          <cell r="B514">
            <v>1107.9000000000001</v>
          </cell>
          <cell r="D514">
            <v>4656.5</v>
          </cell>
          <cell r="G514">
            <v>22.282</v>
          </cell>
          <cell r="J514">
            <v>44.405999999999999</v>
          </cell>
          <cell r="L514">
            <v>0</v>
          </cell>
          <cell r="N514">
            <v>6.11</v>
          </cell>
        </row>
        <row r="515">
          <cell r="B515">
            <v>1107.3</v>
          </cell>
          <cell r="D515">
            <v>4687.3999999999996</v>
          </cell>
          <cell r="G515">
            <v>23.670999999999999</v>
          </cell>
          <cell r="J515">
            <v>43.494999999999997</v>
          </cell>
          <cell r="L515">
            <v>0</v>
          </cell>
          <cell r="N515">
            <v>6.54</v>
          </cell>
        </row>
        <row r="516">
          <cell r="B516">
            <v>1114.5999999999999</v>
          </cell>
          <cell r="D516">
            <v>4740.8</v>
          </cell>
          <cell r="G516">
            <v>23.260999999999999</v>
          </cell>
          <cell r="J516">
            <v>43.878999999999998</v>
          </cell>
          <cell r="L516">
            <v>0</v>
          </cell>
          <cell r="N516">
            <v>7.14</v>
          </cell>
        </row>
        <row r="517">
          <cell r="B517">
            <v>1106</v>
          </cell>
          <cell r="D517">
            <v>4731.3999999999996</v>
          </cell>
          <cell r="G517">
            <v>22.786999999999999</v>
          </cell>
          <cell r="J517">
            <v>42.918999999999997</v>
          </cell>
          <cell r="L517">
            <v>0</v>
          </cell>
          <cell r="N517">
            <v>7.05</v>
          </cell>
        </row>
        <row r="518">
          <cell r="B518">
            <v>1103.7</v>
          </cell>
          <cell r="D518">
            <v>4748.6000000000004</v>
          </cell>
          <cell r="G518">
            <v>23.443000000000001</v>
          </cell>
          <cell r="J518">
            <v>41.683</v>
          </cell>
          <cell r="L518">
            <v>0</v>
          </cell>
          <cell r="N518">
            <v>6.7</v>
          </cell>
        </row>
        <row r="519">
          <cell r="B519">
            <v>1104.7</v>
          </cell>
          <cell r="D519">
            <v>4766.5</v>
          </cell>
          <cell r="G519">
            <v>23.173999999999999</v>
          </cell>
          <cell r="J519">
            <v>41.957999999999998</v>
          </cell>
          <cell r="L519">
            <v>0</v>
          </cell>
          <cell r="N519">
            <v>6.43</v>
          </cell>
        </row>
        <row r="520">
          <cell r="B520">
            <v>1100.5</v>
          </cell>
          <cell r="D520">
            <v>4794.5</v>
          </cell>
          <cell r="G520">
            <v>24.998999999999999</v>
          </cell>
          <cell r="J520">
            <v>41.62</v>
          </cell>
          <cell r="L520">
            <v>0</v>
          </cell>
          <cell r="N520">
            <v>6.27</v>
          </cell>
        </row>
        <row r="521">
          <cell r="B521">
            <v>1099.4000000000001</v>
          </cell>
          <cell r="D521">
            <v>4830.1000000000004</v>
          </cell>
          <cell r="G521">
            <v>26.67</v>
          </cell>
          <cell r="J521">
            <v>41.290999999999997</v>
          </cell>
          <cell r="L521">
            <v>0</v>
          </cell>
          <cell r="N521">
            <v>6</v>
          </cell>
        </row>
        <row r="522">
          <cell r="B522">
            <v>1098.5</v>
          </cell>
          <cell r="D522">
            <v>4846.5</v>
          </cell>
          <cell r="G522">
            <v>25.402999999999999</v>
          </cell>
          <cell r="J522">
            <v>41.534999999999997</v>
          </cell>
          <cell r="L522">
            <v>0</v>
          </cell>
          <cell r="N522">
            <v>5.64</v>
          </cell>
        </row>
        <row r="523">
          <cell r="B523">
            <v>1092.3</v>
          </cell>
          <cell r="D523">
            <v>4857.3</v>
          </cell>
          <cell r="G523">
            <v>24.867999999999999</v>
          </cell>
          <cell r="J523">
            <v>41.829000000000001</v>
          </cell>
          <cell r="L523">
            <v>0</v>
          </cell>
          <cell r="N523">
            <v>5.59</v>
          </cell>
        </row>
        <row r="524">
          <cell r="B524">
            <v>1087.8</v>
          </cell>
          <cell r="D524">
            <v>4901.5</v>
          </cell>
          <cell r="G524">
            <v>28.042000000000002</v>
          </cell>
          <cell r="J524">
            <v>42.158999999999999</v>
          </cell>
          <cell r="L524">
            <v>0</v>
          </cell>
          <cell r="N524">
            <v>5.75</v>
          </cell>
        </row>
        <row r="525">
          <cell r="B525">
            <v>1096.3</v>
          </cell>
          <cell r="D525">
            <v>4951.3</v>
          </cell>
          <cell r="G525">
            <v>22.646000000000001</v>
          </cell>
          <cell r="J525">
            <v>41.338000000000001</v>
          </cell>
          <cell r="L525">
            <v>0</v>
          </cell>
          <cell r="N525">
            <v>5.62</v>
          </cell>
        </row>
        <row r="526">
          <cell r="B526">
            <v>1100.5</v>
          </cell>
          <cell r="D526">
            <v>4989.2</v>
          </cell>
          <cell r="G526">
            <v>21.085000000000001</v>
          </cell>
          <cell r="J526">
            <v>40.548000000000002</v>
          </cell>
          <cell r="L526">
            <v>0</v>
          </cell>
          <cell r="N526">
            <v>5.59</v>
          </cell>
        </row>
        <row r="527">
          <cell r="B527">
            <v>1108.5</v>
          </cell>
          <cell r="D527">
            <v>5046</v>
          </cell>
          <cell r="G527">
            <v>21.236999999999998</v>
          </cell>
          <cell r="J527">
            <v>40.18</v>
          </cell>
          <cell r="L527">
            <v>0</v>
          </cell>
          <cell r="N527">
            <v>5.43</v>
          </cell>
        </row>
        <row r="528">
          <cell r="B528">
            <v>1115.2</v>
          </cell>
          <cell r="D528">
            <v>5105.3</v>
          </cell>
          <cell r="G528">
            <v>21.207999999999998</v>
          </cell>
          <cell r="J528">
            <v>40.322000000000003</v>
          </cell>
          <cell r="L528">
            <v>0</v>
          </cell>
          <cell r="N528">
            <v>5.31</v>
          </cell>
        </row>
        <row r="529">
          <cell r="B529">
            <v>1120.0999999999999</v>
          </cell>
          <cell r="D529">
            <v>5107.6000000000004</v>
          </cell>
          <cell r="G529">
            <v>21.268999999999998</v>
          </cell>
          <cell r="J529">
            <v>39.692</v>
          </cell>
          <cell r="L529">
            <v>0</v>
          </cell>
          <cell r="N529">
            <v>5.09</v>
          </cell>
        </row>
        <row r="530">
          <cell r="B530">
            <v>1128</v>
          </cell>
          <cell r="D530">
            <v>5148</v>
          </cell>
          <cell r="G530">
            <v>22.640999999999998</v>
          </cell>
          <cell r="J530">
            <v>39.521000000000001</v>
          </cell>
          <cell r="L530">
            <v>0</v>
          </cell>
          <cell r="N530">
            <v>4.9400000000000004</v>
          </cell>
        </row>
        <row r="531">
          <cell r="B531">
            <v>1140.5</v>
          </cell>
          <cell r="D531">
            <v>5177.6000000000004</v>
          </cell>
          <cell r="G531">
            <v>23.634</v>
          </cell>
          <cell r="J531">
            <v>39.234000000000002</v>
          </cell>
          <cell r="L531">
            <v>0</v>
          </cell>
          <cell r="N531">
            <v>5.34</v>
          </cell>
        </row>
        <row r="532">
          <cell r="B532">
            <v>1150.7</v>
          </cell>
          <cell r="D532">
            <v>5210.8</v>
          </cell>
          <cell r="G532">
            <v>25.481999999999999</v>
          </cell>
          <cell r="J532">
            <v>39.078000000000003</v>
          </cell>
          <cell r="L532">
            <v>0</v>
          </cell>
          <cell r="N532">
            <v>5.54</v>
          </cell>
        </row>
        <row r="533">
          <cell r="B533">
            <v>1205</v>
          </cell>
          <cell r="D533">
            <v>5321.6</v>
          </cell>
          <cell r="G533">
            <v>25.401</v>
          </cell>
          <cell r="J533">
            <v>38.951000000000001</v>
          </cell>
          <cell r="L533">
            <v>0</v>
          </cell>
          <cell r="N533">
            <v>5.64</v>
          </cell>
        </row>
        <row r="534">
          <cell r="B534">
            <v>1165.3</v>
          </cell>
          <cell r="D534">
            <v>5307.6</v>
          </cell>
          <cell r="G534">
            <v>23.645</v>
          </cell>
          <cell r="J534">
            <v>39.1</v>
          </cell>
          <cell r="L534">
            <v>0</v>
          </cell>
          <cell r="N534">
            <v>5.81</v>
          </cell>
        </row>
        <row r="535">
          <cell r="B535">
            <v>1170.5999999999999</v>
          </cell>
          <cell r="D535">
            <v>5350.5</v>
          </cell>
          <cell r="G535">
            <v>23.52</v>
          </cell>
          <cell r="J535">
            <v>38.475000000000001</v>
          </cell>
          <cell r="L535">
            <v>0</v>
          </cell>
          <cell r="N535">
            <v>5.85</v>
          </cell>
        </row>
        <row r="536">
          <cell r="B536">
            <v>1182.3</v>
          </cell>
          <cell r="D536">
            <v>5403.2</v>
          </cell>
          <cell r="G536">
            <v>24.387</v>
          </cell>
          <cell r="J536">
            <v>37.811999999999998</v>
          </cell>
          <cell r="L536">
            <v>0</v>
          </cell>
          <cell r="N536">
            <v>5.67</v>
          </cell>
        </row>
        <row r="537">
          <cell r="B537">
            <v>1189.9000000000001</v>
          </cell>
          <cell r="D537">
            <v>5423.4</v>
          </cell>
          <cell r="G537">
            <v>26.965</v>
          </cell>
          <cell r="J537">
            <v>38.533999999999999</v>
          </cell>
          <cell r="L537">
            <v>0</v>
          </cell>
          <cell r="N537">
            <v>5.83</v>
          </cell>
        </row>
        <row r="538">
          <cell r="B538">
            <v>1189.7</v>
          </cell>
          <cell r="D538">
            <v>5453</v>
          </cell>
          <cell r="G538">
            <v>25.957999999999998</v>
          </cell>
          <cell r="J538">
            <v>38.347999999999999</v>
          </cell>
          <cell r="L538">
            <v>0</v>
          </cell>
          <cell r="N538">
            <v>5.55</v>
          </cell>
        </row>
        <row r="539">
          <cell r="B539">
            <v>1192.5</v>
          </cell>
          <cell r="D539">
            <v>5463.8</v>
          </cell>
          <cell r="G539">
            <v>26.446000000000002</v>
          </cell>
          <cell r="J539">
            <v>38.325000000000003</v>
          </cell>
          <cell r="L539">
            <v>0</v>
          </cell>
          <cell r="N539">
            <v>5.42</v>
          </cell>
        </row>
        <row r="540">
          <cell r="B540">
            <v>1184.8</v>
          </cell>
          <cell r="D540">
            <v>5458.3</v>
          </cell>
          <cell r="G540">
            <v>26.524000000000001</v>
          </cell>
          <cell r="J540">
            <v>38.414999999999999</v>
          </cell>
          <cell r="L540">
            <v>0</v>
          </cell>
          <cell r="N540">
            <v>5.47</v>
          </cell>
        </row>
        <row r="541">
          <cell r="B541">
            <v>1191.4000000000001</v>
          </cell>
          <cell r="D541">
            <v>5491.6</v>
          </cell>
          <cell r="G541">
            <v>26.562999999999999</v>
          </cell>
          <cell r="J541">
            <v>38.603999999999999</v>
          </cell>
          <cell r="L541">
            <v>0</v>
          </cell>
          <cell r="N541">
            <v>5.61</v>
          </cell>
        </row>
        <row r="542">
          <cell r="B542">
            <v>1195.5999999999999</v>
          </cell>
          <cell r="D542">
            <v>5516.8</v>
          </cell>
          <cell r="G542">
            <v>27.277000000000001</v>
          </cell>
          <cell r="J542">
            <v>39.192</v>
          </cell>
          <cell r="L542">
            <v>0</v>
          </cell>
          <cell r="N542">
            <v>5.53</v>
          </cell>
        </row>
        <row r="543">
          <cell r="B543">
            <v>1200.9000000000001</v>
          </cell>
          <cell r="D543">
            <v>5557.9</v>
          </cell>
          <cell r="G543">
            <v>28.277000000000001</v>
          </cell>
          <cell r="J543">
            <v>39.777999999999999</v>
          </cell>
          <cell r="L543">
            <v>0</v>
          </cell>
          <cell r="N543">
            <v>5.8</v>
          </cell>
        </row>
        <row r="544">
          <cell r="B544">
            <v>1187.5999999999999</v>
          </cell>
          <cell r="D544">
            <v>5598.9</v>
          </cell>
          <cell r="G544">
            <v>29.018000000000001</v>
          </cell>
          <cell r="J544">
            <v>54.531999999999996</v>
          </cell>
          <cell r="L544">
            <v>0</v>
          </cell>
          <cell r="N544">
            <v>5.99</v>
          </cell>
        </row>
        <row r="545">
          <cell r="B545">
            <v>1195.5</v>
          </cell>
          <cell r="D545">
            <v>5623.4</v>
          </cell>
          <cell r="G545">
            <v>29.36</v>
          </cell>
          <cell r="J545">
            <v>45.334000000000003</v>
          </cell>
          <cell r="L545">
            <v>0</v>
          </cell>
          <cell r="N545">
            <v>5.87</v>
          </cell>
        </row>
        <row r="546">
          <cell r="B546">
            <v>1203.4000000000001</v>
          </cell>
          <cell r="D546">
            <v>5667.2</v>
          </cell>
          <cell r="G546">
            <v>27.791</v>
          </cell>
          <cell r="J546">
            <v>40.868000000000002</v>
          </cell>
          <cell r="L546">
            <v>0</v>
          </cell>
          <cell r="N546">
            <v>5.69</v>
          </cell>
        </row>
        <row r="547">
          <cell r="B547">
            <v>1209.3</v>
          </cell>
          <cell r="D547">
            <v>5716.7</v>
          </cell>
          <cell r="G547">
            <v>26.913</v>
          </cell>
          <cell r="J547">
            <v>41.317</v>
          </cell>
          <cell r="L547">
            <v>0</v>
          </cell>
          <cell r="N547">
            <v>5.54</v>
          </cell>
        </row>
        <row r="548">
          <cell r="B548">
            <v>1219.2</v>
          </cell>
          <cell r="D548">
            <v>5737.6</v>
          </cell>
          <cell r="G548">
            <v>27.395</v>
          </cell>
          <cell r="J548">
            <v>41.63</v>
          </cell>
          <cell r="L548">
            <v>0</v>
          </cell>
          <cell r="N548">
            <v>5.56</v>
          </cell>
        </row>
        <row r="549">
          <cell r="B549">
            <v>1226.3</v>
          </cell>
          <cell r="D549">
            <v>5769.5</v>
          </cell>
          <cell r="G549">
            <v>29.602</v>
          </cell>
          <cell r="J549">
            <v>41.783000000000001</v>
          </cell>
          <cell r="L549">
            <v>0</v>
          </cell>
          <cell r="N549">
            <v>5.52</v>
          </cell>
        </row>
        <row r="550">
          <cell r="B550">
            <v>1237.0999999999999</v>
          </cell>
          <cell r="D550">
            <v>5805.7</v>
          </cell>
          <cell r="G550">
            <v>26.79</v>
          </cell>
          <cell r="J550">
            <v>40.973999999999997</v>
          </cell>
          <cell r="L550">
            <v>0</v>
          </cell>
          <cell r="N550">
            <v>5.46</v>
          </cell>
        </row>
        <row r="551">
          <cell r="B551">
            <v>1238.4000000000001</v>
          </cell>
          <cell r="D551">
            <v>5825.5</v>
          </cell>
          <cell r="G551">
            <v>26.504999999999999</v>
          </cell>
          <cell r="J551">
            <v>40.468000000000004</v>
          </cell>
          <cell r="L551">
            <v>0</v>
          </cell>
          <cell r="N551">
            <v>5.46</v>
          </cell>
        </row>
        <row r="552">
          <cell r="B552">
            <v>1247.5999999999999</v>
          </cell>
          <cell r="D552">
            <v>5856.5</v>
          </cell>
          <cell r="G552">
            <v>25.995000000000001</v>
          </cell>
          <cell r="J552">
            <v>39.396000000000001</v>
          </cell>
          <cell r="L552">
            <v>0</v>
          </cell>
          <cell r="N552">
            <v>5.53</v>
          </cell>
        </row>
        <row r="553">
          <cell r="B553">
            <v>1270.8</v>
          </cell>
          <cell r="D553">
            <v>5926.8</v>
          </cell>
          <cell r="G553">
            <v>25.292000000000002</v>
          </cell>
          <cell r="J553">
            <v>38.978000000000002</v>
          </cell>
          <cell r="L553">
            <v>0</v>
          </cell>
          <cell r="N553">
            <v>5.24</v>
          </cell>
        </row>
        <row r="554">
          <cell r="B554">
            <v>1283.5</v>
          </cell>
          <cell r="D554">
            <v>5965.5</v>
          </cell>
          <cell r="G554">
            <v>25.169</v>
          </cell>
          <cell r="J554">
            <v>39.085000000000001</v>
          </cell>
          <cell r="L554">
            <v>0</v>
          </cell>
          <cell r="N554">
            <v>5.31</v>
          </cell>
        </row>
        <row r="555">
          <cell r="B555">
            <v>1288.9000000000001</v>
          </cell>
          <cell r="D555">
            <v>6010.4</v>
          </cell>
          <cell r="G555">
            <v>24.738</v>
          </cell>
          <cell r="J555">
            <v>39.529000000000003</v>
          </cell>
          <cell r="L555">
            <v>0</v>
          </cell>
          <cell r="N555">
            <v>5.39</v>
          </cell>
        </row>
        <row r="556">
          <cell r="B556">
            <v>1296.5999999999999</v>
          </cell>
          <cell r="D556">
            <v>6067.2</v>
          </cell>
          <cell r="G556">
            <v>24.710999999999999</v>
          </cell>
          <cell r="J556">
            <v>38.646000000000001</v>
          </cell>
          <cell r="L556">
            <v>0</v>
          </cell>
          <cell r="N556">
            <v>5.38</v>
          </cell>
        </row>
        <row r="557">
          <cell r="B557">
            <v>1296.0999999999999</v>
          </cell>
          <cell r="D557">
            <v>6038.9</v>
          </cell>
          <cell r="G557">
            <v>24.670999999999999</v>
          </cell>
          <cell r="J557">
            <v>38.972000000000001</v>
          </cell>
          <cell r="L557">
            <v>0</v>
          </cell>
          <cell r="N557">
            <v>5.44</v>
          </cell>
        </row>
        <row r="558">
          <cell r="B558">
            <v>1296.9000000000001</v>
          </cell>
          <cell r="D558">
            <v>6029.3</v>
          </cell>
          <cell r="G558">
            <v>22.265999999999998</v>
          </cell>
          <cell r="J558">
            <v>39.502000000000002</v>
          </cell>
          <cell r="L558">
            <v>0</v>
          </cell>
          <cell r="N558">
            <v>5.41</v>
          </cell>
        </row>
        <row r="559">
          <cell r="B559">
            <v>1298.5999999999999</v>
          </cell>
          <cell r="D559">
            <v>6034.2</v>
          </cell>
          <cell r="G559">
            <v>21.741</v>
          </cell>
          <cell r="J559">
            <v>40.195</v>
          </cell>
          <cell r="L559">
            <v>0</v>
          </cell>
          <cell r="N559">
            <v>5.36</v>
          </cell>
        </row>
        <row r="560">
          <cell r="B560">
            <v>1305.2</v>
          </cell>
          <cell r="D560">
            <v>6032.3</v>
          </cell>
          <cell r="G560">
            <v>22.629000000000001</v>
          </cell>
          <cell r="J560">
            <v>40.695</v>
          </cell>
          <cell r="N560">
            <v>5.21</v>
          </cell>
        </row>
        <row r="561">
          <cell r="B561">
            <v>1305.0999999999999</v>
          </cell>
          <cell r="D561">
            <v>6040.3</v>
          </cell>
          <cell r="G561">
            <v>24.193000000000001</v>
          </cell>
          <cell r="J561">
            <v>41.18</v>
          </cell>
          <cell r="N561">
            <v>4.71</v>
          </cell>
        </row>
        <row r="562">
          <cell r="B562">
            <v>1320.6</v>
          </cell>
          <cell r="D562">
            <v>6080.3</v>
          </cell>
          <cell r="G562">
            <v>21.472000000000001</v>
          </cell>
          <cell r="J562">
            <v>41.148000000000003</v>
          </cell>
          <cell r="N562">
            <v>4.12</v>
          </cell>
        </row>
        <row r="563">
          <cell r="B563">
            <v>1327.8</v>
          </cell>
          <cell r="D563">
            <v>6115.6</v>
          </cell>
          <cell r="G563">
            <v>21.055</v>
          </cell>
          <cell r="J563">
            <v>40.537999999999997</v>
          </cell>
          <cell r="N563">
            <v>4.53</v>
          </cell>
        </row>
        <row r="564">
          <cell r="B564">
            <v>1330.3</v>
          </cell>
          <cell r="D564">
            <v>6150</v>
          </cell>
          <cell r="G564">
            <v>20.815000000000001</v>
          </cell>
          <cell r="J564">
            <v>40.853000000000002</v>
          </cell>
          <cell r="N564">
            <v>4.5199999999999996</v>
          </cell>
        </row>
        <row r="565">
          <cell r="B565">
            <v>1335.1</v>
          </cell>
          <cell r="D565">
            <v>6237.2</v>
          </cell>
          <cell r="G565">
            <v>20.559000000000001</v>
          </cell>
          <cell r="J565">
            <v>42.094000000000001</v>
          </cell>
          <cell r="N565">
            <v>4.51</v>
          </cell>
        </row>
        <row r="566">
          <cell r="B566">
            <v>1344.5</v>
          </cell>
          <cell r="D566">
            <v>6241.5</v>
          </cell>
          <cell r="G566">
            <v>20.521000000000001</v>
          </cell>
          <cell r="J566">
            <v>42.951999999999998</v>
          </cell>
          <cell r="N566">
            <v>4.7</v>
          </cell>
        </row>
        <row r="567">
          <cell r="B567">
            <v>1341.4</v>
          </cell>
          <cell r="D567">
            <v>6252.4</v>
          </cell>
          <cell r="G567">
            <v>20.039000000000001</v>
          </cell>
          <cell r="J567">
            <v>45.447000000000003</v>
          </cell>
          <cell r="N567">
            <v>4.78</v>
          </cell>
        </row>
        <row r="568">
          <cell r="B568">
            <v>1354.1</v>
          </cell>
          <cell r="D568">
            <v>6277</v>
          </cell>
          <cell r="G568">
            <v>20.055</v>
          </cell>
          <cell r="J568">
            <v>43.96</v>
          </cell>
          <cell r="N568">
            <v>4.6900000000000004</v>
          </cell>
        </row>
        <row r="569">
          <cell r="B569">
            <v>1361.4</v>
          </cell>
          <cell r="D569">
            <v>6311.5</v>
          </cell>
          <cell r="G569">
            <v>20.454999999999998</v>
          </cell>
          <cell r="J569">
            <v>43.295000000000002</v>
          </cell>
          <cell r="N569">
            <v>4.8499999999999996</v>
          </cell>
        </row>
        <row r="570">
          <cell r="B570">
            <v>1361.2</v>
          </cell>
          <cell r="D570">
            <v>6339.1</v>
          </cell>
          <cell r="G570">
            <v>17.776</v>
          </cell>
          <cell r="J570">
            <v>42.787999999999997</v>
          </cell>
          <cell r="N570">
            <v>5.0999999999999996</v>
          </cell>
        </row>
        <row r="571">
          <cell r="B571">
            <v>1374.2</v>
          </cell>
          <cell r="D571">
            <v>6366.1</v>
          </cell>
          <cell r="G571">
            <v>16.88</v>
          </cell>
          <cell r="J571">
            <v>42.496000000000002</v>
          </cell>
          <cell r="N571">
            <v>5.03</v>
          </cell>
        </row>
        <row r="572">
          <cell r="B572">
            <v>1375.5</v>
          </cell>
          <cell r="D572">
            <v>6385.1</v>
          </cell>
          <cell r="G572">
            <v>18.495000000000001</v>
          </cell>
          <cell r="J572">
            <v>42.875</v>
          </cell>
          <cell r="N572">
            <v>5.2</v>
          </cell>
        </row>
        <row r="573">
          <cell r="B573">
            <v>1366.7</v>
          </cell>
          <cell r="D573">
            <v>6390.1</v>
          </cell>
          <cell r="G573">
            <v>19.236000000000001</v>
          </cell>
          <cell r="J573">
            <v>42.951000000000001</v>
          </cell>
          <cell r="N573">
            <v>5.25</v>
          </cell>
        </row>
        <row r="574">
          <cell r="B574">
            <v>1371</v>
          </cell>
          <cell r="D574">
            <v>6399.7</v>
          </cell>
          <cell r="G574">
            <v>16.812000000000001</v>
          </cell>
          <cell r="J574">
            <v>44.816000000000003</v>
          </cell>
          <cell r="N574">
            <v>5.43</v>
          </cell>
        </row>
        <row r="575">
          <cell r="B575">
            <v>1370.5</v>
          </cell>
          <cell r="D575">
            <v>6409.5</v>
          </cell>
          <cell r="G575">
            <v>16.63</v>
          </cell>
          <cell r="J575">
            <v>45.527000000000001</v>
          </cell>
          <cell r="N575">
            <v>5.55</v>
          </cell>
        </row>
        <row r="576">
          <cell r="B576">
            <v>1356.5</v>
          </cell>
          <cell r="D576">
            <v>6416.4</v>
          </cell>
          <cell r="G576">
            <v>15.411</v>
          </cell>
          <cell r="J576">
            <v>45.311</v>
          </cell>
          <cell r="N576">
            <v>5.84</v>
          </cell>
        </row>
        <row r="577">
          <cell r="B577">
            <v>1366.7</v>
          </cell>
          <cell r="D577">
            <v>6442</v>
          </cell>
          <cell r="G577">
            <v>14.813000000000001</v>
          </cell>
          <cell r="J577">
            <v>45.689</v>
          </cell>
          <cell r="N577">
            <v>6.12</v>
          </cell>
        </row>
        <row r="578">
          <cell r="B578">
            <v>1380.8</v>
          </cell>
          <cell r="D578">
            <v>6476.8</v>
          </cell>
          <cell r="G578">
            <v>13.734</v>
          </cell>
          <cell r="J578">
            <v>45.881999999999998</v>
          </cell>
          <cell r="N578">
            <v>6.22</v>
          </cell>
        </row>
        <row r="579">
          <cell r="B579">
            <v>1368.3</v>
          </cell>
          <cell r="D579">
            <v>6505.9</v>
          </cell>
          <cell r="G579">
            <v>12.811</v>
          </cell>
          <cell r="J579">
            <v>45.283999999999999</v>
          </cell>
          <cell r="N579">
            <v>6.22</v>
          </cell>
        </row>
        <row r="580">
          <cell r="B580">
            <v>1376.9</v>
          </cell>
          <cell r="D580">
            <v>6533.8</v>
          </cell>
          <cell r="G580">
            <v>12.864000000000001</v>
          </cell>
          <cell r="J580">
            <v>46.142000000000003</v>
          </cell>
          <cell r="N580">
            <v>6.15</v>
          </cell>
        </row>
        <row r="581">
          <cell r="B581">
            <v>1377.1</v>
          </cell>
          <cell r="D581">
            <v>6569.6</v>
          </cell>
          <cell r="G581">
            <v>13.332000000000001</v>
          </cell>
          <cell r="J581">
            <v>46.11</v>
          </cell>
          <cell r="N581">
            <v>6.33</v>
          </cell>
        </row>
        <row r="582">
          <cell r="B582">
            <v>1375.5</v>
          </cell>
          <cell r="D582">
            <v>6603.8</v>
          </cell>
          <cell r="G582">
            <v>11.679</v>
          </cell>
          <cell r="J582">
            <v>45.82</v>
          </cell>
          <cell r="N582">
            <v>6.17</v>
          </cell>
        </row>
        <row r="583">
          <cell r="B583">
            <v>1376.7</v>
          </cell>
          <cell r="D583">
            <v>6622.9</v>
          </cell>
          <cell r="G583">
            <v>11.436</v>
          </cell>
          <cell r="J583">
            <v>46.362000000000002</v>
          </cell>
          <cell r="N583">
            <v>6.08</v>
          </cell>
        </row>
        <row r="584">
          <cell r="B584">
            <v>1374.8</v>
          </cell>
          <cell r="D584">
            <v>6650.8</v>
          </cell>
          <cell r="G584">
            <v>11.481</v>
          </cell>
          <cell r="J584">
            <v>47.387</v>
          </cell>
          <cell r="N584">
            <v>6.18</v>
          </cell>
        </row>
        <row r="585">
          <cell r="B585">
            <v>1380</v>
          </cell>
          <cell r="D585">
            <v>6690.7</v>
          </cell>
          <cell r="G585">
            <v>12.247</v>
          </cell>
          <cell r="J585">
            <v>45.859000000000002</v>
          </cell>
          <cell r="N585">
            <v>6.13</v>
          </cell>
        </row>
        <row r="586">
          <cell r="B586">
            <v>1379.2</v>
          </cell>
          <cell r="D586">
            <v>6717.5</v>
          </cell>
          <cell r="G586">
            <v>10.867000000000001</v>
          </cell>
          <cell r="J586">
            <v>46.767000000000003</v>
          </cell>
          <cell r="N586">
            <v>6.01</v>
          </cell>
        </row>
        <row r="587">
          <cell r="B587">
            <v>1383.8</v>
          </cell>
          <cell r="D587">
            <v>6734.2</v>
          </cell>
          <cell r="G587">
            <v>10.311999999999999</v>
          </cell>
          <cell r="J587">
            <v>46.000999999999998</v>
          </cell>
          <cell r="N587">
            <v>6.09</v>
          </cell>
        </row>
        <row r="588">
          <cell r="B588">
            <v>1379.8</v>
          </cell>
          <cell r="D588">
            <v>6761.3</v>
          </cell>
          <cell r="G588">
            <v>9.8759999999999994</v>
          </cell>
          <cell r="J588">
            <v>45.307000000000002</v>
          </cell>
          <cell r="N588">
            <v>5.6</v>
          </cell>
        </row>
        <row r="589">
          <cell r="B589">
            <v>1387.2</v>
          </cell>
          <cell r="D589">
            <v>6776.9</v>
          </cell>
          <cell r="G589">
            <v>10.488</v>
          </cell>
          <cell r="J589">
            <v>45.853999999999999</v>
          </cell>
          <cell r="N589">
            <v>4.8099999999999996</v>
          </cell>
        </row>
        <row r="590">
          <cell r="B590">
            <v>1374.1</v>
          </cell>
          <cell r="D590">
            <v>6815.6</v>
          </cell>
          <cell r="G590">
            <v>9.7439999999999998</v>
          </cell>
          <cell r="J590">
            <v>45.985999999999997</v>
          </cell>
          <cell r="N590">
            <v>4.68</v>
          </cell>
        </row>
        <row r="591">
          <cell r="B591">
            <v>1370.6</v>
          </cell>
          <cell r="D591">
            <v>6854.7</v>
          </cell>
          <cell r="G591">
            <v>9.9949999999999992</v>
          </cell>
          <cell r="J591">
            <v>44.994</v>
          </cell>
          <cell r="N591">
            <v>4.3</v>
          </cell>
        </row>
        <row r="592">
          <cell r="B592">
            <v>1370.4</v>
          </cell>
          <cell r="D592">
            <v>6877.4</v>
          </cell>
          <cell r="G592">
            <v>10.564</v>
          </cell>
          <cell r="J592">
            <v>46.067999999999998</v>
          </cell>
          <cell r="N592">
            <v>3.98</v>
          </cell>
        </row>
        <row r="593">
          <cell r="B593">
            <v>1362.7</v>
          </cell>
          <cell r="D593">
            <v>6908.3</v>
          </cell>
          <cell r="G593">
            <v>10.666</v>
          </cell>
          <cell r="J593">
            <v>45.201999999999998</v>
          </cell>
          <cell r="N593">
            <v>3.78</v>
          </cell>
        </row>
        <row r="594">
          <cell r="B594">
            <v>1369.1</v>
          </cell>
          <cell r="D594">
            <v>6957.6</v>
          </cell>
          <cell r="G594">
            <v>9.7479999999999993</v>
          </cell>
          <cell r="J594">
            <v>44.973999999999997</v>
          </cell>
          <cell r="N594">
            <v>3.58</v>
          </cell>
        </row>
        <row r="595">
          <cell r="B595">
            <v>1372.4</v>
          </cell>
          <cell r="D595">
            <v>6997.5</v>
          </cell>
          <cell r="G595">
            <v>9.5359999999999996</v>
          </cell>
          <cell r="J595">
            <v>44.795000000000002</v>
          </cell>
          <cell r="N595">
            <v>3.62</v>
          </cell>
        </row>
        <row r="596">
          <cell r="B596">
            <v>1368.3</v>
          </cell>
          <cell r="D596">
            <v>7042.8</v>
          </cell>
          <cell r="G596">
            <v>10.17</v>
          </cell>
          <cell r="J596">
            <v>44.267000000000003</v>
          </cell>
          <cell r="N596">
            <v>3.47</v>
          </cell>
        </row>
        <row r="597">
          <cell r="B597">
            <v>1373</v>
          </cell>
          <cell r="D597">
            <v>7076.1</v>
          </cell>
          <cell r="G597">
            <v>11.166</v>
          </cell>
          <cell r="J597">
            <v>44.082999999999998</v>
          </cell>
          <cell r="N597">
            <v>2.82</v>
          </cell>
        </row>
        <row r="598">
          <cell r="B598">
            <v>1364.6</v>
          </cell>
          <cell r="D598">
            <v>7095.4</v>
          </cell>
          <cell r="G598">
            <v>9.8070000000000004</v>
          </cell>
          <cell r="J598">
            <v>43.709000000000003</v>
          </cell>
          <cell r="N598">
            <v>2.33</v>
          </cell>
        </row>
        <row r="599">
          <cell r="B599">
            <v>1367.8</v>
          </cell>
          <cell r="D599">
            <v>7132.6</v>
          </cell>
          <cell r="G599">
            <v>9.6739999999999995</v>
          </cell>
          <cell r="J599">
            <v>44.305</v>
          </cell>
          <cell r="N599">
            <v>2.1800000000000002</v>
          </cell>
        </row>
        <row r="600">
          <cell r="B600">
            <v>1376.7</v>
          </cell>
          <cell r="D600">
            <v>7191.8</v>
          </cell>
          <cell r="G600">
            <v>9.6479999999999997</v>
          </cell>
          <cell r="J600">
            <v>44.762</v>
          </cell>
          <cell r="N600">
            <v>2.2200000000000002</v>
          </cell>
        </row>
        <row r="601">
          <cell r="B601">
            <v>1379.9</v>
          </cell>
          <cell r="D601">
            <v>7215.6</v>
          </cell>
          <cell r="G601">
            <v>9.69</v>
          </cell>
          <cell r="J601">
            <v>45.281999999999996</v>
          </cell>
          <cell r="N601">
            <v>2.16</v>
          </cell>
        </row>
        <row r="602">
          <cell r="B602">
            <v>1365</v>
          </cell>
          <cell r="D602">
            <v>7248.6</v>
          </cell>
          <cell r="G602">
            <v>9.2910000000000004</v>
          </cell>
          <cell r="J602">
            <v>44.213999999999999</v>
          </cell>
          <cell r="N602">
            <v>2.23</v>
          </cell>
        </row>
        <row r="603">
          <cell r="B603">
            <v>1368.7</v>
          </cell>
          <cell r="D603">
            <v>7277.2</v>
          </cell>
          <cell r="G603">
            <v>9.0310000000000006</v>
          </cell>
          <cell r="J603">
            <v>42.798000000000002</v>
          </cell>
          <cell r="N603">
            <v>2.57</v>
          </cell>
        </row>
        <row r="604">
          <cell r="B604">
            <v>1373.4</v>
          </cell>
          <cell r="D604">
            <v>7343.2</v>
          </cell>
          <cell r="G604">
            <v>8.8490000000000002</v>
          </cell>
          <cell r="J604">
            <v>42.917999999999999</v>
          </cell>
          <cell r="N604">
            <v>2.48</v>
          </cell>
        </row>
        <row r="605">
          <cell r="B605">
            <v>1373.3</v>
          </cell>
          <cell r="D605">
            <v>7368.8</v>
          </cell>
          <cell r="G605">
            <v>9.0250000000000004</v>
          </cell>
          <cell r="J605">
            <v>42.566000000000003</v>
          </cell>
          <cell r="N605">
            <v>2.35</v>
          </cell>
        </row>
        <row r="606">
          <cell r="B606">
            <v>1377.8</v>
          </cell>
          <cell r="D606">
            <v>7382.5</v>
          </cell>
          <cell r="G606">
            <v>9.6470000000000002</v>
          </cell>
          <cell r="J606">
            <v>42.762</v>
          </cell>
          <cell r="N606">
            <v>2.2000000000000002</v>
          </cell>
        </row>
        <row r="607">
          <cell r="B607">
            <v>1374.2</v>
          </cell>
          <cell r="D607">
            <v>7415.3</v>
          </cell>
          <cell r="G607">
            <v>8.5830000000000002</v>
          </cell>
          <cell r="J607">
            <v>42.933</v>
          </cell>
          <cell r="N607">
            <v>1.96</v>
          </cell>
        </row>
        <row r="608">
          <cell r="B608">
            <v>1376.6</v>
          </cell>
          <cell r="D608">
            <v>7448.8</v>
          </cell>
          <cell r="G608">
            <v>8.8249999999999993</v>
          </cell>
          <cell r="J608">
            <v>41.786999999999999</v>
          </cell>
          <cell r="N608">
            <v>1.76</v>
          </cell>
        </row>
        <row r="609">
          <cell r="B609">
            <v>1379.4</v>
          </cell>
          <cell r="D609">
            <v>7477.1</v>
          </cell>
          <cell r="G609">
            <v>9.1989999999999998</v>
          </cell>
          <cell r="J609">
            <v>42.149000000000001</v>
          </cell>
          <cell r="N609">
            <v>1.72</v>
          </cell>
        </row>
        <row r="610">
          <cell r="B610">
            <v>1382.6</v>
          </cell>
          <cell r="D610">
            <v>7565.7</v>
          </cell>
          <cell r="G610">
            <v>10.018000000000001</v>
          </cell>
          <cell r="J610">
            <v>41.889000000000003</v>
          </cell>
          <cell r="N610">
            <v>1.65</v>
          </cell>
        </row>
        <row r="611">
          <cell r="B611">
            <v>1390.5</v>
          </cell>
          <cell r="D611">
            <v>7635.4</v>
          </cell>
          <cell r="G611">
            <v>8.4689999999999994</v>
          </cell>
          <cell r="J611">
            <v>42.247999999999998</v>
          </cell>
          <cell r="N611">
            <v>1.49</v>
          </cell>
        </row>
        <row r="612">
          <cell r="B612">
            <v>1389.5</v>
          </cell>
          <cell r="D612">
            <v>7661.2</v>
          </cell>
          <cell r="G612">
            <v>7.585</v>
          </cell>
          <cell r="J612">
            <v>43.335999999999999</v>
          </cell>
          <cell r="N612">
            <v>1.45</v>
          </cell>
        </row>
        <row r="613">
          <cell r="B613">
            <v>1392</v>
          </cell>
          <cell r="D613">
            <v>7684.5</v>
          </cell>
          <cell r="G613">
            <v>7.7229999999999999</v>
          </cell>
          <cell r="J613">
            <v>44.006999999999998</v>
          </cell>
          <cell r="N613">
            <v>1.36</v>
          </cell>
        </row>
        <row r="614">
          <cell r="B614">
            <v>1399.8</v>
          </cell>
          <cell r="D614">
            <v>7701</v>
          </cell>
          <cell r="G614">
            <v>7.649</v>
          </cell>
          <cell r="J614">
            <v>42.308</v>
          </cell>
          <cell r="N614">
            <v>1.3</v>
          </cell>
        </row>
        <row r="615">
          <cell r="B615">
            <v>1417.8</v>
          </cell>
          <cell r="D615">
            <v>7746</v>
          </cell>
          <cell r="G615">
            <v>6.774</v>
          </cell>
          <cell r="J615">
            <v>44.627000000000002</v>
          </cell>
          <cell r="N615">
            <v>1.24</v>
          </cell>
        </row>
        <row r="616">
          <cell r="B616">
            <v>1404</v>
          </cell>
          <cell r="D616">
            <v>7749.1</v>
          </cell>
          <cell r="G616">
            <v>6.28</v>
          </cell>
          <cell r="J616">
            <v>41.767000000000003</v>
          </cell>
          <cell r="N616">
            <v>1.27</v>
          </cell>
        </row>
        <row r="617">
          <cell r="B617">
            <v>1459.5</v>
          </cell>
          <cell r="D617">
            <v>7827.5</v>
          </cell>
          <cell r="G617">
            <v>5.26</v>
          </cell>
          <cell r="J617">
            <v>42.758000000000003</v>
          </cell>
          <cell r="N617">
            <v>1.18</v>
          </cell>
        </row>
        <row r="618">
          <cell r="B618">
            <v>1472</v>
          </cell>
          <cell r="D618">
            <v>7935.4</v>
          </cell>
          <cell r="G618">
            <v>5.165</v>
          </cell>
          <cell r="J618">
            <v>42.83</v>
          </cell>
          <cell r="N618">
            <v>1.01</v>
          </cell>
        </row>
        <row r="619">
          <cell r="B619">
            <v>1518.4</v>
          </cell>
          <cell r="D619">
            <v>7993.5</v>
          </cell>
          <cell r="G619">
            <v>5.0750000000000002</v>
          </cell>
          <cell r="J619">
            <v>27.702000000000002</v>
          </cell>
          <cell r="N619">
            <v>1.1200000000000001</v>
          </cell>
        </row>
        <row r="620">
          <cell r="B620">
            <v>1607.1</v>
          </cell>
          <cell r="D620">
            <v>8174</v>
          </cell>
          <cell r="G620">
            <v>6.5170000000000003</v>
          </cell>
          <cell r="N620">
            <v>1.31</v>
          </cell>
        </row>
        <row r="621">
          <cell r="B621">
            <v>1585.6</v>
          </cell>
          <cell r="D621">
            <v>8248.4</v>
          </cell>
          <cell r="G621">
            <v>7.1020000000000003</v>
          </cell>
          <cell r="N621">
            <v>1.24</v>
          </cell>
        </row>
        <row r="622">
          <cell r="B622">
            <v>1570.2</v>
          </cell>
          <cell r="D622">
            <v>8282</v>
          </cell>
          <cell r="G622">
            <v>7.69</v>
          </cell>
          <cell r="N622">
            <v>1.25</v>
          </cell>
        </row>
        <row r="623">
          <cell r="B623">
            <v>1581</v>
          </cell>
          <cell r="D623">
            <v>8350.7000000000007</v>
          </cell>
          <cell r="G623">
            <v>6.6079999999999997</v>
          </cell>
          <cell r="N623">
            <v>1.34</v>
          </cell>
        </row>
        <row r="624">
          <cell r="B624">
            <v>1609.4</v>
          </cell>
          <cell r="D624">
            <v>8335.5</v>
          </cell>
          <cell r="G624">
            <v>6.8010000000000002</v>
          </cell>
          <cell r="N624">
            <v>1.31</v>
          </cell>
        </row>
        <row r="625">
          <cell r="B625">
            <v>1615</v>
          </cell>
          <cell r="D625">
            <v>8404.6</v>
          </cell>
          <cell r="G625">
            <v>6.9619999999999997</v>
          </cell>
          <cell r="N625">
            <v>1.24</v>
          </cell>
        </row>
        <row r="626">
          <cell r="B626">
            <v>1651.6</v>
          </cell>
          <cell r="D626">
            <v>8413.7000000000007</v>
          </cell>
          <cell r="G626">
            <v>6.859</v>
          </cell>
          <cell r="N626">
            <v>1.24</v>
          </cell>
        </row>
        <row r="627">
          <cell r="B627">
            <v>1659.3</v>
          </cell>
          <cell r="D627">
            <v>8418.4</v>
          </cell>
          <cell r="G627">
            <v>6.7290000000000001</v>
          </cell>
          <cell r="N627">
            <v>1.19</v>
          </cell>
        </row>
        <row r="628">
          <cell r="B628">
            <v>1656.4</v>
          </cell>
          <cell r="D628">
            <v>8404.7999999999993</v>
          </cell>
          <cell r="G628">
            <v>7.0670000000000002</v>
          </cell>
          <cell r="N628">
            <v>1.43</v>
          </cell>
        </row>
        <row r="629">
          <cell r="B629">
            <v>1661.9</v>
          </cell>
          <cell r="D629">
            <v>8413.7999999999993</v>
          </cell>
          <cell r="G629">
            <v>6.92</v>
          </cell>
          <cell r="N629">
            <v>1.78</v>
          </cell>
        </row>
        <row r="630">
          <cell r="B630">
            <v>1675.3</v>
          </cell>
          <cell r="D630">
            <v>8441.7000000000007</v>
          </cell>
          <cell r="G630">
            <v>6.9249999999999998</v>
          </cell>
          <cell r="N630">
            <v>2.12</v>
          </cell>
        </row>
        <row r="631">
          <cell r="B631">
            <v>1688.5</v>
          </cell>
          <cell r="D631">
            <v>8480.9</v>
          </cell>
          <cell r="G631">
            <v>6.38</v>
          </cell>
          <cell r="J631">
            <v>166.62100000000001</v>
          </cell>
          <cell r="N631">
            <v>2.1</v>
          </cell>
        </row>
        <row r="632">
          <cell r="B632">
            <v>1698.4</v>
          </cell>
          <cell r="D632">
            <v>8480.1</v>
          </cell>
          <cell r="G632">
            <v>6.5839999999999996</v>
          </cell>
          <cell r="J632">
            <v>293.89299999999997</v>
          </cell>
          <cell r="N632">
            <v>2.02</v>
          </cell>
        </row>
        <row r="633">
          <cell r="B633">
            <v>1677.1</v>
          </cell>
          <cell r="D633">
            <v>8435.2999999999993</v>
          </cell>
          <cell r="G633">
            <v>6.84</v>
          </cell>
          <cell r="J633">
            <v>117.789</v>
          </cell>
          <cell r="N633">
            <v>2.12</v>
          </cell>
        </row>
        <row r="634">
          <cell r="B634">
            <v>1702.6</v>
          </cell>
          <cell r="D634">
            <v>8487.2000000000007</v>
          </cell>
          <cell r="G634">
            <v>7.6029999999999998</v>
          </cell>
          <cell r="J634">
            <v>167.3</v>
          </cell>
          <cell r="N634">
            <v>2.23</v>
          </cell>
        </row>
        <row r="635">
          <cell r="B635">
            <v>1713.7</v>
          </cell>
          <cell r="D635">
            <v>8485.6</v>
          </cell>
          <cell r="G635">
            <v>6.93</v>
          </cell>
          <cell r="J635">
            <v>322.68900000000002</v>
          </cell>
          <cell r="N635">
            <v>2.5</v>
          </cell>
        </row>
        <row r="636">
          <cell r="B636">
            <v>1696.2</v>
          </cell>
          <cell r="D636">
            <v>8497.6</v>
          </cell>
          <cell r="G636">
            <v>7.6859999999999999</v>
          </cell>
          <cell r="J636">
            <v>375.78899999999999</v>
          </cell>
          <cell r="N636">
            <v>2.67</v>
          </cell>
        </row>
        <row r="637">
          <cell r="B637">
            <v>1707.3</v>
          </cell>
          <cell r="D637">
            <v>8563.6</v>
          </cell>
          <cell r="G637">
            <v>7.5709999999999997</v>
          </cell>
          <cell r="J637">
            <v>371.089</v>
          </cell>
          <cell r="N637">
            <v>2.86</v>
          </cell>
        </row>
        <row r="638">
          <cell r="B638">
            <v>1723.1</v>
          </cell>
          <cell r="D638">
            <v>8580.9</v>
          </cell>
          <cell r="G638">
            <v>25.63</v>
          </cell>
          <cell r="J638">
            <v>429.13</v>
          </cell>
          <cell r="N638">
            <v>3.03</v>
          </cell>
        </row>
        <row r="639">
          <cell r="B639">
            <v>1722.4</v>
          </cell>
          <cell r="D639">
            <v>8591.7999999999993</v>
          </cell>
          <cell r="G639">
            <v>12.074</v>
          </cell>
          <cell r="J639">
            <v>497.59800000000001</v>
          </cell>
          <cell r="N639">
            <v>3.3</v>
          </cell>
        </row>
        <row r="640">
          <cell r="B640">
            <v>1745.9</v>
          </cell>
          <cell r="D640">
            <v>8630.9</v>
          </cell>
          <cell r="G640">
            <v>8.8149999999999995</v>
          </cell>
          <cell r="J640">
            <v>615.346</v>
          </cell>
          <cell r="N640">
            <v>3.32</v>
          </cell>
        </row>
        <row r="641">
          <cell r="B641">
            <v>1763.9</v>
          </cell>
          <cell r="D641">
            <v>8669.5</v>
          </cell>
          <cell r="G641">
            <v>9.0459999999999994</v>
          </cell>
          <cell r="J641">
            <v>791.32899999999995</v>
          </cell>
          <cell r="N641">
            <v>3.33</v>
          </cell>
        </row>
        <row r="642">
          <cell r="B642">
            <v>1778.1</v>
          </cell>
          <cell r="D642">
            <v>8719</v>
          </cell>
          <cell r="G642">
            <v>9.9909999999999997</v>
          </cell>
          <cell r="J642">
            <v>923.49900000000002</v>
          </cell>
          <cell r="N642">
            <v>3.36</v>
          </cell>
        </row>
        <row r="643">
          <cell r="B643">
            <v>1833.9</v>
          </cell>
          <cell r="D643">
            <v>8746.2000000000007</v>
          </cell>
          <cell r="G643">
            <v>9.2530000000000001</v>
          </cell>
          <cell r="J643">
            <v>968.755</v>
          </cell>
          <cell r="N643">
            <v>3.64</v>
          </cell>
        </row>
        <row r="644">
          <cell r="B644">
            <v>1841.8</v>
          </cell>
          <cell r="D644">
            <v>8781.4</v>
          </cell>
          <cell r="G644">
            <v>9.1059999999999999</v>
          </cell>
          <cell r="J644">
            <v>967.18600000000004</v>
          </cell>
          <cell r="N644">
            <v>3.87</v>
          </cell>
        </row>
        <row r="645">
          <cell r="B645">
            <v>1855.6</v>
          </cell>
          <cell r="D645">
            <v>8813.7999999999993</v>
          </cell>
          <cell r="G645">
            <v>9.7119999999999997</v>
          </cell>
          <cell r="J645">
            <v>1113.481</v>
          </cell>
          <cell r="N645">
            <v>3.85</v>
          </cell>
        </row>
        <row r="646">
          <cell r="B646">
            <v>1874.7</v>
          </cell>
          <cell r="D646">
            <v>8861.5</v>
          </cell>
          <cell r="G646">
            <v>9.1850000000000005</v>
          </cell>
          <cell r="J646">
            <v>1094.3</v>
          </cell>
          <cell r="N646">
            <v>4.18</v>
          </cell>
        </row>
        <row r="647">
          <cell r="B647">
            <v>1892</v>
          </cell>
          <cell r="D647">
            <v>8906</v>
          </cell>
          <cell r="G647">
            <v>7.9160000000000004</v>
          </cell>
          <cell r="J647">
            <v>1036.415</v>
          </cell>
          <cell r="N647">
            <v>4.33</v>
          </cell>
        </row>
        <row r="648">
          <cell r="B648">
            <v>1897.8</v>
          </cell>
          <cell r="D648">
            <v>8956.1</v>
          </cell>
          <cell r="G648">
            <v>8.0359999999999996</v>
          </cell>
          <cell r="J648">
            <v>1034.3320000000001</v>
          </cell>
          <cell r="N648">
            <v>4.3499999999999996</v>
          </cell>
        </row>
        <row r="649">
          <cell r="B649">
            <v>1934.3</v>
          </cell>
          <cell r="D649">
            <v>9014.9</v>
          </cell>
          <cell r="G649">
            <v>8.4610000000000003</v>
          </cell>
          <cell r="J649">
            <v>1029.954</v>
          </cell>
          <cell r="N649">
            <v>4.45</v>
          </cell>
        </row>
        <row r="650">
          <cell r="B650">
            <v>1947</v>
          </cell>
          <cell r="D650">
            <v>9098.1</v>
          </cell>
          <cell r="G650">
            <v>8.6620000000000008</v>
          </cell>
          <cell r="J650">
            <v>1022.248</v>
          </cell>
          <cell r="N650">
            <v>4.68</v>
          </cell>
        </row>
        <row r="651">
          <cell r="B651">
            <v>2001.5</v>
          </cell>
          <cell r="D651">
            <v>9288.5</v>
          </cell>
          <cell r="G651">
            <v>8.7780000000000005</v>
          </cell>
          <cell r="J651">
            <v>1025.75</v>
          </cell>
          <cell r="N651">
            <v>4.7699999999999996</v>
          </cell>
        </row>
        <row r="652">
          <cell r="B652">
            <v>2112.9</v>
          </cell>
          <cell r="D652">
            <v>9492.6</v>
          </cell>
          <cell r="G652">
            <v>9.7560000000000002</v>
          </cell>
          <cell r="J652">
            <v>995.23900000000003</v>
          </cell>
          <cell r="N652">
            <v>4.9000000000000004</v>
          </cell>
        </row>
        <row r="653">
          <cell r="B653">
            <v>2126</v>
          </cell>
          <cell r="D653">
            <v>9520.9</v>
          </cell>
          <cell r="G653">
            <v>9.9250000000000007</v>
          </cell>
          <cell r="J653">
            <v>991.32</v>
          </cell>
          <cell r="N653">
            <v>5</v>
          </cell>
        </row>
        <row r="654">
          <cell r="B654">
            <v>2137.4</v>
          </cell>
          <cell r="D654">
            <v>9552.2999999999993</v>
          </cell>
          <cell r="G654">
            <v>10.073</v>
          </cell>
          <cell r="J654">
            <v>992.03599999999994</v>
          </cell>
          <cell r="N654">
            <v>5.16</v>
          </cell>
        </row>
        <row r="655">
          <cell r="B655">
            <v>2172</v>
          </cell>
          <cell r="D655">
            <v>9595</v>
          </cell>
          <cell r="G655">
            <v>9.8520000000000003</v>
          </cell>
          <cell r="J655">
            <v>1031.8710000000001</v>
          </cell>
          <cell r="N655">
            <v>5.22</v>
          </cell>
        </row>
        <row r="656">
          <cell r="B656">
            <v>2168.1999999999998</v>
          </cell>
          <cell r="D656">
            <v>9634.6</v>
          </cell>
          <cell r="G656">
            <v>9.83</v>
          </cell>
          <cell r="J656">
            <v>1074.624</v>
          </cell>
          <cell r="N656">
            <v>5.08</v>
          </cell>
        </row>
        <row r="657">
          <cell r="B657">
            <v>2202.3000000000002</v>
          </cell>
          <cell r="D657">
            <v>9713.5</v>
          </cell>
          <cell r="G657">
            <v>10.595000000000001</v>
          </cell>
          <cell r="J657">
            <v>1240.6279999999999</v>
          </cell>
          <cell r="N657">
            <v>4.97</v>
          </cell>
        </row>
        <row r="658">
          <cell r="B658">
            <v>2212.1999999999998</v>
          </cell>
          <cell r="D658">
            <v>9756.9</v>
          </cell>
          <cell r="G658">
            <v>11.407999999999999</v>
          </cell>
          <cell r="J658">
            <v>1416.2729999999999</v>
          </cell>
          <cell r="N658">
            <v>5.01</v>
          </cell>
        </row>
        <row r="659">
          <cell r="B659">
            <v>2228.6999999999998</v>
          </cell>
          <cell r="D659">
            <v>9800.2000000000007</v>
          </cell>
          <cell r="G659">
            <v>11.464</v>
          </cell>
          <cell r="J659">
            <v>1508.7860000000001</v>
          </cell>
          <cell r="N659">
            <v>5.01</v>
          </cell>
        </row>
        <row r="660">
          <cell r="B660">
            <v>2245.3000000000002</v>
          </cell>
          <cell r="D660">
            <v>9847.7999999999993</v>
          </cell>
          <cell r="G660">
            <v>12.177</v>
          </cell>
          <cell r="J660">
            <v>1572.6949999999999</v>
          </cell>
          <cell r="N660">
            <v>4.9400000000000004</v>
          </cell>
        </row>
        <row r="661">
          <cell r="B661">
            <v>2251</v>
          </cell>
          <cell r="D661">
            <v>9881.9</v>
          </cell>
          <cell r="G661">
            <v>14.137</v>
          </cell>
          <cell r="J661">
            <v>1653.3720000000001</v>
          </cell>
          <cell r="N661">
            <v>5.0599999999999996</v>
          </cell>
        </row>
        <row r="662">
          <cell r="B662">
            <v>2262.3000000000002</v>
          </cell>
          <cell r="D662">
            <v>9949.7999999999993</v>
          </cell>
          <cell r="G662">
            <v>12.488</v>
          </cell>
          <cell r="J662">
            <v>1684.2380000000001</v>
          </cell>
          <cell r="N662">
            <v>5.05</v>
          </cell>
        </row>
        <row r="663">
          <cell r="B663">
            <v>2314.6</v>
          </cell>
          <cell r="D663">
            <v>10028.799999999999</v>
          </cell>
          <cell r="G663">
            <v>11.598000000000001</v>
          </cell>
          <cell r="J663">
            <v>1654.864</v>
          </cell>
          <cell r="N663">
            <v>4.92</v>
          </cell>
        </row>
        <row r="664">
          <cell r="B664">
            <v>2346.5</v>
          </cell>
          <cell r="D664">
            <v>10097.200000000001</v>
          </cell>
          <cell r="G664">
            <v>11.516</v>
          </cell>
          <cell r="J664">
            <v>1630.662</v>
          </cell>
          <cell r="N664">
            <v>4.93</v>
          </cell>
        </row>
        <row r="665">
          <cell r="B665">
            <v>2383.6</v>
          </cell>
          <cell r="D665">
            <v>10179.4</v>
          </cell>
          <cell r="G665">
            <v>10.867000000000001</v>
          </cell>
          <cell r="J665">
            <v>1626.9190000000001</v>
          </cell>
          <cell r="N665">
            <v>4.91</v>
          </cell>
        </row>
        <row r="666">
          <cell r="B666">
            <v>2415.5</v>
          </cell>
          <cell r="D666">
            <v>10238</v>
          </cell>
          <cell r="G666">
            <v>11.579000000000001</v>
          </cell>
          <cell r="J666">
            <v>1581.3620000000001</v>
          </cell>
          <cell r="N666">
            <v>4.96</v>
          </cell>
        </row>
        <row r="667">
          <cell r="B667">
            <v>2423.1999999999998</v>
          </cell>
          <cell r="D667">
            <v>10298</v>
          </cell>
          <cell r="G667">
            <v>10.896000000000001</v>
          </cell>
          <cell r="J667">
            <v>1587.5740000000001</v>
          </cell>
          <cell r="N667">
            <v>4.96</v>
          </cell>
        </row>
        <row r="668">
          <cell r="B668">
            <v>2457.6999999999998</v>
          </cell>
          <cell r="D668">
            <v>10422.5</v>
          </cell>
          <cell r="G668">
            <v>12.047000000000001</v>
          </cell>
          <cell r="J668">
            <v>1605.6869999999999</v>
          </cell>
          <cell r="N668">
            <v>4.47</v>
          </cell>
        </row>
        <row r="669">
          <cell r="B669">
            <v>2467.6</v>
          </cell>
          <cell r="D669">
            <v>10451.6</v>
          </cell>
          <cell r="G669">
            <v>14.090999999999999</v>
          </cell>
          <cell r="J669">
            <v>1649.998</v>
          </cell>
          <cell r="N669">
            <v>4.1399999999999997</v>
          </cell>
        </row>
        <row r="670">
          <cell r="B670">
            <v>2470.4</v>
          </cell>
          <cell r="D670">
            <v>10448.299999999999</v>
          </cell>
          <cell r="G670">
            <v>14.081</v>
          </cell>
          <cell r="J670">
            <v>1600.49</v>
          </cell>
          <cell r="N670">
            <v>4.0999999999999996</v>
          </cell>
        </row>
        <row r="671">
          <cell r="B671">
            <v>2474.8000000000002</v>
          </cell>
          <cell r="D671">
            <v>10518.7</v>
          </cell>
          <cell r="G671">
            <v>13.2</v>
          </cell>
          <cell r="J671">
            <v>1577.905</v>
          </cell>
          <cell r="N671">
            <v>3.5</v>
          </cell>
        </row>
        <row r="672">
          <cell r="B672">
            <v>2511</v>
          </cell>
          <cell r="D672">
            <v>10552.4</v>
          </cell>
          <cell r="G672">
            <v>13.315</v>
          </cell>
          <cell r="J672">
            <v>1550.5029999999999</v>
          </cell>
          <cell r="N672">
            <v>3.26</v>
          </cell>
        </row>
        <row r="673">
          <cell r="B673">
            <v>2522</v>
          </cell>
          <cell r="D673">
            <v>10586.2</v>
          </cell>
          <cell r="G673">
            <v>12.385</v>
          </cell>
          <cell r="J673">
            <v>1551.961</v>
          </cell>
          <cell r="N673">
            <v>2.71</v>
          </cell>
        </row>
        <row r="674">
          <cell r="B674">
            <v>2517.9</v>
          </cell>
          <cell r="D674">
            <v>10639.1</v>
          </cell>
          <cell r="G674">
            <v>13.01</v>
          </cell>
          <cell r="J674">
            <v>1579.7909999999999</v>
          </cell>
          <cell r="N674">
            <v>2.0499999999999998</v>
          </cell>
        </row>
        <row r="675">
          <cell r="B675">
            <v>2546.3000000000002</v>
          </cell>
          <cell r="D675">
            <v>10704.1</v>
          </cell>
          <cell r="G675">
            <v>11.923999999999999</v>
          </cell>
          <cell r="J675">
            <v>1579.0170000000001</v>
          </cell>
          <cell r="N675">
            <v>1.54</v>
          </cell>
        </row>
        <row r="676">
          <cell r="B676">
            <v>2559.1</v>
          </cell>
          <cell r="D676">
            <v>10763.5</v>
          </cell>
          <cell r="G676">
            <v>12.09</v>
          </cell>
          <cell r="J676">
            <v>1513.923</v>
          </cell>
          <cell r="N676">
            <v>1.74</v>
          </cell>
        </row>
        <row r="677">
          <cell r="B677">
            <v>2580.1</v>
          </cell>
          <cell r="D677">
            <v>10815.9</v>
          </cell>
          <cell r="G677">
            <v>12.045</v>
          </cell>
          <cell r="J677">
            <v>1523.6790000000001</v>
          </cell>
          <cell r="N677">
            <v>2.06</v>
          </cell>
        </row>
        <row r="678">
          <cell r="B678">
            <v>2620.1</v>
          </cell>
          <cell r="D678">
            <v>10919.4</v>
          </cell>
          <cell r="G678">
            <v>14.073</v>
          </cell>
          <cell r="J678">
            <v>1545.758</v>
          </cell>
          <cell r="N678">
            <v>2.42</v>
          </cell>
        </row>
        <row r="679">
          <cell r="B679">
            <v>2622.2</v>
          </cell>
          <cell r="D679">
            <v>10928.8</v>
          </cell>
          <cell r="G679">
            <v>12.224</v>
          </cell>
          <cell r="J679">
            <v>1568.221</v>
          </cell>
          <cell r="N679">
            <v>2.2799999999999998</v>
          </cell>
        </row>
        <row r="680">
          <cell r="B680">
            <v>2654.5</v>
          </cell>
          <cell r="D680">
            <v>10984</v>
          </cell>
          <cell r="G680">
            <v>12.031000000000001</v>
          </cell>
          <cell r="J680">
            <v>1630.307</v>
          </cell>
          <cell r="N680">
            <v>2.1800000000000002</v>
          </cell>
        </row>
        <row r="681">
          <cell r="B681">
            <v>2686.4</v>
          </cell>
          <cell r="D681">
            <v>11039.6</v>
          </cell>
          <cell r="G681">
            <v>12.906000000000001</v>
          </cell>
          <cell r="J681">
            <v>1730.944</v>
          </cell>
          <cell r="N681">
            <v>1.91</v>
          </cell>
        </row>
        <row r="682">
          <cell r="B682">
            <v>2721.9</v>
          </cell>
          <cell r="D682">
            <v>11120.7</v>
          </cell>
          <cell r="G682">
            <v>11.917999999999999</v>
          </cell>
          <cell r="J682">
            <v>1812.675</v>
          </cell>
          <cell r="N682">
            <v>1.42</v>
          </cell>
        </row>
        <row r="683">
          <cell r="B683">
            <v>2748.2</v>
          </cell>
          <cell r="D683">
            <v>11163.4</v>
          </cell>
          <cell r="G683">
            <v>11.157999999999999</v>
          </cell>
          <cell r="J683">
            <v>1881.9839999999999</v>
          </cell>
          <cell r="N683">
            <v>1.07</v>
          </cell>
        </row>
        <row r="684">
          <cell r="B684">
            <v>2774.7</v>
          </cell>
          <cell r="D684">
            <v>11219.3</v>
          </cell>
          <cell r="G684">
            <v>11.503</v>
          </cell>
          <cell r="J684">
            <v>1980.0250000000001</v>
          </cell>
          <cell r="N684">
            <v>0.49</v>
          </cell>
        </row>
        <row r="685">
          <cell r="B685">
            <v>2787.9</v>
          </cell>
          <cell r="D685">
            <v>11285</v>
          </cell>
          <cell r="G685">
            <v>11.028</v>
          </cell>
          <cell r="N685">
            <v>0.44</v>
          </cell>
        </row>
        <row r="686">
          <cell r="B686">
            <v>2816.2</v>
          </cell>
          <cell r="D686">
            <v>11333.2</v>
          </cell>
          <cell r="G686">
            <v>11.705</v>
          </cell>
          <cell r="N686">
            <v>0.62</v>
          </cell>
        </row>
        <row r="687">
          <cell r="B687">
            <v>2842.7</v>
          </cell>
          <cell r="D687">
            <v>11408</v>
          </cell>
          <cell r="G687">
            <v>10.252000000000001</v>
          </cell>
          <cell r="N687">
            <v>0.64</v>
          </cell>
        </row>
        <row r="688">
          <cell r="B688">
            <v>2819.2</v>
          </cell>
          <cell r="D688">
            <v>11445.6</v>
          </cell>
          <cell r="G688">
            <v>10.145</v>
          </cell>
          <cell r="N688">
            <v>0.55000000000000004</v>
          </cell>
        </row>
        <row r="689">
          <cell r="B689">
            <v>2860.7</v>
          </cell>
          <cell r="D689">
            <v>11483.6</v>
          </cell>
          <cell r="G689">
            <v>10.045999999999999</v>
          </cell>
          <cell r="N689">
            <v>0.5</v>
          </cell>
        </row>
        <row r="690">
          <cell r="B690">
            <v>2867.6</v>
          </cell>
          <cell r="D690">
            <v>11524.9</v>
          </cell>
          <cell r="G690">
            <v>10.272</v>
          </cell>
          <cell r="N690">
            <v>0.51</v>
          </cell>
        </row>
        <row r="691">
          <cell r="B691">
            <v>2883.5</v>
          </cell>
          <cell r="D691">
            <v>11567.8</v>
          </cell>
          <cell r="G691">
            <v>9.4090000000000007</v>
          </cell>
          <cell r="N691">
            <v>0.48</v>
          </cell>
        </row>
        <row r="692">
          <cell r="B692">
            <v>2918.3</v>
          </cell>
          <cell r="D692">
            <v>11632.8</v>
          </cell>
          <cell r="G692">
            <v>9.1379999999999999</v>
          </cell>
          <cell r="N692">
            <v>0.46</v>
          </cell>
        </row>
        <row r="693">
          <cell r="B693">
            <v>2935.8</v>
          </cell>
          <cell r="D693">
            <v>11708.3</v>
          </cell>
          <cell r="G693">
            <v>10.304</v>
          </cell>
          <cell r="N693">
            <v>0.4</v>
          </cell>
        </row>
        <row r="694">
          <cell r="B694">
            <v>2997.8</v>
          </cell>
          <cell r="D694">
            <v>11827.7</v>
          </cell>
          <cell r="G694">
            <v>10.718999999999999</v>
          </cell>
          <cell r="N694">
            <v>0.37</v>
          </cell>
        </row>
        <row r="695">
          <cell r="B695">
            <v>2992.8</v>
          </cell>
          <cell r="D695">
            <v>11849.3</v>
          </cell>
          <cell r="G695">
            <v>9.9890000000000008</v>
          </cell>
          <cell r="N695">
            <v>0.31</v>
          </cell>
        </row>
        <row r="696">
          <cell r="B696">
            <v>3000.6</v>
          </cell>
          <cell r="D696">
            <v>11900.3</v>
          </cell>
          <cell r="G696">
            <v>9.6880000000000006</v>
          </cell>
          <cell r="N696">
            <v>0.37</v>
          </cell>
        </row>
        <row r="697">
          <cell r="B697">
            <v>2985.7</v>
          </cell>
          <cell r="D697">
            <v>11931.3</v>
          </cell>
          <cell r="G697">
            <v>8.8450000000000006</v>
          </cell>
          <cell r="N697">
            <v>0.35</v>
          </cell>
        </row>
        <row r="698">
          <cell r="B698">
            <v>3009.6</v>
          </cell>
          <cell r="D698">
            <v>11972.4</v>
          </cell>
          <cell r="G698">
            <v>9.1590000000000007</v>
          </cell>
          <cell r="N698">
            <v>0.35</v>
          </cell>
        </row>
        <row r="699">
          <cell r="B699">
            <v>3042.3</v>
          </cell>
          <cell r="D699">
            <v>12045.6</v>
          </cell>
          <cell r="G699">
            <v>8.2249999999999996</v>
          </cell>
          <cell r="N699">
            <v>0.4</v>
          </cell>
        </row>
        <row r="700">
          <cell r="B700">
            <v>3060.2</v>
          </cell>
          <cell r="D700">
            <v>12120.3</v>
          </cell>
          <cell r="G700">
            <v>8.3719999999999999</v>
          </cell>
          <cell r="N700">
            <v>0.45</v>
          </cell>
        </row>
        <row r="701">
          <cell r="B701">
            <v>3050.9</v>
          </cell>
          <cell r="D701">
            <v>12187.4</v>
          </cell>
          <cell r="G701">
            <v>8.4789999999999992</v>
          </cell>
          <cell r="N701">
            <v>0.37</v>
          </cell>
        </row>
        <row r="702">
          <cell r="B702">
            <v>3035.5</v>
          </cell>
          <cell r="D702">
            <v>12200.4</v>
          </cell>
          <cell r="G702">
            <v>8.75</v>
          </cell>
          <cell r="N702">
            <v>0.32</v>
          </cell>
        </row>
        <row r="703">
          <cell r="G703">
            <v>7.6159999999999997</v>
          </cell>
          <cell r="N703">
            <v>0.28999999999999998</v>
          </cell>
        </row>
        <row r="704">
          <cell r="G704">
            <v>7.4340000000000002</v>
          </cell>
          <cell r="N704">
            <v>0.26</v>
          </cell>
        </row>
        <row r="705">
          <cell r="G705">
            <v>8.5090000000000003</v>
          </cell>
          <cell r="N705">
            <v>0.26</v>
          </cell>
        </row>
        <row r="706">
          <cell r="G706">
            <v>9.1280000000000001</v>
          </cell>
          <cell r="N706">
            <v>0.23</v>
          </cell>
        </row>
        <row r="707">
          <cell r="G707">
            <v>8.7360000000000007</v>
          </cell>
          <cell r="N707">
            <v>0.25</v>
          </cell>
        </row>
        <row r="708">
          <cell r="G708">
            <v>8.2959999999999994</v>
          </cell>
          <cell r="N708">
            <v>0.28999999999999998</v>
          </cell>
        </row>
        <row r="709">
          <cell r="G709">
            <v>10.912000000000001</v>
          </cell>
          <cell r="N709">
            <v>0.27</v>
          </cell>
        </row>
        <row r="710">
          <cell r="G710">
            <v>8.7279999999999998</v>
          </cell>
          <cell r="N710">
            <v>0.28999999999999998</v>
          </cell>
        </row>
        <row r="711">
          <cell r="G711">
            <v>8.2750000000000004</v>
          </cell>
          <cell r="N711">
            <v>0.26</v>
          </cell>
        </row>
        <row r="712">
          <cell r="G712">
            <v>8.4969999999999999</v>
          </cell>
          <cell r="N712">
            <v>0.25</v>
          </cell>
        </row>
        <row r="713">
          <cell r="G713">
            <v>8.0980000000000008</v>
          </cell>
          <cell r="N713">
            <v>0.19</v>
          </cell>
        </row>
        <row r="714">
          <cell r="G714">
            <v>8.6649999999999991</v>
          </cell>
          <cell r="N714">
            <v>0.18</v>
          </cell>
        </row>
        <row r="715">
          <cell r="G715">
            <v>8.3439999999999994</v>
          </cell>
          <cell r="N715">
            <v>0.19</v>
          </cell>
        </row>
        <row r="716">
          <cell r="G716">
            <v>9.8849999999999998</v>
          </cell>
          <cell r="N716">
            <v>0.11</v>
          </cell>
        </row>
        <row r="717">
          <cell r="G717">
            <v>9.7509999999999994</v>
          </cell>
          <cell r="N717">
            <v>0.1</v>
          </cell>
        </row>
        <row r="718">
          <cell r="G718">
            <v>10.843999999999999</v>
          </cell>
          <cell r="N718">
            <v>0.11</v>
          </cell>
        </row>
        <row r="719">
          <cell r="G719">
            <v>10.148</v>
          </cell>
          <cell r="N719">
            <v>0.11</v>
          </cell>
        </row>
        <row r="720">
          <cell r="G720">
            <v>10.51</v>
          </cell>
          <cell r="N720">
            <v>0.12</v>
          </cell>
        </row>
        <row r="721">
          <cell r="G721">
            <v>10.454000000000001</v>
          </cell>
          <cell r="N721">
            <v>0.12</v>
          </cell>
        </row>
        <row r="722">
          <cell r="G722">
            <v>67.513999999999996</v>
          </cell>
          <cell r="N722">
            <v>0.16</v>
          </cell>
        </row>
        <row r="723">
          <cell r="G723">
            <v>278.01799999999997</v>
          </cell>
          <cell r="N723">
            <v>0.19</v>
          </cell>
        </row>
        <row r="724">
          <cell r="G724">
            <v>571.077</v>
          </cell>
          <cell r="N724">
            <v>0.18</v>
          </cell>
        </row>
        <row r="725">
          <cell r="G725">
            <v>783.63099999999997</v>
          </cell>
          <cell r="N725">
            <v>0.19</v>
          </cell>
        </row>
        <row r="726">
          <cell r="G726">
            <v>820.66899999999998</v>
          </cell>
          <cell r="N726">
            <v>0.19</v>
          </cell>
        </row>
        <row r="727">
          <cell r="G727">
            <v>662.19200000000001</v>
          </cell>
          <cell r="N727">
            <v>0.19</v>
          </cell>
        </row>
        <row r="728">
          <cell r="G728">
            <v>741.02</v>
          </cell>
          <cell r="N728">
            <v>0.18</v>
          </cell>
        </row>
        <row r="729">
          <cell r="G729">
            <v>844.52800000000002</v>
          </cell>
          <cell r="N729">
            <v>0.18</v>
          </cell>
        </row>
        <row r="730">
          <cell r="G730">
            <v>865.31200000000001</v>
          </cell>
          <cell r="N730">
            <v>0.18</v>
          </cell>
        </row>
        <row r="731">
          <cell r="G731">
            <v>771.976</v>
          </cell>
          <cell r="N731">
            <v>0.18</v>
          </cell>
        </row>
        <row r="732">
          <cell r="G732">
            <v>758.90599999999995</v>
          </cell>
          <cell r="N732">
            <v>0.16</v>
          </cell>
        </row>
        <row r="733">
          <cell r="G733">
            <v>790.76099999999997</v>
          </cell>
          <cell r="N733">
            <v>0.15</v>
          </cell>
        </row>
        <row r="734">
          <cell r="G734">
            <v>884.20600000000002</v>
          </cell>
          <cell r="N734">
            <v>0.16</v>
          </cell>
        </row>
        <row r="735">
          <cell r="G735">
            <v>1017.7670000000001</v>
          </cell>
          <cell r="N735">
            <v>0.15</v>
          </cell>
        </row>
        <row r="736">
          <cell r="G736">
            <v>1102.4459999999999</v>
          </cell>
          <cell r="N736">
            <v>0.12</v>
          </cell>
        </row>
        <row r="737">
          <cell r="G737">
            <v>1099.8309999999999</v>
          </cell>
          <cell r="N737">
            <v>0.12</v>
          </cell>
        </row>
        <row r="738">
          <cell r="G738">
            <v>1070.701</v>
          </cell>
          <cell r="N738">
            <v>0.14000000000000001</v>
          </cell>
        </row>
        <row r="739">
          <cell r="G739">
            <v>1183.7550000000001</v>
          </cell>
          <cell r="N739">
            <v>0.12</v>
          </cell>
        </row>
        <row r="740">
          <cell r="G740">
            <v>1143.627</v>
          </cell>
          <cell r="N740">
            <v>0.13</v>
          </cell>
        </row>
        <row r="741">
          <cell r="G741">
            <v>1076.4559999999999</v>
          </cell>
          <cell r="N741">
            <v>0.12</v>
          </cell>
        </row>
        <row r="742">
          <cell r="G742">
            <v>1070.761</v>
          </cell>
          <cell r="N742">
            <v>0.12</v>
          </cell>
        </row>
        <row r="743">
          <cell r="G743">
            <v>1058.7650000000001</v>
          </cell>
          <cell r="N743">
            <v>0.12</v>
          </cell>
        </row>
        <row r="744">
          <cell r="G744">
            <v>1046.9380000000001</v>
          </cell>
          <cell r="N744">
            <v>0.13</v>
          </cell>
        </row>
        <row r="745">
          <cell r="G745">
            <v>1044.1210000000001</v>
          </cell>
          <cell r="N745">
            <v>0.12</v>
          </cell>
        </row>
        <row r="746">
          <cell r="G746">
            <v>1006.7430000000001</v>
          </cell>
          <cell r="N746">
            <v>0.12</v>
          </cell>
        </row>
        <row r="747">
          <cell r="G747">
            <v>998.50800000000004</v>
          </cell>
          <cell r="N747">
            <v>0.13</v>
          </cell>
        </row>
        <row r="748">
          <cell r="G748">
            <v>997.74199999999996</v>
          </cell>
          <cell r="N748">
            <v>0.11</v>
          </cell>
        </row>
        <row r="749">
          <cell r="G749">
            <v>1035.0740000000001</v>
          </cell>
          <cell r="N749">
            <v>0.1</v>
          </cell>
        </row>
        <row r="750">
          <cell r="G750">
            <v>1066.213</v>
          </cell>
          <cell r="N750">
            <v>0.1</v>
          </cell>
        </row>
        <row r="751">
          <cell r="G751">
            <v>1219.2570000000001</v>
          </cell>
          <cell r="N751">
            <v>0.11</v>
          </cell>
        </row>
        <row r="752">
          <cell r="G752">
            <v>1391.3579999999999</v>
          </cell>
          <cell r="N752">
            <v>0.11</v>
          </cell>
        </row>
        <row r="753">
          <cell r="G753">
            <v>1484.1469999999999</v>
          </cell>
          <cell r="N753">
            <v>0.11</v>
          </cell>
        </row>
        <row r="754">
          <cell r="G754">
            <v>1546.4860000000001</v>
          </cell>
          <cell r="N754">
            <v>0.1</v>
          </cell>
        </row>
        <row r="755">
          <cell r="G755">
            <v>1622.346</v>
          </cell>
          <cell r="N755">
            <v>0.13</v>
          </cell>
        </row>
        <row r="756">
          <cell r="G756">
            <v>1652.2080000000001</v>
          </cell>
          <cell r="N756">
            <v>0.21</v>
          </cell>
        </row>
        <row r="757">
          <cell r="G757">
            <v>1621.06</v>
          </cell>
          <cell r="N757">
            <v>0.2</v>
          </cell>
        </row>
        <row r="758">
          <cell r="G758">
            <v>1596.944</v>
          </cell>
          <cell r="N758">
            <v>0.22</v>
          </cell>
        </row>
        <row r="759">
          <cell r="G759">
            <v>1592.4469999999999</v>
          </cell>
          <cell r="N759">
            <v>0.25</v>
          </cell>
        </row>
        <row r="760">
          <cell r="G760">
            <v>1546.124</v>
          </cell>
          <cell r="N760">
            <v>0.23</v>
          </cell>
        </row>
        <row r="761">
          <cell r="G761">
            <v>1550.0429999999999</v>
          </cell>
          <cell r="N761">
            <v>0.24</v>
          </cell>
        </row>
        <row r="762">
          <cell r="G762">
            <v>1568.915</v>
          </cell>
          <cell r="N762">
            <v>0.28000000000000003</v>
          </cell>
        </row>
        <row r="763">
          <cell r="G763">
            <v>1609.7750000000001</v>
          </cell>
          <cell r="N763">
            <v>0.3</v>
          </cell>
        </row>
        <row r="764">
          <cell r="G764">
            <v>1557.8589999999999</v>
          </cell>
          <cell r="N764">
            <v>0.38</v>
          </cell>
        </row>
        <row r="765">
          <cell r="G765">
            <v>1537.808</v>
          </cell>
          <cell r="N765">
            <v>0.37</v>
          </cell>
        </row>
        <row r="766">
          <cell r="G766">
            <v>1510.1189999999999</v>
          </cell>
          <cell r="N766">
            <v>0.26</v>
          </cell>
        </row>
        <row r="767">
          <cell r="G767">
            <v>1507.596</v>
          </cell>
        </row>
        <row r="768">
          <cell r="G768">
            <v>1535.0519999999999</v>
          </cell>
        </row>
        <row r="769">
          <cell r="G769">
            <v>1532.9760000000001</v>
          </cell>
        </row>
        <row r="770">
          <cell r="G770">
            <v>1468.681</v>
          </cell>
        </row>
        <row r="771">
          <cell r="G771">
            <v>1476.73</v>
          </cell>
        </row>
        <row r="772">
          <cell r="G772">
            <v>1497.5060000000001</v>
          </cell>
        </row>
        <row r="773">
          <cell r="G773">
            <v>1517.425</v>
          </cell>
        </row>
        <row r="774">
          <cell r="G774">
            <v>1582.5239999999999</v>
          </cell>
        </row>
        <row r="775">
          <cell r="G775">
            <v>1680.086</v>
          </cell>
        </row>
        <row r="776">
          <cell r="G776">
            <v>1760.3589999999999</v>
          </cell>
        </row>
        <row r="777">
          <cell r="G777">
            <v>1832.952</v>
          </cell>
        </row>
        <row r="778">
          <cell r="G778">
            <v>1930.723</v>
          </cell>
        </row>
        <row r="779">
          <cell r="G779">
            <v>2010.604</v>
          </cell>
        </row>
        <row r="780">
          <cell r="G780">
            <v>2094.2249999999999</v>
          </cell>
        </row>
        <row r="781">
          <cell r="G781">
            <v>2199.056</v>
          </cell>
        </row>
        <row r="782">
          <cell r="G782">
            <v>2281.08</v>
          </cell>
        </row>
        <row r="783">
          <cell r="G783">
            <v>2374.9580000000001</v>
          </cell>
        </row>
        <row r="784">
          <cell r="G784">
            <v>2463.0120000000002</v>
          </cell>
        </row>
        <row r="785">
          <cell r="G785">
            <v>2485.248</v>
          </cell>
        </row>
        <row r="786">
          <cell r="G786">
            <v>2498.1529999999998</v>
          </cell>
        </row>
        <row r="787">
          <cell r="G787">
            <v>2593.8789999999999</v>
          </cell>
        </row>
        <row r="788">
          <cell r="G788">
            <v>2623.027</v>
          </cell>
        </row>
        <row r="789">
          <cell r="G789">
            <v>2660.3679999999999</v>
          </cell>
        </row>
        <row r="790">
          <cell r="G790">
            <v>2635.18</v>
          </cell>
        </row>
        <row r="791">
          <cell r="G791">
            <v>2668.3539999999998</v>
          </cell>
        </row>
        <row r="792">
          <cell r="G792">
            <v>2704.0039999999999</v>
          </cell>
        </row>
        <row r="793">
          <cell r="G793">
            <v>2786.8670000000002</v>
          </cell>
        </row>
        <row r="794">
          <cell r="G794">
            <v>2759.2840000000001</v>
          </cell>
        </row>
        <row r="795">
          <cell r="G795">
            <v>2705.6680000000001</v>
          </cell>
        </row>
        <row r="796">
          <cell r="G796">
            <v>2519.578</v>
          </cell>
        </row>
        <row r="797">
          <cell r="G797">
            <v>2606.6999999999998</v>
          </cell>
        </row>
        <row r="798">
          <cell r="G798">
            <v>2683.7089999999998</v>
          </cell>
        </row>
        <row r="799">
          <cell r="G799">
            <v>2496.8679999999999</v>
          </cell>
        </row>
        <row r="800">
          <cell r="G800">
            <v>2675.2020000000002</v>
          </cell>
        </row>
        <row r="801">
          <cell r="G801">
            <v>2698.96</v>
          </cell>
        </row>
        <row r="802">
          <cell r="G802">
            <v>2584.3589999999999</v>
          </cell>
        </row>
        <row r="803">
          <cell r="G803">
            <v>2553.1379999999999</v>
          </cell>
        </row>
        <row r="804">
          <cell r="G804">
            <v>2590.8409999999999</v>
          </cell>
        </row>
        <row r="805">
          <cell r="G805">
            <v>2608.2629999999999</v>
          </cell>
        </row>
        <row r="806">
          <cell r="G806">
            <v>2643.9580000000001</v>
          </cell>
        </row>
        <row r="807">
          <cell r="G807">
            <v>2668.1930000000002</v>
          </cell>
        </row>
      </sheetData>
      <sheetData sheetId="8" refreshError="1"/>
      <sheetData sheetId="9">
        <row r="1">
          <cell r="B1" t="str">
            <v>factor1</v>
          </cell>
          <cell r="C1" t="str">
            <v>factor2</v>
          </cell>
          <cell r="D1" t="str">
            <v>factor3</v>
          </cell>
          <cell r="E1" t="str">
            <v>factor4</v>
          </cell>
          <cell r="F1" t="str">
            <v>factor5</v>
          </cell>
        </row>
        <row r="14">
          <cell r="B14">
            <v>-1.54164889</v>
          </cell>
          <cell r="C14">
            <v>-0.61924410600000002</v>
          </cell>
          <cell r="D14">
            <v>2.02958705E-2</v>
          </cell>
          <cell r="E14">
            <v>0.33460619800000002</v>
          </cell>
          <cell r="F14">
            <v>-0.85964739099999998</v>
          </cell>
        </row>
        <row r="15">
          <cell r="B15">
            <v>-0.56619133499999996</v>
          </cell>
          <cell r="C15">
            <v>-0.50352681700000002</v>
          </cell>
          <cell r="D15">
            <v>4.0776932199999998E-2</v>
          </cell>
          <cell r="E15">
            <v>0.121646104</v>
          </cell>
          <cell r="F15">
            <v>-0.38079897400000001</v>
          </cell>
        </row>
        <row r="16">
          <cell r="B16">
            <v>2.8076665600000002E-2</v>
          </cell>
          <cell r="C16">
            <v>-2.4815307799999999E-2</v>
          </cell>
          <cell r="D16">
            <v>-0.28939312299999997</v>
          </cell>
          <cell r="E16">
            <v>-0.11281864699999999</v>
          </cell>
          <cell r="F16">
            <v>0.26074059500000002</v>
          </cell>
        </row>
        <row r="17">
          <cell r="B17">
            <v>0.66389187900000002</v>
          </cell>
          <cell r="C17">
            <v>6.8996946599999998E-2</v>
          </cell>
          <cell r="D17">
            <v>-0.18809216000000001</v>
          </cell>
          <cell r="E17">
            <v>-0.113908856</v>
          </cell>
          <cell r="F17">
            <v>6.9975656799999994E-2</v>
          </cell>
        </row>
        <row r="18">
          <cell r="B18">
            <v>-0.169806128</v>
          </cell>
          <cell r="C18">
            <v>9.4575574900000001E-2</v>
          </cell>
          <cell r="D18">
            <v>-0.37847644800000002</v>
          </cell>
          <cell r="E18">
            <v>-4.40387842E-2</v>
          </cell>
          <cell r="F18">
            <v>1.94881399E-2</v>
          </cell>
        </row>
        <row r="19">
          <cell r="B19">
            <v>0.56412377300000005</v>
          </cell>
          <cell r="C19">
            <v>-6.9233430799999995E-2</v>
          </cell>
          <cell r="D19">
            <v>0.14893467199999999</v>
          </cell>
          <cell r="E19">
            <v>-0.21527822399999999</v>
          </cell>
          <cell r="F19">
            <v>-0.145894777</v>
          </cell>
        </row>
        <row r="20">
          <cell r="B20">
            <v>0.71273328899999999</v>
          </cell>
          <cell r="C20">
            <v>3.40627113E-2</v>
          </cell>
          <cell r="D20">
            <v>-0.22795410199999999</v>
          </cell>
          <cell r="E20">
            <v>-3.7919903499999998E-2</v>
          </cell>
          <cell r="F20">
            <v>8.35931647E-2</v>
          </cell>
        </row>
        <row r="21">
          <cell r="B21">
            <v>0.52103345000000001</v>
          </cell>
          <cell r="C21">
            <v>2.4808063500000001E-2</v>
          </cell>
          <cell r="D21">
            <v>-0.16358809199999999</v>
          </cell>
          <cell r="E21">
            <v>-0.12675034800000001</v>
          </cell>
          <cell r="F21">
            <v>-8.0167539400000001E-2</v>
          </cell>
        </row>
        <row r="22">
          <cell r="B22">
            <v>0.31815972100000001</v>
          </cell>
          <cell r="C22">
            <v>3.6880539E-3</v>
          </cell>
          <cell r="D22">
            <v>-0.18977259199999999</v>
          </cell>
          <cell r="E22">
            <v>-8.3443426299999998E-2</v>
          </cell>
          <cell r="F22">
            <v>-4.09251926E-2</v>
          </cell>
        </row>
        <row r="23">
          <cell r="B23">
            <v>0.49027323900000003</v>
          </cell>
          <cell r="C23">
            <v>-4.0630648999999998E-2</v>
          </cell>
          <cell r="D23">
            <v>3.0609698599999999E-2</v>
          </cell>
          <cell r="E23">
            <v>-0.25594228099999999</v>
          </cell>
          <cell r="F23">
            <v>-4.8698714300000001E-2</v>
          </cell>
        </row>
        <row r="24">
          <cell r="B24">
            <v>0.45489873199999997</v>
          </cell>
          <cell r="C24">
            <v>7.8783459799999997E-2</v>
          </cell>
          <cell r="D24">
            <v>0.183956181</v>
          </cell>
          <cell r="E24">
            <v>-8.1612920699999994E-2</v>
          </cell>
          <cell r="F24">
            <v>-0.24523962199999999</v>
          </cell>
        </row>
        <row r="25">
          <cell r="B25">
            <v>0.77164906099999997</v>
          </cell>
          <cell r="C25">
            <v>0.16005293000000001</v>
          </cell>
          <cell r="D25">
            <v>-2.5675423700000002E-2</v>
          </cell>
          <cell r="E25">
            <v>-0.26410312699999999</v>
          </cell>
          <cell r="F25">
            <v>0.128292296</v>
          </cell>
        </row>
        <row r="26">
          <cell r="B26">
            <v>0.92274107299999997</v>
          </cell>
          <cell r="C26">
            <v>5.3295492999999999E-2</v>
          </cell>
          <cell r="D26">
            <v>7.0659038899999999E-2</v>
          </cell>
          <cell r="E26">
            <v>-0.209513598</v>
          </cell>
          <cell r="F26">
            <v>8.5467889599999999E-2</v>
          </cell>
        </row>
        <row r="27">
          <cell r="B27">
            <v>0.41468891200000002</v>
          </cell>
          <cell r="C27">
            <v>-0.24370192900000001</v>
          </cell>
          <cell r="D27">
            <v>5.5167344600000001E-2</v>
          </cell>
          <cell r="E27">
            <v>-8.5867159200000001E-2</v>
          </cell>
          <cell r="F27">
            <v>-0.19077507199999999</v>
          </cell>
        </row>
        <row r="28">
          <cell r="B28">
            <v>0.51582518200000005</v>
          </cell>
          <cell r="C28">
            <v>-4.3915748900000004E-3</v>
          </cell>
          <cell r="D28">
            <v>5.6228012899999999E-2</v>
          </cell>
          <cell r="E28">
            <v>-8.3928695299999995E-2</v>
          </cell>
          <cell r="F28">
            <v>-0.200630535</v>
          </cell>
        </row>
        <row r="29">
          <cell r="B29">
            <v>2.1426679399999999E-2</v>
          </cell>
          <cell r="C29">
            <v>-0.30174967000000003</v>
          </cell>
          <cell r="D29">
            <v>-4.3770042199999998E-2</v>
          </cell>
          <cell r="E29">
            <v>-2.11750362E-2</v>
          </cell>
          <cell r="F29">
            <v>-0.16598147199999999</v>
          </cell>
        </row>
        <row r="30">
          <cell r="B30">
            <v>-7.28930307E-2</v>
          </cell>
          <cell r="C30">
            <v>-0.46397971199999999</v>
          </cell>
          <cell r="D30">
            <v>0.18499149500000001</v>
          </cell>
          <cell r="E30">
            <v>6.2957763E-2</v>
          </cell>
          <cell r="F30">
            <v>-0.56351118899999997</v>
          </cell>
        </row>
        <row r="31">
          <cell r="B31">
            <v>-0.30883735800000001</v>
          </cell>
          <cell r="C31">
            <v>-0.32657122100000002</v>
          </cell>
          <cell r="D31">
            <v>-4.0252126499999999E-2</v>
          </cell>
          <cell r="E31">
            <v>4.3905395999999999E-2</v>
          </cell>
          <cell r="F31">
            <v>-0.266193293</v>
          </cell>
        </row>
        <row r="32">
          <cell r="B32">
            <v>-0.39959702699999999</v>
          </cell>
          <cell r="C32">
            <v>-0.31612472400000002</v>
          </cell>
          <cell r="D32">
            <v>3.58280791E-2</v>
          </cell>
          <cell r="E32">
            <v>-4.9091890700000002E-2</v>
          </cell>
          <cell r="F32">
            <v>-0.24141728000000001</v>
          </cell>
        </row>
        <row r="33">
          <cell r="B33">
            <v>-0.19016815000000001</v>
          </cell>
          <cell r="C33">
            <v>-0.233935685</v>
          </cell>
          <cell r="D33">
            <v>0.14397384199999999</v>
          </cell>
          <cell r="E33">
            <v>2.7489018399999999E-3</v>
          </cell>
          <cell r="F33">
            <v>-0.12225094</v>
          </cell>
        </row>
        <row r="34">
          <cell r="B34">
            <v>-0.405302459</v>
          </cell>
          <cell r="C34">
            <v>-0.25439478799999998</v>
          </cell>
          <cell r="D34">
            <v>-2.81038768E-3</v>
          </cell>
          <cell r="E34">
            <v>-8.2897945399999992E-3</v>
          </cell>
          <cell r="F34">
            <v>-3.25964979E-2</v>
          </cell>
        </row>
        <row r="35">
          <cell r="B35">
            <v>6.3359369700000001E-2</v>
          </cell>
          <cell r="C35">
            <v>-0.115431508</v>
          </cell>
          <cell r="D35">
            <v>-3.5220883500000001E-2</v>
          </cell>
          <cell r="E35">
            <v>-0.17171710300000001</v>
          </cell>
          <cell r="F35">
            <v>0.30053709299999998</v>
          </cell>
        </row>
        <row r="36">
          <cell r="B36">
            <v>-0.51254359599999999</v>
          </cell>
          <cell r="C36">
            <v>-0.39786554200000002</v>
          </cell>
          <cell r="D36">
            <v>-7.6676223099999996E-2</v>
          </cell>
          <cell r="E36">
            <v>7.0063366099999996E-2</v>
          </cell>
          <cell r="F36">
            <v>-0.34055722900000002</v>
          </cell>
        </row>
        <row r="37">
          <cell r="B37">
            <v>-0.52001134400000004</v>
          </cell>
          <cell r="C37">
            <v>-0.40558091899999998</v>
          </cell>
          <cell r="D37">
            <v>-0.142718805</v>
          </cell>
          <cell r="E37">
            <v>4.06419815E-2</v>
          </cell>
          <cell r="F37">
            <v>-0.11085495200000001</v>
          </cell>
        </row>
        <row r="38">
          <cell r="B38">
            <v>-0.31469571400000002</v>
          </cell>
          <cell r="C38">
            <v>-0.271921725</v>
          </cell>
          <cell r="D38">
            <v>1.6555272900000001E-2</v>
          </cell>
          <cell r="E38">
            <v>-9.2840793099999999E-2</v>
          </cell>
          <cell r="F38">
            <v>-1.6136878699999999E-2</v>
          </cell>
        </row>
        <row r="39">
          <cell r="B39">
            <v>0.10035741300000001</v>
          </cell>
          <cell r="C39">
            <v>-7.6134829099999995E-2</v>
          </cell>
          <cell r="D39">
            <v>-2.3309460600000002E-2</v>
          </cell>
          <cell r="E39">
            <v>-0.26336114300000002</v>
          </cell>
          <cell r="F39">
            <v>0.42667422399999999</v>
          </cell>
        </row>
        <row r="40">
          <cell r="B40">
            <v>-0.55694423299999996</v>
          </cell>
          <cell r="C40">
            <v>-0.18414488100000001</v>
          </cell>
          <cell r="D40">
            <v>-8.3829525500000002E-2</v>
          </cell>
          <cell r="E40">
            <v>8.2014951599999997E-2</v>
          </cell>
          <cell r="F40">
            <v>-4.5449070500000001E-2</v>
          </cell>
        </row>
        <row r="41">
          <cell r="B41">
            <v>-0.19985382900000001</v>
          </cell>
          <cell r="C41">
            <v>-0.14230088099999999</v>
          </cell>
          <cell r="D41">
            <v>-0.18683535900000001</v>
          </cell>
          <cell r="E41">
            <v>-6.3100246600000007E-2</v>
          </cell>
          <cell r="F41">
            <v>1.39046021E-2</v>
          </cell>
        </row>
        <row r="42">
          <cell r="B42">
            <v>-0.28598397399999997</v>
          </cell>
          <cell r="C42">
            <v>-0.16662783</v>
          </cell>
          <cell r="D42">
            <v>-0.20257752300000001</v>
          </cell>
          <cell r="E42">
            <v>-7.3301083700000005E-2</v>
          </cell>
          <cell r="F42">
            <v>4.6631010899999999E-2</v>
          </cell>
        </row>
        <row r="43">
          <cell r="B43">
            <v>0.12564383500000001</v>
          </cell>
          <cell r="C43">
            <v>-9.9855799100000003E-2</v>
          </cell>
          <cell r="D43">
            <v>-9.2857874699999995E-2</v>
          </cell>
          <cell r="E43">
            <v>-0.24201476</v>
          </cell>
          <cell r="F43">
            <v>-7.2426560299999998E-2</v>
          </cell>
        </row>
        <row r="44">
          <cell r="B44">
            <v>0.16723147899999999</v>
          </cell>
          <cell r="C44">
            <v>-0.120120955</v>
          </cell>
          <cell r="D44">
            <v>-7.7980258499999996E-2</v>
          </cell>
          <cell r="E44">
            <v>-0.34824217000000002</v>
          </cell>
          <cell r="F44">
            <v>0.106892023</v>
          </cell>
        </row>
        <row r="45">
          <cell r="B45">
            <v>-0.111753428</v>
          </cell>
          <cell r="C45">
            <v>-0.27787433</v>
          </cell>
          <cell r="D45">
            <v>-4.58330084E-2</v>
          </cell>
          <cell r="E45">
            <v>-0.112973634</v>
          </cell>
          <cell r="F45">
            <v>-0.25029072099999999</v>
          </cell>
        </row>
        <row r="46">
          <cell r="B46">
            <v>9.4135017099999996E-2</v>
          </cell>
          <cell r="C46">
            <v>-2.7165650499999999E-2</v>
          </cell>
          <cell r="D46">
            <v>-0.13851783200000001</v>
          </cell>
          <cell r="E46">
            <v>-5.7621518300000001E-2</v>
          </cell>
          <cell r="F46">
            <v>7.9266698799999993E-2</v>
          </cell>
        </row>
        <row r="47">
          <cell r="B47">
            <v>-0.14772802600000001</v>
          </cell>
          <cell r="C47">
            <v>7.3820953699999997E-2</v>
          </cell>
          <cell r="D47">
            <v>2.77935063E-2</v>
          </cell>
          <cell r="E47">
            <v>8.0415911199999995E-2</v>
          </cell>
          <cell r="F47">
            <v>-7.5747696000000003E-2</v>
          </cell>
        </row>
        <row r="48">
          <cell r="B48">
            <v>0.139915604</v>
          </cell>
          <cell r="C48">
            <v>-0.22938256800000001</v>
          </cell>
          <cell r="D48">
            <v>-0.22216042799999999</v>
          </cell>
          <cell r="E48">
            <v>-0.20597568899999999</v>
          </cell>
          <cell r="F48">
            <v>1.6947661700000002E-2</v>
          </cell>
        </row>
        <row r="49">
          <cell r="B49">
            <v>8.1992870500000002E-3</v>
          </cell>
          <cell r="C49">
            <v>-0.16843914400000001</v>
          </cell>
          <cell r="D49">
            <v>-0.15309678299999999</v>
          </cell>
          <cell r="E49">
            <v>-7.8158220599999995E-2</v>
          </cell>
          <cell r="F49">
            <v>-6.6626554000000004E-2</v>
          </cell>
        </row>
        <row r="50">
          <cell r="B50">
            <v>9.1635926300000003E-2</v>
          </cell>
          <cell r="C50">
            <v>-0.195613326</v>
          </cell>
          <cell r="D50">
            <v>-0.163217314</v>
          </cell>
          <cell r="E50">
            <v>-0.17880436399999999</v>
          </cell>
          <cell r="F50">
            <v>6.5733254099999998E-3</v>
          </cell>
        </row>
        <row r="51">
          <cell r="B51">
            <v>-8.5442993999999994E-2</v>
          </cell>
          <cell r="C51">
            <v>-0.115257269</v>
          </cell>
          <cell r="D51">
            <v>-0.100566667</v>
          </cell>
          <cell r="E51">
            <v>-8.2514899899999994E-2</v>
          </cell>
          <cell r="F51">
            <v>-0.157938576</v>
          </cell>
        </row>
        <row r="52">
          <cell r="B52">
            <v>-0.168140555</v>
          </cell>
          <cell r="C52">
            <v>-0.16743956700000001</v>
          </cell>
          <cell r="D52">
            <v>-0.103055352</v>
          </cell>
          <cell r="E52">
            <v>-8.2020458399999996E-2</v>
          </cell>
          <cell r="F52">
            <v>-0.13187016500000001</v>
          </cell>
        </row>
        <row r="53">
          <cell r="B53">
            <v>-0.151292755</v>
          </cell>
          <cell r="C53">
            <v>-0.207252714</v>
          </cell>
          <cell r="D53">
            <v>-0.170332182</v>
          </cell>
          <cell r="E53">
            <v>-0.15038190000000001</v>
          </cell>
          <cell r="F53">
            <v>-1.4176063799999999E-2</v>
          </cell>
        </row>
        <row r="54">
          <cell r="B54">
            <v>-0.372408564</v>
          </cell>
          <cell r="C54">
            <v>-0.20922264900000001</v>
          </cell>
          <cell r="D54">
            <v>-0.24463067499999999</v>
          </cell>
          <cell r="E54">
            <v>-8.3988538200000004E-2</v>
          </cell>
          <cell r="F54">
            <v>3.4452121600000003E-2</v>
          </cell>
        </row>
        <row r="55">
          <cell r="B55">
            <v>-0.13440827</v>
          </cell>
          <cell r="C55">
            <v>-0.124120388</v>
          </cell>
          <cell r="D55">
            <v>-5.7997910899999998E-2</v>
          </cell>
          <cell r="E55">
            <v>-6.6093838700000004E-2</v>
          </cell>
          <cell r="F55">
            <v>-5.9397428500000002E-2</v>
          </cell>
        </row>
        <row r="56">
          <cell r="B56">
            <v>-0.12919407099999999</v>
          </cell>
          <cell r="C56">
            <v>7.6317945099999996E-3</v>
          </cell>
          <cell r="D56">
            <v>-2.5181087599999999E-2</v>
          </cell>
          <cell r="E56">
            <v>-0.108035044</v>
          </cell>
          <cell r="F56">
            <v>3.7488424899999997E-2</v>
          </cell>
        </row>
        <row r="57">
          <cell r="B57">
            <v>-5.0746164400000002E-2</v>
          </cell>
          <cell r="C57">
            <v>-3.5613034799999999E-2</v>
          </cell>
          <cell r="D57">
            <v>-8.3910594899999996E-2</v>
          </cell>
          <cell r="E57">
            <v>-0.17462098100000001</v>
          </cell>
          <cell r="F57">
            <v>0.15782080800000001</v>
          </cell>
        </row>
        <row r="58">
          <cell r="B58">
            <v>-0.12450952899999999</v>
          </cell>
          <cell r="C58">
            <v>-7.1031196599999999E-2</v>
          </cell>
          <cell r="D58">
            <v>-0.151808358</v>
          </cell>
          <cell r="E58">
            <v>-0.15343306800000001</v>
          </cell>
          <cell r="F58">
            <v>-4.0134833100000003E-2</v>
          </cell>
        </row>
        <row r="59">
          <cell r="B59">
            <v>-0.25410075700000001</v>
          </cell>
          <cell r="C59">
            <v>-0.23242047800000001</v>
          </cell>
          <cell r="D59">
            <v>-0.180866482</v>
          </cell>
          <cell r="E59">
            <v>-0.14785606400000001</v>
          </cell>
          <cell r="F59">
            <v>-6.1914282799999998E-2</v>
          </cell>
        </row>
        <row r="60">
          <cell r="B60">
            <v>-0.35216022299999999</v>
          </cell>
          <cell r="C60">
            <v>-6.4173758999999997E-2</v>
          </cell>
          <cell r="D60">
            <v>-0.17040883300000001</v>
          </cell>
          <cell r="E60">
            <v>-8.3106418500000001E-2</v>
          </cell>
          <cell r="F60">
            <v>1.50622254E-2</v>
          </cell>
        </row>
        <row r="61">
          <cell r="B61">
            <v>-1.9972943199999999E-2</v>
          </cell>
          <cell r="C61">
            <v>-8.8121608599999998E-2</v>
          </cell>
          <cell r="D61">
            <v>-9.5836289300000002E-2</v>
          </cell>
          <cell r="E61">
            <v>-0.15160616900000001</v>
          </cell>
          <cell r="F61">
            <v>2.7289482300000001E-3</v>
          </cell>
        </row>
        <row r="62">
          <cell r="B62">
            <v>-5.9274667900000001E-2</v>
          </cell>
          <cell r="C62">
            <v>-5.3904592799999998E-2</v>
          </cell>
          <cell r="D62">
            <v>-7.3220011400000007E-2</v>
          </cell>
          <cell r="E62">
            <v>-0.13029742599999999</v>
          </cell>
          <cell r="F62">
            <v>4.56506572E-2</v>
          </cell>
        </row>
        <row r="63">
          <cell r="B63">
            <v>-0.28329028699999997</v>
          </cell>
          <cell r="C63">
            <v>-9.6449880399999993E-2</v>
          </cell>
          <cell r="D63">
            <v>-0.14782447100000001</v>
          </cell>
          <cell r="E63">
            <v>-3.6566721500000003E-2</v>
          </cell>
          <cell r="F63">
            <v>-0.101423889</v>
          </cell>
        </row>
        <row r="64">
          <cell r="B64">
            <v>-0.29918623900000002</v>
          </cell>
          <cell r="C64">
            <v>-0.24631581999999999</v>
          </cell>
          <cell r="D64">
            <v>-0.28100008100000001</v>
          </cell>
          <cell r="E64">
            <v>-0.13395283999999999</v>
          </cell>
          <cell r="F64">
            <v>7.8643152800000005E-2</v>
          </cell>
        </row>
        <row r="65">
          <cell r="B65">
            <v>-0.147301455</v>
          </cell>
          <cell r="C65">
            <v>-0.119182342</v>
          </cell>
          <cell r="D65">
            <v>-0.13752479300000001</v>
          </cell>
          <cell r="E65">
            <v>-0.19529104799999999</v>
          </cell>
          <cell r="F65">
            <v>0.23991980700000001</v>
          </cell>
        </row>
        <row r="66">
          <cell r="B66">
            <v>-0.381443421</v>
          </cell>
          <cell r="C66">
            <v>-0.27014950399999998</v>
          </cell>
          <cell r="D66">
            <v>-8.42357366E-2</v>
          </cell>
          <cell r="E66">
            <v>-1.94276433E-3</v>
          </cell>
          <cell r="F66">
            <v>-0.292724384</v>
          </cell>
        </row>
        <row r="67">
          <cell r="B67">
            <v>-0.26603988099999998</v>
          </cell>
          <cell r="C67">
            <v>-0.22643000299999999</v>
          </cell>
          <cell r="D67">
            <v>-0.222864168</v>
          </cell>
          <cell r="E67">
            <v>-0.11041630199999999</v>
          </cell>
          <cell r="F67">
            <v>6.1864429899999997E-2</v>
          </cell>
        </row>
        <row r="68">
          <cell r="B68">
            <v>-0.12508450700000001</v>
          </cell>
          <cell r="C68">
            <v>-8.42955705E-2</v>
          </cell>
          <cell r="D68">
            <v>-0.118976227</v>
          </cell>
          <cell r="E68">
            <v>-0.14324310200000001</v>
          </cell>
          <cell r="F68">
            <v>0.103463611</v>
          </cell>
        </row>
        <row r="69">
          <cell r="B69">
            <v>-0.42280940900000002</v>
          </cell>
          <cell r="C69">
            <v>-0.20450015699999999</v>
          </cell>
          <cell r="D69">
            <v>-0.17416914</v>
          </cell>
          <cell r="E69">
            <v>-3.7098866799999998E-2</v>
          </cell>
          <cell r="F69">
            <v>7.6179438599999996E-2</v>
          </cell>
        </row>
        <row r="70">
          <cell r="B70">
            <v>-0.33817787799999999</v>
          </cell>
          <cell r="C70">
            <v>-0.19505172500000001</v>
          </cell>
          <cell r="D70">
            <v>-0.19607372200000001</v>
          </cell>
          <cell r="E70">
            <v>-0.13880782899999999</v>
          </cell>
          <cell r="F70">
            <v>0.164373766</v>
          </cell>
        </row>
        <row r="71">
          <cell r="B71">
            <v>-0.35145701400000001</v>
          </cell>
          <cell r="C71">
            <v>-0.13625050799999999</v>
          </cell>
          <cell r="D71">
            <v>-0.169449238</v>
          </cell>
          <cell r="E71">
            <v>-0.14172776000000001</v>
          </cell>
          <cell r="F71">
            <v>0.32946006999999999</v>
          </cell>
        </row>
        <row r="72">
          <cell r="B72">
            <v>0.35702036799999998</v>
          </cell>
          <cell r="C72">
            <v>7.4199453999999998E-2</v>
          </cell>
          <cell r="D72">
            <v>-0.181928222</v>
          </cell>
          <cell r="E72">
            <v>-0.43809748700000001</v>
          </cell>
          <cell r="F72">
            <v>0.65834450600000005</v>
          </cell>
        </row>
        <row r="73">
          <cell r="B73">
            <v>-0.96394417399999999</v>
          </cell>
          <cell r="C73">
            <v>-0.313730603</v>
          </cell>
          <cell r="D73">
            <v>-0.12109663</v>
          </cell>
          <cell r="E73">
            <v>0.17594624</v>
          </cell>
          <cell r="F73">
            <v>-0.43025390899999999</v>
          </cell>
        </row>
        <row r="74">
          <cell r="B74">
            <v>-0.62820960800000003</v>
          </cell>
          <cell r="C74">
            <v>-0.22863786799999999</v>
          </cell>
          <cell r="D74">
            <v>-0.107603537</v>
          </cell>
          <cell r="E74">
            <v>-3.0309030399999999E-2</v>
          </cell>
          <cell r="F74">
            <v>-8.5771646199999996E-2</v>
          </cell>
        </row>
        <row r="75">
          <cell r="B75">
            <v>-0.45569259000000001</v>
          </cell>
          <cell r="C75">
            <v>-0.15830588800000001</v>
          </cell>
          <cell r="D75">
            <v>-0.16751568</v>
          </cell>
          <cell r="E75">
            <v>-3.9121560999999999E-2</v>
          </cell>
          <cell r="F75">
            <v>3.8218009300000001E-2</v>
          </cell>
        </row>
        <row r="76">
          <cell r="B76">
            <v>-0.26760564599999997</v>
          </cell>
          <cell r="C76">
            <v>-0.152018704</v>
          </cell>
          <cell r="D76">
            <v>-0.21975393300000001</v>
          </cell>
          <cell r="E76">
            <v>-0.19924233299999999</v>
          </cell>
          <cell r="F76">
            <v>0.12000646299999999</v>
          </cell>
        </row>
        <row r="77">
          <cell r="B77">
            <v>-0.54202249800000002</v>
          </cell>
          <cell r="C77">
            <v>-0.21628710700000001</v>
          </cell>
          <cell r="D77">
            <v>-0.183458437</v>
          </cell>
          <cell r="E77">
            <v>-8.0805370099999996E-2</v>
          </cell>
          <cell r="F77">
            <v>0.120310583</v>
          </cell>
        </row>
        <row r="78">
          <cell r="B78">
            <v>-0.38122423999999999</v>
          </cell>
          <cell r="C78">
            <v>1.4364120899999999E-2</v>
          </cell>
          <cell r="D78">
            <v>-0.21145991</v>
          </cell>
          <cell r="E78">
            <v>-0.11674282800000001</v>
          </cell>
          <cell r="F78">
            <v>0.281188981</v>
          </cell>
        </row>
        <row r="79">
          <cell r="B79">
            <v>-0.46264633799999999</v>
          </cell>
          <cell r="C79">
            <v>-8.0269953699999994E-2</v>
          </cell>
          <cell r="D79">
            <v>-0.176209266</v>
          </cell>
          <cell r="E79">
            <v>-5.6702622100000002E-2</v>
          </cell>
          <cell r="F79">
            <v>0.124536902</v>
          </cell>
        </row>
        <row r="80">
          <cell r="B80">
            <v>-0.292372144</v>
          </cell>
          <cell r="C80">
            <v>1.52740272E-2</v>
          </cell>
          <cell r="D80">
            <v>-0.10862021600000001</v>
          </cell>
          <cell r="E80">
            <v>-8.7785197499999995E-2</v>
          </cell>
          <cell r="F80">
            <v>0.20157612599999999</v>
          </cell>
        </row>
        <row r="81">
          <cell r="B81">
            <v>-0.47335638499999999</v>
          </cell>
          <cell r="C81">
            <v>-0.21302674699999999</v>
          </cell>
          <cell r="D81">
            <v>-0.328397459</v>
          </cell>
          <cell r="E81">
            <v>-0.14013887</v>
          </cell>
          <cell r="F81">
            <v>5.2736934200000002E-2</v>
          </cell>
        </row>
        <row r="82">
          <cell r="B82">
            <v>-0.161928032</v>
          </cell>
          <cell r="C82">
            <v>-0.175382128</v>
          </cell>
          <cell r="D82">
            <v>-0.238981268</v>
          </cell>
          <cell r="E82">
            <v>-0.22483609700000001</v>
          </cell>
          <cell r="F82">
            <v>0.18534532100000001</v>
          </cell>
        </row>
        <row r="83">
          <cell r="B83">
            <v>-0.40674244100000001</v>
          </cell>
          <cell r="C83">
            <v>-0.154763287</v>
          </cell>
          <cell r="D83">
            <v>-0.23657488900000001</v>
          </cell>
          <cell r="E83">
            <v>-0.12451878299999999</v>
          </cell>
          <cell r="F83">
            <v>4.9585670499999998E-2</v>
          </cell>
        </row>
        <row r="84">
          <cell r="B84">
            <v>-0.46500048100000002</v>
          </cell>
          <cell r="C84">
            <v>-0.12526949100000001</v>
          </cell>
          <cell r="D84">
            <v>-0.15596394099999999</v>
          </cell>
          <cell r="E84">
            <v>-5.8581642900000001E-2</v>
          </cell>
          <cell r="F84">
            <v>4.7426850200000002E-2</v>
          </cell>
        </row>
        <row r="85">
          <cell r="B85">
            <v>-0.37576367900000002</v>
          </cell>
          <cell r="C85">
            <v>-5.4106632000000002E-2</v>
          </cell>
          <cell r="D85">
            <v>-0.16985734599999999</v>
          </cell>
          <cell r="E85">
            <v>-0.11566705100000001</v>
          </cell>
          <cell r="F85">
            <v>0.128128505</v>
          </cell>
        </row>
        <row r="86">
          <cell r="B86">
            <v>-0.64762088699999998</v>
          </cell>
          <cell r="C86">
            <v>-6.0389158300000002E-2</v>
          </cell>
          <cell r="D86">
            <v>-6.7913393000000002E-2</v>
          </cell>
          <cell r="E86">
            <v>-0.11828217100000001</v>
          </cell>
          <cell r="F86">
            <v>3.9907796799999999E-2</v>
          </cell>
        </row>
        <row r="87">
          <cell r="B87">
            <v>-0.50121780000000005</v>
          </cell>
          <cell r="C87">
            <v>-0.200365869</v>
          </cell>
          <cell r="D87">
            <v>-0.11196560799999999</v>
          </cell>
          <cell r="E87">
            <v>-0.12997901100000001</v>
          </cell>
          <cell r="F87">
            <v>0.195090562</v>
          </cell>
        </row>
        <row r="88">
          <cell r="B88">
            <v>-0.48700579700000002</v>
          </cell>
          <cell r="C88">
            <v>3.8251541E-2</v>
          </cell>
          <cell r="D88">
            <v>3.1492732300000001E-3</v>
          </cell>
          <cell r="E88">
            <v>-9.3710939699999996E-2</v>
          </cell>
          <cell r="F88">
            <v>0.28562955299999998</v>
          </cell>
        </row>
        <row r="89">
          <cell r="B89">
            <v>-0.70168284199999997</v>
          </cell>
          <cell r="C89">
            <v>-7.9886041699999993E-2</v>
          </cell>
          <cell r="D89">
            <v>-0.18326198099999999</v>
          </cell>
          <cell r="E89">
            <v>-0.11449711899999999</v>
          </cell>
          <cell r="F89">
            <v>8.5446346899999998E-2</v>
          </cell>
        </row>
        <row r="90">
          <cell r="B90">
            <v>-0.42886544599999998</v>
          </cell>
          <cell r="C90">
            <v>7.2029978199999997E-2</v>
          </cell>
          <cell r="D90">
            <v>-0.1188859</v>
          </cell>
          <cell r="E90">
            <v>-7.1956660199999994E-2</v>
          </cell>
          <cell r="F90">
            <v>0.19536161099999999</v>
          </cell>
        </row>
        <row r="91">
          <cell r="B91">
            <v>-0.294192974</v>
          </cell>
          <cell r="C91">
            <v>-1.44836992E-2</v>
          </cell>
          <cell r="D91">
            <v>-0.19069749499999999</v>
          </cell>
          <cell r="E91">
            <v>-0.260670344</v>
          </cell>
          <cell r="F91">
            <v>0.15913648599999999</v>
          </cell>
        </row>
        <row r="92">
          <cell r="B92">
            <v>-0.48605058200000001</v>
          </cell>
          <cell r="C92">
            <v>-5.4446922000000002E-2</v>
          </cell>
          <cell r="D92">
            <v>-0.30199944699999998</v>
          </cell>
          <cell r="E92">
            <v>-0.15505071500000001</v>
          </cell>
          <cell r="F92">
            <v>0.17366667499999999</v>
          </cell>
        </row>
        <row r="93">
          <cell r="B93">
            <v>-0.33826088599999998</v>
          </cell>
          <cell r="C93">
            <v>0.17276972099999999</v>
          </cell>
          <cell r="D93">
            <v>-8.8138979100000001E-2</v>
          </cell>
          <cell r="E93">
            <v>-0.209353966</v>
          </cell>
          <cell r="F93">
            <v>0.171859926</v>
          </cell>
        </row>
        <row r="94">
          <cell r="B94">
            <v>-0.23229698200000001</v>
          </cell>
          <cell r="C94">
            <v>0.14304531500000001</v>
          </cell>
          <cell r="D94">
            <v>4.6389110900000002E-2</v>
          </cell>
          <cell r="E94">
            <v>-0.21238700799999999</v>
          </cell>
          <cell r="F94">
            <v>0.21903676699999999</v>
          </cell>
        </row>
        <row r="95">
          <cell r="B95">
            <v>-0.220106674</v>
          </cell>
          <cell r="C95">
            <v>3.2851015400000003E-2</v>
          </cell>
          <cell r="D95">
            <v>2.46003204E-2</v>
          </cell>
          <cell r="E95">
            <v>-0.17929752400000001</v>
          </cell>
          <cell r="F95">
            <v>-2.85152446E-2</v>
          </cell>
        </row>
        <row r="96">
          <cell r="B96">
            <v>-0.21987472199999999</v>
          </cell>
          <cell r="C96">
            <v>-2.2403951700000001E-2</v>
          </cell>
          <cell r="D96">
            <v>-6.6055026399999994E-2</v>
          </cell>
          <cell r="E96">
            <v>-4.4272089799999997E-2</v>
          </cell>
          <cell r="F96">
            <v>-8.6253164899999998E-2</v>
          </cell>
        </row>
        <row r="97">
          <cell r="B97">
            <v>0.10301723</v>
          </cell>
          <cell r="C97">
            <v>7.0557766300000005E-2</v>
          </cell>
          <cell r="D97">
            <v>-0.23589458299999999</v>
          </cell>
          <cell r="E97">
            <v>-0.21661507599999999</v>
          </cell>
          <cell r="F97">
            <v>0.29514624</v>
          </cell>
        </row>
        <row r="98">
          <cell r="B98">
            <v>7.0848035399999995E-2</v>
          </cell>
          <cell r="C98">
            <v>-8.5330858800000006E-2</v>
          </cell>
          <cell r="D98">
            <v>-0.27630672499999998</v>
          </cell>
          <cell r="E98">
            <v>-0.102717367</v>
          </cell>
          <cell r="F98">
            <v>8.9911863800000005E-2</v>
          </cell>
        </row>
        <row r="99">
          <cell r="B99">
            <v>5.3701187999999997E-2</v>
          </cell>
          <cell r="C99">
            <v>-0.18014840300000001</v>
          </cell>
          <cell r="D99">
            <v>-0.27599547800000002</v>
          </cell>
          <cell r="E99">
            <v>-4.00612713E-2</v>
          </cell>
          <cell r="F99">
            <v>-1.6712444399999998E-2</v>
          </cell>
        </row>
        <row r="100">
          <cell r="B100">
            <v>0.45875886799999999</v>
          </cell>
          <cell r="C100">
            <v>8.7891242999999994E-2</v>
          </cell>
          <cell r="D100">
            <v>-0.22176325899999999</v>
          </cell>
          <cell r="E100">
            <v>-0.18187789700000001</v>
          </cell>
          <cell r="F100">
            <v>0.21901748700000001</v>
          </cell>
        </row>
        <row r="101">
          <cell r="B101">
            <v>0.28018349399999998</v>
          </cell>
          <cell r="C101">
            <v>-7.0303375900000006E-2</v>
          </cell>
          <cell r="D101">
            <v>-0.26685281700000002</v>
          </cell>
          <cell r="E101">
            <v>-0.140551228</v>
          </cell>
          <cell r="F101">
            <v>6.5631130600000004E-2</v>
          </cell>
        </row>
        <row r="102">
          <cell r="B102">
            <v>0.17280056899999999</v>
          </cell>
          <cell r="C102">
            <v>-1.5031945499999999E-2</v>
          </cell>
          <cell r="D102">
            <v>-3.6300148400000003E-2</v>
          </cell>
          <cell r="E102">
            <v>3.6903315299999999E-3</v>
          </cell>
          <cell r="F102">
            <v>-0.39228285200000002</v>
          </cell>
        </row>
        <row r="103">
          <cell r="B103">
            <v>0.22824570199999999</v>
          </cell>
          <cell r="C103">
            <v>6.7353734200000001E-2</v>
          </cell>
          <cell r="D103">
            <v>-0.14985960500000001</v>
          </cell>
          <cell r="E103">
            <v>-0.18829506500000001</v>
          </cell>
          <cell r="F103">
            <v>0.15892452900000001</v>
          </cell>
        </row>
        <row r="104">
          <cell r="B104">
            <v>-4.0114455000000004E-3</v>
          </cell>
          <cell r="C104">
            <v>0.17747994</v>
          </cell>
          <cell r="D104">
            <v>-8.13895972E-3</v>
          </cell>
          <cell r="E104">
            <v>-0.139048116</v>
          </cell>
          <cell r="F104">
            <v>-0.11251209099999999</v>
          </cell>
        </row>
        <row r="105">
          <cell r="B105">
            <v>3.9481001399999998E-3</v>
          </cell>
          <cell r="C105">
            <v>1.6064541200000001E-2</v>
          </cell>
          <cell r="D105">
            <v>0.12106974700000001</v>
          </cell>
          <cell r="E105">
            <v>-0.25824469799999999</v>
          </cell>
          <cell r="F105">
            <v>7.8738743999999999E-2</v>
          </cell>
        </row>
        <row r="106">
          <cell r="B106">
            <v>-0.44098938199999999</v>
          </cell>
          <cell r="C106">
            <v>-0.13001674699999999</v>
          </cell>
          <cell r="D106">
            <v>3.6747404999999997E-2</v>
          </cell>
          <cell r="E106">
            <v>6.5916072199999995E-2</v>
          </cell>
          <cell r="F106">
            <v>-0.31750610800000001</v>
          </cell>
        </row>
        <row r="107">
          <cell r="B107">
            <v>3.8870083800000002E-3</v>
          </cell>
          <cell r="C107">
            <v>2.1261631E-2</v>
          </cell>
          <cell r="D107">
            <v>5.1710717899999998E-4</v>
          </cell>
          <cell r="E107">
            <v>-0.135284392</v>
          </cell>
          <cell r="F107">
            <v>8.3843838800000001E-2</v>
          </cell>
        </row>
        <row r="108">
          <cell r="B108">
            <v>-0.14453211899999999</v>
          </cell>
          <cell r="C108">
            <v>-8.78111195E-3</v>
          </cell>
          <cell r="D108">
            <v>9.7885678599999998E-2</v>
          </cell>
          <cell r="E108">
            <v>-0.13128872599999999</v>
          </cell>
          <cell r="F108">
            <v>-0.176940457</v>
          </cell>
        </row>
        <row r="109">
          <cell r="B109">
            <v>-0.71972044800000001</v>
          </cell>
          <cell r="C109">
            <v>-0.16738882999999999</v>
          </cell>
          <cell r="D109">
            <v>7.0448172099999998E-2</v>
          </cell>
          <cell r="E109">
            <v>-3.4213358300000003E-2</v>
          </cell>
          <cell r="F109">
            <v>-0.25005816800000003</v>
          </cell>
        </row>
        <row r="110">
          <cell r="B110">
            <v>-0.43547712999999999</v>
          </cell>
          <cell r="C110">
            <v>-0.14516826099999999</v>
          </cell>
          <cell r="D110">
            <v>1.7529334899999999E-2</v>
          </cell>
          <cell r="E110">
            <v>-6.0259500200000003E-2</v>
          </cell>
          <cell r="F110">
            <v>-0.237336984</v>
          </cell>
        </row>
        <row r="111">
          <cell r="B111">
            <v>0.29056114500000002</v>
          </cell>
          <cell r="C111">
            <v>7.2587274500000007E-2</v>
          </cell>
          <cell r="D111">
            <v>7.1352444200000004E-2</v>
          </cell>
          <cell r="E111">
            <v>-0.107171936</v>
          </cell>
          <cell r="F111">
            <v>0.15028314200000001</v>
          </cell>
        </row>
        <row r="112">
          <cell r="B112">
            <v>-0.466154923</v>
          </cell>
          <cell r="C112">
            <v>-7.8750029600000004E-3</v>
          </cell>
          <cell r="D112">
            <v>-0.23422646499999999</v>
          </cell>
          <cell r="E112">
            <v>-3.4444361499999999E-2</v>
          </cell>
          <cell r="F112">
            <v>0.142485525</v>
          </cell>
        </row>
        <row r="113">
          <cell r="B113">
            <v>-0.20780469300000001</v>
          </cell>
          <cell r="C113">
            <v>4.4333333699999998E-2</v>
          </cell>
          <cell r="D113">
            <v>-1.87496708E-2</v>
          </cell>
          <cell r="E113">
            <v>-0.102074993</v>
          </cell>
          <cell r="F113">
            <v>-4.3586975899999998E-2</v>
          </cell>
        </row>
        <row r="114">
          <cell r="B114">
            <v>-0.26609233100000002</v>
          </cell>
          <cell r="C114">
            <v>5.7577247499999998E-2</v>
          </cell>
          <cell r="D114">
            <v>-0.18603176499999999</v>
          </cell>
          <cell r="E114">
            <v>-0.125380449</v>
          </cell>
          <cell r="F114">
            <v>0.208715031</v>
          </cell>
        </row>
        <row r="115">
          <cell r="B115">
            <v>-0.35214300700000001</v>
          </cell>
          <cell r="C115">
            <v>-8.7794866099999994E-2</v>
          </cell>
          <cell r="D115">
            <v>-1.7476428299999999E-2</v>
          </cell>
          <cell r="E115">
            <v>-0.137397189</v>
          </cell>
          <cell r="F115">
            <v>-0.185956336</v>
          </cell>
        </row>
        <row r="116">
          <cell r="B116">
            <v>-0.177158489</v>
          </cell>
          <cell r="C116">
            <v>0.192821348</v>
          </cell>
          <cell r="D116">
            <v>-0.18815409699999999</v>
          </cell>
          <cell r="E116">
            <v>1.9863035599999999E-2</v>
          </cell>
          <cell r="F116">
            <v>-2.0924306699999999E-2</v>
          </cell>
        </row>
        <row r="117">
          <cell r="B117">
            <v>-4.5279658600000001E-2</v>
          </cell>
          <cell r="C117">
            <v>0.189159139</v>
          </cell>
          <cell r="D117">
            <v>-0.25153407300000002</v>
          </cell>
          <cell r="E117">
            <v>-4.2337910300000003E-2</v>
          </cell>
          <cell r="F117">
            <v>6.7849510099999996E-2</v>
          </cell>
        </row>
        <row r="118">
          <cell r="B118">
            <v>-0.20376633999999999</v>
          </cell>
          <cell r="C118">
            <v>0.14341408</v>
          </cell>
          <cell r="D118">
            <v>-0.34695517199999998</v>
          </cell>
          <cell r="E118">
            <v>1.2968713099999999E-2</v>
          </cell>
          <cell r="F118">
            <v>-1.5586458799999999E-2</v>
          </cell>
        </row>
        <row r="119">
          <cell r="B119">
            <v>-0.19150044199999999</v>
          </cell>
          <cell r="C119">
            <v>7.0641818999999995E-2</v>
          </cell>
          <cell r="D119">
            <v>-0.15733778800000001</v>
          </cell>
          <cell r="E119">
            <v>-4.2351929000000003E-2</v>
          </cell>
          <cell r="F119">
            <v>-5.7573617100000002E-2</v>
          </cell>
        </row>
        <row r="120">
          <cell r="B120">
            <v>-0.297189017</v>
          </cell>
          <cell r="C120">
            <v>0.202781616</v>
          </cell>
          <cell r="D120">
            <v>-0.120148175</v>
          </cell>
          <cell r="E120">
            <v>-7.3857471699999996E-2</v>
          </cell>
          <cell r="F120">
            <v>-5.7222348800000003E-2</v>
          </cell>
        </row>
        <row r="121">
          <cell r="B121">
            <v>-0.48423531600000003</v>
          </cell>
          <cell r="C121">
            <v>4.6261248499999998E-2</v>
          </cell>
          <cell r="D121">
            <v>-0.11421939</v>
          </cell>
          <cell r="E121">
            <v>-2.71886925E-2</v>
          </cell>
          <cell r="F121">
            <v>-0.13794841299999999</v>
          </cell>
        </row>
        <row r="122">
          <cell r="B122">
            <v>-0.23060640199999999</v>
          </cell>
          <cell r="C122">
            <v>6.2794051099999998E-2</v>
          </cell>
          <cell r="D122">
            <v>-1.9620150499999999E-2</v>
          </cell>
          <cell r="E122">
            <v>-0.30609928400000003</v>
          </cell>
          <cell r="F122">
            <v>9.9231532999999997E-2</v>
          </cell>
        </row>
        <row r="123">
          <cell r="B123">
            <v>-0.30606521199999998</v>
          </cell>
          <cell r="C123">
            <v>0.107530347</v>
          </cell>
          <cell r="D123">
            <v>-6.2725683000000004E-2</v>
          </cell>
          <cell r="E123">
            <v>-0.175135659</v>
          </cell>
          <cell r="F123">
            <v>3.7585873299999998E-3</v>
          </cell>
        </row>
        <row r="124">
          <cell r="B124">
            <v>-0.35955409700000002</v>
          </cell>
          <cell r="C124">
            <v>0.105086819</v>
          </cell>
          <cell r="D124">
            <v>-0.184716304</v>
          </cell>
          <cell r="E124">
            <v>-0.10481915999999999</v>
          </cell>
          <cell r="F124">
            <v>-9.6860992100000001E-2</v>
          </cell>
        </row>
        <row r="125">
          <cell r="B125">
            <v>-0.36820162400000001</v>
          </cell>
          <cell r="C125">
            <v>0.37935147000000002</v>
          </cell>
          <cell r="D125">
            <v>-2.29670472E-2</v>
          </cell>
          <cell r="E125">
            <v>2.2943733000000001E-2</v>
          </cell>
          <cell r="F125">
            <v>-8.7839002299999996E-2</v>
          </cell>
        </row>
        <row r="126">
          <cell r="B126">
            <v>-7.04639086E-2</v>
          </cell>
          <cell r="C126">
            <v>0.34066760499999998</v>
          </cell>
          <cell r="D126">
            <v>-0.20198729100000001</v>
          </cell>
          <cell r="E126">
            <v>-0.134001339</v>
          </cell>
          <cell r="F126">
            <v>0.15750461499999999</v>
          </cell>
        </row>
        <row r="127">
          <cell r="B127">
            <v>-0.143575591</v>
          </cell>
          <cell r="C127">
            <v>0.35279700899999999</v>
          </cell>
          <cell r="D127">
            <v>-0.33590910099999999</v>
          </cell>
          <cell r="E127">
            <v>-0.202539622</v>
          </cell>
          <cell r="F127">
            <v>0.18484583800000001</v>
          </cell>
        </row>
        <row r="128">
          <cell r="B128">
            <v>-0.447413212</v>
          </cell>
          <cell r="C128">
            <v>0.38726747</v>
          </cell>
          <cell r="D128">
            <v>-0.148819015</v>
          </cell>
          <cell r="E128">
            <v>-0.25488112699999999</v>
          </cell>
          <cell r="F128">
            <v>-4.2213105299999998E-2</v>
          </cell>
        </row>
        <row r="129">
          <cell r="B129">
            <v>-0.213002997</v>
          </cell>
          <cell r="C129">
            <v>0.21578694500000001</v>
          </cell>
          <cell r="D129">
            <v>-2.2200920099999999E-3</v>
          </cell>
          <cell r="E129">
            <v>-0.25641850999999999</v>
          </cell>
          <cell r="F129">
            <v>-0.27602113700000003</v>
          </cell>
        </row>
        <row r="130">
          <cell r="B130">
            <v>-0.21675161600000001</v>
          </cell>
          <cell r="C130">
            <v>0.25420186299999997</v>
          </cell>
          <cell r="D130">
            <v>-0.31126936900000002</v>
          </cell>
          <cell r="E130">
            <v>-8.5645457300000005E-2</v>
          </cell>
          <cell r="F130">
            <v>0.104808685</v>
          </cell>
        </row>
        <row r="131">
          <cell r="B131">
            <v>7.9399894200000001E-2</v>
          </cell>
          <cell r="C131">
            <v>0.40472298299999998</v>
          </cell>
          <cell r="D131">
            <v>-2.38720311E-2</v>
          </cell>
          <cell r="E131">
            <v>-0.224503811</v>
          </cell>
          <cell r="F131">
            <v>-2.3308065199999999E-2</v>
          </cell>
        </row>
        <row r="132">
          <cell r="B132">
            <v>-0.15525561099999999</v>
          </cell>
          <cell r="C132">
            <v>0.30167862000000001</v>
          </cell>
          <cell r="D132">
            <v>-0.18121285500000001</v>
          </cell>
          <cell r="E132">
            <v>-9.7354004399999999E-2</v>
          </cell>
          <cell r="F132">
            <v>0.147600025</v>
          </cell>
        </row>
        <row r="133">
          <cell r="B133">
            <v>0.245888369</v>
          </cell>
          <cell r="C133">
            <v>0.44588243500000002</v>
          </cell>
          <cell r="D133">
            <v>-3.1448244700000003E-2</v>
          </cell>
          <cell r="E133">
            <v>-0.192567925</v>
          </cell>
          <cell r="F133">
            <v>0.235099908</v>
          </cell>
        </row>
        <row r="134">
          <cell r="B134">
            <v>-6.6634293999999997E-2</v>
          </cell>
          <cell r="C134">
            <v>0.32098998000000001</v>
          </cell>
          <cell r="D134">
            <v>6.3856368699999999E-2</v>
          </cell>
          <cell r="E134">
            <v>-0.35410064299999999</v>
          </cell>
          <cell r="F134">
            <v>0.110730177</v>
          </cell>
        </row>
        <row r="135">
          <cell r="B135">
            <v>0.52867118599999996</v>
          </cell>
          <cell r="C135">
            <v>0.47896766400000002</v>
          </cell>
          <cell r="D135">
            <v>-3.5354648599999997E-2</v>
          </cell>
          <cell r="E135">
            <v>-0.26953798200000001</v>
          </cell>
          <cell r="F135">
            <v>0.34638593099999998</v>
          </cell>
        </row>
        <row r="136">
          <cell r="B136">
            <v>0.176835353</v>
          </cell>
          <cell r="C136">
            <v>0.29746537899999997</v>
          </cell>
          <cell r="D136">
            <v>-0.23133447800000001</v>
          </cell>
          <cell r="E136">
            <v>3.3128500300000002E-2</v>
          </cell>
          <cell r="F136">
            <v>-0.18486232999999999</v>
          </cell>
        </row>
        <row r="137">
          <cell r="B137">
            <v>0.26179738499999999</v>
          </cell>
          <cell r="C137">
            <v>0.217888518</v>
          </cell>
          <cell r="D137">
            <v>-0.32904027000000002</v>
          </cell>
          <cell r="E137">
            <v>8.3088534199999994E-2</v>
          </cell>
          <cell r="F137">
            <v>-8.2621578400000006E-2</v>
          </cell>
        </row>
        <row r="138">
          <cell r="B138">
            <v>0.398691395</v>
          </cell>
          <cell r="C138">
            <v>0.44982063700000002</v>
          </cell>
          <cell r="D138">
            <v>2.9516197599999999E-2</v>
          </cell>
          <cell r="E138">
            <v>-0.121580887</v>
          </cell>
          <cell r="F138">
            <v>-0.181886989</v>
          </cell>
        </row>
        <row r="139">
          <cell r="B139">
            <v>0.327889176</v>
          </cell>
          <cell r="C139">
            <v>0.180391474</v>
          </cell>
          <cell r="D139">
            <v>0.24432947599999999</v>
          </cell>
          <cell r="E139">
            <v>-0.35100030799999998</v>
          </cell>
          <cell r="F139">
            <v>-0.25869055499999999</v>
          </cell>
        </row>
        <row r="140">
          <cell r="B140">
            <v>0.29195747700000002</v>
          </cell>
          <cell r="C140">
            <v>0.204641409</v>
          </cell>
          <cell r="D140">
            <v>7.9827894100000005E-2</v>
          </cell>
          <cell r="E140">
            <v>-3.5580057800000002E-2</v>
          </cell>
          <cell r="F140">
            <v>-5.4358220700000001E-2</v>
          </cell>
        </row>
        <row r="141">
          <cell r="B141">
            <v>4.9840944099999999E-2</v>
          </cell>
          <cell r="C141">
            <v>3.5066477899999997E-2</v>
          </cell>
          <cell r="D141">
            <v>-0.124373425</v>
          </cell>
          <cell r="E141">
            <v>5.5056919599999997E-2</v>
          </cell>
          <cell r="F141">
            <v>-0.118632882</v>
          </cell>
        </row>
        <row r="142">
          <cell r="B142">
            <v>0.49592212099999999</v>
          </cell>
          <cell r="C142">
            <v>4.6345866499999996E-3</v>
          </cell>
          <cell r="D142">
            <v>5.9970930799999999E-3</v>
          </cell>
          <cell r="E142">
            <v>-4.2901898000000001E-2</v>
          </cell>
          <cell r="F142">
            <v>2.14787057E-3</v>
          </cell>
        </row>
        <row r="143">
          <cell r="B143">
            <v>0.44545432499999998</v>
          </cell>
          <cell r="C143">
            <v>0.25218248700000001</v>
          </cell>
          <cell r="D143">
            <v>-2.6080922499999999E-2</v>
          </cell>
          <cell r="E143">
            <v>7.6049430900000006E-2</v>
          </cell>
          <cell r="F143">
            <v>-2.2519295599999999E-2</v>
          </cell>
        </row>
        <row r="144">
          <cell r="B144">
            <v>0.98371053600000002</v>
          </cell>
          <cell r="C144">
            <v>0.45071248800000002</v>
          </cell>
          <cell r="D144">
            <v>-1.17141912E-2</v>
          </cell>
          <cell r="E144">
            <v>-0.16719193700000001</v>
          </cell>
          <cell r="F144">
            <v>0.20887573600000001</v>
          </cell>
        </row>
        <row r="145">
          <cell r="B145">
            <v>0.64917480599999999</v>
          </cell>
          <cell r="C145">
            <v>0.28228823600000003</v>
          </cell>
          <cell r="D145">
            <v>-0.118145635</v>
          </cell>
          <cell r="E145">
            <v>0.134862606</v>
          </cell>
          <cell r="F145">
            <v>-0.206090152</v>
          </cell>
        </row>
        <row r="146">
          <cell r="B146">
            <v>-0.475646703</v>
          </cell>
          <cell r="C146">
            <v>-0.15128363</v>
          </cell>
          <cell r="D146">
            <v>-0.18956213099999999</v>
          </cell>
          <cell r="E146">
            <v>0.58630917699999996</v>
          </cell>
          <cell r="F146">
            <v>-0.90415254499999997</v>
          </cell>
        </row>
        <row r="147">
          <cell r="B147">
            <v>1.3695068200000001E-4</v>
          </cell>
          <cell r="C147">
            <v>-0.14742594000000001</v>
          </cell>
          <cell r="D147">
            <v>-0.17470785</v>
          </cell>
          <cell r="E147">
            <v>0.24095550700000001</v>
          </cell>
          <cell r="F147">
            <v>-0.26699682000000002</v>
          </cell>
        </row>
        <row r="148">
          <cell r="B148">
            <v>0.196264045</v>
          </cell>
          <cell r="C148">
            <v>-8.2159285200000001E-2</v>
          </cell>
          <cell r="D148">
            <v>-0.18143024599999999</v>
          </cell>
          <cell r="E148">
            <v>0.24232693999999999</v>
          </cell>
          <cell r="F148">
            <v>2.43230974E-2</v>
          </cell>
        </row>
        <row r="149">
          <cell r="B149">
            <v>0.19274385899999999</v>
          </cell>
          <cell r="C149">
            <v>4.2607457300000004E-3</v>
          </cell>
          <cell r="D149">
            <v>-0.16204732899999999</v>
          </cell>
          <cell r="E149">
            <v>2.7092382000000002E-2</v>
          </cell>
          <cell r="F149">
            <v>-1.03539411E-2</v>
          </cell>
        </row>
        <row r="150">
          <cell r="B150">
            <v>-0.26703479299999999</v>
          </cell>
          <cell r="C150">
            <v>2.9008103100000002E-2</v>
          </cell>
          <cell r="D150">
            <v>4.0960436900000001E-2</v>
          </cell>
          <cell r="E150">
            <v>-0.121742326</v>
          </cell>
          <cell r="F150">
            <v>-0.150695099</v>
          </cell>
        </row>
        <row r="151">
          <cell r="B151">
            <v>-0.28176356499999999</v>
          </cell>
          <cell r="C151">
            <v>0.136284248</v>
          </cell>
          <cell r="D151">
            <v>0.121927034</v>
          </cell>
          <cell r="E151">
            <v>-0.18760442799999999</v>
          </cell>
          <cell r="F151">
            <v>-9.1667874100000005E-2</v>
          </cell>
        </row>
        <row r="152">
          <cell r="B152">
            <v>-8.3810049799999994E-2</v>
          </cell>
          <cell r="C152">
            <v>0.12900250899999999</v>
          </cell>
          <cell r="D152">
            <v>0.14998863600000001</v>
          </cell>
          <cell r="E152">
            <v>-0.16698584299999999</v>
          </cell>
          <cell r="F152">
            <v>-0.22266683500000001</v>
          </cell>
        </row>
        <row r="153">
          <cell r="B153">
            <v>-8.3830698400000001E-2</v>
          </cell>
          <cell r="C153">
            <v>-3.25775643E-2</v>
          </cell>
          <cell r="D153">
            <v>3.7417490499999997E-2</v>
          </cell>
          <cell r="E153">
            <v>-0.23843476799999999</v>
          </cell>
          <cell r="F153">
            <v>-8.2802447900000006E-2</v>
          </cell>
        </row>
        <row r="154">
          <cell r="B154">
            <v>0.10309265200000001</v>
          </cell>
          <cell r="C154">
            <v>7.4338567199999997E-2</v>
          </cell>
          <cell r="D154">
            <v>-0.22420959600000001</v>
          </cell>
          <cell r="E154">
            <v>-1.9989742099999999E-2</v>
          </cell>
          <cell r="F154">
            <v>0.25599263799999999</v>
          </cell>
        </row>
        <row r="155">
          <cell r="B155">
            <v>-0.33663382800000002</v>
          </cell>
          <cell r="C155">
            <v>-0.248136984</v>
          </cell>
          <cell r="D155">
            <v>-0.34327194100000002</v>
          </cell>
          <cell r="E155">
            <v>0.221597189</v>
          </cell>
          <cell r="F155">
            <v>-0.21547180699999999</v>
          </cell>
        </row>
        <row r="156">
          <cell r="B156">
            <v>-0.124474029</v>
          </cell>
          <cell r="C156">
            <v>-0.17210568800000001</v>
          </cell>
          <cell r="D156">
            <v>-0.144145839</v>
          </cell>
          <cell r="E156">
            <v>0.120224815</v>
          </cell>
          <cell r="F156">
            <v>-0.236537513</v>
          </cell>
        </row>
        <row r="157">
          <cell r="B157">
            <v>-0.128956924</v>
          </cell>
          <cell r="C157">
            <v>-4.3013841800000001E-2</v>
          </cell>
          <cell r="D157">
            <v>-0.28884845599999998</v>
          </cell>
          <cell r="E157">
            <v>1.8923832200000001E-2</v>
          </cell>
          <cell r="F157">
            <v>-8.9074939800000003E-2</v>
          </cell>
        </row>
        <row r="158">
          <cell r="B158">
            <v>-0.41162772399999997</v>
          </cell>
          <cell r="C158">
            <v>-2.4488693999999998E-2</v>
          </cell>
          <cell r="D158">
            <v>-0.13723486200000001</v>
          </cell>
          <cell r="E158">
            <v>0.18888890799999999</v>
          </cell>
          <cell r="F158">
            <v>-7.6630304100000005E-2</v>
          </cell>
        </row>
        <row r="159">
          <cell r="B159">
            <v>-0.71471978800000002</v>
          </cell>
          <cell r="C159">
            <v>-0.230897662</v>
          </cell>
          <cell r="D159">
            <v>-0.32646393099999998</v>
          </cell>
          <cell r="E159">
            <v>0.273847699</v>
          </cell>
          <cell r="F159">
            <v>-0.237034936</v>
          </cell>
        </row>
        <row r="160">
          <cell r="B160">
            <v>-0.420120885</v>
          </cell>
          <cell r="C160">
            <v>-6.8123679399999998E-2</v>
          </cell>
          <cell r="D160">
            <v>-3.1804814299999998E-2</v>
          </cell>
          <cell r="E160">
            <v>9.8570606399999997E-2</v>
          </cell>
          <cell r="F160">
            <v>-2.9594116E-2</v>
          </cell>
        </row>
        <row r="161">
          <cell r="B161">
            <v>-0.47681093099999999</v>
          </cell>
          <cell r="C161">
            <v>-0.19548660000000001</v>
          </cell>
          <cell r="D161">
            <v>-0.144695451</v>
          </cell>
          <cell r="E161">
            <v>-0.107605298</v>
          </cell>
          <cell r="F161">
            <v>8.0146627499999998E-2</v>
          </cell>
        </row>
        <row r="162">
          <cell r="B162">
            <v>-0.44794803500000002</v>
          </cell>
          <cell r="C162">
            <v>-0.16356263400000001</v>
          </cell>
          <cell r="D162">
            <v>-1.57908457E-2</v>
          </cell>
          <cell r="E162">
            <v>-7.1561964899999997E-2</v>
          </cell>
          <cell r="F162">
            <v>-9.9563064300000004E-2</v>
          </cell>
        </row>
        <row r="163">
          <cell r="B163">
            <v>-0.266988314</v>
          </cell>
          <cell r="C163">
            <v>1.35355545E-2</v>
          </cell>
          <cell r="D163">
            <v>-0.217094712</v>
          </cell>
          <cell r="E163">
            <v>-2.4722310500000001E-2</v>
          </cell>
          <cell r="F163">
            <v>0.22983490500000001</v>
          </cell>
        </row>
        <row r="164">
          <cell r="B164">
            <v>-0.29538904500000002</v>
          </cell>
          <cell r="C164">
            <v>-3.8481717700000001E-2</v>
          </cell>
          <cell r="D164">
            <v>-0.193537924</v>
          </cell>
          <cell r="E164">
            <v>-9.4336372099999996E-2</v>
          </cell>
          <cell r="F164">
            <v>0.14487735299999999</v>
          </cell>
        </row>
        <row r="165">
          <cell r="B165">
            <v>-1.82228197E-2</v>
          </cell>
          <cell r="C165">
            <v>-5.1507511099999998E-3</v>
          </cell>
          <cell r="D165">
            <v>-6.3509722000000005E-2</v>
          </cell>
          <cell r="E165">
            <v>-0.124359308</v>
          </cell>
          <cell r="F165">
            <v>2.5240198200000001E-2</v>
          </cell>
        </row>
        <row r="166">
          <cell r="B166">
            <v>-0.67429508299999996</v>
          </cell>
          <cell r="C166">
            <v>-0.16055725500000001</v>
          </cell>
          <cell r="D166">
            <v>-0.22362623000000001</v>
          </cell>
          <cell r="E166">
            <v>6.5359843000000001E-2</v>
          </cell>
          <cell r="F166">
            <v>-0.10385583399999999</v>
          </cell>
        </row>
        <row r="167">
          <cell r="B167">
            <v>-0.49432175499999997</v>
          </cell>
          <cell r="C167">
            <v>3.6381266799999999E-2</v>
          </cell>
          <cell r="D167">
            <v>8.1420713800000002E-2</v>
          </cell>
          <cell r="E167">
            <v>-0.108585472</v>
          </cell>
          <cell r="F167">
            <v>0.102461935</v>
          </cell>
        </row>
        <row r="168">
          <cell r="B168">
            <v>-0.73481988799999998</v>
          </cell>
          <cell r="C168">
            <v>-0.25544602300000002</v>
          </cell>
          <cell r="D168">
            <v>-0.28642022700000003</v>
          </cell>
          <cell r="E168">
            <v>-3.8188884899999997E-2</v>
          </cell>
          <cell r="F168">
            <v>-9.0279237299999995E-2</v>
          </cell>
        </row>
        <row r="169">
          <cell r="B169">
            <v>-0.69516715699999998</v>
          </cell>
          <cell r="C169">
            <v>-6.5308096400000001E-2</v>
          </cell>
          <cell r="D169">
            <v>-0.189131835</v>
          </cell>
          <cell r="E169">
            <v>9.7478094900000006E-2</v>
          </cell>
          <cell r="F169">
            <v>0.18737329999999999</v>
          </cell>
        </row>
        <row r="170">
          <cell r="B170">
            <v>-0.73715145000000004</v>
          </cell>
          <cell r="C170">
            <v>-3.3869999999999997E-2</v>
          </cell>
          <cell r="D170">
            <v>-0.13193888100000001</v>
          </cell>
          <cell r="E170">
            <v>2.1418568900000001E-2</v>
          </cell>
          <cell r="F170">
            <v>0.154829568</v>
          </cell>
        </row>
        <row r="171">
          <cell r="B171">
            <v>-0.67849634400000003</v>
          </cell>
          <cell r="C171">
            <v>3.3940680299999998E-2</v>
          </cell>
          <cell r="D171">
            <v>-6.5527701899999999E-2</v>
          </cell>
          <cell r="E171">
            <v>-8.3760826699999999E-2</v>
          </cell>
          <cell r="F171">
            <v>0.34994349000000002</v>
          </cell>
        </row>
        <row r="172">
          <cell r="B172">
            <v>-1.0017417</v>
          </cell>
          <cell r="C172">
            <v>0.24371363200000001</v>
          </cell>
          <cell r="D172">
            <v>-0.10973008400000001</v>
          </cell>
          <cell r="E172">
            <v>0.110858607</v>
          </cell>
          <cell r="F172">
            <v>0.20090836000000001</v>
          </cell>
        </row>
        <row r="173">
          <cell r="B173">
            <v>-0.64092913299999998</v>
          </cell>
          <cell r="C173">
            <v>0.57316341900000001</v>
          </cell>
          <cell r="D173">
            <v>6.6602130600000004E-2</v>
          </cell>
          <cell r="E173">
            <v>1.17647063E-2</v>
          </cell>
          <cell r="F173">
            <v>0.429202629</v>
          </cell>
        </row>
        <row r="174">
          <cell r="B174">
            <v>-0.339886729</v>
          </cell>
          <cell r="C174">
            <v>0.37479595399999999</v>
          </cell>
          <cell r="D174">
            <v>-0.135844509</v>
          </cell>
          <cell r="E174">
            <v>-9.1881295900000007E-2</v>
          </cell>
          <cell r="F174">
            <v>0.41995949199999999</v>
          </cell>
        </row>
        <row r="175">
          <cell r="B175">
            <v>-0.45698911199999998</v>
          </cell>
          <cell r="C175">
            <v>0.33870545000000002</v>
          </cell>
          <cell r="D175">
            <v>-0.17744539200000001</v>
          </cell>
          <cell r="E175">
            <v>-2.62076189E-2</v>
          </cell>
          <cell r="F175">
            <v>0.160674555</v>
          </cell>
        </row>
        <row r="176">
          <cell r="B176">
            <v>-0.480997059</v>
          </cell>
          <cell r="C176">
            <v>0.44643511000000002</v>
          </cell>
          <cell r="D176">
            <v>-0.10058207</v>
          </cell>
          <cell r="E176">
            <v>-0.15559598799999999</v>
          </cell>
          <cell r="F176">
            <v>0.379030178</v>
          </cell>
        </row>
        <row r="177">
          <cell r="B177">
            <v>-0.236890564</v>
          </cell>
          <cell r="C177">
            <v>0.116251905</v>
          </cell>
          <cell r="D177">
            <v>-0.16741004900000001</v>
          </cell>
          <cell r="E177">
            <v>-0.52143378900000004</v>
          </cell>
          <cell r="F177">
            <v>2.7661735699999999E-2</v>
          </cell>
        </row>
        <row r="178">
          <cell r="B178">
            <v>-0.46643919099999998</v>
          </cell>
          <cell r="C178">
            <v>1.22616188</v>
          </cell>
          <cell r="D178">
            <v>0.384112501</v>
          </cell>
          <cell r="E178">
            <v>9.9445535199999997E-3</v>
          </cell>
          <cell r="F178">
            <v>0.464661502</v>
          </cell>
        </row>
        <row r="179">
          <cell r="B179">
            <v>-0.31380623000000002</v>
          </cell>
          <cell r="C179">
            <v>0.15867055399999999</v>
          </cell>
          <cell r="D179">
            <v>-0.47280417400000002</v>
          </cell>
          <cell r="E179">
            <v>-7.2594867800000004E-2</v>
          </cell>
          <cell r="F179">
            <v>-0.18892425099999999</v>
          </cell>
        </row>
        <row r="180">
          <cell r="B180">
            <v>-0.41391552799999998</v>
          </cell>
          <cell r="C180">
            <v>0.50007564400000004</v>
          </cell>
          <cell r="D180">
            <v>-0.60116125899999995</v>
          </cell>
          <cell r="E180">
            <v>0.28148126000000001</v>
          </cell>
          <cell r="F180">
            <v>5.5445713000000004E-3</v>
          </cell>
        </row>
        <row r="181">
          <cell r="B181">
            <v>-0.57945826700000003</v>
          </cell>
          <cell r="C181">
            <v>0.57578951499999997</v>
          </cell>
          <cell r="D181">
            <v>-0.13674467800000001</v>
          </cell>
          <cell r="E181">
            <v>-0.15681526700000001</v>
          </cell>
          <cell r="F181">
            <v>0.13203468700000001</v>
          </cell>
        </row>
        <row r="182">
          <cell r="B182">
            <v>-0.13436804299999999</v>
          </cell>
          <cell r="C182">
            <v>0.68829278400000005</v>
          </cell>
          <cell r="D182">
            <v>-0.183472635</v>
          </cell>
          <cell r="E182">
            <v>-0.102671093</v>
          </cell>
          <cell r="F182">
            <v>0.46638673200000003</v>
          </cell>
        </row>
        <row r="183">
          <cell r="B183">
            <v>-0.16506637699999999</v>
          </cell>
          <cell r="C183">
            <v>1.07483401</v>
          </cell>
          <cell r="D183">
            <v>0.21051861599999999</v>
          </cell>
          <cell r="E183">
            <v>2.4367753900000001E-2</v>
          </cell>
          <cell r="F183">
            <v>0.51562801899999999</v>
          </cell>
        </row>
        <row r="184">
          <cell r="B184">
            <v>-0.11651840099999999</v>
          </cell>
          <cell r="C184">
            <v>0.95187144599999995</v>
          </cell>
          <cell r="D184">
            <v>-0.15823922700000001</v>
          </cell>
          <cell r="E184">
            <v>0.29988092</v>
          </cell>
          <cell r="F184">
            <v>0.30459741099999998</v>
          </cell>
        </row>
        <row r="185">
          <cell r="B185">
            <v>-0.30370370899999999</v>
          </cell>
          <cell r="C185">
            <v>0.84812345200000006</v>
          </cell>
          <cell r="D185">
            <v>0.24752054400000001</v>
          </cell>
          <cell r="E185">
            <v>-2.4494212800000002E-2</v>
          </cell>
          <cell r="F185">
            <v>8.7295501600000006E-2</v>
          </cell>
        </row>
        <row r="186">
          <cell r="B186">
            <v>-0.13337459199999999</v>
          </cell>
          <cell r="C186">
            <v>0.70330790899999995</v>
          </cell>
          <cell r="D186">
            <v>0.106303647</v>
          </cell>
          <cell r="E186">
            <v>-0.34506895799999998</v>
          </cell>
          <cell r="F186">
            <v>8.7676501500000004E-2</v>
          </cell>
        </row>
        <row r="187">
          <cell r="B187">
            <v>-0.43875804200000001</v>
          </cell>
          <cell r="C187">
            <v>0.92689676399999998</v>
          </cell>
          <cell r="D187">
            <v>8.0899043499999997E-3</v>
          </cell>
          <cell r="E187">
            <v>0.10054165800000001</v>
          </cell>
          <cell r="F187">
            <v>-0.22758927100000001</v>
          </cell>
        </row>
        <row r="188">
          <cell r="B188">
            <v>-2.25970227E-2</v>
          </cell>
          <cell r="C188">
            <v>0.86096332900000005</v>
          </cell>
          <cell r="D188">
            <v>-0.25104195400000001</v>
          </cell>
          <cell r="E188">
            <v>-0.10214189799999999</v>
          </cell>
          <cell r="F188">
            <v>-0.27062772800000001</v>
          </cell>
        </row>
        <row r="189">
          <cell r="B189">
            <v>-8.7274940699999998E-2</v>
          </cell>
          <cell r="C189">
            <v>1.1006532</v>
          </cell>
          <cell r="D189">
            <v>-6.3841054499999994E-2</v>
          </cell>
          <cell r="E189">
            <v>-0.116120128</v>
          </cell>
          <cell r="F189">
            <v>-8.0569624699999995E-2</v>
          </cell>
        </row>
        <row r="190">
          <cell r="B190">
            <v>-4.9838802400000003E-3</v>
          </cell>
          <cell r="C190">
            <v>1.1795868</v>
          </cell>
          <cell r="D190">
            <v>0.331686074</v>
          </cell>
          <cell r="E190">
            <v>-0.166432513</v>
          </cell>
          <cell r="F190">
            <v>-2.1939492099999999E-2</v>
          </cell>
        </row>
        <row r="191">
          <cell r="B191">
            <v>0.26814685100000002</v>
          </cell>
          <cell r="C191">
            <v>0.94187575800000001</v>
          </cell>
          <cell r="D191">
            <v>-7.3875662300000006E-2</v>
          </cell>
          <cell r="E191">
            <v>8.4415785799999993E-3</v>
          </cell>
          <cell r="F191">
            <v>-0.194152134</v>
          </cell>
        </row>
        <row r="192">
          <cell r="B192">
            <v>0.429651752</v>
          </cell>
          <cell r="C192">
            <v>0.78139615500000004</v>
          </cell>
          <cell r="D192">
            <v>-0.140909585</v>
          </cell>
          <cell r="E192">
            <v>0.31056659399999997</v>
          </cell>
          <cell r="F192">
            <v>-0.114520254</v>
          </cell>
        </row>
        <row r="193">
          <cell r="B193">
            <v>1.24418995</v>
          </cell>
          <cell r="C193">
            <v>0.98749895499999996</v>
          </cell>
          <cell r="D193">
            <v>3.2913579599999999E-2</v>
          </cell>
          <cell r="E193">
            <v>9.6732459099999994E-3</v>
          </cell>
          <cell r="F193">
            <v>0.350207934</v>
          </cell>
        </row>
        <row r="194">
          <cell r="B194">
            <v>1.7750550199999999</v>
          </cell>
          <cell r="C194">
            <v>0.81026647100000004</v>
          </cell>
          <cell r="D194">
            <v>0.12530391799999999</v>
          </cell>
          <cell r="E194">
            <v>-0.29140700000000003</v>
          </cell>
          <cell r="F194">
            <v>0.163279071</v>
          </cell>
        </row>
        <row r="195">
          <cell r="B195">
            <v>1.3089982499999999</v>
          </cell>
          <cell r="C195">
            <v>0.54686152799999999</v>
          </cell>
          <cell r="D195">
            <v>7.7824296599999995E-2</v>
          </cell>
          <cell r="E195">
            <v>0.16052139000000001</v>
          </cell>
          <cell r="F195">
            <v>-0.15339706</v>
          </cell>
        </row>
        <row r="196">
          <cell r="B196">
            <v>1.44022809</v>
          </cell>
          <cell r="C196">
            <v>0.39727110399999999</v>
          </cell>
          <cell r="D196">
            <v>-5.7544800000000002E-3</v>
          </cell>
          <cell r="E196">
            <v>0.17985619899999999</v>
          </cell>
          <cell r="F196">
            <v>-0.20028104599999999</v>
          </cell>
        </row>
        <row r="197">
          <cell r="B197">
            <v>0.96998260199999997</v>
          </cell>
          <cell r="C197">
            <v>0.15256588900000001</v>
          </cell>
          <cell r="D197">
            <v>0.27973366599999999</v>
          </cell>
          <cell r="E197">
            <v>1.84153476E-2</v>
          </cell>
          <cell r="F197">
            <v>-0.43911233300000002</v>
          </cell>
        </row>
        <row r="198">
          <cell r="B198">
            <v>0.43620743299999998</v>
          </cell>
          <cell r="C198">
            <v>6.3208824400000002E-2</v>
          </cell>
          <cell r="D198">
            <v>0.59673964700000004</v>
          </cell>
          <cell r="E198">
            <v>-2.9044828200000001E-2</v>
          </cell>
          <cell r="F198">
            <v>-0.70459297899999995</v>
          </cell>
        </row>
        <row r="199">
          <cell r="B199">
            <v>0.28651497500000001</v>
          </cell>
          <cell r="C199">
            <v>-8.32023915E-2</v>
          </cell>
          <cell r="D199">
            <v>3.0602524900000001E-2</v>
          </cell>
          <cell r="E199">
            <v>0.34253366499999999</v>
          </cell>
          <cell r="F199">
            <v>-0.35537527200000002</v>
          </cell>
        </row>
        <row r="200">
          <cell r="B200">
            <v>0.20581223600000001</v>
          </cell>
          <cell r="C200">
            <v>8.8713761000000002E-2</v>
          </cell>
          <cell r="D200">
            <v>0.29382008199999998</v>
          </cell>
          <cell r="E200">
            <v>0.36196677599999999</v>
          </cell>
          <cell r="F200">
            <v>-0.53334492</v>
          </cell>
        </row>
        <row r="201">
          <cell r="B201">
            <v>-0.35923529399999998</v>
          </cell>
          <cell r="C201">
            <v>0.236702096</v>
          </cell>
          <cell r="D201">
            <v>0.53017848300000003</v>
          </cell>
          <cell r="E201">
            <v>0.16096830300000001</v>
          </cell>
          <cell r="F201">
            <v>-0.60685266599999999</v>
          </cell>
        </row>
        <row r="202">
          <cell r="B202">
            <v>-0.39174399700000001</v>
          </cell>
          <cell r="C202">
            <v>-8.5508018099999999E-2</v>
          </cell>
          <cell r="D202">
            <v>0.354024173</v>
          </cell>
          <cell r="E202">
            <v>1.7069697000000002E-2</v>
          </cell>
          <cell r="F202">
            <v>-0.25542964699999998</v>
          </cell>
        </row>
        <row r="203">
          <cell r="B203">
            <v>-0.31050298300000001</v>
          </cell>
          <cell r="C203">
            <v>2.6563203399999999E-2</v>
          </cell>
          <cell r="D203">
            <v>0.29754177500000001</v>
          </cell>
          <cell r="E203">
            <v>0.296617874</v>
          </cell>
          <cell r="F203">
            <v>-0.343102089</v>
          </cell>
        </row>
        <row r="204">
          <cell r="B204">
            <v>-0.18502901199999999</v>
          </cell>
          <cell r="C204">
            <v>6.5311380399999994E-2</v>
          </cell>
          <cell r="D204">
            <v>5.0480769999999998E-3</v>
          </cell>
          <cell r="E204">
            <v>0.40454488799999999</v>
          </cell>
          <cell r="F204">
            <v>8.4122571400000005E-3</v>
          </cell>
        </row>
        <row r="205">
          <cell r="B205">
            <v>-2.4811757699999999E-2</v>
          </cell>
          <cell r="C205">
            <v>5.52013539E-2</v>
          </cell>
          <cell r="D205">
            <v>0.109330281</v>
          </cell>
          <cell r="E205">
            <v>0.35960471500000002</v>
          </cell>
          <cell r="F205">
            <v>-9.7786619800000002E-2</v>
          </cell>
        </row>
        <row r="206">
          <cell r="B206">
            <v>-0.39313183099999999</v>
          </cell>
          <cell r="C206">
            <v>-9.2271532500000003E-2</v>
          </cell>
          <cell r="D206">
            <v>0.14912131300000001</v>
          </cell>
          <cell r="E206">
            <v>0.20839602500000001</v>
          </cell>
          <cell r="F206">
            <v>-0.29758789099999999</v>
          </cell>
        </row>
        <row r="207">
          <cell r="B207">
            <v>-0.51422394599999999</v>
          </cell>
          <cell r="C207">
            <v>-0.22288117299999999</v>
          </cell>
          <cell r="D207">
            <v>-0.238743074</v>
          </cell>
          <cell r="E207">
            <v>0.50936124100000002</v>
          </cell>
          <cell r="F207">
            <v>-0.18878073500000001</v>
          </cell>
        </row>
        <row r="208">
          <cell r="B208">
            <v>-0.45593606800000003</v>
          </cell>
          <cell r="C208">
            <v>-0.286754485</v>
          </cell>
          <cell r="D208">
            <v>-5.4774716600000002E-2</v>
          </cell>
          <cell r="E208">
            <v>0.17930154400000001</v>
          </cell>
          <cell r="F208">
            <v>-3.2856145000000003E-2</v>
          </cell>
        </row>
        <row r="209">
          <cell r="B209">
            <v>-0.158566759</v>
          </cell>
          <cell r="C209">
            <v>-0.13998570799999999</v>
          </cell>
          <cell r="D209">
            <v>6.6187374699999996E-2</v>
          </cell>
          <cell r="E209">
            <v>-1.5879930600000002E-2</v>
          </cell>
          <cell r="F209">
            <v>4.5944401099999997E-2</v>
          </cell>
        </row>
        <row r="210">
          <cell r="B210">
            <v>-0.28301261999999999</v>
          </cell>
          <cell r="C210">
            <v>-8.8126980800000004E-2</v>
          </cell>
          <cell r="D210">
            <v>-9.02422004E-2</v>
          </cell>
          <cell r="E210">
            <v>0.19798531599999999</v>
          </cell>
          <cell r="F210">
            <v>8.1332720900000002E-2</v>
          </cell>
        </row>
        <row r="211">
          <cell r="B211">
            <v>-0.187539344</v>
          </cell>
          <cell r="C211">
            <v>4.0239084799999998E-2</v>
          </cell>
          <cell r="D211">
            <v>0.31062244300000003</v>
          </cell>
          <cell r="E211">
            <v>-4.8849782500000001E-2</v>
          </cell>
          <cell r="F211">
            <v>-9.9692486900000002E-2</v>
          </cell>
        </row>
        <row r="212">
          <cell r="B212">
            <v>7.0782522699999999E-3</v>
          </cell>
          <cell r="C212">
            <v>0.14212736300000001</v>
          </cell>
          <cell r="D212">
            <v>0.217303723</v>
          </cell>
          <cell r="E212">
            <v>1.41784901E-2</v>
          </cell>
          <cell r="F212">
            <v>3.0513102100000002E-2</v>
          </cell>
        </row>
        <row r="213">
          <cell r="B213">
            <v>-0.206642034</v>
          </cell>
          <cell r="C213">
            <v>9.3009232100000006E-2</v>
          </cell>
          <cell r="D213">
            <v>-9.1235411999999998E-3</v>
          </cell>
          <cell r="E213">
            <v>0.25890846299999998</v>
          </cell>
          <cell r="F213">
            <v>-9.7112395899999995E-2</v>
          </cell>
        </row>
        <row r="214">
          <cell r="B214">
            <v>-0.115335621</v>
          </cell>
          <cell r="C214">
            <v>3.0051966900000001E-2</v>
          </cell>
          <cell r="D214">
            <v>4.60370498E-4</v>
          </cell>
          <cell r="E214">
            <v>0.17814624400000001</v>
          </cell>
          <cell r="F214">
            <v>-0.127981551</v>
          </cell>
        </row>
        <row r="215">
          <cell r="B215">
            <v>-0.14958311599999999</v>
          </cell>
          <cell r="C215">
            <v>0.16833398199999999</v>
          </cell>
          <cell r="D215">
            <v>-3.3949928599999998E-2</v>
          </cell>
          <cell r="E215">
            <v>0.177605972</v>
          </cell>
          <cell r="F215">
            <v>2.0428408499999998E-2</v>
          </cell>
        </row>
        <row r="216">
          <cell r="B216">
            <v>7.4825885199999997E-2</v>
          </cell>
          <cell r="C216">
            <v>0.12261741900000001</v>
          </cell>
          <cell r="D216">
            <v>-2.7009202499999999E-2</v>
          </cell>
          <cell r="E216">
            <v>0.11859619</v>
          </cell>
          <cell r="F216">
            <v>-8.7349546E-2</v>
          </cell>
        </row>
        <row r="217">
          <cell r="B217">
            <v>-0.38272790800000001</v>
          </cell>
          <cell r="C217">
            <v>-3.2727533900000001E-2</v>
          </cell>
          <cell r="D217">
            <v>-6.5840146899999993E-2</v>
          </cell>
          <cell r="E217">
            <v>0.24897671800000001</v>
          </cell>
          <cell r="F217">
            <v>-0.44847657899999999</v>
          </cell>
        </row>
        <row r="218">
          <cell r="B218">
            <v>-0.30690094000000001</v>
          </cell>
          <cell r="C218">
            <v>5.8290965700000003E-2</v>
          </cell>
          <cell r="D218">
            <v>-0.15029832200000001</v>
          </cell>
          <cell r="E218">
            <v>0.35359212600000001</v>
          </cell>
          <cell r="F218">
            <v>-0.207412866</v>
          </cell>
        </row>
        <row r="219">
          <cell r="B219">
            <v>-0.12773742799999999</v>
          </cell>
          <cell r="C219">
            <v>0.23120497300000001</v>
          </cell>
          <cell r="D219">
            <v>0.12334845</v>
          </cell>
          <cell r="E219">
            <v>-5.6809303300000003E-2</v>
          </cell>
          <cell r="F219">
            <v>9.2574784300000004E-2</v>
          </cell>
        </row>
        <row r="220">
          <cell r="B220">
            <v>-0.57804715500000003</v>
          </cell>
          <cell r="C220">
            <v>0.248176492</v>
          </cell>
          <cell r="D220">
            <v>0.13299805100000001</v>
          </cell>
          <cell r="E220">
            <v>0.22883942099999999</v>
          </cell>
          <cell r="F220">
            <v>-0.20156053400000001</v>
          </cell>
        </row>
        <row r="221">
          <cell r="B221">
            <v>-0.640681689</v>
          </cell>
          <cell r="C221">
            <v>6.4043832800000006E-2</v>
          </cell>
          <cell r="D221">
            <v>-2.2614201899999999E-2</v>
          </cell>
          <cell r="E221">
            <v>0.18520684700000001</v>
          </cell>
          <cell r="F221">
            <v>-0.10018458700000001</v>
          </cell>
        </row>
        <row r="222">
          <cell r="B222">
            <v>-0.47991207600000002</v>
          </cell>
          <cell r="C222">
            <v>0.15574444700000001</v>
          </cell>
          <cell r="D222">
            <v>-8.3762262399999995E-2</v>
          </cell>
          <cell r="E222">
            <v>0.22326858299999999</v>
          </cell>
          <cell r="F222">
            <v>-4.7726359099999997E-2</v>
          </cell>
        </row>
        <row r="223">
          <cell r="B223">
            <v>-0.50069497500000004</v>
          </cell>
          <cell r="C223">
            <v>7.7263503100000006E-2</v>
          </cell>
          <cell r="D223">
            <v>1.586338E-2</v>
          </cell>
          <cell r="E223">
            <v>-3.9193910499999998E-2</v>
          </cell>
          <cell r="F223">
            <v>-3.11652566E-2</v>
          </cell>
        </row>
        <row r="224">
          <cell r="B224">
            <v>-0.423329122</v>
          </cell>
          <cell r="C224">
            <v>7.0364084600000001E-2</v>
          </cell>
          <cell r="D224">
            <v>-0.17552193099999999</v>
          </cell>
          <cell r="E224">
            <v>0.109831304</v>
          </cell>
          <cell r="F224">
            <v>-0.119034811</v>
          </cell>
        </row>
        <row r="225">
          <cell r="B225">
            <v>-0.29905831300000002</v>
          </cell>
          <cell r="C225">
            <v>0.13635579</v>
          </cell>
          <cell r="D225">
            <v>-0.12655447</v>
          </cell>
          <cell r="E225">
            <v>-1.42815836E-2</v>
          </cell>
          <cell r="F225">
            <v>2.3111816100000002E-2</v>
          </cell>
        </row>
        <row r="226">
          <cell r="B226">
            <v>-0.23688332600000001</v>
          </cell>
          <cell r="C226">
            <v>0.116296518</v>
          </cell>
          <cell r="D226">
            <v>-4.4468975899999999E-2</v>
          </cell>
          <cell r="E226">
            <v>-0.125833572</v>
          </cell>
          <cell r="F226">
            <v>3.44573465E-2</v>
          </cell>
        </row>
        <row r="227">
          <cell r="B227">
            <v>-0.30124789299999999</v>
          </cell>
          <cell r="C227">
            <v>7.13543487E-2</v>
          </cell>
          <cell r="D227">
            <v>-0.15953042100000001</v>
          </cell>
          <cell r="E227">
            <v>-3.9698597600000003E-2</v>
          </cell>
          <cell r="F227">
            <v>-2.1302203200000001E-2</v>
          </cell>
        </row>
        <row r="228">
          <cell r="B228">
            <v>-0.351045257</v>
          </cell>
          <cell r="C228">
            <v>7.5054759099999993E-2</v>
          </cell>
          <cell r="D228">
            <v>-2.5240041899999999E-2</v>
          </cell>
          <cell r="E228">
            <v>-0.11548703</v>
          </cell>
          <cell r="F228">
            <v>-3.6180100600000001E-2</v>
          </cell>
        </row>
        <row r="229">
          <cell r="B229">
            <v>-0.34907299899999999</v>
          </cell>
          <cell r="C229">
            <v>0.242248777</v>
          </cell>
          <cell r="D229">
            <v>-0.13547858800000001</v>
          </cell>
          <cell r="E229">
            <v>0.101436584</v>
          </cell>
          <cell r="F229">
            <v>0.119772157</v>
          </cell>
        </row>
        <row r="230">
          <cell r="B230">
            <v>-0.45442690499999999</v>
          </cell>
          <cell r="C230">
            <v>4.2327240000000002E-2</v>
          </cell>
          <cell r="D230">
            <v>-7.99032561E-2</v>
          </cell>
          <cell r="E230">
            <v>6.3751879600000005E-2</v>
          </cell>
          <cell r="F230">
            <v>7.5372858600000004E-3</v>
          </cell>
        </row>
        <row r="231">
          <cell r="B231">
            <v>0.104312286</v>
          </cell>
          <cell r="C231">
            <v>0.40214027200000002</v>
          </cell>
          <cell r="D231">
            <v>8.4412754899999998E-2</v>
          </cell>
          <cell r="E231">
            <v>-0.22793951300000001</v>
          </cell>
          <cell r="F231">
            <v>0.43330330099999997</v>
          </cell>
        </row>
        <row r="232">
          <cell r="B232">
            <v>-0.41811618699999997</v>
          </cell>
          <cell r="C232">
            <v>0.116514114</v>
          </cell>
          <cell r="D232">
            <v>-6.0181261299999997E-2</v>
          </cell>
          <cell r="E232">
            <v>6.1956767400000001E-2</v>
          </cell>
          <cell r="F232">
            <v>-0.114453341</v>
          </cell>
        </row>
        <row r="233">
          <cell r="B233">
            <v>-0.72789126100000001</v>
          </cell>
          <cell r="C233">
            <v>9.9951214799999993E-2</v>
          </cell>
          <cell r="D233">
            <v>-0.112278609</v>
          </cell>
          <cell r="E233">
            <v>0.26589068500000002</v>
          </cell>
          <cell r="F233">
            <v>-0.34542521500000001</v>
          </cell>
        </row>
        <row r="234">
          <cell r="B234">
            <v>-0.87956489199999999</v>
          </cell>
          <cell r="C234">
            <v>0.294133429</v>
          </cell>
          <cell r="D234">
            <v>-0.11240731700000001</v>
          </cell>
          <cell r="E234">
            <v>0.263751448</v>
          </cell>
          <cell r="F234">
            <v>-0.17686274399999999</v>
          </cell>
        </row>
        <row r="235">
          <cell r="B235">
            <v>-0.46087382199999999</v>
          </cell>
          <cell r="C235">
            <v>0.41039906999999998</v>
          </cell>
          <cell r="D235">
            <v>9.4635268700000007E-3</v>
          </cell>
          <cell r="E235">
            <v>5.0515458800000001E-3</v>
          </cell>
          <cell r="F235">
            <v>0.14933589</v>
          </cell>
        </row>
        <row r="236">
          <cell r="B236">
            <v>-0.67976822999999997</v>
          </cell>
          <cell r="C236">
            <v>0.345790023</v>
          </cell>
          <cell r="D236">
            <v>-1.2853561600000001E-2</v>
          </cell>
          <cell r="E236">
            <v>0.10524890000000001</v>
          </cell>
          <cell r="F236">
            <v>4.4355131800000003E-2</v>
          </cell>
        </row>
        <row r="237">
          <cell r="B237">
            <v>-0.271468135</v>
          </cell>
          <cell r="C237">
            <v>0.33761848799999999</v>
          </cell>
          <cell r="D237">
            <v>-5.7638060499999996E-3</v>
          </cell>
          <cell r="E237">
            <v>-3.5178626400000003E-2</v>
          </cell>
          <cell r="F237">
            <v>0.24728508699999999</v>
          </cell>
        </row>
        <row r="238">
          <cell r="B238">
            <v>-0.39092486399999998</v>
          </cell>
          <cell r="C238">
            <v>0.15801028</v>
          </cell>
          <cell r="D238">
            <v>-0.27654411699999998</v>
          </cell>
          <cell r="E238">
            <v>0.23567711099999999</v>
          </cell>
          <cell r="F238">
            <v>0.14129903599999999</v>
          </cell>
        </row>
        <row r="239">
          <cell r="B239">
            <v>-0.40727645299999998</v>
          </cell>
          <cell r="C239">
            <v>0.35656565400000001</v>
          </cell>
          <cell r="D239">
            <v>0.101486011</v>
          </cell>
          <cell r="E239">
            <v>1.9604896300000001E-2</v>
          </cell>
          <cell r="F239">
            <v>3.8991245699999998E-3</v>
          </cell>
        </row>
        <row r="240">
          <cell r="B240">
            <v>-0.62414447900000003</v>
          </cell>
          <cell r="C240">
            <v>0.43564778100000001</v>
          </cell>
          <cell r="D240">
            <v>6.1709659299999997E-2</v>
          </cell>
          <cell r="E240">
            <v>-3.2553591E-2</v>
          </cell>
          <cell r="F240">
            <v>3.1771298000000003E-2</v>
          </cell>
        </row>
        <row r="241">
          <cell r="B241">
            <v>-0.70464647199999997</v>
          </cell>
          <cell r="C241">
            <v>0.31147018500000001</v>
          </cell>
          <cell r="D241">
            <v>7.5460735500000001E-2</v>
          </cell>
          <cell r="E241">
            <v>-0.27352486500000001</v>
          </cell>
          <cell r="F241">
            <v>2.7805197300000001E-2</v>
          </cell>
        </row>
        <row r="242">
          <cell r="B242">
            <v>-0.43949440499999998</v>
          </cell>
          <cell r="C242">
            <v>0.224523163</v>
          </cell>
          <cell r="D242">
            <v>2.2260551900000002E-2</v>
          </cell>
          <cell r="E242">
            <v>-5.0078007100000002E-2</v>
          </cell>
          <cell r="F242">
            <v>8.1082120300000005E-2</v>
          </cell>
        </row>
        <row r="243">
          <cell r="B243">
            <v>-0.15996834900000001</v>
          </cell>
          <cell r="C243">
            <v>0.47195920899999999</v>
          </cell>
          <cell r="D243">
            <v>9.5471431900000001E-2</v>
          </cell>
          <cell r="E243">
            <v>-9.2764866399999996E-3</v>
          </cell>
          <cell r="F243">
            <v>0.22641591899999999</v>
          </cell>
        </row>
        <row r="244">
          <cell r="B244">
            <v>-0.32245275099999998</v>
          </cell>
          <cell r="C244">
            <v>0.45359757899999997</v>
          </cell>
          <cell r="D244">
            <v>5.5551110299999998E-2</v>
          </cell>
          <cell r="E244">
            <v>0.194243206</v>
          </cell>
          <cell r="F244">
            <v>0.110539944</v>
          </cell>
        </row>
        <row r="245">
          <cell r="B245">
            <v>-0.47858974999999998</v>
          </cell>
          <cell r="C245">
            <v>0.47847832000000001</v>
          </cell>
          <cell r="D245">
            <v>2.6104563899999999E-2</v>
          </cell>
          <cell r="E245">
            <v>0.20220525</v>
          </cell>
          <cell r="F245">
            <v>5.8925814100000001E-2</v>
          </cell>
        </row>
        <row r="246">
          <cell r="B246">
            <v>0.26959620299999998</v>
          </cell>
          <cell r="C246">
            <v>0.83064516200000005</v>
          </cell>
          <cell r="D246">
            <v>9.1320564300000004E-2</v>
          </cell>
          <cell r="E246">
            <v>3.9432895099999997E-3</v>
          </cell>
          <cell r="F246">
            <v>0.45688668599999999</v>
          </cell>
        </row>
        <row r="247">
          <cell r="B247">
            <v>-0.58402094199999999</v>
          </cell>
          <cell r="C247">
            <v>0.54524724099999999</v>
          </cell>
          <cell r="D247">
            <v>0.168325154</v>
          </cell>
          <cell r="E247">
            <v>0.219641904</v>
          </cell>
          <cell r="F247">
            <v>-0.285417115</v>
          </cell>
        </row>
        <row r="248">
          <cell r="B248">
            <v>-0.193445439</v>
          </cell>
          <cell r="C248">
            <v>0.58272096299999998</v>
          </cell>
          <cell r="D248">
            <v>-0.26114176700000002</v>
          </cell>
          <cell r="E248">
            <v>0.33099526099999999</v>
          </cell>
          <cell r="F248">
            <v>0.13658376699999999</v>
          </cell>
        </row>
        <row r="249">
          <cell r="B249">
            <v>-8.3788032900000003E-2</v>
          </cell>
          <cell r="C249">
            <v>0.69011031300000003</v>
          </cell>
          <cell r="D249">
            <v>1.1105490000000001E-2</v>
          </cell>
          <cell r="E249">
            <v>0.169891131</v>
          </cell>
          <cell r="F249">
            <v>0.12250549500000001</v>
          </cell>
        </row>
        <row r="250">
          <cell r="B250">
            <v>0.14842829699999999</v>
          </cell>
          <cell r="C250">
            <v>0.76034794800000005</v>
          </cell>
          <cell r="D250">
            <v>4.2741974600000003E-2</v>
          </cell>
          <cell r="E250">
            <v>-5.9532882099999997E-2</v>
          </cell>
          <cell r="F250">
            <v>6.9161404499999996E-2</v>
          </cell>
        </row>
        <row r="251">
          <cell r="B251">
            <v>-0.29488833599999997</v>
          </cell>
          <cell r="C251">
            <v>0.62501056300000002</v>
          </cell>
          <cell r="D251">
            <v>0.38268072199999997</v>
          </cell>
          <cell r="E251">
            <v>-2.6734829599999999E-2</v>
          </cell>
          <cell r="F251">
            <v>-0.13645946</v>
          </cell>
        </row>
        <row r="252">
          <cell r="B252">
            <v>-0.33763698399999997</v>
          </cell>
          <cell r="C252">
            <v>0.76749622500000003</v>
          </cell>
          <cell r="D252">
            <v>0.49880353599999999</v>
          </cell>
          <cell r="E252">
            <v>-0.58680623499999995</v>
          </cell>
          <cell r="F252">
            <v>-0.188850769</v>
          </cell>
        </row>
        <row r="253">
          <cell r="B253">
            <v>-6.0167493000000002E-2</v>
          </cell>
          <cell r="C253">
            <v>0.66852635800000004</v>
          </cell>
          <cell r="D253">
            <v>0.24866798800000001</v>
          </cell>
          <cell r="E253">
            <v>-0.12148637800000001</v>
          </cell>
          <cell r="F253">
            <v>-9.5769307999999997E-2</v>
          </cell>
        </row>
        <row r="254">
          <cell r="B254">
            <v>4.5158446499999998E-2</v>
          </cell>
          <cell r="C254">
            <v>0.68767937700000004</v>
          </cell>
          <cell r="D254">
            <v>-3.47188301E-2</v>
          </cell>
          <cell r="E254">
            <v>0.35537296699999998</v>
          </cell>
          <cell r="F254">
            <v>-0.20155118899999999</v>
          </cell>
        </row>
        <row r="255">
          <cell r="B255">
            <v>-0.152108875</v>
          </cell>
          <cell r="C255">
            <v>0.96208473500000002</v>
          </cell>
          <cell r="D255">
            <v>0.22306422300000001</v>
          </cell>
          <cell r="E255">
            <v>0.27717208700000001</v>
          </cell>
          <cell r="F255">
            <v>-0.19339883399999999</v>
          </cell>
        </row>
        <row r="256">
          <cell r="B256">
            <v>-0.27274537399999998</v>
          </cell>
          <cell r="C256">
            <v>0.90069792800000004</v>
          </cell>
          <cell r="D256">
            <v>0.91352046899999995</v>
          </cell>
          <cell r="E256">
            <v>-0.37739968000000002</v>
          </cell>
          <cell r="F256">
            <v>-0.15627988100000001</v>
          </cell>
        </row>
        <row r="257">
          <cell r="B257">
            <v>-1.0342996300000001E-2</v>
          </cell>
          <cell r="C257">
            <v>1.0302123400000001</v>
          </cell>
          <cell r="D257">
            <v>0.90779629900000003</v>
          </cell>
          <cell r="E257">
            <v>-0.69434645399999995</v>
          </cell>
          <cell r="F257">
            <v>-0.28672013099999999</v>
          </cell>
        </row>
        <row r="258">
          <cell r="B258">
            <v>1.3001317999999999</v>
          </cell>
          <cell r="C258">
            <v>0.90755745300000001</v>
          </cell>
          <cell r="D258">
            <v>-0.68068083800000001</v>
          </cell>
          <cell r="E258">
            <v>0.44152897099999999</v>
          </cell>
          <cell r="F258">
            <v>4.6483838200000002E-2</v>
          </cell>
        </row>
        <row r="259">
          <cell r="B259">
            <v>1.7817468999999999</v>
          </cell>
          <cell r="C259">
            <v>0.67467509000000003</v>
          </cell>
          <cell r="D259">
            <v>-1.11073888</v>
          </cell>
          <cell r="E259">
            <v>1.5131875299999999</v>
          </cell>
          <cell r="F259">
            <v>0.20114093199999999</v>
          </cell>
        </row>
        <row r="260">
          <cell r="B260">
            <v>1.0024173000000001</v>
          </cell>
          <cell r="C260">
            <v>0.60289187200000005</v>
          </cell>
          <cell r="D260">
            <v>-0.30614453899999999</v>
          </cell>
          <cell r="E260">
            <v>0.65359853599999995</v>
          </cell>
          <cell r="F260">
            <v>-0.274434809</v>
          </cell>
        </row>
        <row r="261">
          <cell r="B261">
            <v>0.56921381900000001</v>
          </cell>
          <cell r="C261">
            <v>0.28196012500000001</v>
          </cell>
          <cell r="D261">
            <v>0.47604039399999998</v>
          </cell>
          <cell r="E261">
            <v>-2.3170115799999998E-2</v>
          </cell>
          <cell r="F261">
            <v>-0.28934322200000001</v>
          </cell>
        </row>
        <row r="262">
          <cell r="B262">
            <v>-0.35067231999999998</v>
          </cell>
          <cell r="C262">
            <v>0.28144720699999998</v>
          </cell>
          <cell r="D262">
            <v>0.75548451100000003</v>
          </cell>
          <cell r="E262">
            <v>-0.18251347300000001</v>
          </cell>
          <cell r="F262">
            <v>-0.33342691099999999</v>
          </cell>
        </row>
        <row r="263">
          <cell r="B263">
            <v>-0.45327979400000001</v>
          </cell>
          <cell r="C263">
            <v>0.28206073999999998</v>
          </cell>
          <cell r="D263">
            <v>0.63123225400000005</v>
          </cell>
          <cell r="E263">
            <v>-3.8762094900000002E-2</v>
          </cell>
          <cell r="F263">
            <v>-0.49416437800000002</v>
          </cell>
        </row>
        <row r="264">
          <cell r="B264">
            <v>-0.60778249500000003</v>
          </cell>
          <cell r="C264">
            <v>0.31520868600000002</v>
          </cell>
          <cell r="D264">
            <v>0.42460916100000001</v>
          </cell>
          <cell r="E264">
            <v>8.9594821600000006E-3</v>
          </cell>
          <cell r="F264">
            <v>-0.41958451600000002</v>
          </cell>
        </row>
        <row r="265">
          <cell r="B265">
            <v>-0.710632229</v>
          </cell>
          <cell r="C265">
            <v>0.44299776800000001</v>
          </cell>
          <cell r="D265">
            <v>0.69390232500000004</v>
          </cell>
          <cell r="E265">
            <v>-0.36234864100000003</v>
          </cell>
          <cell r="F265">
            <v>-0.44052307800000001</v>
          </cell>
        </row>
        <row r="266">
          <cell r="B266">
            <v>-0.31503743099999998</v>
          </cell>
          <cell r="C266">
            <v>0.56208700199999995</v>
          </cell>
          <cell r="D266">
            <v>0.30403382400000001</v>
          </cell>
          <cell r="E266">
            <v>-0.41033062799999998</v>
          </cell>
          <cell r="F266">
            <v>-0.21408102800000001</v>
          </cell>
        </row>
        <row r="267">
          <cell r="B267">
            <v>0.196486045</v>
          </cell>
          <cell r="C267">
            <v>0.81724402500000004</v>
          </cell>
          <cell r="D267">
            <v>-0.38156834499999998</v>
          </cell>
          <cell r="E267">
            <v>0.432322716</v>
          </cell>
          <cell r="F267">
            <v>-8.5799543699999994E-2</v>
          </cell>
        </row>
        <row r="268">
          <cell r="B268">
            <v>0.13377699200000001</v>
          </cell>
          <cell r="C268">
            <v>0.57057021600000002</v>
          </cell>
          <cell r="D268">
            <v>0.35497253000000001</v>
          </cell>
          <cell r="E268">
            <v>3.1637473499999999E-2</v>
          </cell>
          <cell r="F268">
            <v>-5.3166996900000001E-3</v>
          </cell>
        </row>
        <row r="269">
          <cell r="B269">
            <v>4.18998706E-2</v>
          </cell>
          <cell r="C269">
            <v>0.21162694200000001</v>
          </cell>
          <cell r="D269">
            <v>-5.9131327900000002E-2</v>
          </cell>
          <cell r="E269">
            <v>0.57420748799999999</v>
          </cell>
          <cell r="F269">
            <v>-6.9829685799999999E-2</v>
          </cell>
        </row>
        <row r="270">
          <cell r="B270">
            <v>-0.120624224</v>
          </cell>
          <cell r="C270">
            <v>0.25325624699999999</v>
          </cell>
          <cell r="D270">
            <v>0.26874995499999998</v>
          </cell>
          <cell r="E270">
            <v>-0.136618974</v>
          </cell>
          <cell r="F270">
            <v>-0.14470923899999999</v>
          </cell>
        </row>
        <row r="271">
          <cell r="B271">
            <v>-0.29060105800000002</v>
          </cell>
          <cell r="C271">
            <v>0.35940750100000002</v>
          </cell>
          <cell r="D271">
            <v>0.72609348100000004</v>
          </cell>
          <cell r="E271">
            <v>-0.63700121200000004</v>
          </cell>
          <cell r="F271">
            <v>-0.39385716199999998</v>
          </cell>
        </row>
        <row r="272">
          <cell r="B272">
            <v>0.33603403999999998</v>
          </cell>
          <cell r="C272">
            <v>0.52381388799999995</v>
          </cell>
          <cell r="D272">
            <v>-0.44977903800000002</v>
          </cell>
          <cell r="E272">
            <v>0.483741323</v>
          </cell>
          <cell r="F272">
            <v>-0.118204854</v>
          </cell>
        </row>
        <row r="273">
          <cell r="B273">
            <v>-0.10168152900000001</v>
          </cell>
          <cell r="C273">
            <v>0.62009840900000002</v>
          </cell>
          <cell r="D273">
            <v>0.22644956199999999</v>
          </cell>
          <cell r="E273">
            <v>-0.18317766999999999</v>
          </cell>
          <cell r="F273">
            <v>-0.47257672299999998</v>
          </cell>
        </row>
        <row r="274">
          <cell r="B274">
            <v>0.11023319400000001</v>
          </cell>
          <cell r="C274">
            <v>0.311142382</v>
          </cell>
          <cell r="D274">
            <v>0.48756501899999999</v>
          </cell>
          <cell r="E274">
            <v>-0.176330608</v>
          </cell>
          <cell r="F274">
            <v>-0.25974640599999999</v>
          </cell>
        </row>
        <row r="275">
          <cell r="B275">
            <v>0.51651883499999995</v>
          </cell>
          <cell r="C275">
            <v>0.33607778999999999</v>
          </cell>
          <cell r="D275">
            <v>0.39827370000000001</v>
          </cell>
          <cell r="E275">
            <v>0.16221893100000001</v>
          </cell>
          <cell r="F275">
            <v>-1.3417862799999999E-2</v>
          </cell>
        </row>
        <row r="276">
          <cell r="B276">
            <v>0.71332262400000002</v>
          </cell>
          <cell r="C276">
            <v>1.0679601900000001E-3</v>
          </cell>
          <cell r="D276">
            <v>1.99850019E-2</v>
          </cell>
          <cell r="E276">
            <v>0.39767306200000002</v>
          </cell>
          <cell r="F276">
            <v>-0.102662564</v>
          </cell>
        </row>
        <row r="277">
          <cell r="B277">
            <v>1.20379776</v>
          </cell>
          <cell r="C277">
            <v>0.114113114</v>
          </cell>
          <cell r="D277">
            <v>-0.67203933199999999</v>
          </cell>
          <cell r="E277">
            <v>1.1478011699999999</v>
          </cell>
          <cell r="F277">
            <v>-2.75686565E-2</v>
          </cell>
        </row>
        <row r="278">
          <cell r="B278">
            <v>0.91443017299999996</v>
          </cell>
          <cell r="C278">
            <v>4.0547093399999998E-2</v>
          </cell>
          <cell r="D278">
            <v>0.360542947</v>
          </cell>
          <cell r="E278">
            <v>-4.0903373799999997E-2</v>
          </cell>
          <cell r="F278">
            <v>-4.67263594E-2</v>
          </cell>
        </row>
        <row r="279">
          <cell r="B279">
            <v>0.87235154599999998</v>
          </cell>
          <cell r="C279">
            <v>0.251289655</v>
          </cell>
          <cell r="D279">
            <v>0.96812606800000001</v>
          </cell>
          <cell r="E279">
            <v>-0.55867206800000002</v>
          </cell>
          <cell r="F279">
            <v>-0.105290645</v>
          </cell>
        </row>
        <row r="280">
          <cell r="B280">
            <v>-4.14001435E-2</v>
          </cell>
          <cell r="C280">
            <v>-0.30206221599999999</v>
          </cell>
          <cell r="D280">
            <v>0.56407269800000004</v>
          </cell>
          <cell r="E280">
            <v>4.3222784299999997E-2</v>
          </cell>
          <cell r="F280">
            <v>-0.83570495</v>
          </cell>
        </row>
        <row r="281">
          <cell r="B281">
            <v>0.93605775099999999</v>
          </cell>
          <cell r="C281">
            <v>-0.17935008499999999</v>
          </cell>
          <cell r="D281">
            <v>-0.15076782399999999</v>
          </cell>
          <cell r="E281">
            <v>0.30086330500000003</v>
          </cell>
          <cell r="F281">
            <v>-0.21873904899999999</v>
          </cell>
        </row>
        <row r="282">
          <cell r="B282">
            <v>0.80592905699999995</v>
          </cell>
          <cell r="C282">
            <v>1.1943146700000001E-2</v>
          </cell>
          <cell r="D282">
            <v>0.186923706</v>
          </cell>
          <cell r="E282">
            <v>5.0161070100000003E-2</v>
          </cell>
          <cell r="F282">
            <v>-0.35846896700000003</v>
          </cell>
        </row>
        <row r="283">
          <cell r="B283">
            <v>0.58941548499999996</v>
          </cell>
          <cell r="C283">
            <v>0.35895091400000001</v>
          </cell>
          <cell r="D283">
            <v>0.100038972</v>
          </cell>
          <cell r="E283">
            <v>0.46413700299999999</v>
          </cell>
          <cell r="F283">
            <v>-0.39491137700000001</v>
          </cell>
        </row>
        <row r="284">
          <cell r="B284">
            <v>0.56091492700000001</v>
          </cell>
          <cell r="C284">
            <v>0.47641707</v>
          </cell>
          <cell r="D284">
            <v>0.84924630800000001</v>
          </cell>
          <cell r="E284">
            <v>-8.7320245599999999E-2</v>
          </cell>
          <cell r="F284">
            <v>-0.47442589600000001</v>
          </cell>
        </row>
        <row r="285">
          <cell r="B285">
            <v>0.70426107299999996</v>
          </cell>
          <cell r="C285">
            <v>2.0414029300000001E-2</v>
          </cell>
          <cell r="D285">
            <v>0.26948007000000002</v>
          </cell>
          <cell r="E285">
            <v>0.50563244600000001</v>
          </cell>
          <cell r="F285">
            <v>-0.35249978700000001</v>
          </cell>
        </row>
        <row r="286">
          <cell r="B286">
            <v>1.0468048999999999</v>
          </cell>
          <cell r="C286">
            <v>-0.19800010600000001</v>
          </cell>
          <cell r="D286">
            <v>-0.33813933499999999</v>
          </cell>
          <cell r="E286">
            <v>0.86465462699999995</v>
          </cell>
          <cell r="F286">
            <v>-7.4675573100000003E-2</v>
          </cell>
        </row>
        <row r="287">
          <cell r="B287">
            <v>0.74938046400000002</v>
          </cell>
          <cell r="C287">
            <v>-0.239198509</v>
          </cell>
          <cell r="D287">
            <v>-1.8338724899999999E-2</v>
          </cell>
          <cell r="E287">
            <v>0.50491392800000001</v>
          </cell>
          <cell r="F287">
            <v>-0.25180915100000001</v>
          </cell>
        </row>
        <row r="288">
          <cell r="B288">
            <v>1.01469012</v>
          </cell>
          <cell r="C288">
            <v>0.10048716100000001</v>
          </cell>
          <cell r="D288">
            <v>-0.231650944</v>
          </cell>
          <cell r="E288">
            <v>0.69003899000000002</v>
          </cell>
          <cell r="F288">
            <v>-0.25791641399999998</v>
          </cell>
        </row>
        <row r="289">
          <cell r="B289">
            <v>0.68213455000000001</v>
          </cell>
          <cell r="C289">
            <v>-0.16138429700000001</v>
          </cell>
          <cell r="D289">
            <v>5.3547864100000002E-2</v>
          </cell>
          <cell r="E289">
            <v>0.235743758</v>
          </cell>
          <cell r="F289">
            <v>-0.30752137299999999</v>
          </cell>
        </row>
        <row r="290">
          <cell r="B290">
            <v>0.52271267300000002</v>
          </cell>
          <cell r="C290">
            <v>-0.3574851</v>
          </cell>
          <cell r="D290">
            <v>2.2449246700000001E-2</v>
          </cell>
          <cell r="E290">
            <v>0.18929000500000001</v>
          </cell>
          <cell r="F290">
            <v>-0.107004446</v>
          </cell>
        </row>
        <row r="291">
          <cell r="B291">
            <v>-0.11394478299999999</v>
          </cell>
          <cell r="C291">
            <v>-0.35380738</v>
          </cell>
          <cell r="D291">
            <v>-0.16673162799999999</v>
          </cell>
          <cell r="E291">
            <v>0.52756241999999998</v>
          </cell>
          <cell r="F291">
            <v>-0.61093978900000001</v>
          </cell>
        </row>
        <row r="292">
          <cell r="B292">
            <v>0.248784069</v>
          </cell>
          <cell r="C292">
            <v>-0.20840322</v>
          </cell>
          <cell r="D292">
            <v>0.30058855899999998</v>
          </cell>
          <cell r="E292">
            <v>-0.201369565</v>
          </cell>
          <cell r="F292">
            <v>-2.5473217100000001E-2</v>
          </cell>
        </row>
        <row r="293">
          <cell r="B293">
            <v>-8.1825699700000004E-2</v>
          </cell>
          <cell r="C293">
            <v>-0.37774677499999998</v>
          </cell>
          <cell r="D293">
            <v>0.17340236000000001</v>
          </cell>
          <cell r="E293">
            <v>0.10394677400000001</v>
          </cell>
          <cell r="F293">
            <v>-0.19746359199999999</v>
          </cell>
        </row>
        <row r="294">
          <cell r="B294">
            <v>-0.324828177</v>
          </cell>
          <cell r="C294">
            <v>-2.9394255000000001E-2</v>
          </cell>
          <cell r="D294">
            <v>0.15967399800000001</v>
          </cell>
          <cell r="E294">
            <v>0.40605865499999999</v>
          </cell>
          <cell r="F294">
            <v>-0.258054913</v>
          </cell>
        </row>
        <row r="295">
          <cell r="B295">
            <v>-0.27711844499999999</v>
          </cell>
          <cell r="C295">
            <v>-0.161254961</v>
          </cell>
          <cell r="D295">
            <v>0.102346728</v>
          </cell>
          <cell r="E295">
            <v>0.35690628800000002</v>
          </cell>
          <cell r="F295">
            <v>-9.0451626300000004E-2</v>
          </cell>
        </row>
        <row r="296">
          <cell r="B296">
            <v>-0.475049526</v>
          </cell>
          <cell r="C296">
            <v>-0.124346951</v>
          </cell>
          <cell r="D296">
            <v>0.35445773800000002</v>
          </cell>
          <cell r="E296">
            <v>-8.0985835199999995E-2</v>
          </cell>
          <cell r="F296">
            <v>-8.3887883299999993E-2</v>
          </cell>
        </row>
        <row r="297">
          <cell r="B297">
            <v>-0.69904860700000004</v>
          </cell>
          <cell r="C297">
            <v>-0.17025987400000001</v>
          </cell>
          <cell r="D297">
            <v>0.30067070400000001</v>
          </cell>
          <cell r="E297">
            <v>5.96284433E-2</v>
          </cell>
          <cell r="F297">
            <v>-0.18599478799999999</v>
          </cell>
        </row>
        <row r="298">
          <cell r="B298">
            <v>-0.32070025400000002</v>
          </cell>
          <cell r="C298">
            <v>-0.14302082799999999</v>
          </cell>
          <cell r="D298">
            <v>0.38478886400000001</v>
          </cell>
          <cell r="E298">
            <v>-4.1307874699999997E-2</v>
          </cell>
          <cell r="F298">
            <v>-1.93128516E-2</v>
          </cell>
        </row>
        <row r="299">
          <cell r="B299">
            <v>-0.81730277799999995</v>
          </cell>
          <cell r="C299">
            <v>-0.29986347299999999</v>
          </cell>
          <cell r="D299">
            <v>-0.13244340600000001</v>
          </cell>
          <cell r="E299">
            <v>0.44627857199999998</v>
          </cell>
          <cell r="F299">
            <v>-8.1579953199999999E-2</v>
          </cell>
        </row>
        <row r="300">
          <cell r="B300">
            <v>-0.37224954199999999</v>
          </cell>
          <cell r="C300">
            <v>-0.25730191499999999</v>
          </cell>
          <cell r="D300">
            <v>-5.5246517199999998E-2</v>
          </cell>
          <cell r="E300">
            <v>0.31693405099999999</v>
          </cell>
          <cell r="F300">
            <v>0.171138081</v>
          </cell>
        </row>
        <row r="301">
          <cell r="B301">
            <v>-0.43850302000000002</v>
          </cell>
          <cell r="C301">
            <v>-0.21970519999999999</v>
          </cell>
          <cell r="D301">
            <v>7.4611838599999994E-2</v>
          </cell>
          <cell r="E301">
            <v>-4.1681829699999999E-2</v>
          </cell>
          <cell r="F301">
            <v>0.14224231900000001</v>
          </cell>
        </row>
        <row r="302">
          <cell r="B302">
            <v>-0.47982971499999999</v>
          </cell>
          <cell r="C302">
            <v>-0.31202637599999999</v>
          </cell>
          <cell r="D302">
            <v>0.14428049800000001</v>
          </cell>
          <cell r="E302">
            <v>-1.20703071E-2</v>
          </cell>
          <cell r="F302">
            <v>0.21683470499999999</v>
          </cell>
        </row>
        <row r="303">
          <cell r="B303">
            <v>-0.67537657200000001</v>
          </cell>
          <cell r="C303">
            <v>-0.173377425</v>
          </cell>
          <cell r="D303">
            <v>-1.81736264E-2</v>
          </cell>
          <cell r="E303">
            <v>0.435840434</v>
          </cell>
          <cell r="F303">
            <v>-0.15085923100000001</v>
          </cell>
        </row>
        <row r="304">
          <cell r="B304">
            <v>-0.55824708099999998</v>
          </cell>
          <cell r="C304">
            <v>-4.2297000799999998E-2</v>
          </cell>
          <cell r="D304">
            <v>-1.73880971E-2</v>
          </cell>
          <cell r="E304">
            <v>0.12068325000000001</v>
          </cell>
          <cell r="F304">
            <v>0.198212043</v>
          </cell>
        </row>
        <row r="305">
          <cell r="B305">
            <v>-0.39985894300000002</v>
          </cell>
          <cell r="C305">
            <v>-0.146785469</v>
          </cell>
          <cell r="D305">
            <v>0.296851637</v>
          </cell>
          <cell r="E305">
            <v>-9.2252000000000001E-2</v>
          </cell>
          <cell r="F305">
            <v>0.116068556</v>
          </cell>
        </row>
        <row r="306">
          <cell r="B306">
            <v>-0.395279506</v>
          </cell>
          <cell r="C306">
            <v>-0.105483575</v>
          </cell>
          <cell r="D306">
            <v>0.15547897899999999</v>
          </cell>
          <cell r="E306">
            <v>-6.83631024E-2</v>
          </cell>
          <cell r="F306">
            <v>4.6657396199999999E-2</v>
          </cell>
        </row>
        <row r="307">
          <cell r="B307">
            <v>-0.31207770899999998</v>
          </cell>
          <cell r="C307">
            <v>-0.25447855899999999</v>
          </cell>
          <cell r="D307">
            <v>0.36229509100000001</v>
          </cell>
          <cell r="E307">
            <v>-0.29107592399999999</v>
          </cell>
          <cell r="F307">
            <v>9.2357632699999997E-2</v>
          </cell>
        </row>
        <row r="308">
          <cell r="B308">
            <v>-0.34093904800000002</v>
          </cell>
          <cell r="C308">
            <v>-0.28492385599999998</v>
          </cell>
          <cell r="D308">
            <v>0.100872093</v>
          </cell>
          <cell r="E308">
            <v>-7.9330010500000006E-2</v>
          </cell>
          <cell r="F308">
            <v>0.14465314200000001</v>
          </cell>
        </row>
        <row r="309">
          <cell r="B309">
            <v>-0.17887655799999999</v>
          </cell>
          <cell r="C309">
            <v>-0.16223911799999999</v>
          </cell>
          <cell r="D309">
            <v>6.2769871300000002E-2</v>
          </cell>
          <cell r="E309">
            <v>-1.87972535E-2</v>
          </cell>
          <cell r="F309">
            <v>3.9710858199999997E-2</v>
          </cell>
        </row>
        <row r="310">
          <cell r="B310">
            <v>5.3690153900000002E-2</v>
          </cell>
          <cell r="C310">
            <v>-0.16918714400000001</v>
          </cell>
          <cell r="D310">
            <v>-0.14419747699999999</v>
          </cell>
          <cell r="E310">
            <v>0.28627407199999999</v>
          </cell>
          <cell r="F310">
            <v>0.121543518</v>
          </cell>
        </row>
        <row r="311">
          <cell r="B311">
            <v>4.21424065E-2</v>
          </cell>
          <cell r="C311">
            <v>-0.17730537699999999</v>
          </cell>
          <cell r="D311">
            <v>-0.124464855</v>
          </cell>
          <cell r="E311">
            <v>8.7628092000000005E-2</v>
          </cell>
          <cell r="F311">
            <v>5.4421091900000003E-2</v>
          </cell>
        </row>
        <row r="312">
          <cell r="B312">
            <v>6.5937884299999999E-2</v>
          </cell>
          <cell r="C312">
            <v>-0.23814743799999999</v>
          </cell>
          <cell r="D312">
            <v>-0.118847339</v>
          </cell>
          <cell r="E312">
            <v>0.313447425</v>
          </cell>
          <cell r="F312">
            <v>8.5774801999999994E-3</v>
          </cell>
        </row>
        <row r="313">
          <cell r="B313">
            <v>-2.2686993400000001E-2</v>
          </cell>
          <cell r="C313">
            <v>-0.30350844599999999</v>
          </cell>
          <cell r="D313">
            <v>-0.39957609999999999</v>
          </cell>
          <cell r="E313">
            <v>0.53954574600000005</v>
          </cell>
          <cell r="F313">
            <v>-3.11736759E-3</v>
          </cell>
        </row>
        <row r="314">
          <cell r="B314">
            <v>0.115909047</v>
          </cell>
          <cell r="C314">
            <v>-0.34277543799999999</v>
          </cell>
          <cell r="D314">
            <v>-6.0029807599999999E-2</v>
          </cell>
          <cell r="E314">
            <v>0.138036301</v>
          </cell>
          <cell r="F314">
            <v>-5.9417163299999999E-2</v>
          </cell>
        </row>
        <row r="315">
          <cell r="B315">
            <v>0.117354167</v>
          </cell>
          <cell r="C315">
            <v>-0.14118726100000001</v>
          </cell>
          <cell r="D315">
            <v>-7.0904158100000003E-2</v>
          </cell>
          <cell r="E315">
            <v>0.10795768</v>
          </cell>
          <cell r="F315">
            <v>5.18259836E-2</v>
          </cell>
        </row>
        <row r="316">
          <cell r="B316">
            <v>5.0859341400000001E-2</v>
          </cell>
          <cell r="C316">
            <v>-1.88029667E-2</v>
          </cell>
          <cell r="D316">
            <v>0.292792261</v>
          </cell>
          <cell r="E316">
            <v>-4.9404077099999999E-2</v>
          </cell>
          <cell r="F316">
            <v>-0.202973496</v>
          </cell>
        </row>
        <row r="317">
          <cell r="B317">
            <v>-0.20426991899999999</v>
          </cell>
          <cell r="C317">
            <v>-0.10157278</v>
          </cell>
          <cell r="D317">
            <v>0.29347599899999999</v>
          </cell>
          <cell r="E317">
            <v>-0.10353683700000001</v>
          </cell>
          <cell r="F317">
            <v>-7.2724059600000002E-2</v>
          </cell>
        </row>
        <row r="318">
          <cell r="B318">
            <v>0.29185433500000002</v>
          </cell>
          <cell r="C318">
            <v>-0.12890927999999999</v>
          </cell>
          <cell r="D318">
            <v>-0.135038782</v>
          </cell>
          <cell r="E318">
            <v>0.41168648600000002</v>
          </cell>
          <cell r="F318">
            <v>0.26576424100000001</v>
          </cell>
        </row>
        <row r="319">
          <cell r="B319">
            <v>0.14451787899999999</v>
          </cell>
          <cell r="C319">
            <v>-0.26132230099999998</v>
          </cell>
          <cell r="D319">
            <v>-0.26214920000000003</v>
          </cell>
          <cell r="E319">
            <v>0.35294266299999999</v>
          </cell>
          <cell r="F319">
            <v>-2.9385006000000002E-2</v>
          </cell>
        </row>
        <row r="320">
          <cell r="B320">
            <v>0.25372198400000001</v>
          </cell>
          <cell r="C320">
            <v>-0.242971146</v>
          </cell>
          <cell r="D320">
            <v>-0.325540575</v>
          </cell>
          <cell r="E320">
            <v>0.452298531</v>
          </cell>
          <cell r="F320">
            <v>-4.2172431099999998E-2</v>
          </cell>
        </row>
        <row r="321">
          <cell r="B321">
            <v>0.22624461300000001</v>
          </cell>
          <cell r="C321">
            <v>-9.4417653099999999E-2</v>
          </cell>
          <cell r="D321">
            <v>5.1778578700000001E-3</v>
          </cell>
          <cell r="E321">
            <v>2.45583205E-3</v>
          </cell>
          <cell r="F321">
            <v>0.113713703</v>
          </cell>
        </row>
        <row r="322">
          <cell r="B322">
            <v>-1.16356412E-2</v>
          </cell>
          <cell r="C322">
            <v>-0.20235447100000001</v>
          </cell>
          <cell r="D322">
            <v>-2.0714863E-2</v>
          </cell>
          <cell r="E322">
            <v>-4.16051437E-3</v>
          </cell>
          <cell r="F322">
            <v>-0.134078117</v>
          </cell>
        </row>
        <row r="323">
          <cell r="B323">
            <v>-9.5997057899999995E-3</v>
          </cell>
          <cell r="C323">
            <v>-0.22277722</v>
          </cell>
          <cell r="D323">
            <v>-1.8198740200000001E-2</v>
          </cell>
          <cell r="E323">
            <v>-3.0656112999999999E-2</v>
          </cell>
          <cell r="F323">
            <v>-0.13950833100000001</v>
          </cell>
        </row>
        <row r="324">
          <cell r="B324">
            <v>0.121461667</v>
          </cell>
          <cell r="C324">
            <v>1.4912860599999999E-2</v>
          </cell>
          <cell r="D324">
            <v>-3.69497108E-2</v>
          </cell>
          <cell r="E324">
            <v>0.166388959</v>
          </cell>
          <cell r="F324">
            <v>0.168298908</v>
          </cell>
        </row>
        <row r="325">
          <cell r="B325">
            <v>-4.72648284E-2</v>
          </cell>
          <cell r="C325">
            <v>-4.1660972300000002E-2</v>
          </cell>
          <cell r="D325">
            <v>-7.13059848E-2</v>
          </cell>
          <cell r="E325">
            <v>0.36935870700000001</v>
          </cell>
          <cell r="F325">
            <v>-6.3925233600000006E-2</v>
          </cell>
        </row>
        <row r="326">
          <cell r="B326">
            <v>-7.8384736400000002E-2</v>
          </cell>
          <cell r="C326">
            <v>-9.2025576100000006E-2</v>
          </cell>
          <cell r="D326">
            <v>-0.21933096799999999</v>
          </cell>
          <cell r="E326">
            <v>0.298699504</v>
          </cell>
          <cell r="F326">
            <v>-0.18727122099999999</v>
          </cell>
        </row>
        <row r="327">
          <cell r="B327">
            <v>-9.3599387800000003E-2</v>
          </cell>
          <cell r="C327">
            <v>-9.3102861100000003E-2</v>
          </cell>
          <cell r="D327">
            <v>-0.12489800700000001</v>
          </cell>
          <cell r="E327">
            <v>4.5350416900000003E-2</v>
          </cell>
          <cell r="F327">
            <v>-0.20683885900000001</v>
          </cell>
        </row>
        <row r="328">
          <cell r="B328">
            <v>0.45559239200000001</v>
          </cell>
          <cell r="C328">
            <v>-0.44478177099999999</v>
          </cell>
          <cell r="D328">
            <v>-0.47902254300000002</v>
          </cell>
          <cell r="E328">
            <v>-0.135792888</v>
          </cell>
          <cell r="F328">
            <v>3.3263151599999999E-2</v>
          </cell>
        </row>
        <row r="329">
          <cell r="B329">
            <v>0.39520799400000001</v>
          </cell>
          <cell r="C329">
            <v>-0.64902673200000005</v>
          </cell>
          <cell r="D329">
            <v>-0.80134647299999995</v>
          </cell>
          <cell r="E329">
            <v>1.9507542700000002E-2</v>
          </cell>
          <cell r="F329">
            <v>-1.53148387E-2</v>
          </cell>
        </row>
        <row r="330">
          <cell r="B330">
            <v>0.21710765300000001</v>
          </cell>
          <cell r="C330">
            <v>-0.50261609699999998</v>
          </cell>
          <cell r="D330">
            <v>-0.57196795099999997</v>
          </cell>
          <cell r="E330">
            <v>3.9243670900000003E-3</v>
          </cell>
          <cell r="F330">
            <v>-0.10138707399999999</v>
          </cell>
        </row>
        <row r="331">
          <cell r="B331">
            <v>-4.3824367900000001E-2</v>
          </cell>
          <cell r="C331">
            <v>-1.41079611E-2</v>
          </cell>
          <cell r="D331">
            <v>7.0477697899999997E-2</v>
          </cell>
          <cell r="E331">
            <v>-2.85341372E-2</v>
          </cell>
          <cell r="F331">
            <v>-4.1067299799999998E-2</v>
          </cell>
        </row>
        <row r="332">
          <cell r="B332">
            <v>0.209006303</v>
          </cell>
          <cell r="C332">
            <v>8.4311530499999995E-2</v>
          </cell>
          <cell r="D332">
            <v>7.40229201E-2</v>
          </cell>
          <cell r="E332">
            <v>-6.6903820500000002E-2</v>
          </cell>
          <cell r="F332">
            <v>-0.102795835</v>
          </cell>
        </row>
        <row r="333">
          <cell r="B333">
            <v>1.2919035800000001E-2</v>
          </cell>
          <cell r="C333">
            <v>-0.32780416499999998</v>
          </cell>
          <cell r="D333">
            <v>-0.44598315900000002</v>
          </cell>
          <cell r="E333">
            <v>0.11464769499999999</v>
          </cell>
          <cell r="F333">
            <v>-0.12905850699999999</v>
          </cell>
        </row>
        <row r="334">
          <cell r="B334">
            <v>8.6840858000000007E-2</v>
          </cell>
          <cell r="C334">
            <v>-0.10280249299999999</v>
          </cell>
          <cell r="D334">
            <v>-0.179671628</v>
          </cell>
          <cell r="E334">
            <v>9.8606809300000001E-2</v>
          </cell>
          <cell r="F334">
            <v>3.19180123E-2</v>
          </cell>
        </row>
        <row r="335">
          <cell r="B335">
            <v>-0.10244466200000001</v>
          </cell>
          <cell r="C335">
            <v>4.7285162700000001E-2</v>
          </cell>
          <cell r="D335">
            <v>-5.7182776599999999E-2</v>
          </cell>
          <cell r="E335">
            <v>4.6404843000000001E-2</v>
          </cell>
          <cell r="F335">
            <v>-7.16677966E-2</v>
          </cell>
        </row>
        <row r="336">
          <cell r="B336">
            <v>3.7845869599999998E-2</v>
          </cell>
          <cell r="C336">
            <v>-0.107519858</v>
          </cell>
          <cell r="D336">
            <v>-5.40852972E-2</v>
          </cell>
          <cell r="E336">
            <v>-5.3148315299999999E-2</v>
          </cell>
          <cell r="F336">
            <v>-5.8601284400000002E-2</v>
          </cell>
        </row>
        <row r="337">
          <cell r="B337">
            <v>-1.63426292E-2</v>
          </cell>
          <cell r="C337">
            <v>-9.9413462699999997E-2</v>
          </cell>
          <cell r="D337">
            <v>-3.5395552499999997E-2</v>
          </cell>
          <cell r="E337">
            <v>4.40227711E-3</v>
          </cell>
          <cell r="F337">
            <v>-0.16113174899999999</v>
          </cell>
        </row>
        <row r="338">
          <cell r="B338">
            <v>-0.19875742699999999</v>
          </cell>
          <cell r="C338">
            <v>-7.0126001899999998E-2</v>
          </cell>
          <cell r="D338">
            <v>-0.16595191500000001</v>
          </cell>
          <cell r="E338">
            <v>0.13749446500000001</v>
          </cell>
          <cell r="F338">
            <v>-0.2365131</v>
          </cell>
        </row>
        <row r="339">
          <cell r="B339">
            <v>0.10230919500000001</v>
          </cell>
          <cell r="C339">
            <v>0.331689858</v>
          </cell>
          <cell r="D339">
            <v>-6.4495483300000002E-4</v>
          </cell>
          <cell r="E339">
            <v>0.194019622</v>
          </cell>
          <cell r="F339">
            <v>0.31942318400000003</v>
          </cell>
        </row>
        <row r="340">
          <cell r="B340">
            <v>-0.40179356900000002</v>
          </cell>
          <cell r="C340">
            <v>-4.1565398099999998E-2</v>
          </cell>
          <cell r="D340">
            <v>4.9158169199999997E-2</v>
          </cell>
          <cell r="E340">
            <v>0.207310458</v>
          </cell>
          <cell r="F340">
            <v>-0.17855257699999999</v>
          </cell>
        </row>
        <row r="341">
          <cell r="B341">
            <v>-0.13588752000000001</v>
          </cell>
          <cell r="C341">
            <v>6.6037012000000001E-3</v>
          </cell>
          <cell r="D341">
            <v>-5.5833896399999999E-2</v>
          </cell>
          <cell r="E341">
            <v>8.4337246199999993E-2</v>
          </cell>
          <cell r="F341">
            <v>7.6859302300000001E-2</v>
          </cell>
        </row>
        <row r="342">
          <cell r="B342">
            <v>-0.31343288400000002</v>
          </cell>
          <cell r="C342">
            <v>0.152057104</v>
          </cell>
          <cell r="D342">
            <v>0.15191791099999999</v>
          </cell>
          <cell r="E342">
            <v>-0.11323955199999999</v>
          </cell>
          <cell r="F342">
            <v>3.54012119E-2</v>
          </cell>
        </row>
        <row r="343">
          <cell r="B343">
            <v>-0.35305052799999997</v>
          </cell>
          <cell r="C343">
            <v>-3.0146022099999999E-2</v>
          </cell>
          <cell r="D343">
            <v>0.22898267</v>
          </cell>
          <cell r="E343">
            <v>-0.16882283100000001</v>
          </cell>
          <cell r="F343">
            <v>-6.92290297E-2</v>
          </cell>
        </row>
        <row r="344">
          <cell r="B344">
            <v>-0.12745230299999999</v>
          </cell>
          <cell r="C344">
            <v>5.88053511E-2</v>
          </cell>
          <cell r="D344">
            <v>3.9701489499999999E-2</v>
          </cell>
          <cell r="E344">
            <v>9.3040262999999998E-2</v>
          </cell>
          <cell r="F344">
            <v>5.93786075E-2</v>
          </cell>
        </row>
        <row r="345">
          <cell r="B345">
            <v>-0.34283563</v>
          </cell>
          <cell r="C345">
            <v>-0.106291236</v>
          </cell>
          <cell r="D345">
            <v>-3.6961137900000003E-2</v>
          </cell>
          <cell r="E345">
            <v>9.9585174100000007E-2</v>
          </cell>
          <cell r="F345">
            <v>4.10958846E-2</v>
          </cell>
        </row>
        <row r="346">
          <cell r="B346">
            <v>-0.33945157199999998</v>
          </cell>
          <cell r="C346">
            <v>8.7233767499999993E-3</v>
          </cell>
          <cell r="D346">
            <v>0.14854247600000001</v>
          </cell>
          <cell r="E346">
            <v>3.01239651E-2</v>
          </cell>
          <cell r="F346">
            <v>-2.8467840099999999E-2</v>
          </cell>
        </row>
        <row r="347">
          <cell r="B347">
            <v>-0.29807921900000001</v>
          </cell>
          <cell r="C347">
            <v>3.0071156200000001E-2</v>
          </cell>
          <cell r="D347">
            <v>0.29169704400000002</v>
          </cell>
          <cell r="E347">
            <v>-0.21632037600000001</v>
          </cell>
          <cell r="F347">
            <v>0.17300931999999999</v>
          </cell>
        </row>
        <row r="348">
          <cell r="B348">
            <v>-0.57243592600000004</v>
          </cell>
          <cell r="C348">
            <v>-0.16165886300000001</v>
          </cell>
          <cell r="D348">
            <v>3.4799916E-2</v>
          </cell>
          <cell r="E348">
            <v>-4.1553376000000003E-2</v>
          </cell>
          <cell r="F348">
            <v>-0.105482479</v>
          </cell>
        </row>
        <row r="349">
          <cell r="B349">
            <v>-0.114401236</v>
          </cell>
          <cell r="C349">
            <v>-0.122464516</v>
          </cell>
          <cell r="D349">
            <v>-0.23553818000000001</v>
          </cell>
          <cell r="E349">
            <v>0.29687495699999999</v>
          </cell>
          <cell r="F349">
            <v>0.17098395299999999</v>
          </cell>
        </row>
        <row r="350">
          <cell r="B350">
            <v>-0.28984385099999999</v>
          </cell>
          <cell r="C350">
            <v>-0.26055779299999998</v>
          </cell>
          <cell r="D350">
            <v>-8.3135406499999998E-5</v>
          </cell>
          <cell r="E350">
            <v>-1.8115282E-2</v>
          </cell>
          <cell r="F350">
            <v>0.16571816</v>
          </cell>
        </row>
        <row r="351">
          <cell r="B351">
            <v>0.10506149400000001</v>
          </cell>
          <cell r="C351">
            <v>-4.47679208E-2</v>
          </cell>
          <cell r="D351">
            <v>-8.8243563400000002E-2</v>
          </cell>
          <cell r="E351">
            <v>0.17657535999999999</v>
          </cell>
          <cell r="F351">
            <v>0.12771356</v>
          </cell>
        </row>
        <row r="352">
          <cell r="B352">
            <v>-0.15658915100000001</v>
          </cell>
          <cell r="C352">
            <v>-0.2306909</v>
          </cell>
          <cell r="D352">
            <v>-0.31531589199999999</v>
          </cell>
          <cell r="E352">
            <v>0.177126169</v>
          </cell>
          <cell r="F352">
            <v>7.1165210600000001E-2</v>
          </cell>
        </row>
        <row r="353">
          <cell r="B353">
            <v>-0.13838568000000001</v>
          </cell>
          <cell r="C353">
            <v>-6.34078388E-3</v>
          </cell>
          <cell r="D353">
            <v>-1.2168188300000001E-3</v>
          </cell>
          <cell r="E353">
            <v>8.3656625900000003E-2</v>
          </cell>
          <cell r="F353">
            <v>6.0662313400000001E-2</v>
          </cell>
        </row>
        <row r="354">
          <cell r="B354">
            <v>-0.39762062500000001</v>
          </cell>
          <cell r="C354">
            <v>0.15737519</v>
          </cell>
          <cell r="D354">
            <v>0.20102752400000001</v>
          </cell>
          <cell r="E354">
            <v>3.4041760900000002E-2</v>
          </cell>
          <cell r="F354">
            <v>5.3349065100000002E-2</v>
          </cell>
        </row>
        <row r="355">
          <cell r="B355">
            <v>-6.6350631399999999E-2</v>
          </cell>
          <cell r="C355">
            <v>1.5016835900000001E-2</v>
          </cell>
          <cell r="D355">
            <v>0.197504226</v>
          </cell>
          <cell r="E355">
            <v>-0.186708925</v>
          </cell>
          <cell r="F355">
            <v>0.13358735899999999</v>
          </cell>
        </row>
        <row r="356">
          <cell r="B356">
            <v>-0.29777145100000002</v>
          </cell>
          <cell r="C356">
            <v>3.2607152700000003E-2</v>
          </cell>
          <cell r="D356">
            <v>-2.1305465499999999E-2</v>
          </cell>
          <cell r="E356">
            <v>3.9550958400000003E-2</v>
          </cell>
          <cell r="F356">
            <v>0.134056696</v>
          </cell>
        </row>
        <row r="357">
          <cell r="B357">
            <v>-0.12843579099999999</v>
          </cell>
          <cell r="C357">
            <v>0.14336848999999999</v>
          </cell>
          <cell r="D357">
            <v>0.162917064</v>
          </cell>
          <cell r="E357">
            <v>-0.146814154</v>
          </cell>
          <cell r="F357">
            <v>0.12767358200000001</v>
          </cell>
        </row>
        <row r="358">
          <cell r="B358">
            <v>-0.12119872700000001</v>
          </cell>
          <cell r="C358">
            <v>-1.9068938099999998E-2</v>
          </cell>
          <cell r="D358">
            <v>0.17189718900000001</v>
          </cell>
          <cell r="E358">
            <v>-0.15999839399999999</v>
          </cell>
          <cell r="F358">
            <v>1.26434068E-3</v>
          </cell>
        </row>
        <row r="359">
          <cell r="B359">
            <v>-8.0126614499999999E-2</v>
          </cell>
          <cell r="C359">
            <v>0.109803092</v>
          </cell>
          <cell r="D359">
            <v>-4.8387874900000002E-2</v>
          </cell>
          <cell r="E359">
            <v>0.143602962</v>
          </cell>
          <cell r="F359">
            <v>0.11418985500000001</v>
          </cell>
        </row>
        <row r="360">
          <cell r="B360">
            <v>-0.20484403000000001</v>
          </cell>
          <cell r="C360">
            <v>-5.14754012E-2</v>
          </cell>
          <cell r="D360">
            <v>-0.12968707600000001</v>
          </cell>
          <cell r="E360">
            <v>0.226285446</v>
          </cell>
          <cell r="F360">
            <v>-2.4820101300000001E-2</v>
          </cell>
        </row>
        <row r="361">
          <cell r="B361">
            <v>-0.193699133</v>
          </cell>
          <cell r="C361">
            <v>-3.6710366000000001E-2</v>
          </cell>
          <cell r="D361">
            <v>1.63806549E-2</v>
          </cell>
          <cell r="E361">
            <v>-7.0980463899999999E-2</v>
          </cell>
          <cell r="F361">
            <v>0.179320918</v>
          </cell>
        </row>
        <row r="362">
          <cell r="B362">
            <v>-0.28327959600000002</v>
          </cell>
          <cell r="C362">
            <v>6.9433811599999996E-3</v>
          </cell>
          <cell r="D362">
            <v>0.16576488</v>
          </cell>
          <cell r="E362">
            <v>-4.6510510300000002E-2</v>
          </cell>
          <cell r="F362">
            <v>6.5896979300000005E-2</v>
          </cell>
        </row>
        <row r="363">
          <cell r="B363">
            <v>-0.28117905900000001</v>
          </cell>
          <cell r="C363">
            <v>0.160532491</v>
          </cell>
          <cell r="D363">
            <v>8.4611119299999996E-2</v>
          </cell>
          <cell r="E363">
            <v>7.1253794199999998E-2</v>
          </cell>
          <cell r="F363">
            <v>3.8968879599999999E-2</v>
          </cell>
        </row>
        <row r="364">
          <cell r="B364">
            <v>-1.3513897699999999E-2</v>
          </cell>
          <cell r="C364">
            <v>5.7255188300000003E-2</v>
          </cell>
          <cell r="D364">
            <v>1.6753786699999999E-2</v>
          </cell>
          <cell r="E364">
            <v>-0.11912842</v>
          </cell>
          <cell r="F364">
            <v>0.287495583</v>
          </cell>
        </row>
        <row r="365">
          <cell r="B365">
            <v>-9.5486248199999998E-2</v>
          </cell>
          <cell r="C365">
            <v>0.13261563700000001</v>
          </cell>
          <cell r="D365">
            <v>0.12524518900000001</v>
          </cell>
          <cell r="E365">
            <v>-0.12881615499999999</v>
          </cell>
          <cell r="F365">
            <v>3.94058464E-2</v>
          </cell>
        </row>
        <row r="366">
          <cell r="B366">
            <v>-2.9409793699999999E-2</v>
          </cell>
          <cell r="C366">
            <v>0.32584015</v>
          </cell>
          <cell r="D366">
            <v>0.12882683</v>
          </cell>
          <cell r="E366">
            <v>0.26863212600000003</v>
          </cell>
          <cell r="F366">
            <v>6.8836288300000006E-2</v>
          </cell>
        </row>
        <row r="367">
          <cell r="B367">
            <v>0.33777662400000003</v>
          </cell>
          <cell r="C367">
            <v>0.221533327</v>
          </cell>
          <cell r="D367">
            <v>-0.102337553</v>
          </cell>
          <cell r="E367">
            <v>2.8733084900000001E-2</v>
          </cell>
          <cell r="F367">
            <v>0.21573441700000001</v>
          </cell>
        </row>
        <row r="368">
          <cell r="B368">
            <v>0.22102196499999999</v>
          </cell>
          <cell r="C368">
            <v>-5.1474477800000001E-2</v>
          </cell>
          <cell r="D368">
            <v>-0.38979753099999997</v>
          </cell>
          <cell r="E368">
            <v>0.163512248</v>
          </cell>
          <cell r="F368">
            <v>-0.107025524</v>
          </cell>
        </row>
        <row r="369">
          <cell r="B369">
            <v>0.51490200799999997</v>
          </cell>
          <cell r="C369">
            <v>8.0224278199999999E-2</v>
          </cell>
          <cell r="D369">
            <v>-0.32438503800000001</v>
          </cell>
          <cell r="E369">
            <v>4.3109561499999997E-2</v>
          </cell>
          <cell r="F369">
            <v>0.19744302899999999</v>
          </cell>
        </row>
        <row r="370">
          <cell r="B370">
            <v>1.4020121700000001E-2</v>
          </cell>
          <cell r="C370">
            <v>-0.310829833</v>
          </cell>
          <cell r="D370">
            <v>-0.13136769000000001</v>
          </cell>
          <cell r="E370">
            <v>-0.104197915</v>
          </cell>
          <cell r="F370">
            <v>-0.28829222199999999</v>
          </cell>
        </row>
        <row r="371">
          <cell r="B371">
            <v>0.279867123</v>
          </cell>
          <cell r="C371">
            <v>9.7093400499999996E-2</v>
          </cell>
          <cell r="D371">
            <v>3.0466719900000001E-2</v>
          </cell>
          <cell r="E371">
            <v>-0.112713269</v>
          </cell>
          <cell r="F371">
            <v>-5.9903949800000002E-2</v>
          </cell>
        </row>
        <row r="372">
          <cell r="B372">
            <v>0.25403040500000001</v>
          </cell>
          <cell r="C372">
            <v>0.20113515400000001</v>
          </cell>
          <cell r="D372">
            <v>-6.8332786500000006E-2</v>
          </cell>
          <cell r="E372">
            <v>0.109588321</v>
          </cell>
          <cell r="F372">
            <v>-3.5956061599999999E-2</v>
          </cell>
        </row>
        <row r="373">
          <cell r="B373">
            <v>8.0486164999999998E-2</v>
          </cell>
          <cell r="C373">
            <v>1.6710598399999999E-2</v>
          </cell>
          <cell r="D373">
            <v>-0.106172559</v>
          </cell>
          <cell r="E373">
            <v>7.0762774299999998E-3</v>
          </cell>
          <cell r="F373">
            <v>-0.20875808400000001</v>
          </cell>
        </row>
        <row r="374">
          <cell r="B374">
            <v>0.125473056</v>
          </cell>
          <cell r="C374">
            <v>-1.9471617799999999E-4</v>
          </cell>
          <cell r="D374">
            <v>4.76803552E-3</v>
          </cell>
          <cell r="E374">
            <v>0.104272727</v>
          </cell>
          <cell r="F374">
            <v>-0.22509261</v>
          </cell>
        </row>
        <row r="375">
          <cell r="B375">
            <v>-8.0193586999999997E-2</v>
          </cell>
          <cell r="C375">
            <v>0.62554266199999997</v>
          </cell>
          <cell r="D375">
            <v>0.18401404499999999</v>
          </cell>
          <cell r="E375">
            <v>0.120594945</v>
          </cell>
          <cell r="F375">
            <v>0.29702732599999998</v>
          </cell>
        </row>
        <row r="376">
          <cell r="B376">
            <v>-0.18091639000000001</v>
          </cell>
          <cell r="C376">
            <v>-4.7868994300000002E-2</v>
          </cell>
          <cell r="D376">
            <v>0.14179148899999999</v>
          </cell>
          <cell r="E376">
            <v>-8.9814333800000007E-3</v>
          </cell>
          <cell r="F376">
            <v>-0.35612115700000002</v>
          </cell>
        </row>
        <row r="377">
          <cell r="B377">
            <v>-3.7734590300000002E-2</v>
          </cell>
          <cell r="C377">
            <v>-1.2680164799999999E-2</v>
          </cell>
          <cell r="D377">
            <v>0.12486191200000001</v>
          </cell>
          <cell r="E377">
            <v>-6.8822193599999998E-2</v>
          </cell>
          <cell r="F377">
            <v>-0.220266512</v>
          </cell>
        </row>
        <row r="378">
          <cell r="B378">
            <v>0.26170965499999999</v>
          </cell>
          <cell r="C378">
            <v>-3.6604278400000002E-2</v>
          </cell>
          <cell r="D378">
            <v>3.8870753700000003E-2</v>
          </cell>
          <cell r="E378">
            <v>-0.13065201200000001</v>
          </cell>
          <cell r="F378">
            <v>5.00589034E-2</v>
          </cell>
        </row>
        <row r="379">
          <cell r="B379">
            <v>0.18226167600000001</v>
          </cell>
          <cell r="C379">
            <v>-0.102326637</v>
          </cell>
          <cell r="D379">
            <v>7.04882862E-2</v>
          </cell>
          <cell r="E379">
            <v>2.98537179E-2</v>
          </cell>
          <cell r="F379">
            <v>-8.0825651700000001E-2</v>
          </cell>
        </row>
        <row r="380">
          <cell r="B380">
            <v>0.16875489199999999</v>
          </cell>
          <cell r="C380">
            <v>9.9315731800000001E-3</v>
          </cell>
          <cell r="D380">
            <v>-1.9255274900000001E-2</v>
          </cell>
          <cell r="E380">
            <v>0.21725567800000001</v>
          </cell>
          <cell r="F380">
            <v>-0.15148788199999999</v>
          </cell>
        </row>
        <row r="381">
          <cell r="B381">
            <v>0.34710980499999999</v>
          </cell>
          <cell r="C381">
            <v>0.103641988</v>
          </cell>
          <cell r="D381">
            <v>6.4851155199999996E-2</v>
          </cell>
          <cell r="E381">
            <v>0.11236415299999999</v>
          </cell>
          <cell r="F381">
            <v>1.6938865800000001E-2</v>
          </cell>
        </row>
        <row r="382">
          <cell r="B382">
            <v>0.21731710000000001</v>
          </cell>
          <cell r="C382">
            <v>0.50167624300000002</v>
          </cell>
          <cell r="D382">
            <v>0.401191252</v>
          </cell>
          <cell r="E382">
            <v>0.30269867299999997</v>
          </cell>
          <cell r="F382">
            <v>8.50613733E-3</v>
          </cell>
        </row>
        <row r="383">
          <cell r="B383">
            <v>0.18636245800000001</v>
          </cell>
          <cell r="C383">
            <v>0.43568546800000002</v>
          </cell>
          <cell r="D383">
            <v>0.41921945599999999</v>
          </cell>
          <cell r="E383">
            <v>0.219574982</v>
          </cell>
          <cell r="F383">
            <v>-0.111961142</v>
          </cell>
        </row>
        <row r="384">
          <cell r="B384">
            <v>0.48355981300000001</v>
          </cell>
          <cell r="C384">
            <v>0.51999251899999999</v>
          </cell>
          <cell r="D384">
            <v>0.26957357999999998</v>
          </cell>
          <cell r="E384">
            <v>0.22247129700000001</v>
          </cell>
          <cell r="F384">
            <v>0.224663434</v>
          </cell>
        </row>
        <row r="385">
          <cell r="B385">
            <v>0.81415105099999996</v>
          </cell>
          <cell r="C385">
            <v>0.10909822399999999</v>
          </cell>
          <cell r="D385">
            <v>-2.1615956499999998E-2</v>
          </cell>
          <cell r="E385">
            <v>-4.8706710600000001E-2</v>
          </cell>
          <cell r="F385">
            <v>8.2494051799999996E-2</v>
          </cell>
        </row>
        <row r="386">
          <cell r="B386">
            <v>0.60477404999999995</v>
          </cell>
          <cell r="C386">
            <v>-0.12233416799999999</v>
          </cell>
          <cell r="D386">
            <v>-5.6859021500000002E-2</v>
          </cell>
          <cell r="E386">
            <v>3.9836459099999999E-3</v>
          </cell>
          <cell r="F386">
            <v>-8.2978340900000003E-2</v>
          </cell>
        </row>
        <row r="387">
          <cell r="B387">
            <v>0.69424029600000003</v>
          </cell>
          <cell r="C387">
            <v>0.12371705700000001</v>
          </cell>
          <cell r="D387">
            <v>0.12238919700000001</v>
          </cell>
          <cell r="E387">
            <v>9.9742982999999993E-2</v>
          </cell>
          <cell r="F387">
            <v>-0.24176287799999999</v>
          </cell>
        </row>
        <row r="388">
          <cell r="B388">
            <v>0.85458666500000002</v>
          </cell>
          <cell r="C388">
            <v>-0.23065434500000001</v>
          </cell>
          <cell r="D388">
            <v>-0.108958016</v>
          </cell>
          <cell r="E388">
            <v>4.9339028299999997E-2</v>
          </cell>
          <cell r="F388">
            <v>-0.167083185</v>
          </cell>
        </row>
        <row r="389">
          <cell r="B389">
            <v>0.651534748</v>
          </cell>
          <cell r="C389">
            <v>-0.27189470700000001</v>
          </cell>
          <cell r="D389">
            <v>0.177364783</v>
          </cell>
          <cell r="E389">
            <v>-0.289276439</v>
          </cell>
          <cell r="F389">
            <v>-0.28975977400000003</v>
          </cell>
        </row>
        <row r="390">
          <cell r="B390">
            <v>0.45361998199999998</v>
          </cell>
          <cell r="C390">
            <v>-0.16411242300000001</v>
          </cell>
          <cell r="D390">
            <v>0.22335333499999999</v>
          </cell>
          <cell r="E390">
            <v>0.13402224400000001</v>
          </cell>
          <cell r="F390">
            <v>-0.25724400400000003</v>
          </cell>
        </row>
        <row r="391">
          <cell r="B391">
            <v>0.258109013</v>
          </cell>
          <cell r="C391">
            <v>-9.3813032800000001E-2</v>
          </cell>
          <cell r="D391">
            <v>0.26991148100000001</v>
          </cell>
          <cell r="E391">
            <v>0.18794023100000001</v>
          </cell>
          <cell r="F391">
            <v>-0.44768322500000002</v>
          </cell>
        </row>
        <row r="392">
          <cell r="B392">
            <v>6.8468989600000002E-2</v>
          </cell>
          <cell r="C392">
            <v>-0.27096882799999999</v>
          </cell>
          <cell r="D392">
            <v>0.28835164699999999</v>
          </cell>
          <cell r="E392">
            <v>-4.46217717E-2</v>
          </cell>
          <cell r="F392">
            <v>-0.43251687500000002</v>
          </cell>
        </row>
        <row r="393">
          <cell r="B393">
            <v>0.21630344900000001</v>
          </cell>
          <cell r="C393">
            <v>-0.18714499600000001</v>
          </cell>
          <cell r="D393">
            <v>0.169999341</v>
          </cell>
          <cell r="E393">
            <v>5.1548300999999998E-2</v>
          </cell>
          <cell r="F393">
            <v>-8.5345203800000005E-2</v>
          </cell>
        </row>
        <row r="394">
          <cell r="B394">
            <v>0.27563537999999999</v>
          </cell>
          <cell r="C394">
            <v>-0.101241331</v>
          </cell>
          <cell r="D394">
            <v>3.7705829099999998E-2</v>
          </cell>
          <cell r="E394">
            <v>0.275076441</v>
          </cell>
          <cell r="F394">
            <v>2.2018573600000001E-2</v>
          </cell>
        </row>
        <row r="395">
          <cell r="B395">
            <v>7.3927391299999996E-4</v>
          </cell>
          <cell r="C395">
            <v>-0.13966584200000001</v>
          </cell>
          <cell r="D395">
            <v>0.131416491</v>
          </cell>
          <cell r="E395">
            <v>0.29700064100000001</v>
          </cell>
          <cell r="F395">
            <v>-0.222500159</v>
          </cell>
        </row>
        <row r="396">
          <cell r="B396">
            <v>0.34549959699999999</v>
          </cell>
          <cell r="C396">
            <v>-9.4987217099999993E-2</v>
          </cell>
          <cell r="D396">
            <v>8.4963122000000002E-2</v>
          </cell>
          <cell r="E396">
            <v>0.114046542</v>
          </cell>
          <cell r="F396">
            <v>5.2453964899999997E-2</v>
          </cell>
        </row>
        <row r="397">
          <cell r="B397">
            <v>0.335665555</v>
          </cell>
          <cell r="C397">
            <v>1.08943748E-2</v>
          </cell>
          <cell r="D397">
            <v>8.7198827100000001E-2</v>
          </cell>
          <cell r="E397">
            <v>0.20890046400000001</v>
          </cell>
          <cell r="F397">
            <v>-5.1210834599999998E-2</v>
          </cell>
        </row>
        <row r="398">
          <cell r="B398">
            <v>0.48983126100000002</v>
          </cell>
          <cell r="C398">
            <v>-0.10073583899999999</v>
          </cell>
          <cell r="D398">
            <v>-9.0927300200000005E-2</v>
          </cell>
          <cell r="E398">
            <v>0.16025980100000001</v>
          </cell>
          <cell r="F398">
            <v>2.41567359E-2</v>
          </cell>
        </row>
        <row r="399">
          <cell r="B399">
            <v>0.48597515099999999</v>
          </cell>
          <cell r="C399">
            <v>-0.18558027699999999</v>
          </cell>
          <cell r="D399">
            <v>-8.0659576600000005E-2</v>
          </cell>
          <cell r="E399">
            <v>1.7233109699999999E-2</v>
          </cell>
          <cell r="F399">
            <v>-1.6308447899999998E-2</v>
          </cell>
        </row>
        <row r="400">
          <cell r="B400">
            <v>2.9226678499999999E-2</v>
          </cell>
          <cell r="C400">
            <v>-0.16231546099999999</v>
          </cell>
          <cell r="D400">
            <v>0.25322361700000001</v>
          </cell>
          <cell r="E400">
            <v>1.88457937E-3</v>
          </cell>
          <cell r="F400">
            <v>-0.28637453099999999</v>
          </cell>
        </row>
        <row r="401">
          <cell r="B401">
            <v>-0.111340432</v>
          </cell>
          <cell r="C401">
            <v>-0.163660783</v>
          </cell>
          <cell r="D401">
            <v>0.33563331899999999</v>
          </cell>
          <cell r="E401">
            <v>-4.3897439900000002E-2</v>
          </cell>
          <cell r="F401">
            <v>-0.23756079699999999</v>
          </cell>
        </row>
        <row r="402">
          <cell r="B402">
            <v>-2.17144053E-2</v>
          </cell>
          <cell r="C402">
            <v>-0.19948514000000001</v>
          </cell>
          <cell r="D402">
            <v>0.13692531399999999</v>
          </cell>
          <cell r="E402">
            <v>0.229708834</v>
          </cell>
          <cell r="F402">
            <v>-0.13592897300000001</v>
          </cell>
        </row>
        <row r="403">
          <cell r="B403">
            <v>4.6254155999999998E-2</v>
          </cell>
          <cell r="C403">
            <v>-0.13721160700000001</v>
          </cell>
          <cell r="D403">
            <v>0.11631041</v>
          </cell>
          <cell r="E403">
            <v>0.20882500400000001</v>
          </cell>
          <cell r="F403">
            <v>-4.90841479E-2</v>
          </cell>
        </row>
        <row r="404">
          <cell r="B404">
            <v>0.18391010499999999</v>
          </cell>
          <cell r="C404">
            <v>-4.6680166500000002E-2</v>
          </cell>
          <cell r="D404">
            <v>0.18051621100000001</v>
          </cell>
          <cell r="E404">
            <v>0.15552100899999999</v>
          </cell>
          <cell r="F404">
            <v>0.10781331700000001</v>
          </cell>
        </row>
        <row r="405">
          <cell r="B405">
            <v>0.10127937300000001</v>
          </cell>
          <cell r="C405">
            <v>-0.18357215800000001</v>
          </cell>
          <cell r="D405">
            <v>-3.2584049300000001E-2</v>
          </cell>
          <cell r="E405">
            <v>0.41246054599999998</v>
          </cell>
          <cell r="F405">
            <v>-0.115532837</v>
          </cell>
        </row>
        <row r="406">
          <cell r="B406">
            <v>0.243793497</v>
          </cell>
          <cell r="C406">
            <v>-0.13793793100000001</v>
          </cell>
          <cell r="D406">
            <v>4.8390280100000004E-3</v>
          </cell>
          <cell r="E406">
            <v>0.105157124</v>
          </cell>
          <cell r="F406">
            <v>0.101422022</v>
          </cell>
        </row>
        <row r="407">
          <cell r="B407">
            <v>0.26595628700000001</v>
          </cell>
          <cell r="C407">
            <v>-0.109107868</v>
          </cell>
          <cell r="D407">
            <v>5.5971710700000003E-2</v>
          </cell>
          <cell r="E407">
            <v>9.1465233800000004E-2</v>
          </cell>
          <cell r="F407">
            <v>-1.9479248599999999E-2</v>
          </cell>
        </row>
        <row r="408">
          <cell r="B408">
            <v>-5.0941421399999999E-2</v>
          </cell>
          <cell r="C408">
            <v>-5.86453501E-2</v>
          </cell>
          <cell r="D408">
            <v>0.248049731</v>
          </cell>
          <cell r="E408">
            <v>-1.0409223299999999E-2</v>
          </cell>
          <cell r="F408">
            <v>-0.385338299</v>
          </cell>
        </row>
        <row r="409">
          <cell r="B409">
            <v>7.2247621400000001E-4</v>
          </cell>
          <cell r="C409">
            <v>-0.18362372699999999</v>
          </cell>
          <cell r="D409">
            <v>0.284887995</v>
          </cell>
          <cell r="E409">
            <v>-0.20197737099999999</v>
          </cell>
          <cell r="F409">
            <v>-0.20316909999999999</v>
          </cell>
        </row>
        <row r="410">
          <cell r="B410">
            <v>-2.24900047E-3</v>
          </cell>
          <cell r="C410">
            <v>-0.32781993500000001</v>
          </cell>
          <cell r="D410">
            <v>2.1675078600000001E-2</v>
          </cell>
          <cell r="E410">
            <v>5.1263338300000003E-2</v>
          </cell>
          <cell r="F410">
            <v>-4.3895179800000003E-2</v>
          </cell>
        </row>
        <row r="411">
          <cell r="B411">
            <v>-3.7349033900000002E-2</v>
          </cell>
          <cell r="C411">
            <v>-0.11407682500000001</v>
          </cell>
          <cell r="D411">
            <v>0.117391895</v>
          </cell>
          <cell r="E411">
            <v>0.19601681500000001</v>
          </cell>
          <cell r="F411">
            <v>2.01194211E-2</v>
          </cell>
        </row>
        <row r="412">
          <cell r="B412">
            <v>-2.2356288299999999E-2</v>
          </cell>
          <cell r="C412">
            <v>-0.17081411799999999</v>
          </cell>
          <cell r="D412">
            <v>6.7201529899999996E-3</v>
          </cell>
          <cell r="E412">
            <v>0.18307412200000001</v>
          </cell>
          <cell r="F412">
            <v>3.5330191400000002E-2</v>
          </cell>
        </row>
        <row r="413">
          <cell r="B413">
            <v>0.27210077500000002</v>
          </cell>
          <cell r="C413">
            <v>-9.5477803900000005E-2</v>
          </cell>
          <cell r="D413">
            <v>6.3067595300000001E-2</v>
          </cell>
          <cell r="E413">
            <v>0.100065664</v>
          </cell>
          <cell r="F413">
            <v>0.106141476</v>
          </cell>
        </row>
        <row r="414">
          <cell r="B414">
            <v>-4.83995641E-2</v>
          </cell>
          <cell r="C414">
            <v>-3.8490974400000003E-2</v>
          </cell>
          <cell r="D414">
            <v>3.39017479E-3</v>
          </cell>
          <cell r="E414">
            <v>0.16513594200000001</v>
          </cell>
          <cell r="F414">
            <v>-4.0937910899999999E-2</v>
          </cell>
        </row>
        <row r="415">
          <cell r="B415">
            <v>0.122501922</v>
          </cell>
          <cell r="C415">
            <v>-7.1141923400000001E-2</v>
          </cell>
          <cell r="D415">
            <v>-4.0580755000000003E-2</v>
          </cell>
          <cell r="E415">
            <v>1.18267531E-2</v>
          </cell>
          <cell r="F415">
            <v>7.3835896400000003E-2</v>
          </cell>
        </row>
        <row r="416">
          <cell r="B416">
            <v>0.16833350999999999</v>
          </cell>
          <cell r="C416">
            <v>-0.23919369300000001</v>
          </cell>
          <cell r="D416">
            <v>2.8475193400000001E-2</v>
          </cell>
          <cell r="E416">
            <v>-0.14869117800000001</v>
          </cell>
          <cell r="F416">
            <v>-6.4095454299999993E-2</v>
          </cell>
        </row>
        <row r="417">
          <cell r="B417">
            <v>5.9288706400000002E-3</v>
          </cell>
          <cell r="C417">
            <v>-0.218395372</v>
          </cell>
          <cell r="D417">
            <v>-8.4752065599999996E-2</v>
          </cell>
          <cell r="E417">
            <v>-4.9405762800000001E-3</v>
          </cell>
          <cell r="F417">
            <v>-8.05471304E-2</v>
          </cell>
        </row>
        <row r="418">
          <cell r="B418">
            <v>0.15071779900000001</v>
          </cell>
          <cell r="C418">
            <v>-0.16026216600000001</v>
          </cell>
          <cell r="D418">
            <v>-6.5813925400000001E-2</v>
          </cell>
          <cell r="E418">
            <v>3.3553179400000001E-2</v>
          </cell>
          <cell r="F418">
            <v>3.03937316E-3</v>
          </cell>
        </row>
        <row r="419">
          <cell r="B419">
            <v>-2.7066441200000002E-3</v>
          </cell>
          <cell r="C419">
            <v>-0.203141932</v>
          </cell>
          <cell r="D419">
            <v>-0.11218196800000001</v>
          </cell>
          <cell r="E419">
            <v>0.13050109600000001</v>
          </cell>
          <cell r="F419">
            <v>-6.8716561900000001E-2</v>
          </cell>
        </row>
        <row r="420">
          <cell r="B420">
            <v>-0.16933448800000001</v>
          </cell>
          <cell r="C420">
            <v>7.9529934499999993E-3</v>
          </cell>
          <cell r="D420">
            <v>9.27001977E-2</v>
          </cell>
          <cell r="E420">
            <v>9.8014957200000002E-2</v>
          </cell>
          <cell r="F420">
            <v>-8.4958834900000002E-2</v>
          </cell>
        </row>
        <row r="421">
          <cell r="B421">
            <v>-0.12681039899999999</v>
          </cell>
          <cell r="C421">
            <v>-0.13591931099999999</v>
          </cell>
          <cell r="D421">
            <v>0.144535574</v>
          </cell>
          <cell r="E421">
            <v>-0.14134775999999999</v>
          </cell>
          <cell r="F421">
            <v>-7.2311946500000002E-2</v>
          </cell>
        </row>
        <row r="422">
          <cell r="B422">
            <v>-0.21503791999999999</v>
          </cell>
          <cell r="C422">
            <v>-0.34283886600000002</v>
          </cell>
          <cell r="D422">
            <v>-0.114454204</v>
          </cell>
          <cell r="E422">
            <v>-5.8005160200000003E-2</v>
          </cell>
          <cell r="F422">
            <v>-5.0489823000000003E-2</v>
          </cell>
        </row>
        <row r="423">
          <cell r="B423">
            <v>3.3960233400000001E-3</v>
          </cell>
          <cell r="C423">
            <v>-0.173167771</v>
          </cell>
          <cell r="D423">
            <v>6.5985244299999996E-2</v>
          </cell>
          <cell r="E423">
            <v>1.8764136399999999E-2</v>
          </cell>
          <cell r="F423">
            <v>0.1173877</v>
          </cell>
        </row>
        <row r="424">
          <cell r="B424">
            <v>-6.7428505400000005E-2</v>
          </cell>
          <cell r="C424">
            <v>-5.9459337000000001E-2</v>
          </cell>
          <cell r="D424">
            <v>0.15164122799999999</v>
          </cell>
          <cell r="E424">
            <v>-0.11630720899999999</v>
          </cell>
          <cell r="F424">
            <v>5.1642948899999999E-2</v>
          </cell>
        </row>
        <row r="425">
          <cell r="B425">
            <v>-0.46616437900000002</v>
          </cell>
          <cell r="C425">
            <v>-0.16407287200000001</v>
          </cell>
          <cell r="D425">
            <v>0.21450878500000001</v>
          </cell>
          <cell r="E425">
            <v>-9.5196166999999998E-2</v>
          </cell>
          <cell r="F425">
            <v>-5.1509975600000001E-2</v>
          </cell>
        </row>
        <row r="426">
          <cell r="B426">
            <v>-0.31368693800000003</v>
          </cell>
          <cell r="C426">
            <v>-0.26406881500000001</v>
          </cell>
          <cell r="D426">
            <v>0.228670979</v>
          </cell>
          <cell r="E426">
            <v>-0.20496800000000001</v>
          </cell>
          <cell r="F426">
            <v>8.7446957500000005E-2</v>
          </cell>
        </row>
        <row r="427">
          <cell r="B427">
            <v>-0.29370923399999999</v>
          </cell>
          <cell r="C427">
            <v>-0.23271966899999999</v>
          </cell>
          <cell r="D427">
            <v>0.167778911</v>
          </cell>
          <cell r="E427">
            <v>-0.102397549</v>
          </cell>
          <cell r="F427">
            <v>0.13091433</v>
          </cell>
        </row>
        <row r="428">
          <cell r="B428">
            <v>-0.26478272800000002</v>
          </cell>
          <cell r="C428">
            <v>-0.101859094</v>
          </cell>
          <cell r="D428">
            <v>0.13544757199999999</v>
          </cell>
          <cell r="E428">
            <v>0.125452589</v>
          </cell>
          <cell r="F428">
            <v>0.146434008</v>
          </cell>
        </row>
        <row r="429">
          <cell r="B429">
            <v>-0.19969756399999999</v>
          </cell>
          <cell r="C429">
            <v>-8.9834809200000004E-2</v>
          </cell>
          <cell r="D429">
            <v>0.15741365099999999</v>
          </cell>
          <cell r="E429">
            <v>4.1444653099999999E-2</v>
          </cell>
          <cell r="F429">
            <v>0.27734341899999998</v>
          </cell>
        </row>
        <row r="430">
          <cell r="B430">
            <v>-0.303451148</v>
          </cell>
          <cell r="C430">
            <v>-0.121369377</v>
          </cell>
          <cell r="D430">
            <v>0.135628001</v>
          </cell>
          <cell r="E430">
            <v>0.13324042899999999</v>
          </cell>
          <cell r="F430">
            <v>0.110059885</v>
          </cell>
        </row>
        <row r="431">
          <cell r="B431">
            <v>-0.230201244</v>
          </cell>
          <cell r="C431">
            <v>-0.20760315700000001</v>
          </cell>
          <cell r="D431">
            <v>9.8831158099999997E-2</v>
          </cell>
          <cell r="E431">
            <v>-5.7270341099999997E-2</v>
          </cell>
          <cell r="F431">
            <v>0.23518983399999999</v>
          </cell>
        </row>
        <row r="432">
          <cell r="B432">
            <v>-0.34035433399999998</v>
          </cell>
          <cell r="C432">
            <v>-0.30657965500000001</v>
          </cell>
          <cell r="D432">
            <v>0.23795572500000001</v>
          </cell>
          <cell r="E432">
            <v>-8.0094560699999998E-2</v>
          </cell>
          <cell r="F432">
            <v>1.5325171E-2</v>
          </cell>
        </row>
        <row r="433">
          <cell r="B433">
            <v>-0.39956497000000002</v>
          </cell>
          <cell r="C433">
            <v>-0.148442725</v>
          </cell>
          <cell r="D433">
            <v>0.176676365</v>
          </cell>
          <cell r="E433">
            <v>-6.1843497300000001E-2</v>
          </cell>
          <cell r="F433">
            <v>0.22637133800000001</v>
          </cell>
        </row>
        <row r="434">
          <cell r="B434">
            <v>-0.322074519</v>
          </cell>
          <cell r="C434">
            <v>-0.32515508500000001</v>
          </cell>
          <cell r="D434">
            <v>0.18455439800000001</v>
          </cell>
          <cell r="E434">
            <v>-1.49750643E-2</v>
          </cell>
          <cell r="F434">
            <v>8.0602975600000001E-2</v>
          </cell>
        </row>
        <row r="435">
          <cell r="B435">
            <v>-0.18665579600000001</v>
          </cell>
          <cell r="C435">
            <v>-0.14914641200000001</v>
          </cell>
          <cell r="D435">
            <v>8.2787070700000007E-2</v>
          </cell>
          <cell r="E435">
            <v>8.0412706099999995E-2</v>
          </cell>
          <cell r="F435">
            <v>0.25596453400000002</v>
          </cell>
        </row>
        <row r="436">
          <cell r="B436">
            <v>5.2773136800000002E-2</v>
          </cell>
          <cell r="C436">
            <v>-9.52519753E-2</v>
          </cell>
          <cell r="D436">
            <v>-1.6922291799999999E-2</v>
          </cell>
          <cell r="E436">
            <v>0.102875086</v>
          </cell>
          <cell r="F436">
            <v>0.273229104</v>
          </cell>
        </row>
        <row r="437">
          <cell r="B437">
            <v>5.7935274799999999E-2</v>
          </cell>
          <cell r="C437">
            <v>-0.113029562</v>
          </cell>
          <cell r="D437">
            <v>-0.109060773</v>
          </cell>
          <cell r="E437">
            <v>0.19933567199999999</v>
          </cell>
          <cell r="F437">
            <v>0.16132682800000001</v>
          </cell>
        </row>
        <row r="438">
          <cell r="B438">
            <v>0.17172464300000001</v>
          </cell>
          <cell r="C438">
            <v>5.9378835999999997E-2</v>
          </cell>
          <cell r="D438">
            <v>-2.4890345299999998E-2</v>
          </cell>
          <cell r="E438">
            <v>0.17616200600000001</v>
          </cell>
          <cell r="F438">
            <v>0.207530667</v>
          </cell>
        </row>
        <row r="439">
          <cell r="B439">
            <v>0.26442573800000002</v>
          </cell>
          <cell r="C439">
            <v>-0.159579002</v>
          </cell>
          <cell r="D439">
            <v>-8.2087323200000006E-2</v>
          </cell>
          <cell r="E439">
            <v>0.124040054</v>
          </cell>
          <cell r="F439">
            <v>-4.13297517E-2</v>
          </cell>
        </row>
        <row r="440">
          <cell r="B440">
            <v>6.3668765399999994E-2</v>
          </cell>
          <cell r="C440">
            <v>-0.17877804899999999</v>
          </cell>
          <cell r="D440">
            <v>-0.26743152100000001</v>
          </cell>
          <cell r="E440">
            <v>0.18236587500000001</v>
          </cell>
          <cell r="F440">
            <v>3.68037458E-3</v>
          </cell>
        </row>
        <row r="441">
          <cell r="B441">
            <v>0.24842547700000001</v>
          </cell>
          <cell r="C441">
            <v>-7.9054455199999998E-2</v>
          </cell>
          <cell r="D441">
            <v>-3.4429280700000002E-2</v>
          </cell>
          <cell r="E441">
            <v>-0.18216981099999999</v>
          </cell>
          <cell r="F441">
            <v>0.14596827600000001</v>
          </cell>
        </row>
        <row r="442">
          <cell r="B442">
            <v>-0.152409832</v>
          </cell>
          <cell r="C442">
            <v>-0.17261427200000001</v>
          </cell>
          <cell r="D442">
            <v>8.4925981900000003E-2</v>
          </cell>
          <cell r="E442">
            <v>-9.0357982399999995E-2</v>
          </cell>
          <cell r="F442">
            <v>-0.34298740900000002</v>
          </cell>
        </row>
        <row r="443">
          <cell r="B443">
            <v>2.0689146799999999E-2</v>
          </cell>
          <cell r="C443">
            <v>-0.176560679</v>
          </cell>
          <cell r="D443">
            <v>-0.122343782</v>
          </cell>
          <cell r="E443">
            <v>9.8775873400000005E-2</v>
          </cell>
          <cell r="F443">
            <v>-2.94822504E-2</v>
          </cell>
        </row>
        <row r="444">
          <cell r="B444">
            <v>0.23777953700000001</v>
          </cell>
          <cell r="C444">
            <v>8.2814102800000001E-3</v>
          </cell>
          <cell r="D444">
            <v>-9.6693506799999995E-2</v>
          </cell>
          <cell r="E444">
            <v>-1.6985250800000001E-2</v>
          </cell>
          <cell r="F444">
            <v>0.113618237</v>
          </cell>
        </row>
        <row r="445">
          <cell r="B445">
            <v>0.16426545300000001</v>
          </cell>
          <cell r="C445">
            <v>-0.15722993599999999</v>
          </cell>
          <cell r="D445">
            <v>-9.3931711500000001E-2</v>
          </cell>
          <cell r="E445">
            <v>-4.8002503000000002E-2</v>
          </cell>
          <cell r="F445">
            <v>-7.5606392199999997E-2</v>
          </cell>
        </row>
        <row r="446">
          <cell r="B446">
            <v>0.118061259</v>
          </cell>
          <cell r="C446">
            <v>-7.5835610799999995E-2</v>
          </cell>
          <cell r="D446">
            <v>-8.2566440399999996E-2</v>
          </cell>
          <cell r="E446">
            <v>8.4122068300000005E-2</v>
          </cell>
          <cell r="F446">
            <v>-9.9069348200000004E-2</v>
          </cell>
        </row>
        <row r="447">
          <cell r="B447">
            <v>0.408980803</v>
          </cell>
          <cell r="C447">
            <v>0.23699535299999999</v>
          </cell>
          <cell r="D447">
            <v>-3.0601668799999999E-2</v>
          </cell>
          <cell r="E447">
            <v>-4.9089526100000003E-2</v>
          </cell>
          <cell r="F447">
            <v>8.0703987199999994E-2</v>
          </cell>
        </row>
        <row r="448">
          <cell r="B448">
            <v>-0.25682031500000002</v>
          </cell>
          <cell r="C448">
            <v>-0.225860435</v>
          </cell>
          <cell r="D448">
            <v>-0.11208164900000001</v>
          </cell>
          <cell r="E448">
            <v>7.3303434299999998E-2</v>
          </cell>
          <cell r="F448">
            <v>-0.31476085100000001</v>
          </cell>
        </row>
        <row r="449">
          <cell r="B449">
            <v>7.9720522099999996E-2</v>
          </cell>
          <cell r="C449">
            <v>0.12493945100000001</v>
          </cell>
          <cell r="D449">
            <v>0.15765995299999999</v>
          </cell>
          <cell r="E449">
            <v>-0.18887863099999999</v>
          </cell>
          <cell r="F449">
            <v>6.7265495999999994E-2</v>
          </cell>
        </row>
        <row r="450">
          <cell r="B450">
            <v>-0.164108905</v>
          </cell>
          <cell r="C450">
            <v>-7.2413479500000003E-2</v>
          </cell>
          <cell r="D450">
            <v>0.23076361100000001</v>
          </cell>
          <cell r="E450">
            <v>4.09343255E-2</v>
          </cell>
          <cell r="F450">
            <v>-0.17245978200000001</v>
          </cell>
        </row>
        <row r="451">
          <cell r="B451">
            <v>-0.16621897399999999</v>
          </cell>
          <cell r="C451">
            <v>-0.17458458399999999</v>
          </cell>
          <cell r="D451">
            <v>1.13219884E-2</v>
          </cell>
          <cell r="E451">
            <v>-5.5996176500000001E-2</v>
          </cell>
          <cell r="F451">
            <v>-4.4394208800000001E-2</v>
          </cell>
        </row>
        <row r="452">
          <cell r="B452">
            <v>-0.20812549999999999</v>
          </cell>
          <cell r="C452">
            <v>-0.30844915299999998</v>
          </cell>
          <cell r="D452">
            <v>1.85539924E-2</v>
          </cell>
          <cell r="E452">
            <v>-5.3662978600000001E-2</v>
          </cell>
          <cell r="F452">
            <v>-4.1652756499999999E-2</v>
          </cell>
        </row>
        <row r="453">
          <cell r="B453">
            <v>0.113935597</v>
          </cell>
          <cell r="C453">
            <v>-0.14081075700000001</v>
          </cell>
          <cell r="D453">
            <v>-7.8886147899999995E-2</v>
          </cell>
          <cell r="E453">
            <v>-9.8940370400000005E-2</v>
          </cell>
          <cell r="F453">
            <v>0.114420488</v>
          </cell>
        </row>
        <row r="454">
          <cell r="B454">
            <v>6.3766080800000003E-3</v>
          </cell>
          <cell r="C454">
            <v>-0.25486349899999999</v>
          </cell>
          <cell r="D454">
            <v>-8.7153606999999994E-2</v>
          </cell>
          <cell r="E454">
            <v>7.5617245599999994E-2</v>
          </cell>
          <cell r="F454">
            <v>6.1407080500000003E-2</v>
          </cell>
        </row>
        <row r="455">
          <cell r="B455">
            <v>-0.193069832</v>
          </cell>
          <cell r="C455">
            <v>-6.9896528099999994E-2</v>
          </cell>
          <cell r="D455">
            <v>0.10526917399999999</v>
          </cell>
          <cell r="E455">
            <v>-2.3311071900000001E-2</v>
          </cell>
          <cell r="F455">
            <v>-8.6887770000000003E-2</v>
          </cell>
        </row>
        <row r="456">
          <cell r="B456">
            <v>0.101404706</v>
          </cell>
          <cell r="C456">
            <v>-4.3249655900000003E-2</v>
          </cell>
          <cell r="D456">
            <v>-0.11606028</v>
          </cell>
          <cell r="E456">
            <v>0.11220627399999999</v>
          </cell>
          <cell r="F456">
            <v>0.181361467</v>
          </cell>
        </row>
        <row r="457">
          <cell r="B457">
            <v>-0.165639129</v>
          </cell>
          <cell r="C457">
            <v>-0.16038912799999999</v>
          </cell>
          <cell r="D457">
            <v>-0.13492204099999999</v>
          </cell>
          <cell r="E457">
            <v>0.230880053</v>
          </cell>
          <cell r="F457">
            <v>-3.2891270299999997E-2</v>
          </cell>
        </row>
        <row r="458">
          <cell r="B458">
            <v>-0.14464362</v>
          </cell>
          <cell r="C458">
            <v>-0.13302352100000001</v>
          </cell>
          <cell r="D458">
            <v>0.110244445</v>
          </cell>
          <cell r="E458">
            <v>-9.0876658499999992E-3</v>
          </cell>
          <cell r="F458">
            <v>4.9529588800000003E-2</v>
          </cell>
        </row>
        <row r="459">
          <cell r="B459">
            <v>-1.8413651499999999E-2</v>
          </cell>
          <cell r="C459">
            <v>-0.108312783</v>
          </cell>
          <cell r="D459">
            <v>0.107319737</v>
          </cell>
          <cell r="E459">
            <v>-0.130233457</v>
          </cell>
          <cell r="F459">
            <v>9.2577758900000001E-2</v>
          </cell>
        </row>
        <row r="460">
          <cell r="B460">
            <v>-0.192169486</v>
          </cell>
          <cell r="C460">
            <v>-0.28981562900000002</v>
          </cell>
          <cell r="D460">
            <v>-7.8117842899999998E-2</v>
          </cell>
          <cell r="E460">
            <v>-2.0972930200000001E-4</v>
          </cell>
          <cell r="F460">
            <v>-0.19262093699999999</v>
          </cell>
        </row>
        <row r="461">
          <cell r="B461">
            <v>-0.23003472899999999</v>
          </cell>
          <cell r="C461">
            <v>-0.299600643</v>
          </cell>
          <cell r="D461">
            <v>-2.70643796E-3</v>
          </cell>
          <cell r="E461">
            <v>-0.20561141899999999</v>
          </cell>
          <cell r="F461">
            <v>-9.7754603300000006E-2</v>
          </cell>
        </row>
        <row r="462">
          <cell r="B462">
            <v>3.1853633300000003E-2</v>
          </cell>
          <cell r="C462">
            <v>-0.247559682</v>
          </cell>
          <cell r="D462">
            <v>-7.5045774799999999E-3</v>
          </cell>
          <cell r="E462">
            <v>-0.30925070399999999</v>
          </cell>
          <cell r="F462">
            <v>0.16178256999999999</v>
          </cell>
        </row>
        <row r="463">
          <cell r="B463">
            <v>-9.9819355100000007E-2</v>
          </cell>
          <cell r="C463">
            <v>-0.37213004399999999</v>
          </cell>
          <cell r="D463">
            <v>-0.170069581</v>
          </cell>
          <cell r="E463">
            <v>0.102005393</v>
          </cell>
          <cell r="F463">
            <v>8.5257351699999998E-2</v>
          </cell>
        </row>
        <row r="464">
          <cell r="B464">
            <v>-4.6449513200000001E-2</v>
          </cell>
          <cell r="C464">
            <v>-0.24083423300000001</v>
          </cell>
          <cell r="D464">
            <v>-0.20797141199999999</v>
          </cell>
          <cell r="E464">
            <v>8.3470811699999994E-2</v>
          </cell>
          <cell r="F464">
            <v>7.86685518E-2</v>
          </cell>
        </row>
        <row r="465">
          <cell r="B465">
            <v>-0.14996654000000001</v>
          </cell>
          <cell r="C465">
            <v>-0.31508353</v>
          </cell>
          <cell r="D465">
            <v>-0.19937089799999999</v>
          </cell>
          <cell r="E465">
            <v>4.3537138599999997E-2</v>
          </cell>
          <cell r="F465">
            <v>1.09111408E-2</v>
          </cell>
        </row>
        <row r="466">
          <cell r="B466">
            <v>-0.20497906499999999</v>
          </cell>
          <cell r="C466">
            <v>-0.25652959400000003</v>
          </cell>
          <cell r="D466">
            <v>4.9012170000000001E-2</v>
          </cell>
          <cell r="E466">
            <v>5.1477084100000001E-4</v>
          </cell>
          <cell r="F466">
            <v>-4.8528782800000003E-2</v>
          </cell>
        </row>
        <row r="467">
          <cell r="B467">
            <v>-0.24479056599999999</v>
          </cell>
          <cell r="C467">
            <v>-9.2504792000000002E-2</v>
          </cell>
          <cell r="D467">
            <v>-8.5998086099999996E-2</v>
          </cell>
          <cell r="E467">
            <v>3.3019934700000003E-2</v>
          </cell>
          <cell r="F467">
            <v>3.5914018199999999E-3</v>
          </cell>
        </row>
        <row r="468">
          <cell r="B468">
            <v>-0.288735044</v>
          </cell>
          <cell r="C468">
            <v>-0.208702468</v>
          </cell>
          <cell r="D468">
            <v>-0.16121619400000001</v>
          </cell>
          <cell r="E468">
            <v>8.4920330000000002E-2</v>
          </cell>
          <cell r="F468">
            <v>-3.3695103499999997E-2</v>
          </cell>
        </row>
        <row r="469">
          <cell r="B469">
            <v>-0.26378901500000002</v>
          </cell>
          <cell r="C469">
            <v>-0.28606183200000002</v>
          </cell>
          <cell r="D469">
            <v>-0.216392895</v>
          </cell>
          <cell r="E469">
            <v>-5.64376028E-2</v>
          </cell>
          <cell r="F469">
            <v>6.5759767299999994E-2</v>
          </cell>
        </row>
        <row r="470">
          <cell r="B470">
            <v>-9.54141373E-3</v>
          </cell>
          <cell r="C470">
            <v>-0.27985368599999999</v>
          </cell>
          <cell r="D470">
            <v>-0.16579818099999999</v>
          </cell>
          <cell r="E470">
            <v>-0.217093123</v>
          </cell>
          <cell r="F470">
            <v>4.9240662900000003E-2</v>
          </cell>
        </row>
        <row r="471">
          <cell r="B471">
            <v>-5.5896771900000003E-2</v>
          </cell>
          <cell r="C471">
            <v>-0.318798678</v>
          </cell>
          <cell r="D471">
            <v>-0.34002292200000001</v>
          </cell>
          <cell r="E471">
            <v>-8.6945307700000002E-2</v>
          </cell>
          <cell r="F471">
            <v>-1.67820994E-2</v>
          </cell>
        </row>
        <row r="472">
          <cell r="B472">
            <v>4.5741176799999998E-2</v>
          </cell>
          <cell r="C472">
            <v>-0.273119642</v>
          </cell>
          <cell r="D472">
            <v>-0.20277302999999999</v>
          </cell>
          <cell r="E472">
            <v>-0.148355075</v>
          </cell>
          <cell r="F472">
            <v>8.8863731900000006E-2</v>
          </cell>
        </row>
        <row r="473">
          <cell r="B473">
            <v>7.1245970500000005E-2</v>
          </cell>
          <cell r="C473">
            <v>-0.235678105</v>
          </cell>
          <cell r="D473">
            <v>-0.16594842200000001</v>
          </cell>
          <cell r="E473">
            <v>-0.22115277799999999</v>
          </cell>
          <cell r="F473">
            <v>3.7418275500000001E-2</v>
          </cell>
        </row>
        <row r="474">
          <cell r="B474">
            <v>-0.124752876</v>
          </cell>
          <cell r="C474">
            <v>-0.181281944</v>
          </cell>
          <cell r="D474">
            <v>-0.17311760900000001</v>
          </cell>
          <cell r="E474">
            <v>-5.3224697799999998E-2</v>
          </cell>
          <cell r="F474">
            <v>6.5820794599999996E-2</v>
          </cell>
        </row>
        <row r="475">
          <cell r="B475">
            <v>-7.8656704100000002E-2</v>
          </cell>
          <cell r="C475">
            <v>-0.13804549299999999</v>
          </cell>
          <cell r="D475">
            <v>-0.117473891</v>
          </cell>
          <cell r="E475">
            <v>-0.11583536799999999</v>
          </cell>
          <cell r="F475">
            <v>-3.9652605E-2</v>
          </cell>
        </row>
        <row r="476">
          <cell r="B476">
            <v>0.30945652000000001</v>
          </cell>
          <cell r="C476">
            <v>-0.119289416</v>
          </cell>
          <cell r="D476">
            <v>-0.218768662</v>
          </cell>
          <cell r="E476">
            <v>-0.27762695799999998</v>
          </cell>
          <cell r="F476">
            <v>0.16065832299999999</v>
          </cell>
        </row>
        <row r="477">
          <cell r="B477">
            <v>0.28305539099999999</v>
          </cell>
          <cell r="C477">
            <v>2.95361957E-2</v>
          </cell>
          <cell r="D477">
            <v>-0.14275141899999999</v>
          </cell>
          <cell r="E477">
            <v>-0.17235040600000001</v>
          </cell>
          <cell r="F477">
            <v>0.12005874900000001</v>
          </cell>
        </row>
        <row r="478">
          <cell r="B478">
            <v>-0.389846215</v>
          </cell>
          <cell r="C478">
            <v>-0.33048738300000002</v>
          </cell>
          <cell r="D478">
            <v>-0.164264407</v>
          </cell>
          <cell r="E478">
            <v>3.5053423100000002E-2</v>
          </cell>
          <cell r="F478">
            <v>-0.54623736700000003</v>
          </cell>
        </row>
        <row r="479">
          <cell r="B479">
            <v>0.242818013</v>
          </cell>
          <cell r="C479">
            <v>-0.16679258499999999</v>
          </cell>
          <cell r="D479">
            <v>-0.41909500599999999</v>
          </cell>
          <cell r="E479">
            <v>3.3075192099999998E-2</v>
          </cell>
          <cell r="F479">
            <v>0.18105374199999999</v>
          </cell>
        </row>
        <row r="480">
          <cell r="B480">
            <v>4.2972633500000003E-2</v>
          </cell>
          <cell r="C480">
            <v>-6.8196109099999999E-2</v>
          </cell>
          <cell r="D480">
            <v>-0.31578202500000002</v>
          </cell>
          <cell r="E480">
            <v>0.16780901100000001</v>
          </cell>
          <cell r="F480">
            <v>-6.9634125899999996E-2</v>
          </cell>
        </row>
        <row r="481">
          <cell r="B481">
            <v>8.5244873799999996E-2</v>
          </cell>
          <cell r="C481">
            <v>-0.15652421499999999</v>
          </cell>
          <cell r="D481">
            <v>-7.5625467200000004E-2</v>
          </cell>
          <cell r="E481">
            <v>-0.26602475399999997</v>
          </cell>
          <cell r="F481">
            <v>2.7591393E-3</v>
          </cell>
        </row>
        <row r="482">
          <cell r="B482">
            <v>4.1088204199999999E-2</v>
          </cell>
          <cell r="C482">
            <v>-0.19833709099999999</v>
          </cell>
          <cell r="D482">
            <v>-0.244832727</v>
          </cell>
          <cell r="E482">
            <v>-4.50131218E-2</v>
          </cell>
          <cell r="F482">
            <v>-6.2171068100000003E-3</v>
          </cell>
        </row>
        <row r="483">
          <cell r="B483">
            <v>5.3743636799999999E-3</v>
          </cell>
          <cell r="C483">
            <v>-0.107204045</v>
          </cell>
          <cell r="D483">
            <v>-8.9843220900000006E-2</v>
          </cell>
          <cell r="E483">
            <v>-5.18484398E-2</v>
          </cell>
          <cell r="F483">
            <v>-2.5055645800000002E-2</v>
          </cell>
        </row>
        <row r="484">
          <cell r="B484">
            <v>-5.9289175700000002E-2</v>
          </cell>
          <cell r="C484">
            <v>-0.31903642900000001</v>
          </cell>
          <cell r="D484">
            <v>-0.111372583</v>
          </cell>
          <cell r="E484">
            <v>-0.25821460899999998</v>
          </cell>
          <cell r="F484">
            <v>-8.9662802200000002E-2</v>
          </cell>
        </row>
        <row r="485">
          <cell r="B485">
            <v>4.3207944700000001E-2</v>
          </cell>
          <cell r="C485">
            <v>-8.2864160500000006E-2</v>
          </cell>
          <cell r="D485">
            <v>6.3869810599999993E-2</v>
          </cell>
          <cell r="E485">
            <v>-0.217296883</v>
          </cell>
          <cell r="F485">
            <v>9.2090698999999998E-2</v>
          </cell>
        </row>
        <row r="486">
          <cell r="B486">
            <v>-9.3497738600000005E-2</v>
          </cell>
          <cell r="C486">
            <v>0.27159528500000002</v>
          </cell>
          <cell r="D486">
            <v>1.15433619E-2</v>
          </cell>
          <cell r="E486">
            <v>0.20534339400000001</v>
          </cell>
          <cell r="F486">
            <v>0.130717112</v>
          </cell>
        </row>
        <row r="487">
          <cell r="B487">
            <v>-0.19080111299999999</v>
          </cell>
          <cell r="C487">
            <v>-0.197736147</v>
          </cell>
          <cell r="D487">
            <v>9.7107371999999997E-2</v>
          </cell>
          <cell r="E487">
            <v>-0.13391265599999999</v>
          </cell>
          <cell r="F487">
            <v>-3.1112784000000001E-2</v>
          </cell>
        </row>
        <row r="488">
          <cell r="B488">
            <v>6.6059442100000004E-2</v>
          </cell>
          <cell r="C488">
            <v>-0.17598281399999999</v>
          </cell>
          <cell r="D488">
            <v>9.7248962600000002E-2</v>
          </cell>
          <cell r="E488">
            <v>-0.33440520299999998</v>
          </cell>
          <cell r="F488">
            <v>0.15039150500000001</v>
          </cell>
        </row>
        <row r="489">
          <cell r="B489">
            <v>-0.14942661099999999</v>
          </cell>
          <cell r="C489">
            <v>9.7821627100000003E-3</v>
          </cell>
          <cell r="D489">
            <v>-9.5817588499999995E-2</v>
          </cell>
          <cell r="E489">
            <v>6.7790356299999993E-2</v>
          </cell>
          <cell r="F489">
            <v>0.16085702399999999</v>
          </cell>
        </row>
        <row r="490">
          <cell r="B490">
            <v>-0.19917966300000001</v>
          </cell>
          <cell r="C490">
            <v>-5.1448118100000002E-2</v>
          </cell>
          <cell r="D490">
            <v>0.100908281</v>
          </cell>
          <cell r="E490">
            <v>-2.68579704E-2</v>
          </cell>
          <cell r="F490">
            <v>6.4831106099999994E-2</v>
          </cell>
        </row>
        <row r="491">
          <cell r="B491">
            <v>-3.97342414E-3</v>
          </cell>
          <cell r="C491">
            <v>0.17796614499999999</v>
          </cell>
          <cell r="D491">
            <v>5.3963922499999997E-2</v>
          </cell>
          <cell r="E491">
            <v>3.6419172100000001E-2</v>
          </cell>
          <cell r="F491">
            <v>0.31905814799999999</v>
          </cell>
        </row>
        <row r="492">
          <cell r="B492">
            <v>-0.364463751</v>
          </cell>
          <cell r="C492">
            <v>-0.23162506899999999</v>
          </cell>
          <cell r="D492">
            <v>7.3116391800000001E-3</v>
          </cell>
          <cell r="E492">
            <v>-7.4288952899999997E-2</v>
          </cell>
          <cell r="F492">
            <v>-0.11019472900000001</v>
          </cell>
        </row>
        <row r="493">
          <cell r="B493">
            <v>-0.19426511399999999</v>
          </cell>
          <cell r="C493">
            <v>-0.17085055599999999</v>
          </cell>
          <cell r="D493">
            <v>-7.3648430700000003E-2</v>
          </cell>
          <cell r="E493">
            <v>4.0582351699999996E-3</v>
          </cell>
          <cell r="F493">
            <v>0.19283789700000001</v>
          </cell>
        </row>
        <row r="494">
          <cell r="B494">
            <v>-0.31536310699999998</v>
          </cell>
          <cell r="C494">
            <v>-0.16662658299999999</v>
          </cell>
          <cell r="D494">
            <v>9.2504521699999995E-3</v>
          </cell>
          <cell r="E494">
            <v>-6.2013588199999997E-2</v>
          </cell>
          <cell r="F494">
            <v>8.6987494699999994E-3</v>
          </cell>
        </row>
        <row r="495">
          <cell r="B495">
            <v>-0.17101485499999999</v>
          </cell>
          <cell r="C495">
            <v>-2.6885466100000002E-2</v>
          </cell>
          <cell r="D495">
            <v>3.9203122799999997E-2</v>
          </cell>
          <cell r="E495">
            <v>-0.15180618700000001</v>
          </cell>
          <cell r="F495">
            <v>0.29095048000000001</v>
          </cell>
        </row>
        <row r="496">
          <cell r="B496">
            <v>-0.146405443</v>
          </cell>
          <cell r="C496">
            <v>5.5885606499999997E-2</v>
          </cell>
          <cell r="D496">
            <v>0.135397142</v>
          </cell>
          <cell r="E496">
            <v>-5.5153375400000003E-2</v>
          </cell>
          <cell r="F496">
            <v>0.16029441899999999</v>
          </cell>
        </row>
        <row r="497">
          <cell r="B497">
            <v>-0.23229207299999999</v>
          </cell>
          <cell r="C497">
            <v>0.149463126</v>
          </cell>
          <cell r="D497">
            <v>-2.2314579700000001E-3</v>
          </cell>
          <cell r="E497">
            <v>0.180788382</v>
          </cell>
          <cell r="F497">
            <v>0.140343989</v>
          </cell>
        </row>
        <row r="498">
          <cell r="B498">
            <v>-9.4207731200000006E-2</v>
          </cell>
          <cell r="C498">
            <v>-0.42324355600000002</v>
          </cell>
          <cell r="D498">
            <v>-0.25061014399999998</v>
          </cell>
          <cell r="E498">
            <v>-0.13452302599999999</v>
          </cell>
          <cell r="F498">
            <v>-2.09158092E-2</v>
          </cell>
        </row>
        <row r="499">
          <cell r="B499">
            <v>6.3590187699999995E-2</v>
          </cell>
          <cell r="C499">
            <v>-3.8480763699999997E-2</v>
          </cell>
          <cell r="D499">
            <v>0.22596261400000001</v>
          </cell>
          <cell r="E499">
            <v>-0.48924039600000002</v>
          </cell>
          <cell r="F499">
            <v>-1.4877327900000001E-2</v>
          </cell>
        </row>
        <row r="500">
          <cell r="B500">
            <v>-4.13603715E-2</v>
          </cell>
          <cell r="C500">
            <v>0.185992982</v>
          </cell>
          <cell r="D500">
            <v>-6.5652528399999993E-2</v>
          </cell>
          <cell r="E500">
            <v>0.37954756099999998</v>
          </cell>
          <cell r="F500">
            <v>0.221791976</v>
          </cell>
        </row>
        <row r="501">
          <cell r="B501">
            <v>0.149668677</v>
          </cell>
          <cell r="C501">
            <v>-3.7855327100000002E-2</v>
          </cell>
          <cell r="D501">
            <v>-9.6266739200000007E-2</v>
          </cell>
          <cell r="E501">
            <v>-0.127241775</v>
          </cell>
          <cell r="F501">
            <v>0.13653346</v>
          </cell>
        </row>
        <row r="502">
          <cell r="B502">
            <v>0.32676613700000001</v>
          </cell>
          <cell r="C502">
            <v>-0.18980761299999999</v>
          </cell>
          <cell r="D502">
            <v>-0.19099704000000001</v>
          </cell>
          <cell r="E502">
            <v>-0.26786076399999997</v>
          </cell>
          <cell r="F502">
            <v>9.6705501299999996E-2</v>
          </cell>
        </row>
        <row r="503">
          <cell r="B503">
            <v>-9.1336805800000004E-2</v>
          </cell>
          <cell r="C503">
            <v>0.21662520800000001</v>
          </cell>
          <cell r="D503">
            <v>7.6102391899999997E-2</v>
          </cell>
          <cell r="E503">
            <v>0.11668715</v>
          </cell>
          <cell r="F503">
            <v>-4.1699870299999997E-2</v>
          </cell>
        </row>
        <row r="504">
          <cell r="B504">
            <v>0.23620266000000001</v>
          </cell>
          <cell r="C504">
            <v>-8.4729315600000008E-3</v>
          </cell>
          <cell r="D504">
            <v>-7.2628480199999998E-2</v>
          </cell>
          <cell r="E504">
            <v>-0.236808983</v>
          </cell>
          <cell r="F504">
            <v>0.11851505499999999</v>
          </cell>
        </row>
        <row r="505">
          <cell r="B505">
            <v>0.15914988799999999</v>
          </cell>
          <cell r="C505">
            <v>6.6300592599999996E-3</v>
          </cell>
          <cell r="D505">
            <v>-0.102382891</v>
          </cell>
          <cell r="E505">
            <v>-0.18170839</v>
          </cell>
          <cell r="F505">
            <v>2.9171616300000001E-2</v>
          </cell>
        </row>
        <row r="506">
          <cell r="B506">
            <v>0.35547374399999998</v>
          </cell>
          <cell r="C506">
            <v>4.1754716900000002E-2</v>
          </cell>
          <cell r="D506">
            <v>-0.36066892900000003</v>
          </cell>
          <cell r="E506">
            <v>8.8633402599999994E-2</v>
          </cell>
          <cell r="F506">
            <v>2.8241548799999999E-2</v>
          </cell>
        </row>
        <row r="507">
          <cell r="B507">
            <v>0.458527717</v>
          </cell>
          <cell r="C507">
            <v>0.41320668500000002</v>
          </cell>
          <cell r="D507">
            <v>-0.19958590900000001</v>
          </cell>
          <cell r="E507">
            <v>0.21010928100000001</v>
          </cell>
          <cell r="F507">
            <v>1.1127174700000001E-2</v>
          </cell>
        </row>
        <row r="508">
          <cell r="B508">
            <v>0.50213582199999995</v>
          </cell>
          <cell r="C508">
            <v>4.19570742E-2</v>
          </cell>
          <cell r="D508">
            <v>-0.221003171</v>
          </cell>
          <cell r="E508">
            <v>-0.235943717</v>
          </cell>
          <cell r="F508">
            <v>-9.4456327000000007E-2</v>
          </cell>
        </row>
        <row r="509">
          <cell r="B509">
            <v>0.52092024999999997</v>
          </cell>
          <cell r="C509">
            <v>-0.13784370000000001</v>
          </cell>
          <cell r="D509">
            <v>-0.33729770599999997</v>
          </cell>
          <cell r="E509">
            <v>-0.29053366400000002</v>
          </cell>
          <cell r="F509">
            <v>-0.14962116</v>
          </cell>
        </row>
        <row r="510">
          <cell r="B510">
            <v>0.56043942400000002</v>
          </cell>
          <cell r="C510">
            <v>7.6653852800000005E-2</v>
          </cell>
          <cell r="D510">
            <v>1.1408364400000001E-3</v>
          </cell>
          <cell r="E510">
            <v>-0.10943596</v>
          </cell>
          <cell r="F510">
            <v>-0.116372246</v>
          </cell>
        </row>
        <row r="511">
          <cell r="B511">
            <v>0.485310933</v>
          </cell>
          <cell r="C511">
            <v>0.20962946800000001</v>
          </cell>
          <cell r="D511">
            <v>8.65194782E-2</v>
          </cell>
          <cell r="E511">
            <v>-1.8983623499999999E-3</v>
          </cell>
          <cell r="F511">
            <v>4.1395866400000002E-2</v>
          </cell>
        </row>
        <row r="512">
          <cell r="B512">
            <v>0.61657306199999995</v>
          </cell>
          <cell r="C512">
            <v>-2.95416979E-2</v>
          </cell>
          <cell r="D512">
            <v>-0.17864962600000001</v>
          </cell>
          <cell r="E512">
            <v>-0.153193632</v>
          </cell>
          <cell r="F512">
            <v>-0.12547728</v>
          </cell>
        </row>
        <row r="513">
          <cell r="B513">
            <v>0.60580393300000002</v>
          </cell>
          <cell r="C513">
            <v>-0.37366653100000002</v>
          </cell>
          <cell r="D513">
            <v>-0.16683647300000001</v>
          </cell>
          <cell r="E513">
            <v>-0.39749484200000001</v>
          </cell>
          <cell r="F513">
            <v>-0.16296560700000001</v>
          </cell>
        </row>
        <row r="514">
          <cell r="B514">
            <v>0.58397965900000004</v>
          </cell>
          <cell r="C514">
            <v>-0.13252358</v>
          </cell>
          <cell r="D514">
            <v>-0.119542888</v>
          </cell>
          <cell r="E514">
            <v>-8.6099493099999994E-2</v>
          </cell>
          <cell r="F514">
            <v>-8.9607552800000004E-2</v>
          </cell>
        </row>
        <row r="515">
          <cell r="B515">
            <v>0.58695050400000004</v>
          </cell>
          <cell r="C515">
            <v>-6.2041481400000001E-2</v>
          </cell>
          <cell r="D515">
            <v>-0.17037271700000001</v>
          </cell>
          <cell r="E515">
            <v>6.0306342399999997E-2</v>
          </cell>
          <cell r="F515">
            <v>0.13509849099999999</v>
          </cell>
        </row>
        <row r="516">
          <cell r="B516">
            <v>0.74399522799999995</v>
          </cell>
          <cell r="C516">
            <v>-0.27230073300000002</v>
          </cell>
          <cell r="D516">
            <v>-0.23253077599999999</v>
          </cell>
          <cell r="E516">
            <v>-0.29876232899999999</v>
          </cell>
          <cell r="F516">
            <v>-0.47794253399999997</v>
          </cell>
        </row>
        <row r="517">
          <cell r="B517">
            <v>0.67582858800000001</v>
          </cell>
          <cell r="C517">
            <v>-0.25481932299999999</v>
          </cell>
          <cell r="D517">
            <v>-0.15504956</v>
          </cell>
          <cell r="E517">
            <v>-0.138445244</v>
          </cell>
          <cell r="F517">
            <v>-0.21436285599999999</v>
          </cell>
        </row>
        <row r="518">
          <cell r="B518">
            <v>0.48863329799999999</v>
          </cell>
          <cell r="C518">
            <v>-0.37218835300000003</v>
          </cell>
          <cell r="D518">
            <v>1.7959591E-2</v>
          </cell>
          <cell r="E518">
            <v>-0.23412038600000001</v>
          </cell>
          <cell r="F518">
            <v>-0.247329776</v>
          </cell>
        </row>
        <row r="519">
          <cell r="B519">
            <v>0.26652472599999999</v>
          </cell>
          <cell r="C519">
            <v>-0.187652502</v>
          </cell>
          <cell r="D519">
            <v>8.5459451000000006E-2</v>
          </cell>
          <cell r="E519">
            <v>-2.6727112599999998E-2</v>
          </cell>
          <cell r="F519">
            <v>-0.27166130100000002</v>
          </cell>
        </row>
        <row r="520">
          <cell r="B520">
            <v>0.22139750599999999</v>
          </cell>
          <cell r="C520">
            <v>-0.14169564900000001</v>
          </cell>
          <cell r="D520">
            <v>6.3720778199999994E-2</v>
          </cell>
          <cell r="E520">
            <v>-8.3462374800000003E-2</v>
          </cell>
          <cell r="F520">
            <v>-7.6170363100000003E-3</v>
          </cell>
        </row>
        <row r="521">
          <cell r="B521">
            <v>5.3961908600000004E-3</v>
          </cell>
          <cell r="C521">
            <v>4.0594144700000001E-2</v>
          </cell>
          <cell r="D521">
            <v>0.36627153600000001</v>
          </cell>
          <cell r="E521">
            <v>5.2242706399999998E-2</v>
          </cell>
          <cell r="F521">
            <v>-7.6955200000000001E-2</v>
          </cell>
        </row>
        <row r="522">
          <cell r="B522">
            <v>0.13637501699999999</v>
          </cell>
          <cell r="C522">
            <v>0.10189532699999999</v>
          </cell>
          <cell r="D522">
            <v>0.19897367799999999</v>
          </cell>
          <cell r="E522">
            <v>0.124835169</v>
          </cell>
          <cell r="F522">
            <v>-2.0815832400000001E-2</v>
          </cell>
        </row>
        <row r="523">
          <cell r="B523">
            <v>0.118740583</v>
          </cell>
          <cell r="C523">
            <v>-0.218053354</v>
          </cell>
          <cell r="D523">
            <v>-4.0322707800000003E-2</v>
          </cell>
          <cell r="E523">
            <v>4.6953750099999997E-2</v>
          </cell>
          <cell r="F523">
            <v>-4.3931858499999997E-2</v>
          </cell>
        </row>
        <row r="524">
          <cell r="B524">
            <v>-2.0114345799999999E-2</v>
          </cell>
          <cell r="C524">
            <v>-0.27355874000000002</v>
          </cell>
          <cell r="D524">
            <v>-3.3651656500000002E-2</v>
          </cell>
          <cell r="E524">
            <v>7.8330959399999997E-2</v>
          </cell>
          <cell r="F524">
            <v>-0.125341971</v>
          </cell>
        </row>
        <row r="525">
          <cell r="B525">
            <v>0.25216315500000003</v>
          </cell>
          <cell r="C525">
            <v>-3.25020668E-2</v>
          </cell>
          <cell r="D525">
            <v>-8.5534381199999995E-2</v>
          </cell>
          <cell r="E525">
            <v>2.4569027100000002E-2</v>
          </cell>
          <cell r="F525">
            <v>7.16974898E-2</v>
          </cell>
        </row>
        <row r="526">
          <cell r="B526">
            <v>0.25859384800000002</v>
          </cell>
          <cell r="C526">
            <v>-1.6335953399999999E-2</v>
          </cell>
          <cell r="D526">
            <v>-7.7553029999999995E-2</v>
          </cell>
          <cell r="E526">
            <v>4.0211234399999997E-2</v>
          </cell>
          <cell r="F526">
            <v>-7.7375349299999997E-3</v>
          </cell>
        </row>
        <row r="527">
          <cell r="B527">
            <v>0.213731952</v>
          </cell>
          <cell r="C527">
            <v>-1.9252657100000001E-2</v>
          </cell>
          <cell r="D527">
            <v>-8.8564310399999999E-2</v>
          </cell>
          <cell r="E527">
            <v>-2.43493896E-2</v>
          </cell>
          <cell r="F527">
            <v>2.5069845699999999E-2</v>
          </cell>
        </row>
        <row r="528">
          <cell r="B528">
            <v>0.234101538</v>
          </cell>
          <cell r="C528">
            <v>7.3884708800000004E-2</v>
          </cell>
          <cell r="D528">
            <v>2.82817481E-2</v>
          </cell>
          <cell r="E528">
            <v>-0.106323561</v>
          </cell>
          <cell r="F528">
            <v>-1.5378047800000001E-2</v>
          </cell>
        </row>
        <row r="529">
          <cell r="B529">
            <v>0.18716522799999999</v>
          </cell>
          <cell r="C529">
            <v>-0.146996246</v>
          </cell>
          <cell r="D529">
            <v>-9.1740116699999999E-2</v>
          </cell>
          <cell r="E529">
            <v>0.137327949</v>
          </cell>
          <cell r="F529">
            <v>-0.16752050600000001</v>
          </cell>
        </row>
        <row r="530">
          <cell r="B530">
            <v>0.35940504699999998</v>
          </cell>
          <cell r="C530">
            <v>-6.7752314999999994E-2</v>
          </cell>
          <cell r="D530">
            <v>-8.4930614599999996E-3</v>
          </cell>
          <cell r="E530">
            <v>-0.12532953799999999</v>
          </cell>
          <cell r="F530">
            <v>0.14144157500000001</v>
          </cell>
        </row>
        <row r="531">
          <cell r="B531">
            <v>-4.2361988099999998E-2</v>
          </cell>
          <cell r="C531">
            <v>0.124957545</v>
          </cell>
          <cell r="D531">
            <v>0.10038976300000001</v>
          </cell>
          <cell r="E531">
            <v>0.229948495</v>
          </cell>
          <cell r="F531">
            <v>6.7949743899999998E-2</v>
          </cell>
        </row>
        <row r="532">
          <cell r="B532">
            <v>0.18162594900000001</v>
          </cell>
          <cell r="C532">
            <v>0.28593290399999999</v>
          </cell>
          <cell r="D532">
            <v>0.16052770099999999</v>
          </cell>
          <cell r="E532">
            <v>0.214150914</v>
          </cell>
          <cell r="F532">
            <v>2.3131750400000001E-3</v>
          </cell>
        </row>
        <row r="533">
          <cell r="B533">
            <v>0.25601343900000001</v>
          </cell>
          <cell r="C533">
            <v>0.11370245299999999</v>
          </cell>
          <cell r="D533">
            <v>4.7893421800000002E-2</v>
          </cell>
          <cell r="E533">
            <v>8.6436131200000002E-2</v>
          </cell>
          <cell r="F533">
            <v>4.7267330199999999E-2</v>
          </cell>
        </row>
        <row r="534">
          <cell r="B534">
            <v>0.59353959199999995</v>
          </cell>
          <cell r="C534">
            <v>-0.48499230799999998</v>
          </cell>
          <cell r="D534">
            <v>-0.35473028000000001</v>
          </cell>
          <cell r="E534">
            <v>-0.46306385500000002</v>
          </cell>
          <cell r="F534">
            <v>-8.0089549199999999E-2</v>
          </cell>
        </row>
        <row r="535">
          <cell r="B535">
            <v>0.33884374299999998</v>
          </cell>
          <cell r="C535">
            <v>-0.38097547599999998</v>
          </cell>
          <cell r="D535">
            <v>-0.42101206400000002</v>
          </cell>
          <cell r="E535">
            <v>9.9850325399999995E-2</v>
          </cell>
          <cell r="F535">
            <v>-3.0011020099999998E-3</v>
          </cell>
        </row>
        <row r="536">
          <cell r="B536">
            <v>0.19149334700000001</v>
          </cell>
          <cell r="C536">
            <v>-1.23347391E-2</v>
          </cell>
          <cell r="D536">
            <v>-7.9634838099999994E-2</v>
          </cell>
          <cell r="E536">
            <v>0.15074268800000001</v>
          </cell>
          <cell r="F536">
            <v>-2.9685910499999999E-2</v>
          </cell>
        </row>
        <row r="537">
          <cell r="B537">
            <v>7.1812906999999995E-2</v>
          </cell>
          <cell r="C537">
            <v>1.4163042799999999E-3</v>
          </cell>
          <cell r="D537">
            <v>0.18453688400000001</v>
          </cell>
          <cell r="E537">
            <v>-0.255541931</v>
          </cell>
          <cell r="F537">
            <v>-0.24504405700000001</v>
          </cell>
        </row>
        <row r="538">
          <cell r="B538">
            <v>5.8746650499999997E-2</v>
          </cell>
          <cell r="C538">
            <v>0.109187189</v>
          </cell>
          <cell r="D538">
            <v>0.22890463899999999</v>
          </cell>
          <cell r="E538">
            <v>-0.16196309</v>
          </cell>
          <cell r="F538">
            <v>0.13120681100000001</v>
          </cell>
        </row>
        <row r="539">
          <cell r="B539">
            <v>-6.4532664399999995E-2</v>
          </cell>
          <cell r="C539">
            <v>-1.3339866800000001E-2</v>
          </cell>
          <cell r="D539">
            <v>4.4410819900000002E-2</v>
          </cell>
          <cell r="E539">
            <v>0.176161663</v>
          </cell>
          <cell r="F539">
            <v>-5.4965130600000002E-2</v>
          </cell>
        </row>
        <row r="540">
          <cell r="B540">
            <v>1.9509241199999999E-2</v>
          </cell>
          <cell r="C540">
            <v>-0.206687859</v>
          </cell>
          <cell r="D540">
            <v>-0.13202886</v>
          </cell>
          <cell r="E540">
            <v>-2.3725229900000001E-3</v>
          </cell>
          <cell r="F540">
            <v>0.24795698999999999</v>
          </cell>
        </row>
        <row r="541">
          <cell r="B541">
            <v>-0.19366746400000001</v>
          </cell>
          <cell r="C541">
            <v>-0.285070983</v>
          </cell>
          <cell r="D541">
            <v>-3.7689153099999997E-2</v>
          </cell>
          <cell r="E541">
            <v>4.6454381600000002E-3</v>
          </cell>
          <cell r="F541">
            <v>-8.2120365200000003E-2</v>
          </cell>
        </row>
        <row r="542">
          <cell r="B542">
            <v>-4.4875826100000002E-2</v>
          </cell>
          <cell r="C542">
            <v>-1.0366732700000001E-2</v>
          </cell>
          <cell r="D542">
            <v>3.2981738900000001E-3</v>
          </cell>
          <cell r="E542">
            <v>5.2437450300000001E-2</v>
          </cell>
          <cell r="F542">
            <v>0.25649137500000002</v>
          </cell>
        </row>
        <row r="543">
          <cell r="B543">
            <v>-0.16973980399999999</v>
          </cell>
          <cell r="C543">
            <v>0.167584381</v>
          </cell>
          <cell r="D543">
            <v>-5.2902931999999998E-3</v>
          </cell>
          <cell r="E543">
            <v>0.22423087899999999</v>
          </cell>
          <cell r="F543">
            <v>0.26317571099999998</v>
          </cell>
        </row>
        <row r="544">
          <cell r="B544">
            <v>-0.16326894</v>
          </cell>
          <cell r="C544">
            <v>-3.3297726E-2</v>
          </cell>
          <cell r="D544">
            <v>-2.6611091699999999E-2</v>
          </cell>
          <cell r="E544">
            <v>6.3719101700000003E-2</v>
          </cell>
          <cell r="F544">
            <v>6.9770440200000006E-2</v>
          </cell>
        </row>
        <row r="545">
          <cell r="B545">
            <v>-0.10620262900000001</v>
          </cell>
          <cell r="C545">
            <v>3.77678631E-2</v>
          </cell>
          <cell r="D545">
            <v>-0.14614566300000001</v>
          </cell>
          <cell r="E545">
            <v>-4.4842555700000002E-2</v>
          </cell>
          <cell r="F545">
            <v>0.29942229300000001</v>
          </cell>
        </row>
        <row r="546">
          <cell r="B546">
            <v>-0.30363591699999998</v>
          </cell>
          <cell r="C546">
            <v>-3.83629646E-2</v>
          </cell>
          <cell r="D546">
            <v>5.4316701699999997E-2</v>
          </cell>
          <cell r="E546">
            <v>-0.242102713</v>
          </cell>
          <cell r="F546">
            <v>0.13327455999999999</v>
          </cell>
        </row>
        <row r="547">
          <cell r="B547">
            <v>-0.405660939</v>
          </cell>
          <cell r="C547">
            <v>6.2478365899999999E-2</v>
          </cell>
          <cell r="D547">
            <v>0.16909845900000001</v>
          </cell>
          <cell r="E547">
            <v>-6.4670560500000002E-2</v>
          </cell>
          <cell r="F547">
            <v>5.4261443899999998E-2</v>
          </cell>
        </row>
        <row r="548">
          <cell r="B548">
            <v>4.1632463500000001E-2</v>
          </cell>
          <cell r="C548">
            <v>9.2095131499999996E-2</v>
          </cell>
          <cell r="D548">
            <v>0.13247456199999999</v>
          </cell>
          <cell r="E548">
            <v>-0.139534151</v>
          </cell>
          <cell r="F548">
            <v>0.39953849000000002</v>
          </cell>
        </row>
        <row r="549">
          <cell r="B549">
            <v>-0.19479417099999999</v>
          </cell>
          <cell r="C549">
            <v>-0.24152231599999999</v>
          </cell>
          <cell r="D549">
            <v>-0.103700998</v>
          </cell>
          <cell r="E549">
            <v>2.1566434200000002E-2</v>
          </cell>
          <cell r="F549">
            <v>0.13283131200000001</v>
          </cell>
        </row>
        <row r="550">
          <cell r="B550">
            <v>-8.0448829200000002E-2</v>
          </cell>
          <cell r="C550">
            <v>-0.17051359199999999</v>
          </cell>
          <cell r="D550">
            <v>-0.12935813900000001</v>
          </cell>
          <cell r="E550">
            <v>-4.0616283599999997E-2</v>
          </cell>
          <cell r="F550">
            <v>0.17264348400000001</v>
          </cell>
        </row>
        <row r="551">
          <cell r="B551">
            <v>-8.9736563000000005E-2</v>
          </cell>
          <cell r="C551">
            <v>-2.27630926E-2</v>
          </cell>
          <cell r="D551">
            <v>-6.9374111500000002E-2</v>
          </cell>
          <cell r="E551">
            <v>3.7677384999999998E-3</v>
          </cell>
          <cell r="F551">
            <v>0.10085606599999999</v>
          </cell>
        </row>
        <row r="552">
          <cell r="B552">
            <v>-0.33787505000000001</v>
          </cell>
          <cell r="C552">
            <v>0.29635160300000002</v>
          </cell>
          <cell r="D552">
            <v>0.17175488799999999</v>
          </cell>
          <cell r="E552">
            <v>0.24880870299999999</v>
          </cell>
          <cell r="F552">
            <v>8.1459568800000007E-2</v>
          </cell>
        </row>
        <row r="553">
          <cell r="B553">
            <v>-8.4089673099999998E-2</v>
          </cell>
          <cell r="C553">
            <v>0.19694998799999999</v>
          </cell>
          <cell r="D553">
            <v>0.107670814</v>
          </cell>
          <cell r="E553">
            <v>0.10714541700000001</v>
          </cell>
          <cell r="F553">
            <v>0.21591686800000001</v>
          </cell>
        </row>
        <row r="554">
          <cell r="B554">
            <v>-0.210437398</v>
          </cell>
          <cell r="C554">
            <v>-0.35769846900000002</v>
          </cell>
          <cell r="D554">
            <v>-0.24262869500000001</v>
          </cell>
          <cell r="E554">
            <v>-0.18231973100000001</v>
          </cell>
          <cell r="F554">
            <v>-0.107154047</v>
          </cell>
        </row>
        <row r="555">
          <cell r="B555">
            <v>-1.9098563900000001E-2</v>
          </cell>
          <cell r="C555">
            <v>-0.106858628</v>
          </cell>
          <cell r="D555">
            <v>2.00860712E-2</v>
          </cell>
          <cell r="E555">
            <v>-0.19707569</v>
          </cell>
          <cell r="F555">
            <v>1.8836272800000001E-2</v>
          </cell>
        </row>
        <row r="556">
          <cell r="B556">
            <v>-0.26716182199999999</v>
          </cell>
          <cell r="C556">
            <v>6.0993121800000001E-2</v>
          </cell>
          <cell r="D556">
            <v>-3.0355646600000001E-2</v>
          </cell>
          <cell r="E556">
            <v>5.3492906100000001E-2</v>
          </cell>
          <cell r="F556">
            <v>-6.4261131400000001E-3</v>
          </cell>
        </row>
        <row r="557">
          <cell r="B557">
            <v>-6.2710777400000001E-2</v>
          </cell>
          <cell r="C557">
            <v>0.197571837</v>
          </cell>
          <cell r="D557">
            <v>0.151907718</v>
          </cell>
          <cell r="E557">
            <v>-0.133020577</v>
          </cell>
          <cell r="F557">
            <v>0.243170625</v>
          </cell>
        </row>
        <row r="558">
          <cell r="B558">
            <v>-0.151938569</v>
          </cell>
          <cell r="C558">
            <v>6.0582327300000002E-2</v>
          </cell>
          <cell r="D558">
            <v>-9.6986074899999997E-2</v>
          </cell>
          <cell r="E558">
            <v>-2.64139005E-2</v>
          </cell>
          <cell r="F558">
            <v>7.8610269299999994E-2</v>
          </cell>
        </row>
        <row r="559">
          <cell r="B559">
            <v>1.21761999E-2</v>
          </cell>
          <cell r="C559">
            <v>-0.22855846499999999</v>
          </cell>
          <cell r="D559">
            <v>-0.29836336800000002</v>
          </cell>
          <cell r="E559">
            <v>-0.19516064399999999</v>
          </cell>
          <cell r="F559">
            <v>-0.110651179</v>
          </cell>
        </row>
        <row r="560">
          <cell r="B560">
            <v>-9.5572466600000003E-2</v>
          </cell>
          <cell r="C560">
            <v>-0.18466479799999999</v>
          </cell>
          <cell r="D560">
            <v>-0.209371064</v>
          </cell>
          <cell r="E560">
            <v>-9.0744623400000002E-2</v>
          </cell>
          <cell r="F560">
            <v>3.5415411000000001E-2</v>
          </cell>
        </row>
        <row r="561">
          <cell r="B561">
            <v>-0.124444677</v>
          </cell>
          <cell r="C561">
            <v>0.28274917999999999</v>
          </cell>
          <cell r="D561">
            <v>0.10940201300000001</v>
          </cell>
          <cell r="E561">
            <v>-0.104133472</v>
          </cell>
          <cell r="F561">
            <v>0.16986578599999999</v>
          </cell>
        </row>
        <row r="562">
          <cell r="B562">
            <v>-0.16963667499999999</v>
          </cell>
          <cell r="C562">
            <v>0.294201086</v>
          </cell>
          <cell r="D562">
            <v>0.11460015699999999</v>
          </cell>
          <cell r="E562">
            <v>0.108139842</v>
          </cell>
          <cell r="F562">
            <v>0.14086468099999999</v>
          </cell>
        </row>
        <row r="563">
          <cell r="B563">
            <v>4.7239669800000002E-2</v>
          </cell>
          <cell r="C563">
            <v>1.0215219799999999</v>
          </cell>
          <cell r="D563">
            <v>0.29174044799999999</v>
          </cell>
          <cell r="E563">
            <v>0.29966598</v>
          </cell>
          <cell r="F563">
            <v>0.56233086399999999</v>
          </cell>
        </row>
        <row r="564">
          <cell r="B564">
            <v>-0.47282966799999998</v>
          </cell>
          <cell r="C564">
            <v>-3.1611908899999999E-2</v>
          </cell>
          <cell r="D564">
            <v>7.36406488E-2</v>
          </cell>
          <cell r="E564">
            <v>-0.16887761500000001</v>
          </cell>
          <cell r="F564">
            <v>-0.112952674</v>
          </cell>
        </row>
        <row r="565">
          <cell r="B565">
            <v>-0.19779480299999999</v>
          </cell>
          <cell r="C565">
            <v>-0.61626044099999999</v>
          </cell>
          <cell r="D565">
            <v>-0.41534014400000002</v>
          </cell>
          <cell r="E565">
            <v>-0.50842213000000003</v>
          </cell>
          <cell r="F565">
            <v>-0.10405318099999999</v>
          </cell>
        </row>
        <row r="566">
          <cell r="B566">
            <v>-9.3986767600000007E-2</v>
          </cell>
          <cell r="C566">
            <v>-0.22247857200000001</v>
          </cell>
          <cell r="D566">
            <v>-0.15225393200000001</v>
          </cell>
          <cell r="E566">
            <v>-0.104473942</v>
          </cell>
          <cell r="F566">
            <v>8.5461522600000006E-2</v>
          </cell>
        </row>
        <row r="567">
          <cell r="B567">
            <v>-0.34456286800000002</v>
          </cell>
          <cell r="C567">
            <v>0.232568098</v>
          </cell>
          <cell r="D567">
            <v>-7.2881272100000005E-2</v>
          </cell>
          <cell r="E567">
            <v>0.12394015799999999</v>
          </cell>
          <cell r="F567">
            <v>0.24465673600000001</v>
          </cell>
        </row>
        <row r="568">
          <cell r="B568">
            <v>-2.69930554E-2</v>
          </cell>
          <cell r="C568">
            <v>-0.227815398</v>
          </cell>
          <cell r="D568">
            <v>-0.21243458100000001</v>
          </cell>
          <cell r="E568">
            <v>-0.41786782</v>
          </cell>
          <cell r="F568">
            <v>5.0871899599999999E-2</v>
          </cell>
        </row>
        <row r="569">
          <cell r="B569">
            <v>-0.194033331</v>
          </cell>
          <cell r="C569">
            <v>-2.69515673E-2</v>
          </cell>
          <cell r="D569">
            <v>-9.5007566900000007E-2</v>
          </cell>
          <cell r="E569">
            <v>-0.18890791500000001</v>
          </cell>
          <cell r="F569">
            <v>6.3441352899999998E-2</v>
          </cell>
        </row>
        <row r="570">
          <cell r="B570">
            <v>-0.26380711299999998</v>
          </cell>
          <cell r="C570">
            <v>0.312795557</v>
          </cell>
          <cell r="D570">
            <v>0.16725751599999999</v>
          </cell>
          <cell r="E570">
            <v>3.4636243499999997E-2</v>
          </cell>
          <cell r="F570">
            <v>0.20598396799999999</v>
          </cell>
        </row>
        <row r="571">
          <cell r="B571">
            <v>3.0006386600000001E-2</v>
          </cell>
          <cell r="C571">
            <v>0.151558522</v>
          </cell>
          <cell r="D571">
            <v>-8.6272831099999995E-4</v>
          </cell>
          <cell r="E571">
            <v>-4.7836295299999998E-2</v>
          </cell>
          <cell r="F571">
            <v>0.300713748</v>
          </cell>
        </row>
        <row r="572">
          <cell r="B572">
            <v>-9.6184916800000006E-2</v>
          </cell>
          <cell r="C572">
            <v>-7.5447616999999995E-2</v>
          </cell>
          <cell r="D572">
            <v>-4.9792612999999999E-2</v>
          </cell>
          <cell r="E572">
            <v>-0.154926437</v>
          </cell>
          <cell r="F572">
            <v>1.0828295599999999E-2</v>
          </cell>
        </row>
        <row r="573">
          <cell r="B573">
            <v>5.0874592400000002E-2</v>
          </cell>
          <cell r="C573">
            <v>0.17128891700000001</v>
          </cell>
          <cell r="D573">
            <v>2.00733072E-3</v>
          </cell>
          <cell r="E573">
            <v>-8.5450823499999995E-2</v>
          </cell>
          <cell r="F573">
            <v>0.211941352</v>
          </cell>
        </row>
        <row r="574">
          <cell r="B574">
            <v>-7.8164773199999996E-2</v>
          </cell>
          <cell r="C574">
            <v>0.112900482</v>
          </cell>
          <cell r="D574">
            <v>-5.5998604799999997E-2</v>
          </cell>
          <cell r="E574">
            <v>0.12514868300000001</v>
          </cell>
          <cell r="F574">
            <v>4.6579711099999997E-2</v>
          </cell>
        </row>
        <row r="575">
          <cell r="B575">
            <v>0.18100675399999999</v>
          </cell>
          <cell r="C575">
            <v>-0.57147024099999999</v>
          </cell>
          <cell r="D575">
            <v>-0.55326692200000005</v>
          </cell>
          <cell r="E575">
            <v>-0.40963970900000002</v>
          </cell>
          <cell r="F575">
            <v>3.2431041000000001E-2</v>
          </cell>
        </row>
        <row r="576">
          <cell r="B576">
            <v>0.25707267700000003</v>
          </cell>
          <cell r="C576">
            <v>-0.58877414900000002</v>
          </cell>
          <cell r="D576">
            <v>-0.377437525</v>
          </cell>
          <cell r="E576">
            <v>-0.47418955200000001</v>
          </cell>
          <cell r="F576">
            <v>-2.2501668400000001E-2</v>
          </cell>
        </row>
        <row r="577">
          <cell r="B577">
            <v>0.101432357</v>
          </cell>
          <cell r="C577">
            <v>-4.9630927700000001E-2</v>
          </cell>
          <cell r="D577">
            <v>-0.18021253800000001</v>
          </cell>
          <cell r="E577">
            <v>-4.9560786099999997E-2</v>
          </cell>
          <cell r="F577">
            <v>0.164227809</v>
          </cell>
        </row>
        <row r="578">
          <cell r="B578">
            <v>-0.24059957200000001</v>
          </cell>
          <cell r="C578">
            <v>0.131111541</v>
          </cell>
          <cell r="D578">
            <v>-8.6158025299999993E-3</v>
          </cell>
          <cell r="E578">
            <v>0.173633185</v>
          </cell>
          <cell r="F578">
            <v>-2.4693211E-2</v>
          </cell>
        </row>
        <row r="579">
          <cell r="B579">
            <v>0.21267883900000001</v>
          </cell>
          <cell r="C579">
            <v>-9.7474437099999995E-3</v>
          </cell>
          <cell r="D579">
            <v>-9.7479184499999996E-2</v>
          </cell>
          <cell r="E579">
            <v>-0.38337026299999999</v>
          </cell>
          <cell r="F579">
            <v>2.28206151E-2</v>
          </cell>
        </row>
        <row r="580">
          <cell r="B580">
            <v>-0.121260505</v>
          </cell>
          <cell r="C580">
            <v>0.15383970599999999</v>
          </cell>
          <cell r="D580">
            <v>8.16681395E-2</v>
          </cell>
          <cell r="E580">
            <v>0.10416288999999999</v>
          </cell>
          <cell r="F580">
            <v>-0.124668001</v>
          </cell>
        </row>
        <row r="581">
          <cell r="B581">
            <v>-7.6306629900000006E-2</v>
          </cell>
          <cell r="C581">
            <v>0.22546263699999999</v>
          </cell>
          <cell r="D581">
            <v>6.0985223E-3</v>
          </cell>
          <cell r="E581">
            <v>0.18350655399999999</v>
          </cell>
          <cell r="F581">
            <v>0.19430298100000001</v>
          </cell>
        </row>
        <row r="582">
          <cell r="B582">
            <v>-6.9294341100000004E-2</v>
          </cell>
          <cell r="C582">
            <v>9.0110208600000005E-2</v>
          </cell>
          <cell r="D582">
            <v>7.3057619300000001E-2</v>
          </cell>
          <cell r="E582">
            <v>6.4538984800000004E-2</v>
          </cell>
          <cell r="F582">
            <v>9.1913253299999997E-2</v>
          </cell>
        </row>
        <row r="583">
          <cell r="B583">
            <v>3.3026288299999999E-3</v>
          </cell>
          <cell r="C583">
            <v>0.18266000700000001</v>
          </cell>
          <cell r="D583">
            <v>2.8987089800000001E-2</v>
          </cell>
          <cell r="E583">
            <v>7.0622354300000001E-3</v>
          </cell>
          <cell r="F583">
            <v>0.205075374</v>
          </cell>
        </row>
        <row r="584">
          <cell r="B584">
            <v>2.4075676899999999E-2</v>
          </cell>
          <cell r="C584">
            <v>1.46884454E-2</v>
          </cell>
          <cell r="D584">
            <v>6.5410567599999997E-2</v>
          </cell>
          <cell r="E584">
            <v>-0.179602502</v>
          </cell>
          <cell r="F584">
            <v>8.4231981999999997E-2</v>
          </cell>
        </row>
        <row r="585">
          <cell r="B585">
            <v>0.118096402</v>
          </cell>
          <cell r="C585">
            <v>1.04485663E-2</v>
          </cell>
          <cell r="D585">
            <v>-2.25976523E-2</v>
          </cell>
          <cell r="E585">
            <v>6.9267133199999997E-3</v>
          </cell>
          <cell r="F585">
            <v>0.146206894</v>
          </cell>
        </row>
        <row r="586">
          <cell r="B586">
            <v>0.37127349999999998</v>
          </cell>
          <cell r="C586">
            <v>-0.24988096200000001</v>
          </cell>
          <cell r="D586">
            <v>-0.28129612399999998</v>
          </cell>
          <cell r="E586">
            <v>-0.14670544799999999</v>
          </cell>
          <cell r="F586">
            <v>2.0436343400000001E-2</v>
          </cell>
        </row>
        <row r="587">
          <cell r="B587">
            <v>7.2245051300000002E-2</v>
          </cell>
          <cell r="C587">
            <v>0.19878900799999999</v>
          </cell>
          <cell r="D587">
            <v>2.5603199900000002E-2</v>
          </cell>
          <cell r="E587">
            <v>0.195038563</v>
          </cell>
          <cell r="F587">
            <v>7.2774223700000001E-2</v>
          </cell>
        </row>
        <row r="588">
          <cell r="B588">
            <v>0.23701241300000001</v>
          </cell>
          <cell r="C588">
            <v>0.26150269599999998</v>
          </cell>
          <cell r="D588">
            <v>1.51760201E-2</v>
          </cell>
          <cell r="E588">
            <v>5.62059024E-2</v>
          </cell>
          <cell r="F588">
            <v>0.34447716</v>
          </cell>
        </row>
        <row r="589">
          <cell r="B589">
            <v>-5.2093436799999997E-2</v>
          </cell>
          <cell r="C589">
            <v>0.50367839800000003</v>
          </cell>
          <cell r="D589">
            <v>2.64409348E-2</v>
          </cell>
          <cell r="E589">
            <v>0.47704155100000001</v>
          </cell>
          <cell r="F589">
            <v>0.127867122</v>
          </cell>
        </row>
        <row r="590">
          <cell r="B590">
            <v>0.24129382799999999</v>
          </cell>
          <cell r="C590">
            <v>4.8275023299999997E-2</v>
          </cell>
          <cell r="D590">
            <v>-5.84858163E-2</v>
          </cell>
          <cell r="E590">
            <v>-0.16442094300000001</v>
          </cell>
          <cell r="F590">
            <v>-3.1112400700000001E-2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>
        <row r="240">
          <cell r="B240">
            <v>2.9336769999999999</v>
          </cell>
          <cell r="C240">
            <v>2.9336769999999999</v>
          </cell>
        </row>
        <row r="241">
          <cell r="B241">
            <v>0</v>
          </cell>
          <cell r="C241">
            <v>2.9336769999999999</v>
          </cell>
        </row>
        <row r="242">
          <cell r="B242">
            <v>0.3894842</v>
          </cell>
          <cell r="C242">
            <v>3.3231609999999998</v>
          </cell>
        </row>
        <row r="243">
          <cell r="B243">
            <v>-1.3811789999999999</v>
          </cell>
          <cell r="C243">
            <v>1.9419820000000001</v>
          </cell>
        </row>
        <row r="244">
          <cell r="B244">
            <v>0</v>
          </cell>
          <cell r="C244">
            <v>1.9419820000000001</v>
          </cell>
        </row>
        <row r="245">
          <cell r="B245">
            <v>-0.2211234</v>
          </cell>
          <cell r="C245">
            <v>1.7208589999999999</v>
          </cell>
        </row>
        <row r="246">
          <cell r="B246">
            <v>0</v>
          </cell>
          <cell r="C246">
            <v>1.7208589999999999</v>
          </cell>
        </row>
        <row r="247">
          <cell r="B247">
            <v>-0.55277469999999995</v>
          </cell>
          <cell r="C247">
            <v>1.1680839999999999</v>
          </cell>
        </row>
        <row r="248">
          <cell r="B248">
            <v>-0.61311510000000002</v>
          </cell>
          <cell r="C248">
            <v>0.55496880000000004</v>
          </cell>
        </row>
        <row r="249">
          <cell r="B249">
            <v>0</v>
          </cell>
          <cell r="C249">
            <v>0.55496880000000004</v>
          </cell>
        </row>
        <row r="250">
          <cell r="B250">
            <v>0.22217400000000001</v>
          </cell>
          <cell r="C250">
            <v>0.77714280000000002</v>
          </cell>
        </row>
        <row r="251">
          <cell r="B251">
            <v>-0.20887510000000001</v>
          </cell>
          <cell r="C251">
            <v>0.56826770000000004</v>
          </cell>
        </row>
        <row r="252">
          <cell r="B252">
            <v>-0.87765470000000001</v>
          </cell>
          <cell r="C252">
            <v>-0.30938700000000002</v>
          </cell>
        </row>
        <row r="253">
          <cell r="B253">
            <v>0</v>
          </cell>
          <cell r="C253">
            <v>-0.30938700000000002</v>
          </cell>
        </row>
        <row r="254">
          <cell r="B254">
            <v>-8.0684800000000001E-2</v>
          </cell>
          <cell r="C254">
            <v>-0.39007170000000002</v>
          </cell>
        </row>
        <row r="255">
          <cell r="B255">
            <v>-3.8194199999999998E-2</v>
          </cell>
          <cell r="C255">
            <v>-0.42826599999999998</v>
          </cell>
        </row>
        <row r="256">
          <cell r="B256">
            <v>0</v>
          </cell>
          <cell r="C256">
            <v>-0.42826599999999998</v>
          </cell>
        </row>
        <row r="257">
          <cell r="B257">
            <v>0.18592410000000001</v>
          </cell>
          <cell r="C257">
            <v>-0.2423418</v>
          </cell>
        </row>
        <row r="258">
          <cell r="B258">
            <v>0</v>
          </cell>
          <cell r="C258">
            <v>-0.2423418</v>
          </cell>
        </row>
        <row r="259">
          <cell r="B259">
            <v>0.15653529999999999</v>
          </cell>
          <cell r="C259">
            <v>-8.5806499999999994E-2</v>
          </cell>
        </row>
        <row r="260">
          <cell r="B260">
            <v>0.87763769999999997</v>
          </cell>
          <cell r="C260">
            <v>0.79183110000000001</v>
          </cell>
        </row>
        <row r="261">
          <cell r="B261">
            <v>0</v>
          </cell>
          <cell r="C261">
            <v>0.79183110000000001</v>
          </cell>
        </row>
        <row r="262">
          <cell r="B262">
            <v>-0.1096345</v>
          </cell>
          <cell r="C262">
            <v>0.68219660000000004</v>
          </cell>
        </row>
        <row r="263">
          <cell r="B263">
            <v>0.2390524</v>
          </cell>
          <cell r="C263">
            <v>0.92124899999999998</v>
          </cell>
        </row>
        <row r="264">
          <cell r="B264">
            <v>-2.4163060000000001</v>
          </cell>
          <cell r="C264">
            <v>-1.4950570000000001</v>
          </cell>
        </row>
        <row r="265">
          <cell r="B265">
            <v>0</v>
          </cell>
          <cell r="C265">
            <v>-1.4950570000000001</v>
          </cell>
        </row>
        <row r="266">
          <cell r="B266">
            <v>-0.12728800000000001</v>
          </cell>
          <cell r="C266">
            <v>-1.6223449999999999</v>
          </cell>
        </row>
        <row r="267">
          <cell r="B267">
            <v>-0.55667529999999998</v>
          </cell>
          <cell r="C267">
            <v>-2.17902</v>
          </cell>
        </row>
        <row r="268">
          <cell r="B268">
            <v>0</v>
          </cell>
          <cell r="C268">
            <v>-2.17902</v>
          </cell>
        </row>
        <row r="269">
          <cell r="B269">
            <v>6.0473600000000002E-2</v>
          </cell>
          <cell r="C269">
            <v>-2.118547</v>
          </cell>
        </row>
        <row r="270">
          <cell r="B270">
            <v>0</v>
          </cell>
          <cell r="C270">
            <v>-2.118547</v>
          </cell>
        </row>
        <row r="271">
          <cell r="B271">
            <v>0.15653529999999999</v>
          </cell>
          <cell r="C271">
            <v>-1.9620109999999999</v>
          </cell>
        </row>
        <row r="272">
          <cell r="B272">
            <v>0.83135840000000005</v>
          </cell>
          <cell r="C272">
            <v>-1.1306529999999999</v>
          </cell>
        </row>
        <row r="273">
          <cell r="B273">
            <v>0</v>
          </cell>
          <cell r="C273">
            <v>-1.1306529999999999</v>
          </cell>
        </row>
        <row r="274">
          <cell r="B274">
            <v>0.1815766</v>
          </cell>
          <cell r="C274">
            <v>-0.94907640000000004</v>
          </cell>
        </row>
        <row r="275">
          <cell r="B275">
            <v>-2.0316890000000001</v>
          </cell>
          <cell r="C275">
            <v>-2.980766</v>
          </cell>
        </row>
        <row r="276">
          <cell r="B276">
            <v>1.2794810000000001</v>
          </cell>
          <cell r="C276">
            <v>-1.7012849999999999</v>
          </cell>
        </row>
        <row r="277">
          <cell r="B277">
            <v>0</v>
          </cell>
          <cell r="C277">
            <v>-1.7012849999999999</v>
          </cell>
        </row>
        <row r="278">
          <cell r="B278">
            <v>5.19576E-2</v>
          </cell>
          <cell r="C278">
            <v>-1.649327</v>
          </cell>
        </row>
        <row r="279">
          <cell r="B279">
            <v>-0.32216939999999999</v>
          </cell>
          <cell r="C279">
            <v>-1.9714970000000001</v>
          </cell>
        </row>
        <row r="280">
          <cell r="B280">
            <v>0</v>
          </cell>
          <cell r="C280">
            <v>-1.9714970000000001</v>
          </cell>
        </row>
        <row r="281">
          <cell r="B281">
            <v>1.0783499999999999</v>
          </cell>
          <cell r="C281">
            <v>-0.89314640000000001</v>
          </cell>
        </row>
        <row r="282">
          <cell r="B282">
            <v>0</v>
          </cell>
          <cell r="C282">
            <v>-0.89314640000000001</v>
          </cell>
        </row>
        <row r="283">
          <cell r="B283">
            <v>-5.5399240000000001</v>
          </cell>
          <cell r="C283">
            <v>-6.4330699999999998</v>
          </cell>
        </row>
        <row r="284">
          <cell r="B284">
            <v>0.3809592</v>
          </cell>
          <cell r="C284">
            <v>-6.052111</v>
          </cell>
        </row>
        <row r="285">
          <cell r="B285">
            <v>0</v>
          </cell>
          <cell r="C285">
            <v>-6.052111</v>
          </cell>
        </row>
        <row r="286">
          <cell r="B286">
            <v>1.4744699999999999</v>
          </cell>
          <cell r="C286">
            <v>-4.5776409999999998</v>
          </cell>
        </row>
        <row r="287">
          <cell r="B287">
            <v>-0.95156399999999997</v>
          </cell>
          <cell r="C287">
            <v>-5.5292050000000001</v>
          </cell>
        </row>
        <row r="288">
          <cell r="B288">
            <v>-0.1870231</v>
          </cell>
          <cell r="C288">
            <v>-5.7162280000000001</v>
          </cell>
        </row>
        <row r="289">
          <cell r="B289">
            <v>0</v>
          </cell>
          <cell r="C289">
            <v>-5.7162280000000001</v>
          </cell>
        </row>
        <row r="290">
          <cell r="B290">
            <v>-0.35615010000000002</v>
          </cell>
          <cell r="C290">
            <v>-6.0723779999999996</v>
          </cell>
        </row>
        <row r="291">
          <cell r="B291">
            <v>0.28128760000000003</v>
          </cell>
          <cell r="C291">
            <v>-5.7910899999999996</v>
          </cell>
        </row>
        <row r="292">
          <cell r="B292">
            <v>0</v>
          </cell>
          <cell r="C292">
            <v>-5.7910899999999996</v>
          </cell>
        </row>
        <row r="293">
          <cell r="B293">
            <v>-0.51487110000000003</v>
          </cell>
          <cell r="C293">
            <v>-6.3059620000000001</v>
          </cell>
        </row>
        <row r="294">
          <cell r="B294">
            <v>0</v>
          </cell>
          <cell r="C294">
            <v>-6.3059620000000001</v>
          </cell>
        </row>
        <row r="295">
          <cell r="B295">
            <v>9.6494999999999997E-2</v>
          </cell>
          <cell r="C295">
            <v>-6.2094659999999999</v>
          </cell>
        </row>
        <row r="296">
          <cell r="B296">
            <v>0.17742050000000001</v>
          </cell>
          <cell r="C296">
            <v>-6.0320460000000002</v>
          </cell>
        </row>
        <row r="297">
          <cell r="B297">
            <v>9.4637100000000002E-2</v>
          </cell>
          <cell r="C297">
            <v>-5.9374089999999997</v>
          </cell>
        </row>
        <row r="298">
          <cell r="B298">
            <v>0</v>
          </cell>
          <cell r="C298">
            <v>-5.9374089999999997</v>
          </cell>
        </row>
        <row r="299">
          <cell r="B299">
            <v>4.4044100000000003E-2</v>
          </cell>
          <cell r="C299">
            <v>-5.8933650000000002</v>
          </cell>
        </row>
        <row r="300">
          <cell r="B300">
            <v>0.1056618</v>
          </cell>
          <cell r="C300">
            <v>-5.7877029999999996</v>
          </cell>
        </row>
        <row r="301">
          <cell r="B301">
            <v>0</v>
          </cell>
          <cell r="C301">
            <v>-5.7877029999999996</v>
          </cell>
        </row>
        <row r="302">
          <cell r="B302">
            <v>1.650469</v>
          </cell>
          <cell r="C302">
            <v>-4.1372340000000003</v>
          </cell>
        </row>
        <row r="303">
          <cell r="B303">
            <v>-0.44397809999999999</v>
          </cell>
          <cell r="C303">
            <v>-4.581213</v>
          </cell>
        </row>
        <row r="304">
          <cell r="B304">
            <v>0</v>
          </cell>
          <cell r="C304">
            <v>-4.581213</v>
          </cell>
        </row>
        <row r="305">
          <cell r="B305">
            <v>-1.0938509999999999</v>
          </cell>
          <cell r="C305">
            <v>-5.6750639999999999</v>
          </cell>
        </row>
        <row r="306">
          <cell r="B306">
            <v>0</v>
          </cell>
          <cell r="C306">
            <v>-5.6750639999999999</v>
          </cell>
        </row>
        <row r="307">
          <cell r="B307">
            <v>2.6715599999999999E-2</v>
          </cell>
          <cell r="C307">
            <v>-5.6483480000000004</v>
          </cell>
        </row>
        <row r="308">
          <cell r="B308">
            <v>0.52684330000000001</v>
          </cell>
          <cell r="C308">
            <v>-5.121505</v>
          </cell>
        </row>
        <row r="309">
          <cell r="B309">
            <v>-0.18210499999999999</v>
          </cell>
          <cell r="C309">
            <v>-5.3036099999999999</v>
          </cell>
        </row>
        <row r="310">
          <cell r="B310">
            <v>0</v>
          </cell>
          <cell r="C310">
            <v>-5.3036099999999999</v>
          </cell>
        </row>
        <row r="311">
          <cell r="B311">
            <v>1.2590380000000001</v>
          </cell>
          <cell r="C311">
            <v>-4.0445719999999996</v>
          </cell>
        </row>
        <row r="312">
          <cell r="B312">
            <v>-0.79857920000000004</v>
          </cell>
          <cell r="C312">
            <v>-4.8431509999999998</v>
          </cell>
        </row>
        <row r="313">
          <cell r="B313">
            <v>0</v>
          </cell>
          <cell r="C313">
            <v>-4.8431509999999998</v>
          </cell>
        </row>
        <row r="314">
          <cell r="B314">
            <v>0.73424330000000004</v>
          </cell>
          <cell r="C314">
            <v>-4.1089079999999996</v>
          </cell>
        </row>
        <row r="315">
          <cell r="B315">
            <v>1.065744</v>
          </cell>
          <cell r="C315">
            <v>-3.043164</v>
          </cell>
        </row>
        <row r="316">
          <cell r="B316">
            <v>0</v>
          </cell>
          <cell r="C316">
            <v>-3.043164</v>
          </cell>
        </row>
        <row r="317">
          <cell r="B317">
            <v>-0.26358009999999998</v>
          </cell>
          <cell r="C317">
            <v>-3.3067440000000001</v>
          </cell>
        </row>
        <row r="318">
          <cell r="B318">
            <v>0</v>
          </cell>
          <cell r="C318">
            <v>-3.3067440000000001</v>
          </cell>
        </row>
        <row r="319">
          <cell r="B319">
            <v>-1.861424</v>
          </cell>
          <cell r="C319">
            <v>-5.1681679999999997</v>
          </cell>
        </row>
        <row r="320">
          <cell r="B320">
            <v>0.33828439999999999</v>
          </cell>
          <cell r="C320">
            <v>-4.8298839999999998</v>
          </cell>
        </row>
        <row r="321">
          <cell r="B321">
            <v>0.67204019999999998</v>
          </cell>
          <cell r="C321">
            <v>-4.1578439999999999</v>
          </cell>
        </row>
        <row r="322">
          <cell r="B322">
            <v>0</v>
          </cell>
          <cell r="C322">
            <v>-4.1578439999999999</v>
          </cell>
        </row>
        <row r="323">
          <cell r="B323">
            <v>0.5877289</v>
          </cell>
          <cell r="C323">
            <v>-3.5701149999999999</v>
          </cell>
        </row>
        <row r="324">
          <cell r="B324">
            <v>-1.4427239999999999</v>
          </cell>
          <cell r="C324">
            <v>-5.0128380000000003</v>
          </cell>
        </row>
        <row r="325">
          <cell r="B325">
            <v>-1.078066</v>
          </cell>
          <cell r="C325">
            <v>-6.0909040000000001</v>
          </cell>
        </row>
        <row r="326">
          <cell r="B326">
            <v>0</v>
          </cell>
          <cell r="C326">
            <v>-6.0909040000000001</v>
          </cell>
        </row>
        <row r="327">
          <cell r="B327">
            <v>-8.6669999999999998E-4</v>
          </cell>
          <cell r="C327">
            <v>-6.0917709999999996</v>
          </cell>
        </row>
        <row r="328">
          <cell r="B328">
            <v>0</v>
          </cell>
          <cell r="C328">
            <v>-6.0917709999999996</v>
          </cell>
        </row>
        <row r="329">
          <cell r="B329">
            <v>0.45165529999999998</v>
          </cell>
          <cell r="C329">
            <v>-5.6401159999999999</v>
          </cell>
        </row>
        <row r="330">
          <cell r="B330">
            <v>0</v>
          </cell>
          <cell r="C330">
            <v>-5.6401159999999999</v>
          </cell>
        </row>
        <row r="331">
          <cell r="B331">
            <v>-0.36684909999999998</v>
          </cell>
          <cell r="C331">
            <v>-6.0069650000000001</v>
          </cell>
        </row>
        <row r="332">
          <cell r="B332">
            <v>0.109957</v>
          </cell>
          <cell r="C332">
            <v>-5.8970070000000003</v>
          </cell>
        </row>
        <row r="333">
          <cell r="B333">
            <v>-1.9894639999999999</v>
          </cell>
          <cell r="C333">
            <v>-7.8864710000000002</v>
          </cell>
        </row>
        <row r="334">
          <cell r="B334">
            <v>0</v>
          </cell>
          <cell r="C334">
            <v>-7.8864710000000002</v>
          </cell>
        </row>
        <row r="335">
          <cell r="B335">
            <v>0.32868439999999999</v>
          </cell>
          <cell r="C335">
            <v>-7.5577870000000003</v>
          </cell>
        </row>
        <row r="336">
          <cell r="B336">
            <v>0.39568500000000001</v>
          </cell>
          <cell r="C336">
            <v>-7.162102</v>
          </cell>
        </row>
        <row r="337">
          <cell r="B337">
            <v>0</v>
          </cell>
          <cell r="C337">
            <v>-7.162102</v>
          </cell>
        </row>
        <row r="338">
          <cell r="B338">
            <v>0.15748100000000001</v>
          </cell>
          <cell r="C338">
            <v>-7.0046210000000002</v>
          </cell>
        </row>
        <row r="339">
          <cell r="B339">
            <v>0.9079431</v>
          </cell>
          <cell r="C339">
            <v>-6.0966769999999997</v>
          </cell>
        </row>
        <row r="340">
          <cell r="B340">
            <v>0</v>
          </cell>
          <cell r="C340">
            <v>-6.0966769999999997</v>
          </cell>
        </row>
        <row r="341">
          <cell r="B341">
            <v>-1.153122</v>
          </cell>
          <cell r="C341">
            <v>-7.2497990000000003</v>
          </cell>
        </row>
        <row r="342">
          <cell r="B342">
            <v>0</v>
          </cell>
          <cell r="C342">
            <v>-7.2497990000000003</v>
          </cell>
        </row>
        <row r="343">
          <cell r="B343">
            <v>-0.25677939999999999</v>
          </cell>
          <cell r="C343">
            <v>-7.5065780000000002</v>
          </cell>
        </row>
        <row r="344">
          <cell r="B344">
            <v>0.41531760000000001</v>
          </cell>
          <cell r="C344">
            <v>-7.0912600000000001</v>
          </cell>
        </row>
        <row r="345">
          <cell r="B345">
            <v>0.1356504</v>
          </cell>
          <cell r="C345">
            <v>-6.9556100000000001</v>
          </cell>
        </row>
        <row r="346">
          <cell r="B346">
            <v>0</v>
          </cell>
          <cell r="C346">
            <v>-6.9556100000000001</v>
          </cell>
        </row>
        <row r="347">
          <cell r="B347">
            <v>6.1026200000000003E-2</v>
          </cell>
          <cell r="C347">
            <v>-6.894584</v>
          </cell>
        </row>
        <row r="348">
          <cell r="B348">
            <v>0.10315589999999999</v>
          </cell>
          <cell r="C348">
            <v>-6.7914279999999998</v>
          </cell>
        </row>
        <row r="349">
          <cell r="B349">
            <v>0</v>
          </cell>
          <cell r="C349">
            <v>-6.7914279999999998</v>
          </cell>
        </row>
        <row r="350">
          <cell r="B350">
            <v>9.4037999999999997E-2</v>
          </cell>
          <cell r="C350">
            <v>-6.6973900000000004</v>
          </cell>
        </row>
        <row r="351">
          <cell r="B351">
            <v>0.10566200000000001</v>
          </cell>
          <cell r="C351">
            <v>-6.5917279999999998</v>
          </cell>
        </row>
        <row r="352">
          <cell r="B352">
            <v>0</v>
          </cell>
          <cell r="C352">
            <v>-6.5917279999999998</v>
          </cell>
        </row>
        <row r="353">
          <cell r="B353">
            <v>-0.10638060000000001</v>
          </cell>
          <cell r="C353">
            <v>-6.6981089999999996</v>
          </cell>
        </row>
        <row r="354">
          <cell r="B354">
            <v>0</v>
          </cell>
          <cell r="C354">
            <v>-6.6981089999999996</v>
          </cell>
        </row>
        <row r="355">
          <cell r="B355">
            <v>-0.2325718</v>
          </cell>
          <cell r="C355">
            <v>-6.9306799999999997</v>
          </cell>
        </row>
        <row r="356">
          <cell r="B356">
            <v>0.35441739999999999</v>
          </cell>
          <cell r="C356">
            <v>-6.576263</v>
          </cell>
        </row>
        <row r="357">
          <cell r="B357">
            <v>1.019852</v>
          </cell>
          <cell r="C357">
            <v>-5.5564109999999998</v>
          </cell>
        </row>
        <row r="358">
          <cell r="B358">
            <v>0</v>
          </cell>
          <cell r="C358">
            <v>-5.5564109999999998</v>
          </cell>
        </row>
        <row r="359">
          <cell r="B359">
            <v>-0.64428479999999999</v>
          </cell>
          <cell r="C359">
            <v>-6.2006959999999998</v>
          </cell>
        </row>
        <row r="360">
          <cell r="B360">
            <v>0.29229129999999998</v>
          </cell>
          <cell r="C360">
            <v>-5.9084050000000001</v>
          </cell>
        </row>
        <row r="361">
          <cell r="B361">
            <v>0</v>
          </cell>
          <cell r="C361">
            <v>-5.9084050000000001</v>
          </cell>
        </row>
        <row r="362">
          <cell r="B362">
            <v>0.26990740000000002</v>
          </cell>
          <cell r="C362">
            <v>-5.6384970000000001</v>
          </cell>
        </row>
        <row r="363">
          <cell r="B363">
            <v>1.37749E-2</v>
          </cell>
          <cell r="C363">
            <v>-5.6247220000000002</v>
          </cell>
        </row>
        <row r="364">
          <cell r="B364">
            <v>0</v>
          </cell>
          <cell r="C364">
            <v>-5.6247220000000002</v>
          </cell>
        </row>
        <row r="365">
          <cell r="B365">
            <v>0.93951110000000004</v>
          </cell>
          <cell r="C365">
            <v>-4.6852109999999998</v>
          </cell>
        </row>
        <row r="366">
          <cell r="B366">
            <v>-1.028913</v>
          </cell>
          <cell r="C366">
            <v>-5.7141250000000001</v>
          </cell>
        </row>
        <row r="367">
          <cell r="B367">
            <v>0</v>
          </cell>
          <cell r="C367">
            <v>-5.7141250000000001</v>
          </cell>
        </row>
        <row r="368">
          <cell r="B368">
            <v>0.53922510000000001</v>
          </cell>
          <cell r="C368">
            <v>-5.1749000000000001</v>
          </cell>
        </row>
        <row r="369">
          <cell r="B369">
            <v>0</v>
          </cell>
          <cell r="C369">
            <v>-5.1749000000000001</v>
          </cell>
        </row>
        <row r="370">
          <cell r="B370">
            <v>0.82920499999999997</v>
          </cell>
          <cell r="C370">
            <v>-4.3456950000000001</v>
          </cell>
        </row>
        <row r="371">
          <cell r="B371">
            <v>1.3108850000000001</v>
          </cell>
          <cell r="C371">
            <v>-3.0348099999999998</v>
          </cell>
        </row>
        <row r="372">
          <cell r="B372">
            <v>0.25472509999999998</v>
          </cell>
          <cell r="C372">
            <v>-2.780084</v>
          </cell>
        </row>
        <row r="373">
          <cell r="B373">
            <v>0</v>
          </cell>
          <cell r="C373">
            <v>-2.780084</v>
          </cell>
        </row>
        <row r="374">
          <cell r="B374">
            <v>0.36966539999999998</v>
          </cell>
          <cell r="C374">
            <v>-2.4104190000000001</v>
          </cell>
        </row>
        <row r="375">
          <cell r="B375">
            <v>4.4173200000000003E-2</v>
          </cell>
          <cell r="C375">
            <v>-2.3662459999999998</v>
          </cell>
        </row>
        <row r="376">
          <cell r="B376">
            <v>0</v>
          </cell>
          <cell r="C376">
            <v>-2.3662459999999998</v>
          </cell>
        </row>
        <row r="377">
          <cell r="B377">
            <v>0.85004820000000003</v>
          </cell>
          <cell r="C377">
            <v>-1.516197</v>
          </cell>
        </row>
        <row r="378">
          <cell r="B378">
            <v>-0.1958944</v>
          </cell>
          <cell r="C378">
            <v>-1.7120919999999999</v>
          </cell>
        </row>
        <row r="379">
          <cell r="B379">
            <v>0</v>
          </cell>
          <cell r="C379">
            <v>-1.7120919999999999</v>
          </cell>
        </row>
        <row r="380">
          <cell r="B380">
            <v>0.20646490000000001</v>
          </cell>
          <cell r="C380">
            <v>-1.505627</v>
          </cell>
        </row>
        <row r="381">
          <cell r="B381">
            <v>0</v>
          </cell>
          <cell r="C381">
            <v>-1.505627</v>
          </cell>
        </row>
        <row r="382">
          <cell r="B382">
            <v>0.46248869999999997</v>
          </cell>
          <cell r="C382">
            <v>-1.0431379999999999</v>
          </cell>
        </row>
        <row r="383">
          <cell r="B383">
            <v>0.15653529999999999</v>
          </cell>
          <cell r="C383">
            <v>-0.88660289999999997</v>
          </cell>
        </row>
        <row r="384">
          <cell r="B384">
            <v>0.59833890000000001</v>
          </cell>
          <cell r="C384">
            <v>-0.28826400000000002</v>
          </cell>
        </row>
        <row r="385">
          <cell r="B385">
            <v>-0.4302975</v>
          </cell>
          <cell r="C385">
            <v>-0.71856149999999996</v>
          </cell>
        </row>
        <row r="386">
          <cell r="B386">
            <v>0</v>
          </cell>
          <cell r="C386">
            <v>-0.71856149999999996</v>
          </cell>
        </row>
        <row r="387">
          <cell r="B387">
            <v>-0.98319219999999996</v>
          </cell>
          <cell r="C387">
            <v>-1.701754</v>
          </cell>
        </row>
        <row r="388">
          <cell r="B388">
            <v>0</v>
          </cell>
          <cell r="C388">
            <v>-1.701754</v>
          </cell>
        </row>
        <row r="389">
          <cell r="B389">
            <v>-1.6484920000000001</v>
          </cell>
          <cell r="C389">
            <v>-3.3502450000000001</v>
          </cell>
        </row>
        <row r="390">
          <cell r="B390">
            <v>1.7749299999999999</v>
          </cell>
          <cell r="C390">
            <v>-1.575315</v>
          </cell>
        </row>
        <row r="391">
          <cell r="B391">
            <v>0</v>
          </cell>
          <cell r="C391">
            <v>-1.575315</v>
          </cell>
        </row>
        <row r="392">
          <cell r="B392">
            <v>-0.48249239999999999</v>
          </cell>
          <cell r="C392">
            <v>-2.0578080000000001</v>
          </cell>
        </row>
        <row r="393">
          <cell r="B393">
            <v>0</v>
          </cell>
          <cell r="C393">
            <v>-2.0578080000000001</v>
          </cell>
        </row>
        <row r="394">
          <cell r="B394">
            <v>-1.887707</v>
          </cell>
          <cell r="C394">
            <v>-3.9455149999999999</v>
          </cell>
        </row>
        <row r="395">
          <cell r="B395">
            <v>-2.0394109999999999</v>
          </cell>
          <cell r="C395">
            <v>-5.9849259999999997</v>
          </cell>
        </row>
        <row r="396">
          <cell r="B396">
            <v>-0.3210616</v>
          </cell>
          <cell r="C396">
            <v>-6.305987</v>
          </cell>
        </row>
        <row r="397">
          <cell r="B397">
            <v>0.53393420000000003</v>
          </cell>
          <cell r="C397">
            <v>-5.7720529999999997</v>
          </cell>
        </row>
        <row r="398">
          <cell r="B398">
            <v>0</v>
          </cell>
          <cell r="C398">
            <v>-5.7720529999999997</v>
          </cell>
        </row>
        <row r="399">
          <cell r="B399">
            <v>-0.3864206</v>
          </cell>
          <cell r="C399">
            <v>-6.158474</v>
          </cell>
        </row>
        <row r="400">
          <cell r="B400">
            <v>0</v>
          </cell>
          <cell r="C400">
            <v>-6.158474</v>
          </cell>
        </row>
        <row r="401">
          <cell r="B401">
            <v>-0.7130322</v>
          </cell>
          <cell r="C401">
            <v>-6.8715060000000001</v>
          </cell>
        </row>
        <row r="402">
          <cell r="B402">
            <v>-0.99112089999999997</v>
          </cell>
          <cell r="C402">
            <v>-7.8626269999999998</v>
          </cell>
        </row>
        <row r="403">
          <cell r="B403">
            <v>0</v>
          </cell>
          <cell r="C403">
            <v>-7.8626269999999998</v>
          </cell>
        </row>
        <row r="404">
          <cell r="B404">
            <v>-0.41520879999999999</v>
          </cell>
          <cell r="C404">
            <v>-8.2778360000000006</v>
          </cell>
        </row>
        <row r="405">
          <cell r="B405">
            <v>-0.1487782</v>
          </cell>
          <cell r="C405">
            <v>-8.4266140000000007</v>
          </cell>
        </row>
        <row r="406">
          <cell r="B406">
            <v>0</v>
          </cell>
          <cell r="C406">
            <v>-8.4266140000000007</v>
          </cell>
        </row>
        <row r="407">
          <cell r="B407">
            <v>-1.884871</v>
          </cell>
          <cell r="C407">
            <v>-10.311489999999999</v>
          </cell>
        </row>
        <row r="408">
          <cell r="B408">
            <v>0.1210354</v>
          </cell>
          <cell r="C408">
            <v>-10.19045</v>
          </cell>
        </row>
        <row r="409">
          <cell r="B409">
            <v>0.38795099999999999</v>
          </cell>
          <cell r="C409">
            <v>-9.8024989999999992</v>
          </cell>
        </row>
        <row r="410">
          <cell r="B410">
            <v>0</v>
          </cell>
          <cell r="C410">
            <v>-9.8024989999999992</v>
          </cell>
        </row>
        <row r="411">
          <cell r="B411">
            <v>0.40660629999999998</v>
          </cell>
          <cell r="C411">
            <v>-9.3958919999999999</v>
          </cell>
        </row>
        <row r="412">
          <cell r="B412">
            <v>0</v>
          </cell>
          <cell r="C412">
            <v>-9.3958919999999999</v>
          </cell>
        </row>
        <row r="413">
          <cell r="B413">
            <v>-0.38322899999999999</v>
          </cell>
          <cell r="C413">
            <v>-9.779121</v>
          </cell>
        </row>
        <row r="414">
          <cell r="B414">
            <v>2.2209780000000001</v>
          </cell>
          <cell r="C414">
            <v>-7.5581440000000004</v>
          </cell>
        </row>
        <row r="415">
          <cell r="B415">
            <v>0</v>
          </cell>
          <cell r="C415">
            <v>-7.5581440000000004</v>
          </cell>
        </row>
        <row r="416">
          <cell r="B416">
            <v>6.4649600000000002E-2</v>
          </cell>
          <cell r="C416">
            <v>-7.4934940000000001</v>
          </cell>
        </row>
        <row r="417">
          <cell r="B417">
            <v>0.15653529999999999</v>
          </cell>
          <cell r="C417">
            <v>-7.3369590000000002</v>
          </cell>
        </row>
        <row r="418">
          <cell r="B418">
            <v>3.3320900000000001E-2</v>
          </cell>
          <cell r="C418">
            <v>-7.3036380000000003</v>
          </cell>
        </row>
        <row r="419">
          <cell r="B419">
            <v>0</v>
          </cell>
          <cell r="C419">
            <v>-7.3036380000000003</v>
          </cell>
        </row>
        <row r="420">
          <cell r="B420">
            <v>0.2952921</v>
          </cell>
          <cell r="C420">
            <v>-7.0083460000000004</v>
          </cell>
        </row>
        <row r="421">
          <cell r="B421">
            <v>0.51494320000000005</v>
          </cell>
          <cell r="C421">
            <v>-6.4934029999999998</v>
          </cell>
        </row>
        <row r="422">
          <cell r="B422">
            <v>0</v>
          </cell>
          <cell r="C422">
            <v>-6.4934029999999998</v>
          </cell>
        </row>
        <row r="423">
          <cell r="B423">
            <v>5.4207499999999999E-2</v>
          </cell>
          <cell r="C423">
            <v>-6.4391959999999999</v>
          </cell>
        </row>
        <row r="424">
          <cell r="B424">
            <v>0</v>
          </cell>
          <cell r="C424">
            <v>-6.4391959999999999</v>
          </cell>
        </row>
        <row r="425">
          <cell r="B425">
            <v>0.21652830000000001</v>
          </cell>
          <cell r="C425">
            <v>-6.2226670000000004</v>
          </cell>
        </row>
        <row r="426">
          <cell r="B426">
            <v>-0.85826429999999998</v>
          </cell>
          <cell r="C426">
            <v>-7.0809319999999998</v>
          </cell>
        </row>
        <row r="427">
          <cell r="B427">
            <v>0</v>
          </cell>
          <cell r="C427">
            <v>-7.0809319999999998</v>
          </cell>
        </row>
        <row r="428">
          <cell r="B428">
            <v>0.90333289999999999</v>
          </cell>
          <cell r="C428">
            <v>-6.1775989999999998</v>
          </cell>
        </row>
        <row r="429">
          <cell r="B429">
            <v>0.53592600000000001</v>
          </cell>
          <cell r="C429">
            <v>-5.6416729999999999</v>
          </cell>
        </row>
        <row r="430">
          <cell r="B430">
            <v>0</v>
          </cell>
          <cell r="C430">
            <v>-5.6416729999999999</v>
          </cell>
        </row>
        <row r="431">
          <cell r="B431">
            <v>0.29954320000000001</v>
          </cell>
          <cell r="C431">
            <v>-5.34213</v>
          </cell>
        </row>
        <row r="432">
          <cell r="B432">
            <v>0.19203600000000001</v>
          </cell>
          <cell r="C432">
            <v>-5.1500940000000002</v>
          </cell>
        </row>
        <row r="433">
          <cell r="B433">
            <v>0</v>
          </cell>
          <cell r="C433">
            <v>-5.1500940000000002</v>
          </cell>
        </row>
        <row r="434">
          <cell r="B434">
            <v>0.29529139999999998</v>
          </cell>
          <cell r="C434">
            <v>-4.8548020000000003</v>
          </cell>
        </row>
        <row r="435">
          <cell r="B435">
            <v>0.56033929999999998</v>
          </cell>
          <cell r="C435">
            <v>-4.2944630000000004</v>
          </cell>
        </row>
        <row r="436">
          <cell r="B436">
            <v>0</v>
          </cell>
          <cell r="C436">
            <v>-4.2944630000000004</v>
          </cell>
        </row>
        <row r="437">
          <cell r="B437">
            <v>0.44230419999999998</v>
          </cell>
          <cell r="C437">
            <v>-3.8521589999999999</v>
          </cell>
        </row>
        <row r="438">
          <cell r="B438">
            <v>0.4072732</v>
          </cell>
          <cell r="C438">
            <v>-3.4448850000000002</v>
          </cell>
        </row>
        <row r="439">
          <cell r="B439">
            <v>0</v>
          </cell>
          <cell r="C439">
            <v>-3.4448850000000002</v>
          </cell>
        </row>
        <row r="440">
          <cell r="B440">
            <v>0.1105931</v>
          </cell>
          <cell r="C440">
            <v>-3.334292</v>
          </cell>
        </row>
        <row r="441">
          <cell r="B441">
            <v>1.321917</v>
          </cell>
          <cell r="C441">
            <v>-2.012375</v>
          </cell>
        </row>
        <row r="442">
          <cell r="B442">
            <v>0</v>
          </cell>
          <cell r="C442">
            <v>-2.012375</v>
          </cell>
        </row>
        <row r="443">
          <cell r="B443">
            <v>0.25924180000000002</v>
          </cell>
          <cell r="C443">
            <v>-1.753134</v>
          </cell>
        </row>
        <row r="444">
          <cell r="B444">
            <v>0.1001499</v>
          </cell>
          <cell r="C444">
            <v>-1.652984</v>
          </cell>
        </row>
        <row r="445">
          <cell r="B445">
            <v>0.24842059999999999</v>
          </cell>
          <cell r="C445">
            <v>-1.404563</v>
          </cell>
        </row>
        <row r="446">
          <cell r="B446">
            <v>0</v>
          </cell>
          <cell r="C446">
            <v>-1.404563</v>
          </cell>
        </row>
        <row r="447">
          <cell r="B447">
            <v>0.83690640000000005</v>
          </cell>
          <cell r="C447">
            <v>-0.56765670000000001</v>
          </cell>
        </row>
        <row r="448">
          <cell r="B448">
            <v>0</v>
          </cell>
          <cell r="C448">
            <v>-0.56765670000000001</v>
          </cell>
        </row>
        <row r="449">
          <cell r="B449">
            <v>0.23535590000000001</v>
          </cell>
          <cell r="C449">
            <v>-0.33230080000000001</v>
          </cell>
        </row>
        <row r="450">
          <cell r="B450">
            <v>-0.71049379999999995</v>
          </cell>
          <cell r="C450">
            <v>-1.0427949999999999</v>
          </cell>
        </row>
        <row r="451">
          <cell r="B451">
            <v>0</v>
          </cell>
          <cell r="C451">
            <v>-1.0427949999999999</v>
          </cell>
        </row>
        <row r="452">
          <cell r="B452">
            <v>-0.3696913</v>
          </cell>
          <cell r="C452">
            <v>-1.4124859999999999</v>
          </cell>
        </row>
        <row r="453">
          <cell r="B453">
            <v>0.15653529999999999</v>
          </cell>
          <cell r="C453">
            <v>-1.255951</v>
          </cell>
        </row>
        <row r="454">
          <cell r="B454">
            <v>-1.2378999999999999E-2</v>
          </cell>
          <cell r="C454">
            <v>-1.26833</v>
          </cell>
        </row>
        <row r="455">
          <cell r="B455">
            <v>0</v>
          </cell>
          <cell r="C455">
            <v>-1.26833</v>
          </cell>
        </row>
        <row r="456">
          <cell r="B456">
            <v>7.41647E-2</v>
          </cell>
          <cell r="C456">
            <v>-1.1941649999999999</v>
          </cell>
        </row>
        <row r="457">
          <cell r="B457">
            <v>0.15653529999999999</v>
          </cell>
          <cell r="C457">
            <v>-1.0376300000000001</v>
          </cell>
        </row>
        <row r="458">
          <cell r="B458">
            <v>0</v>
          </cell>
          <cell r="C458">
            <v>-1.0376300000000001</v>
          </cell>
        </row>
        <row r="459">
          <cell r="B459">
            <v>-0.24209549999999999</v>
          </cell>
          <cell r="C459">
            <v>-1.279725</v>
          </cell>
        </row>
        <row r="460">
          <cell r="B460">
            <v>0</v>
          </cell>
          <cell r="C460">
            <v>-1.279725</v>
          </cell>
        </row>
        <row r="461">
          <cell r="B461">
            <v>0.28910029999999998</v>
          </cell>
          <cell r="C461">
            <v>-0.99062490000000003</v>
          </cell>
        </row>
        <row r="462">
          <cell r="B462">
            <v>0.346335</v>
          </cell>
          <cell r="C462">
            <v>-0.64429000000000003</v>
          </cell>
        </row>
        <row r="463">
          <cell r="B463">
            <v>0</v>
          </cell>
          <cell r="C463">
            <v>-0.64429000000000003</v>
          </cell>
        </row>
        <row r="464">
          <cell r="B464">
            <v>1.341016</v>
          </cell>
          <cell r="C464">
            <v>0.69672619999999996</v>
          </cell>
        </row>
        <row r="465">
          <cell r="B465">
            <v>-2.931006</v>
          </cell>
          <cell r="C465">
            <v>-2.23428</v>
          </cell>
        </row>
        <row r="466">
          <cell r="B466">
            <v>1.1777150000000001</v>
          </cell>
          <cell r="C466">
            <v>-1.056565</v>
          </cell>
        </row>
        <row r="467">
          <cell r="B467">
            <v>0</v>
          </cell>
          <cell r="C467">
            <v>-1.056565</v>
          </cell>
        </row>
        <row r="468">
          <cell r="B468">
            <v>-1.14091E-2</v>
          </cell>
          <cell r="C468">
            <v>-1.067974</v>
          </cell>
        </row>
        <row r="469">
          <cell r="B469">
            <v>-1.511857</v>
          </cell>
          <cell r="C469">
            <v>-2.579831</v>
          </cell>
        </row>
        <row r="470">
          <cell r="B470">
            <v>0</v>
          </cell>
          <cell r="C470">
            <v>-2.579831</v>
          </cell>
        </row>
        <row r="471">
          <cell r="B471">
            <v>3.8305959999999999</v>
          </cell>
          <cell r="C471">
            <v>1.250766</v>
          </cell>
        </row>
        <row r="472">
          <cell r="B472">
            <v>-0.90011719999999995</v>
          </cell>
          <cell r="C472">
            <v>0.35064859999999998</v>
          </cell>
        </row>
        <row r="473">
          <cell r="B473">
            <v>0</v>
          </cell>
          <cell r="C473">
            <v>0.35064859999999998</v>
          </cell>
        </row>
        <row r="474">
          <cell r="B474">
            <v>-0.3506476</v>
          </cell>
          <cell r="C474">
            <v>1.04E-6</v>
          </cell>
        </row>
      </sheetData>
      <sheetData sheetId="15">
        <row r="56">
          <cell r="E56">
            <v>0</v>
          </cell>
          <cell r="F56">
            <v>0</v>
          </cell>
          <cell r="G56">
            <v>0</v>
          </cell>
        </row>
        <row r="57">
          <cell r="E57">
            <v>0.01</v>
          </cell>
          <cell r="F57">
            <v>0</v>
          </cell>
          <cell r="G57">
            <v>-0.01</v>
          </cell>
        </row>
        <row r="58">
          <cell r="E58">
            <v>0</v>
          </cell>
          <cell r="F58">
            <v>0</v>
          </cell>
          <cell r="G58">
            <v>-1.2903000000000001E-3</v>
          </cell>
        </row>
        <row r="59">
          <cell r="E59">
            <v>0</v>
          </cell>
          <cell r="F59">
            <v>0</v>
          </cell>
          <cell r="G59">
            <v>-8.7097000000000008E-3</v>
          </cell>
        </row>
        <row r="60">
          <cell r="E60">
            <v>8.7097000000000008E-3</v>
          </cell>
          <cell r="F60">
            <v>1.1612900000000001E-2</v>
          </cell>
          <cell r="G60">
            <v>8.7097000000000008E-3</v>
          </cell>
        </row>
        <row r="61">
          <cell r="E61">
            <v>2.1290300000000002E-2</v>
          </cell>
          <cell r="F61">
            <v>2.8387099999999998E-2</v>
          </cell>
          <cell r="G61">
            <v>2.1290300000000002E-2</v>
          </cell>
        </row>
        <row r="62">
          <cell r="E62">
            <v>9.0323000000000001E-3</v>
          </cell>
          <cell r="F62">
            <v>4.5161000000000003E-3</v>
          </cell>
          <cell r="G62">
            <v>0</v>
          </cell>
        </row>
        <row r="63">
          <cell r="E63">
            <v>4.5161000000000003E-3</v>
          </cell>
          <cell r="F63">
            <v>2.2580999999999999E-3</v>
          </cell>
          <cell r="G63">
            <v>0</v>
          </cell>
        </row>
        <row r="64">
          <cell r="E64">
            <v>-1.35484E-2</v>
          </cell>
          <cell r="F64">
            <v>-6.7742000000000002E-3</v>
          </cell>
          <cell r="G64">
            <v>0</v>
          </cell>
        </row>
        <row r="65">
          <cell r="E65">
            <v>9.3547999999999999E-3</v>
          </cell>
          <cell r="F65">
            <v>0</v>
          </cell>
          <cell r="G65">
            <v>9.3547999999999999E-3</v>
          </cell>
        </row>
        <row r="66">
          <cell r="E66">
            <v>3.1311800000000001E-2</v>
          </cell>
          <cell r="F66">
            <v>1.5333299999999999E-2</v>
          </cell>
          <cell r="G66">
            <v>1.59785E-2</v>
          </cell>
        </row>
        <row r="67">
          <cell r="E67">
            <v>-0.25131179999999997</v>
          </cell>
          <cell r="F67">
            <v>-0.23468820000000001</v>
          </cell>
          <cell r="G67">
            <v>-0.21404300000000001</v>
          </cell>
        </row>
        <row r="68">
          <cell r="E68">
            <v>-0.45935480000000001</v>
          </cell>
          <cell r="F68">
            <v>-0.42064509999999999</v>
          </cell>
          <cell r="G68">
            <v>-0.38129030000000003</v>
          </cell>
        </row>
        <row r="69">
          <cell r="E69">
            <v>-1.28571E-2</v>
          </cell>
          <cell r="F69">
            <v>-1.28571E-2</v>
          </cell>
          <cell r="G69">
            <v>-1.28571E-2</v>
          </cell>
        </row>
        <row r="70">
          <cell r="E70">
            <v>1.2442E-3</v>
          </cell>
          <cell r="F70">
            <v>-3.6870000000000002E-4</v>
          </cell>
          <cell r="G70">
            <v>-6.8202999999999996E-3</v>
          </cell>
        </row>
        <row r="71">
          <cell r="E71">
            <v>-2.1387099999999999E-2</v>
          </cell>
          <cell r="F71">
            <v>-2.9774200000000001E-2</v>
          </cell>
          <cell r="G71">
            <v>-4.5989299999999997E-2</v>
          </cell>
        </row>
        <row r="72">
          <cell r="E72">
            <v>-0.17667740000000001</v>
          </cell>
          <cell r="F72">
            <v>-0.19119349999999999</v>
          </cell>
          <cell r="G72">
            <v>-0.18465590000000001</v>
          </cell>
        </row>
        <row r="73">
          <cell r="E73">
            <v>-0.17032259999999999</v>
          </cell>
          <cell r="F73">
            <v>-0.18580650000000001</v>
          </cell>
          <cell r="G73">
            <v>-0.1996774</v>
          </cell>
        </row>
        <row r="74">
          <cell r="E74">
            <v>0</v>
          </cell>
          <cell r="F74">
            <v>0</v>
          </cell>
          <cell r="G74">
            <v>0</v>
          </cell>
        </row>
        <row r="75">
          <cell r="E75">
            <v>1.9354799999999998E-2</v>
          </cell>
          <cell r="F75">
            <v>-4.4193499999999997E-2</v>
          </cell>
          <cell r="G75">
            <v>-4.1935000000000002E-3</v>
          </cell>
        </row>
        <row r="76">
          <cell r="E76">
            <v>-2.6882E-3</v>
          </cell>
          <cell r="F76">
            <v>7.5269000000000004E-3</v>
          </cell>
          <cell r="G76">
            <v>-8.0650000000000003E-4</v>
          </cell>
        </row>
        <row r="77">
          <cell r="E77">
            <v>-6.3441000000000001E-3</v>
          </cell>
          <cell r="F77">
            <v>6.6667000000000002E-3</v>
          </cell>
          <cell r="G77">
            <v>1.46774E-2</v>
          </cell>
        </row>
        <row r="78">
          <cell r="E78">
            <v>8.0107000000000008E-3</v>
          </cell>
          <cell r="F78">
            <v>8.3333000000000001E-3</v>
          </cell>
          <cell r="G78">
            <v>3.2259999999999998E-4</v>
          </cell>
        </row>
        <row r="79">
          <cell r="E79">
            <v>-2.8495E-3</v>
          </cell>
          <cell r="F79">
            <v>1.6666999999999999E-3</v>
          </cell>
          <cell r="G79">
            <v>0</v>
          </cell>
        </row>
        <row r="80">
          <cell r="E80">
            <v>-5.4838999999999999E-3</v>
          </cell>
          <cell r="F80">
            <v>0</v>
          </cell>
          <cell r="G80">
            <v>0</v>
          </cell>
        </row>
        <row r="81">
          <cell r="E81">
            <v>5.7143000000000003E-3</v>
          </cell>
          <cell r="F81">
            <v>5.7143000000000003E-3</v>
          </cell>
          <cell r="G81">
            <v>-5.7143000000000003E-3</v>
          </cell>
        </row>
        <row r="82">
          <cell r="E82">
            <v>2.0414700000000001E-2</v>
          </cell>
          <cell r="F82">
            <v>2.0414700000000001E-2</v>
          </cell>
          <cell r="G82">
            <v>3.6036899999999997E-2</v>
          </cell>
        </row>
        <row r="83">
          <cell r="E83">
            <v>-2.4623000000000002E-3</v>
          </cell>
          <cell r="F83">
            <v>2.1204299999999999E-2</v>
          </cell>
          <cell r="G83">
            <v>2.7010699999999999E-2</v>
          </cell>
        </row>
        <row r="84">
          <cell r="E84">
            <v>9.2365999999999993E-3</v>
          </cell>
          <cell r="F84">
            <v>2.2666700000000001E-2</v>
          </cell>
          <cell r="G84">
            <v>2.6214999999999999E-2</v>
          </cell>
        </row>
        <row r="85">
          <cell r="E85">
            <v>-2.1569899999999999E-2</v>
          </cell>
          <cell r="F85">
            <v>-8.6666999999999994E-3</v>
          </cell>
          <cell r="G85">
            <v>-1.0881699999999999E-2</v>
          </cell>
        </row>
        <row r="86">
          <cell r="E86">
            <v>1.9956999999999999E-2</v>
          </cell>
          <cell r="F86">
            <v>1.9956999999999999E-2</v>
          </cell>
          <cell r="G86">
            <v>1.15269E-2</v>
          </cell>
        </row>
        <row r="87">
          <cell r="E87">
            <v>-6.7742000000000002E-3</v>
          </cell>
          <cell r="F87">
            <v>-6.7742000000000002E-3</v>
          </cell>
          <cell r="G87">
            <v>-1.35484E-2</v>
          </cell>
        </row>
        <row r="88">
          <cell r="E88">
            <v>-3.9182799999999997E-2</v>
          </cell>
          <cell r="F88">
            <v>-4.15161E-2</v>
          </cell>
          <cell r="G88">
            <v>-4.2978500000000003E-2</v>
          </cell>
        </row>
        <row r="89">
          <cell r="E89">
            <v>-1.5333299999999999E-2</v>
          </cell>
          <cell r="F89">
            <v>-2.3E-2</v>
          </cell>
          <cell r="G89">
            <v>-7.6666E-3</v>
          </cell>
        </row>
        <row r="90">
          <cell r="E90">
            <v>0</v>
          </cell>
          <cell r="F90">
            <v>0</v>
          </cell>
          <cell r="G90">
            <v>0</v>
          </cell>
        </row>
        <row r="91">
          <cell r="E91">
            <v>0</v>
          </cell>
          <cell r="F91">
            <v>-4.8386999999999996E-3</v>
          </cell>
          <cell r="G91">
            <v>0</v>
          </cell>
        </row>
        <row r="92">
          <cell r="E92">
            <v>5.4838999999999999E-3</v>
          </cell>
          <cell r="F92">
            <v>-5.1612999999999997E-3</v>
          </cell>
          <cell r="G92">
            <v>-5.4838999999999999E-3</v>
          </cell>
        </row>
        <row r="93">
          <cell r="E93">
            <v>-1.5552999999999999E-3</v>
          </cell>
          <cell r="F93">
            <v>0</v>
          </cell>
          <cell r="G93">
            <v>1.5552999999999999E-3</v>
          </cell>
        </row>
        <row r="94">
          <cell r="E94">
            <v>-3.9284999999999997E-3</v>
          </cell>
          <cell r="F94">
            <v>0</v>
          </cell>
          <cell r="G94">
            <v>3.9284999999999997E-3</v>
          </cell>
        </row>
        <row r="95">
          <cell r="E95">
            <v>1.76667E-2</v>
          </cell>
          <cell r="F95">
            <v>1.7333299999999999E-2</v>
          </cell>
          <cell r="G95">
            <v>-2.3333E-3</v>
          </cell>
        </row>
        <row r="96">
          <cell r="E96">
            <v>-6.37958E-2</v>
          </cell>
          <cell r="F96">
            <v>-7.3462399999999997E-2</v>
          </cell>
          <cell r="G96">
            <v>-8.3150399999999999E-2</v>
          </cell>
        </row>
        <row r="97">
          <cell r="E97">
            <v>6.1289999999999999E-3</v>
          </cell>
          <cell r="F97">
            <v>6.1289999999999999E-3</v>
          </cell>
          <cell r="G97">
            <v>-2.4516199999999998E-2</v>
          </cell>
        </row>
        <row r="98">
          <cell r="E98">
            <v>-2.3225800000000001E-2</v>
          </cell>
          <cell r="F98">
            <v>-1.54839E-2</v>
          </cell>
          <cell r="G98">
            <v>7.7419000000000003E-3</v>
          </cell>
        </row>
        <row r="99">
          <cell r="E99">
            <v>-6.7742000000000002E-3</v>
          </cell>
          <cell r="F99">
            <v>2.06451E-2</v>
          </cell>
          <cell r="G99">
            <v>2.7419300000000001E-2</v>
          </cell>
        </row>
        <row r="100">
          <cell r="E100">
            <v>0.15933330000000001</v>
          </cell>
          <cell r="F100">
            <v>0.17883879999999999</v>
          </cell>
          <cell r="G100">
            <v>0.14183879999999999</v>
          </cell>
        </row>
        <row r="101">
          <cell r="E101">
            <v>3.8408600000000001E-2</v>
          </cell>
          <cell r="F101">
            <v>0.1127741</v>
          </cell>
          <cell r="G101">
            <v>0.13170970000000001</v>
          </cell>
        </row>
        <row r="102">
          <cell r="E102">
            <v>-6.7419000000000003E-3</v>
          </cell>
          <cell r="F102">
            <v>0.1272258</v>
          </cell>
          <cell r="G102">
            <v>0.18429029999999999</v>
          </cell>
        </row>
        <row r="103">
          <cell r="E103">
            <v>3.8387E-3</v>
          </cell>
          <cell r="F103">
            <v>-4.3226000000000002E-3</v>
          </cell>
          <cell r="G103">
            <v>1.60322E-2</v>
          </cell>
        </row>
        <row r="104">
          <cell r="E104">
            <v>2.5807E-3</v>
          </cell>
          <cell r="F104">
            <v>9.0322000000000006E-3</v>
          </cell>
          <cell r="G104">
            <v>3.0967700000000001E-2</v>
          </cell>
        </row>
        <row r="105">
          <cell r="E105">
            <v>-1.7419400000000002E-2</v>
          </cell>
          <cell r="F105">
            <v>-8.7097000000000008E-3</v>
          </cell>
          <cell r="G105">
            <v>-6.5516999999999997E-3</v>
          </cell>
        </row>
        <row r="106">
          <cell r="E106">
            <v>-6.4519999999999996E-4</v>
          </cell>
          <cell r="F106">
            <v>6.4519999999999996E-4</v>
          </cell>
          <cell r="G106">
            <v>-2.8031000000000002E-3</v>
          </cell>
        </row>
        <row r="107">
          <cell r="E107">
            <v>-9.3547999999999999E-3</v>
          </cell>
          <cell r="F107">
            <v>9.3547999999999999E-3</v>
          </cell>
          <cell r="G107">
            <v>9.3547999999999999E-3</v>
          </cell>
        </row>
        <row r="108">
          <cell r="E108">
            <v>2.5483800000000001E-2</v>
          </cell>
          <cell r="F108">
            <v>3.1290400000000003E-2</v>
          </cell>
          <cell r="G108">
            <v>2.3871E-2</v>
          </cell>
        </row>
        <row r="109">
          <cell r="E109">
            <v>4.7516200000000001E-2</v>
          </cell>
          <cell r="F109">
            <v>3.7709699999999999E-2</v>
          </cell>
          <cell r="G109">
            <v>2.6128999999999999E-2</v>
          </cell>
        </row>
        <row r="110">
          <cell r="E110">
            <v>1.95806E-2</v>
          </cell>
          <cell r="F110">
            <v>5.3580599999999999E-2</v>
          </cell>
          <cell r="G110">
            <v>1.83871E-2</v>
          </cell>
        </row>
        <row r="111">
          <cell r="E111">
            <v>0.10870970000000001</v>
          </cell>
          <cell r="F111">
            <v>0.1209677</v>
          </cell>
          <cell r="G111">
            <v>0.11516129999999999</v>
          </cell>
        </row>
        <row r="112">
          <cell r="E112">
            <v>3.5376400000000002E-2</v>
          </cell>
          <cell r="F112">
            <v>4.3118299999999998E-2</v>
          </cell>
          <cell r="G112">
            <v>4.3118299999999998E-2</v>
          </cell>
        </row>
        <row r="113">
          <cell r="E113">
            <v>-6.6667000000000002E-3</v>
          </cell>
          <cell r="F113">
            <v>-6.6667000000000002E-3</v>
          </cell>
          <cell r="G113">
            <v>-6.6667000000000002E-3</v>
          </cell>
        </row>
        <row r="114">
          <cell r="C114">
            <v>4.2318700000000001E-2</v>
          </cell>
          <cell r="E114">
            <v>-9.6667000000000003E-3</v>
          </cell>
          <cell r="F114">
            <v>1.9666699999999999E-2</v>
          </cell>
          <cell r="G114">
            <v>1.26666E-2</v>
          </cell>
        </row>
        <row r="115">
          <cell r="C115">
            <v>3.7943600000000001E-2</v>
          </cell>
          <cell r="E115">
            <v>3.8053799999999999E-2</v>
          </cell>
          <cell r="F115">
            <v>3.22688E-2</v>
          </cell>
          <cell r="G115">
            <v>2.3785000000000001E-2</v>
          </cell>
        </row>
        <row r="116">
          <cell r="C116">
            <v>-1.20248E-2</v>
          </cell>
          <cell r="E116">
            <v>1.41935E-2</v>
          </cell>
          <cell r="F116">
            <v>1.8064500000000001E-2</v>
          </cell>
          <cell r="G116">
            <v>1.35484E-2</v>
          </cell>
        </row>
        <row r="117">
          <cell r="C117">
            <v>3.2636900000000003E-2</v>
          </cell>
          <cell r="E117">
            <v>2.7764999999999999E-3</v>
          </cell>
          <cell r="F117">
            <v>7.1428000000000004E-3</v>
          </cell>
          <cell r="G117">
            <v>2.6785699999999999E-2</v>
          </cell>
        </row>
        <row r="118">
          <cell r="C118">
            <v>0.1175115</v>
          </cell>
          <cell r="E118">
            <v>4.3675100000000001E-2</v>
          </cell>
          <cell r="F118">
            <v>6.0921700000000002E-2</v>
          </cell>
          <cell r="G118">
            <v>6.1278800000000001E-2</v>
          </cell>
        </row>
        <row r="119">
          <cell r="C119">
            <v>-6.3225799999999999E-2</v>
          </cell>
          <cell r="E119">
            <v>-9.0322000000000006E-3</v>
          </cell>
          <cell r="F119">
            <v>-1.8064500000000001E-2</v>
          </cell>
          <cell r="G119">
            <v>-1.8064500000000001E-2</v>
          </cell>
        </row>
        <row r="120">
          <cell r="C120">
            <v>-1.0712899999999999E-2</v>
          </cell>
          <cell r="E120">
            <v>-4.8386999999999996E-3</v>
          </cell>
          <cell r="F120">
            <v>0</v>
          </cell>
          <cell r="G120">
            <v>-4.8386999999999996E-3</v>
          </cell>
        </row>
        <row r="121">
          <cell r="C121">
            <v>-2.18438E-2</v>
          </cell>
          <cell r="E121">
            <v>-5.5161300000000003E-2</v>
          </cell>
          <cell r="F121">
            <v>-0.05</v>
          </cell>
          <cell r="G121">
            <v>-3.8494599999999997E-2</v>
          </cell>
        </row>
        <row r="122">
          <cell r="C122">
            <v>-2.48495E-2</v>
          </cell>
          <cell r="E122">
            <v>-3.6129099999999997E-2</v>
          </cell>
          <cell r="F122">
            <v>-3.8064500000000001E-2</v>
          </cell>
          <cell r="G122">
            <v>-4.8924700000000002E-2</v>
          </cell>
        </row>
        <row r="123">
          <cell r="C123">
            <v>-1.30639E-2</v>
          </cell>
          <cell r="E123">
            <v>-1.9677400000000001E-2</v>
          </cell>
          <cell r="F123">
            <v>-2.4838699999999998E-2</v>
          </cell>
          <cell r="G123">
            <v>-2.06451E-2</v>
          </cell>
        </row>
        <row r="124">
          <cell r="C124">
            <v>0</v>
          </cell>
          <cell r="E124">
            <v>-1.41935E-2</v>
          </cell>
          <cell r="F124">
            <v>-7.0968000000000003E-3</v>
          </cell>
          <cell r="G124">
            <v>-7.0968000000000003E-3</v>
          </cell>
        </row>
        <row r="125">
          <cell r="C125">
            <v>-7.5561299999999998E-2</v>
          </cell>
          <cell r="E125">
            <v>1.29032E-2</v>
          </cell>
          <cell r="F125">
            <v>9.0323000000000001E-3</v>
          </cell>
          <cell r="G125">
            <v>6.4516E-3</v>
          </cell>
        </row>
        <row r="126">
          <cell r="C126">
            <v>-0.1908154</v>
          </cell>
          <cell r="E126">
            <v>-4.5569900000000003E-2</v>
          </cell>
          <cell r="F126">
            <v>-4.1698899999999997E-2</v>
          </cell>
          <cell r="G126">
            <v>-2.11183E-2</v>
          </cell>
        </row>
        <row r="127">
          <cell r="C127">
            <v>-9.5657500000000006E-2</v>
          </cell>
          <cell r="E127">
            <v>-1.89462E-2</v>
          </cell>
          <cell r="F127">
            <v>-1.50753E-2</v>
          </cell>
          <cell r="G127">
            <v>-1.30753E-2</v>
          </cell>
        </row>
        <row r="128">
          <cell r="C128">
            <v>-0.1036358</v>
          </cell>
          <cell r="E128">
            <v>-1.83871E-2</v>
          </cell>
          <cell r="F128">
            <v>-1.2258099999999999E-2</v>
          </cell>
          <cell r="G128">
            <v>-1.2258099999999999E-2</v>
          </cell>
        </row>
        <row r="129">
          <cell r="C129">
            <v>-1.0500000000000001E-2</v>
          </cell>
          <cell r="D129">
            <v>-1.4999999999999999E-2</v>
          </cell>
          <cell r="E129">
            <v>1.4999999999999999E-2</v>
          </cell>
          <cell r="F129">
            <v>7.4999999999999997E-3</v>
          </cell>
          <cell r="G129">
            <v>7.4999999999999997E-3</v>
          </cell>
        </row>
        <row r="130">
          <cell r="C130">
            <v>-3.5000000000000001E-3</v>
          </cell>
          <cell r="D130">
            <v>-7.5805999999999998E-3</v>
          </cell>
          <cell r="E130">
            <v>2.4193999999999999E-3</v>
          </cell>
          <cell r="F130">
            <v>-8.0599999999999994E-5</v>
          </cell>
          <cell r="G130">
            <v>-1.371E-3</v>
          </cell>
        </row>
        <row r="131">
          <cell r="C131">
            <v>0</v>
          </cell>
          <cell r="D131">
            <v>-1.7419400000000002E-2</v>
          </cell>
          <cell r="E131">
            <v>-1.7419299999999999E-2</v>
          </cell>
          <cell r="F131">
            <v>-1.7419400000000002E-2</v>
          </cell>
          <cell r="G131">
            <v>-2.6128999999999999E-2</v>
          </cell>
        </row>
        <row r="132">
          <cell r="C132">
            <v>0</v>
          </cell>
          <cell r="D132">
            <v>0</v>
          </cell>
          <cell r="E132">
            <v>-1.0322599999999999E-2</v>
          </cell>
          <cell r="F132">
            <v>-1.0322599999999999E-2</v>
          </cell>
          <cell r="G132">
            <v>-1.0322599999999999E-2</v>
          </cell>
        </row>
        <row r="133">
          <cell r="C133">
            <v>0</v>
          </cell>
          <cell r="D133">
            <v>0</v>
          </cell>
          <cell r="E133">
            <v>-9.6773999999999992E-3</v>
          </cell>
          <cell r="F133">
            <v>-9.6773999999999992E-3</v>
          </cell>
          <cell r="G133">
            <v>-9.6773999999999992E-3</v>
          </cell>
        </row>
        <row r="134">
          <cell r="C134">
            <v>-8.4439700000000006E-2</v>
          </cell>
          <cell r="D134">
            <v>-6.64516E-2</v>
          </cell>
          <cell r="E134">
            <v>-1.5806500000000001E-2</v>
          </cell>
          <cell r="F134">
            <v>-9.6773999999999992E-3</v>
          </cell>
          <cell r="G134">
            <v>-1.83871E-2</v>
          </cell>
        </row>
        <row r="135">
          <cell r="C135">
            <v>-5.3330299999999997E-2</v>
          </cell>
          <cell r="D135">
            <v>-3.3548399999999999E-2</v>
          </cell>
          <cell r="E135">
            <v>-1.41935E-2</v>
          </cell>
          <cell r="F135">
            <v>-1.0322599999999999E-2</v>
          </cell>
          <cell r="G135">
            <v>-1.1612900000000001E-2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C137">
            <v>7.4526000000000002E-3</v>
          </cell>
          <cell r="D137">
            <v>-1.1280999999999999E-2</v>
          </cell>
          <cell r="E137">
            <v>-1.67742E-2</v>
          </cell>
          <cell r="F137">
            <v>0</v>
          </cell>
          <cell r="G137">
            <v>-1.0322599999999999E-2</v>
          </cell>
        </row>
        <row r="138">
          <cell r="C138">
            <v>-1.57576E-2</v>
          </cell>
          <cell r="D138">
            <v>-1.3042399999999999E-2</v>
          </cell>
          <cell r="E138">
            <v>2.24409E-2</v>
          </cell>
          <cell r="F138">
            <v>0</v>
          </cell>
          <cell r="G138">
            <v>-4.0106999999999999E-3</v>
          </cell>
        </row>
        <row r="139">
          <cell r="C139">
            <v>-0.16171949999999999</v>
          </cell>
          <cell r="D139">
            <v>-9.5666699999999993E-2</v>
          </cell>
          <cell r="E139">
            <v>-6.5989300000000001E-2</v>
          </cell>
          <cell r="F139">
            <v>-5.2258100000000002E-2</v>
          </cell>
          <cell r="G139">
            <v>-1.0828000000000001E-2</v>
          </cell>
        </row>
        <row r="140">
          <cell r="C140">
            <v>-0.23954130000000001</v>
          </cell>
          <cell r="D140">
            <v>-0.16741929999999999</v>
          </cell>
          <cell r="E140">
            <v>-0.17806449999999999</v>
          </cell>
          <cell r="F140">
            <v>-0.1251613</v>
          </cell>
          <cell r="G140">
            <v>-7.2258100000000006E-2</v>
          </cell>
        </row>
        <row r="141">
          <cell r="C141">
            <v>-0.10302409999999999</v>
          </cell>
          <cell r="D141">
            <v>-0.2304378</v>
          </cell>
          <cell r="E141">
            <v>-8.9469999999999994E-2</v>
          </cell>
          <cell r="F141">
            <v>-9.0437799999999999E-2</v>
          </cell>
          <cell r="G141">
            <v>-6.0437699999999997E-2</v>
          </cell>
        </row>
        <row r="142">
          <cell r="C142">
            <v>-2.4090299999999999E-2</v>
          </cell>
          <cell r="D142">
            <v>-3.6336399999999998E-2</v>
          </cell>
          <cell r="E142">
            <v>-6.5691200000000005E-2</v>
          </cell>
          <cell r="F142">
            <v>-4.4078399999999997E-2</v>
          </cell>
          <cell r="G142">
            <v>-4.7626700000000001E-2</v>
          </cell>
        </row>
        <row r="143">
          <cell r="C143">
            <v>-2.8859900000000001E-2</v>
          </cell>
          <cell r="D143">
            <v>-3.2139800000000003E-2</v>
          </cell>
          <cell r="E143">
            <v>-3.3451599999999998E-2</v>
          </cell>
          <cell r="F143">
            <v>-3.4397799999999999E-2</v>
          </cell>
          <cell r="G143">
            <v>-8.9516200000000004E-2</v>
          </cell>
        </row>
        <row r="144">
          <cell r="C144">
            <v>-0.1633722</v>
          </cell>
          <cell r="D144">
            <v>-0.19463440000000001</v>
          </cell>
          <cell r="E144">
            <v>-0.20300009999999999</v>
          </cell>
          <cell r="F144">
            <v>-0.1781828</v>
          </cell>
          <cell r="G144">
            <v>-0.13403219999999999</v>
          </cell>
        </row>
        <row r="145">
          <cell r="C145">
            <v>8.7521999999999999E-3</v>
          </cell>
          <cell r="D145">
            <v>-9.0322000000000006E-3</v>
          </cell>
          <cell r="E145">
            <v>0</v>
          </cell>
          <cell r="F145">
            <v>4.5161000000000003E-3</v>
          </cell>
          <cell r="G145">
            <v>9.0322000000000006E-3</v>
          </cell>
        </row>
        <row r="146">
          <cell r="C146">
            <v>0</v>
          </cell>
          <cell r="D146">
            <v>8.7097000000000008E-3</v>
          </cell>
          <cell r="E146">
            <v>1.7419299999999999E-2</v>
          </cell>
          <cell r="F146">
            <v>1.7419299999999999E-2</v>
          </cell>
          <cell r="G146">
            <v>8.7097000000000008E-3</v>
          </cell>
        </row>
        <row r="147">
          <cell r="C147">
            <v>-0.112</v>
          </cell>
          <cell r="D147">
            <v>-8.0322599999999994E-2</v>
          </cell>
          <cell r="E147">
            <v>-9.9354899999999996E-2</v>
          </cell>
          <cell r="F147">
            <v>-7.90323E-2</v>
          </cell>
          <cell r="G147">
            <v>-6.7096799999999998E-2</v>
          </cell>
        </row>
        <row r="148">
          <cell r="C148">
            <v>1.8235899999999999E-2</v>
          </cell>
          <cell r="D148">
            <v>1.6129E-3</v>
          </cell>
          <cell r="E148">
            <v>-8.0645000000000005E-3</v>
          </cell>
          <cell r="F148">
            <v>1.3613E-2</v>
          </cell>
          <cell r="G148">
            <v>-1.6129E-3</v>
          </cell>
        </row>
        <row r="149">
          <cell r="C149">
            <v>-3.3457300000000002E-2</v>
          </cell>
          <cell r="D149">
            <v>-2.5806000000000002E-3</v>
          </cell>
          <cell r="E149">
            <v>-1.09677E-2</v>
          </cell>
          <cell r="F149">
            <v>1.7677399999999999E-2</v>
          </cell>
          <cell r="G149">
            <v>9.6773999999999992E-3</v>
          </cell>
        </row>
        <row r="150">
          <cell r="C150">
            <v>-0.111752</v>
          </cell>
          <cell r="D150">
            <v>-0.13741929999999999</v>
          </cell>
          <cell r="E150">
            <v>-9.4032299999999999E-2</v>
          </cell>
          <cell r="F150">
            <v>-7.4677499999999994E-2</v>
          </cell>
          <cell r="G150">
            <v>-7.4677400000000005E-2</v>
          </cell>
        </row>
        <row r="151">
          <cell r="C151">
            <v>-0.13694210000000001</v>
          </cell>
          <cell r="D151">
            <v>-0.12064519999999999</v>
          </cell>
          <cell r="E151">
            <v>-0.1227419</v>
          </cell>
          <cell r="F151">
            <v>-0.11435480000000001</v>
          </cell>
          <cell r="G151">
            <v>-6.4032199999999997E-2</v>
          </cell>
        </row>
        <row r="152">
          <cell r="C152">
            <v>-0.19838439999999999</v>
          </cell>
          <cell r="D152">
            <v>-0.14935480000000001</v>
          </cell>
          <cell r="E152">
            <v>-0.17225799999999999</v>
          </cell>
          <cell r="F152">
            <v>-0.17064509999999999</v>
          </cell>
          <cell r="G152">
            <v>-0.1009678</v>
          </cell>
        </row>
        <row r="153">
          <cell r="C153">
            <v>1.04358E-2</v>
          </cell>
          <cell r="D153">
            <v>0</v>
          </cell>
          <cell r="E153">
            <v>-8.2758999999999992E-3</v>
          </cell>
          <cell r="F153">
            <v>8.2758999999999992E-3</v>
          </cell>
          <cell r="G153">
            <v>-8.2758999999999992E-3</v>
          </cell>
        </row>
        <row r="154">
          <cell r="C154">
            <v>2.1741E-3</v>
          </cell>
          <cell r="D154">
            <v>0</v>
          </cell>
          <cell r="E154">
            <v>-1.7240999999999999E-3</v>
          </cell>
          <cell r="F154">
            <v>1.7240999999999999E-3</v>
          </cell>
          <cell r="G154">
            <v>-1.7240999999999999E-3</v>
          </cell>
        </row>
        <row r="155">
          <cell r="C155">
            <v>-0.14679600000000001</v>
          </cell>
          <cell r="D155">
            <v>-0.14933340000000001</v>
          </cell>
          <cell r="E155">
            <v>-0.18333340000000001</v>
          </cell>
          <cell r="F155">
            <v>-0.15866669999999999</v>
          </cell>
          <cell r="G155">
            <v>-0.1733333</v>
          </cell>
        </row>
        <row r="156">
          <cell r="C156">
            <v>-5.7143899999999997E-2</v>
          </cell>
          <cell r="D156">
            <v>-4.67997E-2</v>
          </cell>
          <cell r="E156">
            <v>-5.8924700000000003E-2</v>
          </cell>
          <cell r="F156">
            <v>-5.7462300000000001E-2</v>
          </cell>
          <cell r="G156">
            <v>-6.2795799999999999E-2</v>
          </cell>
        </row>
        <row r="157">
          <cell r="C157">
            <v>0</v>
          </cell>
          <cell r="D157">
            <v>6.1228999999999997E-3</v>
          </cell>
          <cell r="E157">
            <v>1.2258099999999999E-2</v>
          </cell>
          <cell r="F157">
            <v>6.1289999999999999E-3</v>
          </cell>
          <cell r="G157">
            <v>6.1289999999999999E-3</v>
          </cell>
        </row>
        <row r="158">
          <cell r="C158">
            <v>-8.2761299999999996E-2</v>
          </cell>
          <cell r="D158">
            <v>-0.29032249999999998</v>
          </cell>
          <cell r="E158">
            <v>0</v>
          </cell>
          <cell r="F158">
            <v>3.8709599999999997E-2</v>
          </cell>
          <cell r="G158">
            <v>3.8709599999999997E-2</v>
          </cell>
        </row>
        <row r="159">
          <cell r="C159">
            <v>8.0730999999999997E-3</v>
          </cell>
          <cell r="D159">
            <v>-5.4838999999999999E-3</v>
          </cell>
          <cell r="E159">
            <v>4.1935000000000002E-3</v>
          </cell>
          <cell r="F159">
            <v>-2.9031999999999999E-3</v>
          </cell>
          <cell r="G159">
            <v>5.4838999999999999E-3</v>
          </cell>
        </row>
        <row r="160">
          <cell r="C160">
            <v>1.49982E-2</v>
          </cell>
          <cell r="D160">
            <v>1.4806400000000001E-2</v>
          </cell>
          <cell r="E160">
            <v>-3.1936E-3</v>
          </cell>
          <cell r="F160">
            <v>-1.4806400000000001E-2</v>
          </cell>
          <cell r="G160">
            <v>-1.2193600000000001E-2</v>
          </cell>
        </row>
        <row r="161">
          <cell r="C161">
            <v>0</v>
          </cell>
          <cell r="D161">
            <v>9.0646000000000008E-3</v>
          </cell>
          <cell r="E161">
            <v>7.0645999999999999E-3</v>
          </cell>
          <cell r="F161">
            <v>-1E-3</v>
          </cell>
          <cell r="G161">
            <v>-2E-3</v>
          </cell>
        </row>
        <row r="162">
          <cell r="C162">
            <v>-2.1662500000000001E-2</v>
          </cell>
          <cell r="D162">
            <v>1.9354999999999999E-3</v>
          </cell>
          <cell r="E162">
            <v>1.9354999999999999E-3</v>
          </cell>
          <cell r="F162">
            <v>4.3334000000000003E-3</v>
          </cell>
          <cell r="G162">
            <v>4.3334000000000003E-3</v>
          </cell>
        </row>
        <row r="163">
          <cell r="C163">
            <v>-1.7083399999999999E-2</v>
          </cell>
          <cell r="D163">
            <v>-2.9031999999999999E-3</v>
          </cell>
          <cell r="E163">
            <v>-2.9031999999999999E-3</v>
          </cell>
          <cell r="F163">
            <v>2.7634000000000001E-3</v>
          </cell>
          <cell r="G163">
            <v>-5.9462999999999998E-3</v>
          </cell>
        </row>
        <row r="164">
          <cell r="C164">
            <v>2.7485800000000001E-2</v>
          </cell>
          <cell r="D164">
            <v>-7.0968000000000003E-3</v>
          </cell>
          <cell r="E164">
            <v>-7.0968000000000003E-3</v>
          </cell>
          <cell r="F164">
            <v>-7.0968000000000003E-3</v>
          </cell>
          <cell r="G164">
            <v>-2.8387099999999998E-2</v>
          </cell>
        </row>
        <row r="165">
          <cell r="C165">
            <v>0</v>
          </cell>
          <cell r="D165">
            <v>-1.7857100000000001E-2</v>
          </cell>
          <cell r="E165">
            <v>0</v>
          </cell>
          <cell r="F165">
            <v>8.9285000000000007E-3</v>
          </cell>
          <cell r="G165">
            <v>0</v>
          </cell>
        </row>
        <row r="166">
          <cell r="C166">
            <v>0</v>
          </cell>
          <cell r="D166">
            <v>-2.1429000000000001E-3</v>
          </cell>
          <cell r="E166">
            <v>0</v>
          </cell>
          <cell r="F166">
            <v>1.0715E-3</v>
          </cell>
          <cell r="G166">
            <v>1.0322599999999999E-2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2.96774E-2</v>
          </cell>
        </row>
        <row r="168">
          <cell r="C168">
            <v>-1.0831800000000001E-2</v>
          </cell>
          <cell r="D168">
            <v>-8.3870999999999998E-3</v>
          </cell>
          <cell r="E168">
            <v>-8.3870999999999998E-3</v>
          </cell>
          <cell r="F168">
            <v>-8.3870999999999998E-3</v>
          </cell>
          <cell r="G168">
            <v>-1.2580600000000001E-2</v>
          </cell>
        </row>
        <row r="169">
          <cell r="C169">
            <v>-1.49982E-2</v>
          </cell>
          <cell r="D169">
            <v>-1.1612900000000001E-2</v>
          </cell>
          <cell r="E169">
            <v>-1.1612900000000001E-2</v>
          </cell>
          <cell r="F169">
            <v>-1.1612900000000001E-2</v>
          </cell>
          <cell r="G169">
            <v>-1.7419299999999999E-2</v>
          </cell>
        </row>
        <row r="170">
          <cell r="C170">
            <v>2.0872100000000001E-2</v>
          </cell>
          <cell r="D170">
            <v>0</v>
          </cell>
          <cell r="E170">
            <v>-7.7419000000000003E-3</v>
          </cell>
          <cell r="F170">
            <v>0</v>
          </cell>
          <cell r="G170">
            <v>0</v>
          </cell>
        </row>
        <row r="171">
          <cell r="C171">
            <v>6.0878E-3</v>
          </cell>
          <cell r="D171">
            <v>4.5161000000000003E-3</v>
          </cell>
          <cell r="E171">
            <v>6.7742000000000002E-3</v>
          </cell>
          <cell r="F171">
            <v>0</v>
          </cell>
          <cell r="G171">
            <v>9.0322000000000006E-3</v>
          </cell>
        </row>
        <row r="172">
          <cell r="C172">
            <v>0</v>
          </cell>
          <cell r="D172">
            <v>8.4839000000000008E-3</v>
          </cell>
          <cell r="E172">
            <v>1.09677E-2</v>
          </cell>
          <cell r="F172">
            <v>-3.0000000000000001E-3</v>
          </cell>
          <cell r="G172">
            <v>4.9677000000000002E-3</v>
          </cell>
        </row>
        <row r="173">
          <cell r="C173">
            <v>0</v>
          </cell>
          <cell r="D173">
            <v>7.0000000000000001E-3</v>
          </cell>
          <cell r="E173">
            <v>0</v>
          </cell>
          <cell r="F173">
            <v>-7.0000000000000001E-3</v>
          </cell>
          <cell r="G173">
            <v>-1.3999899999999999E-2</v>
          </cell>
        </row>
        <row r="174">
          <cell r="C174">
            <v>1.0770800000000001E-2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</row>
        <row r="175">
          <cell r="C175">
            <v>1.23093E-2</v>
          </cell>
          <cell r="D175">
            <v>-3.2258E-3</v>
          </cell>
          <cell r="E175">
            <v>0</v>
          </cell>
          <cell r="F175">
            <v>0</v>
          </cell>
          <cell r="G175">
            <v>-2.58064E-2</v>
          </cell>
        </row>
        <row r="176">
          <cell r="C176">
            <v>0</v>
          </cell>
          <cell r="D176">
            <v>-6.7742000000000002E-3</v>
          </cell>
          <cell r="E176">
            <v>0</v>
          </cell>
          <cell r="F176">
            <v>0</v>
          </cell>
          <cell r="G176">
            <v>-5.4193600000000001E-2</v>
          </cell>
        </row>
        <row r="177">
          <cell r="C177">
            <v>0.1458303</v>
          </cell>
          <cell r="D177">
            <v>0</v>
          </cell>
          <cell r="E177">
            <v>0.13392850000000001</v>
          </cell>
          <cell r="F177">
            <v>0.125</v>
          </cell>
          <cell r="G177">
            <v>0.14285709999999999</v>
          </cell>
        </row>
        <row r="178">
          <cell r="C178">
            <v>1.7496500000000002E-2</v>
          </cell>
          <cell r="D178">
            <v>0</v>
          </cell>
          <cell r="E178">
            <v>-5.7500000000000002E-5</v>
          </cell>
          <cell r="F178">
            <v>-1.129E-3</v>
          </cell>
          <cell r="G178">
            <v>1.0139000000000001E-3</v>
          </cell>
        </row>
        <row r="179">
          <cell r="C179">
            <v>6.4997600000000003E-2</v>
          </cell>
          <cell r="D179">
            <v>5.1999999999999998E-2</v>
          </cell>
          <cell r="E179">
            <v>7.9560000000000004E-4</v>
          </cell>
          <cell r="F179">
            <v>5.1291000000000002E-3</v>
          </cell>
          <cell r="G179">
            <v>5.1291000000000002E-3</v>
          </cell>
        </row>
        <row r="180">
          <cell r="C180">
            <v>0.1385798</v>
          </cell>
          <cell r="D180">
            <v>9.2193499999999998E-2</v>
          </cell>
          <cell r="E180">
            <v>1.14625E-2</v>
          </cell>
          <cell r="F180">
            <v>1.7129100000000001E-2</v>
          </cell>
          <cell r="G180">
            <v>1.7129100000000001E-2</v>
          </cell>
        </row>
        <row r="181">
          <cell r="C181">
            <v>5.7145799999999997E-2</v>
          </cell>
          <cell r="D181">
            <v>2.58064E-2</v>
          </cell>
          <cell r="E181">
            <v>-3.6129000000000001E-2</v>
          </cell>
          <cell r="F181">
            <v>-3.6129099999999997E-2</v>
          </cell>
          <cell r="G181">
            <v>-3.6129099999999997E-2</v>
          </cell>
        </row>
        <row r="182">
          <cell r="C182">
            <v>-4.1599999999999998E-2</v>
          </cell>
          <cell r="D182">
            <v>0</v>
          </cell>
          <cell r="E182">
            <v>0</v>
          </cell>
          <cell r="F182">
            <v>8.3870999999999998E-3</v>
          </cell>
          <cell r="G182">
            <v>8.3870999999999998E-3</v>
          </cell>
        </row>
        <row r="183">
          <cell r="C183">
            <v>5.59949E-2</v>
          </cell>
          <cell r="D183">
            <v>0</v>
          </cell>
          <cell r="E183">
            <v>1.54839E-2</v>
          </cell>
          <cell r="F183">
            <v>6.7742000000000002E-3</v>
          </cell>
          <cell r="G183">
            <v>1.6129E-3</v>
          </cell>
        </row>
        <row r="184">
          <cell r="C184">
            <v>4.7995200000000002E-2</v>
          </cell>
          <cell r="D184">
            <v>-3.9998999999999998E-3</v>
          </cell>
          <cell r="E184">
            <v>1.18494E-2</v>
          </cell>
          <cell r="F184">
            <v>3.5052999999999998E-3</v>
          </cell>
          <cell r="G184">
            <v>0</v>
          </cell>
        </row>
        <row r="185">
          <cell r="C185">
            <v>-7.8000100000000003E-2</v>
          </cell>
          <cell r="D185">
            <v>-2.5999999999999999E-2</v>
          </cell>
          <cell r="E185">
            <v>-1.7333299999999999E-2</v>
          </cell>
          <cell r="F185">
            <v>-8.6666E-3</v>
          </cell>
          <cell r="G185">
            <v>0</v>
          </cell>
        </row>
        <row r="186">
          <cell r="C186">
            <v>6.4000000000000001E-2</v>
          </cell>
          <cell r="D186">
            <v>4.2666700000000002E-2</v>
          </cell>
          <cell r="E186">
            <v>2.13332E-2</v>
          </cell>
          <cell r="F186">
            <v>1.6E-2</v>
          </cell>
          <cell r="G186">
            <v>1.6E-2</v>
          </cell>
        </row>
        <row r="187">
          <cell r="C187">
            <v>-3.1274900000000001E-2</v>
          </cell>
          <cell r="D187">
            <v>1.7978399999999999E-2</v>
          </cell>
          <cell r="E187">
            <v>2.2537700000000001E-2</v>
          </cell>
          <cell r="F187">
            <v>1.7870899999999999E-2</v>
          </cell>
          <cell r="G187">
            <v>2.1742000000000001E-2</v>
          </cell>
        </row>
        <row r="188">
          <cell r="C188">
            <v>-0.13818510000000001</v>
          </cell>
          <cell r="D188">
            <v>-3.0645100000000002E-2</v>
          </cell>
          <cell r="E188">
            <v>6.1289999999999999E-3</v>
          </cell>
          <cell r="F188">
            <v>6.1289999999999999E-3</v>
          </cell>
          <cell r="G188">
            <v>1.2258099999999999E-2</v>
          </cell>
        </row>
        <row r="189">
          <cell r="C189">
            <v>6.2230000000000001E-2</v>
          </cell>
          <cell r="D189">
            <v>0</v>
          </cell>
          <cell r="E189">
            <v>0.05</v>
          </cell>
          <cell r="F189">
            <v>6.0000100000000001E-2</v>
          </cell>
          <cell r="G189">
            <v>5.9999900000000002E-2</v>
          </cell>
        </row>
        <row r="190">
          <cell r="C190">
            <v>-1.2903000000000001E-3</v>
          </cell>
          <cell r="D190">
            <v>2.5806000000000002E-3</v>
          </cell>
          <cell r="E190">
            <v>2.5806000000000002E-3</v>
          </cell>
          <cell r="F190">
            <v>2.5806000000000002E-3</v>
          </cell>
          <cell r="G190">
            <v>2.5806000000000002E-3</v>
          </cell>
        </row>
        <row r="191">
          <cell r="C191">
            <v>-8.7097000000000008E-3</v>
          </cell>
          <cell r="D191">
            <v>1.7419299999999999E-2</v>
          </cell>
          <cell r="E191">
            <v>1.7419299999999999E-2</v>
          </cell>
          <cell r="F191">
            <v>1.7419299999999999E-2</v>
          </cell>
          <cell r="G191">
            <v>1.7419299999999999E-2</v>
          </cell>
        </row>
        <row r="192">
          <cell r="C192">
            <v>2.8600000000000001E-6</v>
          </cell>
          <cell r="D192">
            <v>0</v>
          </cell>
          <cell r="E192">
            <v>-2.9031999999999999E-3</v>
          </cell>
          <cell r="F192">
            <v>-2.9031999999999999E-3</v>
          </cell>
          <cell r="G192">
            <v>0</v>
          </cell>
        </row>
        <row r="193">
          <cell r="C193">
            <v>7.1500000000000002E-6</v>
          </cell>
          <cell r="D193">
            <v>0</v>
          </cell>
          <cell r="E193">
            <v>-7.0968000000000003E-3</v>
          </cell>
          <cell r="F193">
            <v>-7.0968000000000003E-3</v>
          </cell>
          <cell r="G193">
            <v>0</v>
          </cell>
        </row>
        <row r="194">
          <cell r="C194">
            <v>-9.3600000000000003E-2</v>
          </cell>
          <cell r="D194">
            <v>-0.12580649999999999</v>
          </cell>
          <cell r="E194">
            <v>-0.2264516</v>
          </cell>
          <cell r="F194">
            <v>-0.21806449999999999</v>
          </cell>
          <cell r="G194">
            <v>-0.20967749999999999</v>
          </cell>
        </row>
        <row r="195">
          <cell r="C195">
            <v>-6.8935000000000003E-3</v>
          </cell>
          <cell r="D195">
            <v>-2.41935E-2</v>
          </cell>
          <cell r="E195">
            <v>-2.41935E-2</v>
          </cell>
          <cell r="F195">
            <v>-2.2580599999999999E-2</v>
          </cell>
          <cell r="G195">
            <v>-2.41935E-2</v>
          </cell>
        </row>
        <row r="196">
          <cell r="C196">
            <v>2.8325199999999998E-2</v>
          </cell>
          <cell r="D196">
            <v>5.0000000000000001E-3</v>
          </cell>
          <cell r="E196">
            <v>5.0645099999999998E-2</v>
          </cell>
          <cell r="F196">
            <v>5.3978400000000003E-2</v>
          </cell>
          <cell r="G196">
            <v>4.2204400000000003E-2</v>
          </cell>
        </row>
        <row r="197">
          <cell r="C197">
            <v>2.5008300000000001E-2</v>
          </cell>
          <cell r="D197">
            <v>2.5000000000000001E-2</v>
          </cell>
          <cell r="E197">
            <v>0.05</v>
          </cell>
          <cell r="F197">
            <v>6.6666699999999995E-2</v>
          </cell>
          <cell r="G197">
            <v>4.1666599999999998E-2</v>
          </cell>
        </row>
        <row r="198">
          <cell r="C198">
            <v>2.1328099999999999E-2</v>
          </cell>
          <cell r="D198">
            <v>0</v>
          </cell>
          <cell r="E198">
            <v>1.6E-2</v>
          </cell>
          <cell r="F198">
            <v>1.06666E-2</v>
          </cell>
          <cell r="G198">
            <v>1.6E-2</v>
          </cell>
        </row>
        <row r="199">
          <cell r="C199">
            <v>-1.9251899999999999E-2</v>
          </cell>
          <cell r="D199">
            <v>-2.0967699999999999E-2</v>
          </cell>
          <cell r="E199">
            <v>1.4195E-3</v>
          </cell>
          <cell r="F199">
            <v>-3.2472999999999998E-3</v>
          </cell>
          <cell r="G199">
            <v>-2.7742000000000001E-3</v>
          </cell>
        </row>
        <row r="200">
          <cell r="C200">
            <v>-5.3464200000000003E-2</v>
          </cell>
          <cell r="D200">
            <v>-2.96774E-2</v>
          </cell>
          <cell r="E200">
            <v>-1.80647E-2</v>
          </cell>
          <cell r="F200">
            <v>-1.83871E-2</v>
          </cell>
          <cell r="G200">
            <v>-2.4516099999999999E-2</v>
          </cell>
        </row>
        <row r="201">
          <cell r="C201">
            <v>-2.9041899999999999E-2</v>
          </cell>
          <cell r="D201">
            <v>-1.9354799999999998E-2</v>
          </cell>
          <cell r="E201">
            <v>-1.9354799999999998E-2</v>
          </cell>
          <cell r="F201">
            <v>-2.9032200000000001E-2</v>
          </cell>
          <cell r="G201">
            <v>-3.8709599999999997E-2</v>
          </cell>
        </row>
        <row r="202">
          <cell r="C202">
            <v>1.9354999999999999E-3</v>
          </cell>
          <cell r="D202">
            <v>1.9335999999999999E-3</v>
          </cell>
          <cell r="E202">
            <v>1.9354999999999999E-3</v>
          </cell>
          <cell r="F202">
            <v>3.8709999999999999E-3</v>
          </cell>
          <cell r="G202">
            <v>1.9354999999999999E-3</v>
          </cell>
        </row>
        <row r="203">
          <cell r="C203">
            <v>8.0645000000000005E-3</v>
          </cell>
          <cell r="D203">
            <v>8.0564E-3</v>
          </cell>
          <cell r="E203">
            <v>8.0645000000000005E-3</v>
          </cell>
          <cell r="F203">
            <v>1.6129000000000001E-2</v>
          </cell>
          <cell r="G203">
            <v>8.0645000000000005E-3</v>
          </cell>
        </row>
        <row r="204">
          <cell r="C204">
            <v>-3.58E-6</v>
          </cell>
          <cell r="D204">
            <v>0</v>
          </cell>
          <cell r="E204">
            <v>7.0968000000000003E-3</v>
          </cell>
          <cell r="F204">
            <v>3.5484000000000002E-3</v>
          </cell>
          <cell r="G204">
            <v>7.0968000000000003E-3</v>
          </cell>
        </row>
        <row r="205">
          <cell r="C205">
            <v>-6.4400000000000002E-6</v>
          </cell>
          <cell r="D205">
            <v>0</v>
          </cell>
          <cell r="E205">
            <v>1.29032E-2</v>
          </cell>
          <cell r="F205">
            <v>6.4516E-3</v>
          </cell>
          <cell r="G205">
            <v>1.29032E-2</v>
          </cell>
        </row>
        <row r="206">
          <cell r="C206">
            <v>-6.7326800000000006E-2</v>
          </cell>
          <cell r="D206">
            <v>-2.8064499999999999E-2</v>
          </cell>
          <cell r="E206">
            <v>-1.8709699999999999E-2</v>
          </cell>
          <cell r="F206">
            <v>-9.3547999999999999E-3</v>
          </cell>
          <cell r="G206">
            <v>-9.3547999999999999E-3</v>
          </cell>
        </row>
        <row r="207">
          <cell r="C207">
            <v>-1.55555E-2</v>
          </cell>
          <cell r="D207">
            <v>-1.9354999999999999E-3</v>
          </cell>
          <cell r="E207">
            <v>-1.2903000000000001E-3</v>
          </cell>
          <cell r="F207">
            <v>7.0968000000000003E-3</v>
          </cell>
          <cell r="G207">
            <v>3.2258E-3</v>
          </cell>
        </row>
        <row r="208">
          <cell r="C208">
            <v>-4.5277699999999997E-2</v>
          </cell>
          <cell r="D208">
            <v>-3.0333300000000001E-2</v>
          </cell>
          <cell r="E208">
            <v>-2.0999899999999998E-2</v>
          </cell>
          <cell r="F208">
            <v>-4.0752999999999996E-3</v>
          </cell>
          <cell r="G208">
            <v>-1.2537599999999999E-2</v>
          </cell>
        </row>
        <row r="209">
          <cell r="C209">
            <v>-9.2000100000000001E-2</v>
          </cell>
          <cell r="D209">
            <v>-9.9666699999999997E-2</v>
          </cell>
          <cell r="E209">
            <v>-6.9000000000000006E-2</v>
          </cell>
          <cell r="F209">
            <v>-5.3666600000000002E-2</v>
          </cell>
          <cell r="G209">
            <v>-6.1333400000000003E-2</v>
          </cell>
        </row>
        <row r="210">
          <cell r="C210">
            <v>-1.05898E-2</v>
          </cell>
          <cell r="D210">
            <v>-6.0000000000000001E-3</v>
          </cell>
          <cell r="E210">
            <v>-6.0000000000000001E-3</v>
          </cell>
          <cell r="F210">
            <v>-1.20001E-2</v>
          </cell>
          <cell r="G210">
            <v>-1.7999999999999999E-2</v>
          </cell>
        </row>
        <row r="211">
          <cell r="C211">
            <v>-1.7034999999999999E-3</v>
          </cell>
          <cell r="D211">
            <v>-8.8386999999999997E-3</v>
          </cell>
          <cell r="E211">
            <v>-3.9998999999999998E-3</v>
          </cell>
          <cell r="F211">
            <v>-8.0000000000000002E-3</v>
          </cell>
          <cell r="G211">
            <v>-1.6838700000000002E-2</v>
          </cell>
        </row>
        <row r="212">
          <cell r="C212">
            <v>5.7134999999999998E-3</v>
          </cell>
          <cell r="D212">
            <v>-5.1612999999999997E-3</v>
          </cell>
          <cell r="E212">
            <v>0</v>
          </cell>
          <cell r="F212">
            <v>0</v>
          </cell>
          <cell r="G212">
            <v>-5.1612999999999997E-3</v>
          </cell>
        </row>
        <row r="213">
          <cell r="C213">
            <v>-3.1302900000000002E-2</v>
          </cell>
          <cell r="D213">
            <v>0</v>
          </cell>
          <cell r="E213">
            <v>8.5713999999999999E-3</v>
          </cell>
          <cell r="F213">
            <v>1.7142899999999999E-2</v>
          </cell>
          <cell r="G213">
            <v>2.5714299999999999E-2</v>
          </cell>
        </row>
        <row r="214">
          <cell r="C214">
            <v>3.8151999999999999E-3</v>
          </cell>
          <cell r="D214">
            <v>9.0322000000000006E-3</v>
          </cell>
          <cell r="E214">
            <v>1.6106100000000002E-2</v>
          </cell>
          <cell r="F214">
            <v>1.97927E-2</v>
          </cell>
          <cell r="G214">
            <v>1.89631E-2</v>
          </cell>
        </row>
        <row r="215">
          <cell r="C215">
            <v>3.0967700000000001E-2</v>
          </cell>
          <cell r="D215">
            <v>3.0967700000000001E-2</v>
          </cell>
          <cell r="E215">
            <v>5.0322499999999999E-2</v>
          </cell>
          <cell r="F215">
            <v>5.8064499999999998E-2</v>
          </cell>
          <cell r="G215">
            <v>5.0322699999999998E-2</v>
          </cell>
        </row>
        <row r="216">
          <cell r="C216">
            <v>-3.8186999999999999E-2</v>
          </cell>
          <cell r="D216">
            <v>-3.48387E-2</v>
          </cell>
          <cell r="E216">
            <v>-2.7096700000000001E-2</v>
          </cell>
          <cell r="F216">
            <v>-2.1290300000000002E-2</v>
          </cell>
          <cell r="G216">
            <v>-1.9354799999999998E-2</v>
          </cell>
        </row>
        <row r="217">
          <cell r="C217">
            <v>-6.0463000000000003E-2</v>
          </cell>
          <cell r="D217">
            <v>-5.5161500000000002E-2</v>
          </cell>
          <cell r="E217">
            <v>-4.2903400000000001E-2</v>
          </cell>
          <cell r="F217">
            <v>-3.3709599999999999E-2</v>
          </cell>
          <cell r="G217">
            <v>-3.06453E-2</v>
          </cell>
        </row>
        <row r="218">
          <cell r="C218">
            <v>-2.0690199999999999E-2</v>
          </cell>
          <cell r="D218">
            <v>-1.9354799999999998E-2</v>
          </cell>
          <cell r="E218">
            <v>0</v>
          </cell>
          <cell r="F218">
            <v>0</v>
          </cell>
          <cell r="G218">
            <v>0</v>
          </cell>
        </row>
        <row r="219">
          <cell r="C219">
            <v>-6.9399999999999996E-4</v>
          </cell>
          <cell r="D219">
            <v>3.5484000000000002E-3</v>
          </cell>
          <cell r="E219">
            <v>4.1935000000000002E-3</v>
          </cell>
          <cell r="F219">
            <v>6.2903000000000004E-3</v>
          </cell>
          <cell r="G219">
            <v>6.2903000000000004E-3</v>
          </cell>
        </row>
        <row r="220">
          <cell r="C220">
            <v>-5.7200000000000003E-6</v>
          </cell>
          <cell r="D220">
            <v>5.8063999999999998E-3</v>
          </cell>
          <cell r="E220">
            <v>5.64E-3</v>
          </cell>
          <cell r="F220">
            <v>8.5430000000000002E-3</v>
          </cell>
          <cell r="G220">
            <v>8.8763999999999996E-3</v>
          </cell>
        </row>
        <row r="221">
          <cell r="C221">
            <v>0</v>
          </cell>
          <cell r="D221">
            <v>0</v>
          </cell>
          <cell r="E221">
            <v>-4.8335000000000001E-3</v>
          </cell>
          <cell r="F221">
            <v>-4.8332999999999996E-3</v>
          </cell>
          <cell r="G221">
            <v>4.8332999999999996E-3</v>
          </cell>
        </row>
        <row r="222">
          <cell r="C222">
            <v>-2.63848E-2</v>
          </cell>
          <cell r="D222">
            <v>0</v>
          </cell>
          <cell r="E222">
            <v>-1.9000099999999999E-2</v>
          </cell>
          <cell r="F222">
            <v>-1.89999E-2</v>
          </cell>
          <cell r="G222">
            <v>-2.2166700000000001E-2</v>
          </cell>
        </row>
        <row r="223">
          <cell r="C223">
            <v>-1.5275199999999999E-2</v>
          </cell>
          <cell r="D223">
            <v>-5.1612999999999997E-3</v>
          </cell>
          <cell r="E223">
            <v>-1.35806E-2</v>
          </cell>
          <cell r="F223">
            <v>-1.6161399999999999E-2</v>
          </cell>
          <cell r="G223">
            <v>-1.7994599999999999E-2</v>
          </cell>
        </row>
        <row r="224">
          <cell r="C224">
            <v>0</v>
          </cell>
          <cell r="D224">
            <v>-4.8386999999999996E-3</v>
          </cell>
          <cell r="E224">
            <v>-2.4195000000000002E-3</v>
          </cell>
          <cell r="F224">
            <v>-4.8386999999999996E-3</v>
          </cell>
          <cell r="G224">
            <v>-4.8386999999999996E-3</v>
          </cell>
        </row>
        <row r="225">
          <cell r="C225">
            <v>0</v>
          </cell>
          <cell r="D225">
            <v>0</v>
          </cell>
          <cell r="E225">
            <v>1.3392899999999999E-2</v>
          </cell>
          <cell r="F225">
            <v>1.78572E-2</v>
          </cell>
          <cell r="G225">
            <v>2.2321500000000001E-2</v>
          </cell>
        </row>
        <row r="226">
          <cell r="C226">
            <v>-3.2259999999999998E-4</v>
          </cell>
          <cell r="D226">
            <v>0</v>
          </cell>
          <cell r="E226">
            <v>1.6072E-3</v>
          </cell>
          <cell r="F226">
            <v>2.3042000000000002E-3</v>
          </cell>
          <cell r="G226">
            <v>2.6784999999999999E-3</v>
          </cell>
        </row>
        <row r="227">
          <cell r="C227">
            <v>-9.6773999999999992E-3</v>
          </cell>
          <cell r="D227">
            <v>0</v>
          </cell>
          <cell r="E227">
            <v>0</v>
          </cell>
          <cell r="F227">
            <v>4.8386999999999996E-3</v>
          </cell>
          <cell r="G227">
            <v>0</v>
          </cell>
        </row>
        <row r="228">
          <cell r="C228">
            <v>-1.08361E-2</v>
          </cell>
          <cell r="D228">
            <v>-4.1935000000000002E-3</v>
          </cell>
          <cell r="E228">
            <v>-6.2903999999999998E-3</v>
          </cell>
          <cell r="F228">
            <v>-6.2903000000000004E-3</v>
          </cell>
          <cell r="G228">
            <v>-6.2903000000000004E-3</v>
          </cell>
        </row>
        <row r="229">
          <cell r="C229">
            <v>-1.5003900000000001E-2</v>
          </cell>
          <cell r="D229">
            <v>-5.8063999999999998E-3</v>
          </cell>
          <cell r="E229">
            <v>-8.7097000000000008E-3</v>
          </cell>
          <cell r="F229">
            <v>-8.7097000000000008E-3</v>
          </cell>
          <cell r="G229">
            <v>-8.7097000000000008E-3</v>
          </cell>
        </row>
        <row r="230">
          <cell r="C230">
            <v>-5.1599000000000003E-3</v>
          </cell>
          <cell r="D230">
            <v>9.9900000000000006E-3</v>
          </cell>
          <cell r="E230">
            <v>0</v>
          </cell>
          <cell r="F230">
            <v>5.0000000000000001E-3</v>
          </cell>
          <cell r="G230">
            <v>5.0000000000000001E-3</v>
          </cell>
        </row>
        <row r="231">
          <cell r="C231">
            <v>5.3877999999999999E-3</v>
          </cell>
          <cell r="D231">
            <v>4.5161000000000003E-3</v>
          </cell>
          <cell r="E231">
            <v>-2.2580999999999999E-3</v>
          </cell>
          <cell r="F231">
            <v>0</v>
          </cell>
          <cell r="G231">
            <v>-2.2580999999999999E-3</v>
          </cell>
        </row>
        <row r="232">
          <cell r="C232">
            <v>9.8755000000000006E-3</v>
          </cell>
          <cell r="D232">
            <v>1.01504E-2</v>
          </cell>
          <cell r="E232">
            <v>-2.4085000000000001E-3</v>
          </cell>
          <cell r="F232">
            <v>6.6660000000000005E-4</v>
          </cell>
          <cell r="G232">
            <v>-1.7419E-3</v>
          </cell>
        </row>
        <row r="233">
          <cell r="C233">
            <v>-8.6147299999999996E-2</v>
          </cell>
          <cell r="D233">
            <v>-7.1763300000000002E-2</v>
          </cell>
          <cell r="E233">
            <v>-0.13791419999999999</v>
          </cell>
          <cell r="F233">
            <v>-0.14147319999999999</v>
          </cell>
          <cell r="G233">
            <v>-0.1368065</v>
          </cell>
        </row>
        <row r="234">
          <cell r="C234">
            <v>-0.14168330000000001</v>
          </cell>
          <cell r="D234">
            <v>-0.11290310000000001</v>
          </cell>
          <cell r="E234">
            <v>-0.13141920000000001</v>
          </cell>
          <cell r="F234">
            <v>-0.1218603</v>
          </cell>
          <cell r="G234">
            <v>-0.12886020000000001</v>
          </cell>
        </row>
        <row r="235">
          <cell r="C235">
            <v>-3.6922700000000003E-2</v>
          </cell>
          <cell r="D235">
            <v>0</v>
          </cell>
          <cell r="E235">
            <v>-1.7612900000000001E-2</v>
          </cell>
          <cell r="F235">
            <v>1.0537999999999999E-3</v>
          </cell>
          <cell r="G235">
            <v>-5.3333E-3</v>
          </cell>
        </row>
        <row r="236">
          <cell r="C236">
            <v>0</v>
          </cell>
          <cell r="D236">
            <v>0</v>
          </cell>
          <cell r="E236">
            <v>-3.3869999999999998E-3</v>
          </cell>
          <cell r="F236">
            <v>-3.3871000000000001E-3</v>
          </cell>
          <cell r="G236">
            <v>0</v>
          </cell>
        </row>
        <row r="237">
          <cell r="C237">
            <v>5.1999000000000004E-3</v>
          </cell>
          <cell r="D237">
            <v>0</v>
          </cell>
          <cell r="E237">
            <v>1.3928400000000001E-2</v>
          </cell>
          <cell r="F237">
            <v>9.2856999999999992E-3</v>
          </cell>
          <cell r="G237">
            <v>4.6427999999999999E-3</v>
          </cell>
        </row>
        <row r="238">
          <cell r="C238">
            <v>-2.4509999999999999E-4</v>
          </cell>
          <cell r="D238">
            <v>-1.2903000000000001E-3</v>
          </cell>
          <cell r="E238">
            <v>-5.4140000000000004E-4</v>
          </cell>
          <cell r="F238">
            <v>-8.9860000000000005E-4</v>
          </cell>
          <cell r="G238">
            <v>-1.9009000000000001E-3</v>
          </cell>
        </row>
        <row r="239">
          <cell r="C239">
            <v>-9.3547999999999999E-3</v>
          </cell>
          <cell r="D239">
            <v>-1.8709699999999999E-2</v>
          </cell>
          <cell r="E239">
            <v>-2.3387000000000002E-2</v>
          </cell>
          <cell r="F239">
            <v>-2.3387100000000001E-2</v>
          </cell>
          <cell r="G239">
            <v>-3.2741899999999997E-2</v>
          </cell>
        </row>
        <row r="240">
          <cell r="C240">
            <v>-5.3877999999999999E-3</v>
          </cell>
          <cell r="D240">
            <v>1.8064500000000001E-2</v>
          </cell>
          <cell r="E240">
            <v>5.4193499999999999E-2</v>
          </cell>
          <cell r="F240">
            <v>6.5483799999999995E-2</v>
          </cell>
          <cell r="G240">
            <v>7.4516100000000002E-2</v>
          </cell>
        </row>
        <row r="241">
          <cell r="C241">
            <v>-7.5421000000000004E-3</v>
          </cell>
          <cell r="D241">
            <v>1.9602100000000001E-2</v>
          </cell>
          <cell r="E241">
            <v>6.2639700000000006E-2</v>
          </cell>
          <cell r="F241">
            <v>7.6016200000000006E-2</v>
          </cell>
          <cell r="G241">
            <v>8.6484000000000005E-2</v>
          </cell>
        </row>
        <row r="242">
          <cell r="C242">
            <v>-2.9000000000000001E-2</v>
          </cell>
          <cell r="D242">
            <v>-6.7666500000000004E-2</v>
          </cell>
          <cell r="E242">
            <v>-9.1833399999999996E-2</v>
          </cell>
          <cell r="F242">
            <v>-0.1014999</v>
          </cell>
          <cell r="G242">
            <v>-0.11600009999999999</v>
          </cell>
        </row>
        <row r="243">
          <cell r="C243">
            <v>9.0322000000000006E-3</v>
          </cell>
          <cell r="D243">
            <v>3.8709999999999999E-3</v>
          </cell>
          <cell r="E243">
            <v>0</v>
          </cell>
          <cell r="F243">
            <v>-1.2903000000000001E-3</v>
          </cell>
          <cell r="G243">
            <v>-6.4516E-3</v>
          </cell>
        </row>
        <row r="244">
          <cell r="C244">
            <v>2.59676E-2</v>
          </cell>
          <cell r="D244">
            <v>1.1128900000000001E-2</v>
          </cell>
          <cell r="E244">
            <v>0</v>
          </cell>
          <cell r="F244">
            <v>-3.7096999999999998E-3</v>
          </cell>
          <cell r="G244">
            <v>-1.85484E-2</v>
          </cell>
        </row>
        <row r="245">
          <cell r="C245">
            <v>-3.6345500000000003E-2</v>
          </cell>
          <cell r="D245">
            <v>3.48387E-2</v>
          </cell>
          <cell r="E245">
            <v>6.5322599999999995E-2</v>
          </cell>
          <cell r="F245">
            <v>8.7096699999999999E-2</v>
          </cell>
          <cell r="G245">
            <v>8.7096800000000002E-2</v>
          </cell>
        </row>
        <row r="246">
          <cell r="C246">
            <v>3.2120700000000002E-2</v>
          </cell>
          <cell r="D246">
            <v>3.5166299999999998E-2</v>
          </cell>
          <cell r="E246">
            <v>4.9677399999999997E-2</v>
          </cell>
          <cell r="F246">
            <v>5.0403200000000002E-2</v>
          </cell>
          <cell r="G246">
            <v>4.2903200000000002E-2</v>
          </cell>
        </row>
        <row r="247">
          <cell r="C247">
            <v>4.3008299999999999E-2</v>
          </cell>
          <cell r="D247">
            <v>2.82309E-2</v>
          </cell>
          <cell r="E247">
            <v>5.5967799999999998E-2</v>
          </cell>
          <cell r="F247">
            <v>4.9919400000000003E-2</v>
          </cell>
          <cell r="G247">
            <v>4.7741899999999997E-2</v>
          </cell>
        </row>
        <row r="248">
          <cell r="C248">
            <v>1.00064E-2</v>
          </cell>
          <cell r="D248">
            <v>-3.2258E-3</v>
          </cell>
          <cell r="E248">
            <v>2.9032200000000001E-2</v>
          </cell>
          <cell r="F248">
            <v>2.2580599999999999E-2</v>
          </cell>
          <cell r="G248">
            <v>3.2258200000000001E-2</v>
          </cell>
        </row>
        <row r="249">
          <cell r="C249">
            <v>-5.7033100000000003E-2</v>
          </cell>
          <cell r="D249">
            <v>4.8275000000000002E-3</v>
          </cell>
          <cell r="E249">
            <v>0</v>
          </cell>
          <cell r="F249">
            <v>4.8275999999999996E-3</v>
          </cell>
          <cell r="G249">
            <v>2.41379E-2</v>
          </cell>
        </row>
        <row r="250">
          <cell r="C250">
            <v>-1.8536799999999999E-2</v>
          </cell>
          <cell r="D250">
            <v>-3.3723999999999998E-3</v>
          </cell>
          <cell r="E250">
            <v>-1.7741E-3</v>
          </cell>
          <cell r="F250">
            <v>1.9465999999999999E-3</v>
          </cell>
          <cell r="G250">
            <v>2.6362999999999998E-3</v>
          </cell>
        </row>
        <row r="251">
          <cell r="C251">
            <v>-0.03</v>
          </cell>
          <cell r="D251">
            <v>-6.4451999999999999E-3</v>
          </cell>
          <cell r="E251">
            <v>-3.2258E-3</v>
          </cell>
          <cell r="F251">
            <v>3.2258E-3</v>
          </cell>
          <cell r="G251">
            <v>3.2258E-3</v>
          </cell>
        </row>
        <row r="252">
          <cell r="C252">
            <v>2.13315E-2</v>
          </cell>
          <cell r="D252">
            <v>3.61292E-2</v>
          </cell>
          <cell r="E252">
            <v>2.58064E-2</v>
          </cell>
          <cell r="F252">
            <v>2.8387200000000001E-2</v>
          </cell>
          <cell r="G252">
            <v>2.3225800000000001E-2</v>
          </cell>
        </row>
        <row r="253">
          <cell r="C253">
            <v>1.7498300000000001E-2</v>
          </cell>
          <cell r="D253">
            <v>3.23699E-2</v>
          </cell>
          <cell r="E253">
            <v>2.2193399999999999E-2</v>
          </cell>
          <cell r="F253">
            <v>2.3612899999999999E-2</v>
          </cell>
          <cell r="G253">
            <v>1.8274200000000001E-2</v>
          </cell>
        </row>
        <row r="254">
          <cell r="C254">
            <v>-2.24998E-2</v>
          </cell>
          <cell r="D254">
            <v>-1.3509E-2</v>
          </cell>
          <cell r="E254">
            <v>-1.7999899999999999E-2</v>
          </cell>
          <cell r="F254">
            <v>-2.7E-2</v>
          </cell>
          <cell r="G254">
            <v>-3.15E-2</v>
          </cell>
        </row>
        <row r="255">
          <cell r="C255">
            <v>-5.5516000000000003E-3</v>
          </cell>
          <cell r="D255">
            <v>1.6129E-3</v>
          </cell>
          <cell r="E255">
            <v>4.8386999999999996E-3</v>
          </cell>
          <cell r="F255">
            <v>9.6773999999999992E-3</v>
          </cell>
          <cell r="G255">
            <v>9.6773999999999992E-3</v>
          </cell>
        </row>
        <row r="256">
          <cell r="C256">
            <v>-1.1658399999999999E-2</v>
          </cell>
          <cell r="D256">
            <v>3.3871999999999999E-3</v>
          </cell>
          <cell r="E256">
            <v>1.01612E-2</v>
          </cell>
          <cell r="F256">
            <v>2.03226E-2</v>
          </cell>
          <cell r="G256">
            <v>2.03226E-2</v>
          </cell>
        </row>
        <row r="257">
          <cell r="C257">
            <v>0</v>
          </cell>
          <cell r="D257">
            <v>2.3387000000000002E-2</v>
          </cell>
          <cell r="E257">
            <v>3.7419300000000003E-2</v>
          </cell>
          <cell r="F257">
            <v>4.6774099999999999E-2</v>
          </cell>
          <cell r="G257">
            <v>6.0806499999999999E-2</v>
          </cell>
        </row>
        <row r="258">
          <cell r="C258">
            <v>-5.3279E-3</v>
          </cell>
          <cell r="D258">
            <v>1.6129E-3</v>
          </cell>
          <cell r="E258">
            <v>1.05808E-2</v>
          </cell>
          <cell r="F258">
            <v>8.5591E-3</v>
          </cell>
          <cell r="G258">
            <v>4.1935000000000002E-3</v>
          </cell>
        </row>
        <row r="259">
          <cell r="C259">
            <v>2.24199E-2</v>
          </cell>
          <cell r="D259">
            <v>-2.0967E-3</v>
          </cell>
          <cell r="E259">
            <v>1.5387100000000001E-2</v>
          </cell>
          <cell r="F259">
            <v>1.0957E-2</v>
          </cell>
          <cell r="G259">
            <v>0</v>
          </cell>
        </row>
        <row r="260">
          <cell r="C260">
            <v>-0.3290555</v>
          </cell>
          <cell r="D260">
            <v>-0.14225789999999999</v>
          </cell>
          <cell r="E260">
            <v>-0.1243548</v>
          </cell>
          <cell r="F260">
            <v>-8.5967699999999994E-2</v>
          </cell>
          <cell r="G260">
            <v>-8.5645200000000005E-2</v>
          </cell>
        </row>
        <row r="261">
          <cell r="C261">
            <v>8.5135000000000002E-3</v>
          </cell>
          <cell r="D261">
            <v>1.9364599999999999E-2</v>
          </cell>
          <cell r="E261">
            <v>-1.9032199999999999E-2</v>
          </cell>
          <cell r="F261">
            <v>-4.0322700000000003E-2</v>
          </cell>
          <cell r="G261">
            <v>-4.9354799999999997E-2</v>
          </cell>
        </row>
        <row r="262">
          <cell r="C262">
            <v>2.7274799999999998E-2</v>
          </cell>
          <cell r="D262">
            <v>-2.9032200000000001E-2</v>
          </cell>
          <cell r="E262">
            <v>-2.5161300000000001E-2</v>
          </cell>
          <cell r="F262">
            <v>-3.48387E-2</v>
          </cell>
          <cell r="G262">
            <v>-3.48387E-2</v>
          </cell>
        </row>
        <row r="263">
          <cell r="C263">
            <v>-0.14639379999999999</v>
          </cell>
          <cell r="D263">
            <v>-0.20630119999999999</v>
          </cell>
          <cell r="E263">
            <v>-0.17850540000000001</v>
          </cell>
          <cell r="F263">
            <v>-0.2111613</v>
          </cell>
          <cell r="G263">
            <v>-0.1786613</v>
          </cell>
        </row>
        <row r="264">
          <cell r="C264">
            <v>-0.30103869999999999</v>
          </cell>
          <cell r="D264">
            <v>-0.2864408</v>
          </cell>
          <cell r="E264">
            <v>-0.25536560000000003</v>
          </cell>
          <cell r="F264">
            <v>-0.27529039999999999</v>
          </cell>
          <cell r="G264">
            <v>-0.25198389999999998</v>
          </cell>
        </row>
        <row r="265">
          <cell r="C265">
            <v>-2.9752299999999999E-2</v>
          </cell>
          <cell r="D265">
            <v>-5.3225799999999997E-2</v>
          </cell>
          <cell r="E265">
            <v>-5.2300899999999997E-2</v>
          </cell>
          <cell r="F265">
            <v>-4.8709599999999999E-2</v>
          </cell>
          <cell r="G265">
            <v>-6.6516199999999998E-2</v>
          </cell>
        </row>
        <row r="266">
          <cell r="C266">
            <v>9.10001E-2</v>
          </cell>
          <cell r="D266">
            <v>6.5000100000000005E-2</v>
          </cell>
          <cell r="E266">
            <v>5.6333300000000003E-2</v>
          </cell>
          <cell r="F266">
            <v>6.5000100000000005E-2</v>
          </cell>
          <cell r="G266">
            <v>5.1999999999999998E-2</v>
          </cell>
        </row>
        <row r="267">
          <cell r="C267">
            <v>5.4964999999999996E-3</v>
          </cell>
          <cell r="D267">
            <v>-7.0968000000000003E-3</v>
          </cell>
          <cell r="E267">
            <v>-1.41935E-2</v>
          </cell>
          <cell r="F267">
            <v>-1.9516200000000001E-2</v>
          </cell>
          <cell r="G267">
            <v>-1.5967800000000001E-2</v>
          </cell>
        </row>
        <row r="268">
          <cell r="C268">
            <v>9.9933000000000001E-3</v>
          </cell>
          <cell r="D268">
            <v>-1.29032E-2</v>
          </cell>
          <cell r="E268">
            <v>-2.5806699999999998E-2</v>
          </cell>
          <cell r="F268">
            <v>-3.5483800000000003E-2</v>
          </cell>
          <cell r="G268">
            <v>-2.9032200000000001E-2</v>
          </cell>
        </row>
        <row r="269">
          <cell r="C269">
            <v>-3.62127E-2</v>
          </cell>
          <cell r="D269">
            <v>-3.8709599999999997E-2</v>
          </cell>
          <cell r="E269">
            <v>-5.8064499999999998E-2</v>
          </cell>
          <cell r="F269">
            <v>-5.8064499999999998E-2</v>
          </cell>
          <cell r="G269">
            <v>-5.8064499999999998E-2</v>
          </cell>
        </row>
        <row r="270">
          <cell r="C270">
            <v>-0.12620709999999999</v>
          </cell>
          <cell r="D270">
            <v>-0.1179571</v>
          </cell>
          <cell r="E270">
            <v>-0.13526869999999999</v>
          </cell>
          <cell r="F270">
            <v>-0.1561022</v>
          </cell>
          <cell r="G270">
            <v>-0.14360210000000001</v>
          </cell>
        </row>
        <row r="271">
          <cell r="C271">
            <v>-3.0250099999999999E-2</v>
          </cell>
          <cell r="D271">
            <v>-4.3655899999999997E-2</v>
          </cell>
          <cell r="E271">
            <v>-7.4086200000000005E-2</v>
          </cell>
          <cell r="F271">
            <v>-0.1019626</v>
          </cell>
          <cell r="G271">
            <v>-9.9462499999999995E-2</v>
          </cell>
        </row>
        <row r="272">
          <cell r="C272">
            <v>-8.8719999999999999E-4</v>
          </cell>
          <cell r="D272">
            <v>-8.3870999999999998E-3</v>
          </cell>
          <cell r="E272">
            <v>-2.1290300000000002E-2</v>
          </cell>
          <cell r="F272">
            <v>-3.2258000000000002E-2</v>
          </cell>
          <cell r="G272">
            <v>-3.1935499999999999E-2</v>
          </cell>
        </row>
        <row r="273">
          <cell r="C273">
            <v>2.33872E-2</v>
          </cell>
          <cell r="D273">
            <v>1.8709699999999999E-2</v>
          </cell>
          <cell r="E273">
            <v>1.8709699999999999E-2</v>
          </cell>
          <cell r="F273">
            <v>2.33872E-2</v>
          </cell>
          <cell r="G273">
            <v>2.8064700000000001E-2</v>
          </cell>
        </row>
        <row r="274">
          <cell r="C274">
            <v>-1.08361E-2</v>
          </cell>
          <cell r="D274">
            <v>-1.88708E-2</v>
          </cell>
          <cell r="E274">
            <v>-3.14515E-2</v>
          </cell>
          <cell r="F274">
            <v>-3.1451699999999999E-2</v>
          </cell>
          <cell r="G274">
            <v>-3.3548399999999999E-2</v>
          </cell>
        </row>
        <row r="275">
          <cell r="C275">
            <v>-1.5003900000000001E-2</v>
          </cell>
          <cell r="D275">
            <v>-2.6128999999999999E-2</v>
          </cell>
          <cell r="E275">
            <v>-4.3548299999999998E-2</v>
          </cell>
          <cell r="F275">
            <v>-4.3548299999999998E-2</v>
          </cell>
          <cell r="G275">
            <v>-4.6451800000000001E-2</v>
          </cell>
        </row>
        <row r="276">
          <cell r="C276">
            <v>5.2015999999999998E-3</v>
          </cell>
          <cell r="D276">
            <v>-1.6129000000000001E-2</v>
          </cell>
          <cell r="E276">
            <v>-3.2258299999999997E-2</v>
          </cell>
          <cell r="F276">
            <v>-4.4354699999999997E-2</v>
          </cell>
          <cell r="G276">
            <v>-4.8387100000000002E-2</v>
          </cell>
        </row>
        <row r="277">
          <cell r="C277">
            <v>1.2484E-3</v>
          </cell>
          <cell r="D277">
            <v>-5.5376999999999996E-3</v>
          </cell>
          <cell r="E277">
            <v>-5.2418999999999999E-3</v>
          </cell>
          <cell r="F277">
            <v>-9.8119000000000001E-3</v>
          </cell>
          <cell r="G277">
            <v>-1.07796E-2</v>
          </cell>
        </row>
        <row r="278">
          <cell r="C278">
            <v>0</v>
          </cell>
          <cell r="D278">
            <v>-8.3333999999999995E-3</v>
          </cell>
          <cell r="E278">
            <v>1.2500000000000001E-2</v>
          </cell>
          <cell r="F278">
            <v>4.1666000000000003E-3</v>
          </cell>
          <cell r="G278">
            <v>4.1666000000000003E-3</v>
          </cell>
        </row>
        <row r="279">
          <cell r="C279">
            <v>2.6391700000000001E-2</v>
          </cell>
          <cell r="D279">
            <v>-2.4516099999999999E-2</v>
          </cell>
          <cell r="E279">
            <v>-4.9032199999999998E-2</v>
          </cell>
          <cell r="F279">
            <v>-9.8064700000000005E-2</v>
          </cell>
          <cell r="G279">
            <v>-0.1195161</v>
          </cell>
        </row>
        <row r="280">
          <cell r="C280">
            <v>2.13349E-2</v>
          </cell>
          <cell r="D280">
            <v>-1.6650399999999999E-2</v>
          </cell>
          <cell r="E280">
            <v>-3.33011E-2</v>
          </cell>
          <cell r="F280">
            <v>-6.6601999999999995E-2</v>
          </cell>
          <cell r="G280">
            <v>-8.2483799999999996E-2</v>
          </cell>
        </row>
        <row r="281">
          <cell r="C281">
            <v>1.5333400000000001E-2</v>
          </cell>
          <cell r="D281">
            <v>-3.8333E-3</v>
          </cell>
          <cell r="E281">
            <v>-7.6666E-3</v>
          </cell>
          <cell r="F281">
            <v>-1.5333400000000001E-2</v>
          </cell>
          <cell r="G281">
            <v>-2.3E-2</v>
          </cell>
        </row>
        <row r="282">
          <cell r="C282">
            <v>-0.1666667</v>
          </cell>
          <cell r="D282">
            <v>-7.0833400000000005E-2</v>
          </cell>
          <cell r="E282">
            <v>-5.8333400000000001E-2</v>
          </cell>
          <cell r="F282">
            <v>-7.0833199999999999E-2</v>
          </cell>
          <cell r="G282">
            <v>-7.4999800000000005E-2</v>
          </cell>
        </row>
        <row r="283">
          <cell r="C283">
            <v>-3.3333300000000003E-2</v>
          </cell>
          <cell r="D283">
            <v>-7.0698000000000002E-3</v>
          </cell>
          <cell r="E283">
            <v>-1.0215999999999999E-3</v>
          </cell>
          <cell r="F283">
            <v>3.5753E-3</v>
          </cell>
          <cell r="G283">
            <v>1.3387E-2</v>
          </cell>
        </row>
        <row r="284">
          <cell r="C284">
            <v>9.6770000000000005E-4</v>
          </cell>
          <cell r="D284">
            <v>5.8063999999999998E-3</v>
          </cell>
          <cell r="E284">
            <v>8.7098999999999996E-3</v>
          </cell>
          <cell r="F284">
            <v>1.30644E-2</v>
          </cell>
          <cell r="G284">
            <v>1.6935599999999999E-2</v>
          </cell>
        </row>
        <row r="285">
          <cell r="C285">
            <v>9.0322000000000006E-3</v>
          </cell>
          <cell r="D285">
            <v>2.7096700000000001E-2</v>
          </cell>
          <cell r="E285">
            <v>4.0645100000000003E-2</v>
          </cell>
          <cell r="F285">
            <v>5.4193499999999999E-2</v>
          </cell>
          <cell r="G285">
            <v>4.9677399999999997E-2</v>
          </cell>
        </row>
        <row r="286">
          <cell r="C286">
            <v>1.0762000000000001E-2</v>
          </cell>
          <cell r="D286">
            <v>-9.0322000000000006E-3</v>
          </cell>
          <cell r="E286">
            <v>-6.7742000000000002E-3</v>
          </cell>
          <cell r="F286">
            <v>0</v>
          </cell>
          <cell r="G286">
            <v>-6.7742000000000002E-3</v>
          </cell>
        </row>
        <row r="287">
          <cell r="C287">
            <v>1.3068E-2</v>
          </cell>
          <cell r="D287">
            <v>-1.09677E-2</v>
          </cell>
          <cell r="E287">
            <v>-8.2258999999999995E-3</v>
          </cell>
          <cell r="F287">
            <v>0</v>
          </cell>
          <cell r="G287">
            <v>-8.2258999999999995E-3</v>
          </cell>
        </row>
        <row r="288">
          <cell r="C288">
            <v>3.1199899999999999E-2</v>
          </cell>
          <cell r="D288">
            <v>-3.3548399999999999E-2</v>
          </cell>
          <cell r="E288">
            <v>-6.7096699999999995E-2</v>
          </cell>
          <cell r="F288">
            <v>-9.6451499999999996E-2</v>
          </cell>
          <cell r="G288">
            <v>-0.12161279999999999</v>
          </cell>
        </row>
        <row r="289">
          <cell r="C289">
            <v>3.3000000000000002E-2</v>
          </cell>
          <cell r="D289">
            <v>1.45483E-2</v>
          </cell>
          <cell r="E289">
            <v>7.0968000000000003E-3</v>
          </cell>
          <cell r="F289">
            <v>1.04516E-2</v>
          </cell>
          <cell r="G289">
            <v>6.1269999999999999E-4</v>
          </cell>
        </row>
        <row r="290">
          <cell r="C290">
            <v>0.10800029999999999</v>
          </cell>
          <cell r="D290">
            <v>8.4000099999999994E-2</v>
          </cell>
          <cell r="E290">
            <v>7.9999899999999999E-2</v>
          </cell>
          <cell r="F290">
            <v>0.1159999</v>
          </cell>
          <cell r="G290">
            <v>9.6000000000000002E-2</v>
          </cell>
        </row>
        <row r="291">
          <cell r="C291">
            <v>0</v>
          </cell>
          <cell r="D291">
            <v>0</v>
          </cell>
          <cell r="E291">
            <v>-1.6129000000000001E-2</v>
          </cell>
          <cell r="F291">
            <v>-3.2258000000000002E-2</v>
          </cell>
          <cell r="G291">
            <v>-5.1612900000000003E-2</v>
          </cell>
        </row>
        <row r="292">
          <cell r="C292">
            <v>5.3598999999999999E-3</v>
          </cell>
          <cell r="D292">
            <v>0</v>
          </cell>
          <cell r="E292">
            <v>-1.13709E-2</v>
          </cell>
          <cell r="F292">
            <v>-1.5241899999999999E-2</v>
          </cell>
          <cell r="G292">
            <v>-3.3386899999999997E-2</v>
          </cell>
        </row>
        <row r="293">
          <cell r="C293">
            <v>4.7146999999999996E-3</v>
          </cell>
          <cell r="D293">
            <v>-1.2903000000000001E-3</v>
          </cell>
          <cell r="E293">
            <v>-1.4112899999999999E-2</v>
          </cell>
          <cell r="F293">
            <v>-1.23386E-2</v>
          </cell>
          <cell r="G293">
            <v>-2.2419499999999998E-2</v>
          </cell>
        </row>
        <row r="294">
          <cell r="C294">
            <v>-4.3547000000000004E-3</v>
          </cell>
          <cell r="D294">
            <v>-8.7097000000000008E-3</v>
          </cell>
          <cell r="E294">
            <v>-7.8386999999999998E-2</v>
          </cell>
          <cell r="F294">
            <v>-0.10016129999999999</v>
          </cell>
          <cell r="G294">
            <v>-0.1175807</v>
          </cell>
        </row>
        <row r="295">
          <cell r="C295">
            <v>0</v>
          </cell>
          <cell r="D295">
            <v>3.7096E-3</v>
          </cell>
          <cell r="E295">
            <v>3.7096E-3</v>
          </cell>
          <cell r="F295">
            <v>4.0806500000000002E-2</v>
          </cell>
          <cell r="G295">
            <v>6.3064599999999998E-2</v>
          </cell>
        </row>
        <row r="296">
          <cell r="C296">
            <v>6.4519999999999996E-4</v>
          </cell>
          <cell r="D296">
            <v>1.9354999999999999E-3</v>
          </cell>
          <cell r="E296">
            <v>1.54839E-2</v>
          </cell>
          <cell r="F296">
            <v>3.8064500000000001E-2</v>
          </cell>
          <cell r="G296">
            <v>5.35483E-2</v>
          </cell>
        </row>
        <row r="297">
          <cell r="C297">
            <v>4.3547000000000004E-3</v>
          </cell>
          <cell r="D297">
            <v>4.3550000000000004E-3</v>
          </cell>
          <cell r="E297">
            <v>9.5806600000000006E-2</v>
          </cell>
          <cell r="F297">
            <v>0.16112899999999999</v>
          </cell>
          <cell r="G297">
            <v>0.21338699999999999</v>
          </cell>
        </row>
        <row r="298">
          <cell r="C298">
            <v>0</v>
          </cell>
          <cell r="D298">
            <v>-2.5806000000000002E-3</v>
          </cell>
          <cell r="E298">
            <v>-3.0967999999999999E-2</v>
          </cell>
          <cell r="F298">
            <v>-4.1290500000000001E-2</v>
          </cell>
          <cell r="G298">
            <v>-5.1612900000000003E-2</v>
          </cell>
        </row>
        <row r="299">
          <cell r="C299">
            <v>0</v>
          </cell>
          <cell r="D299">
            <v>-2.4195000000000002E-3</v>
          </cell>
          <cell r="E299">
            <v>-2.9032200000000001E-2</v>
          </cell>
          <cell r="F299">
            <v>-3.8709599999999997E-2</v>
          </cell>
          <cell r="G299">
            <v>-4.8387100000000002E-2</v>
          </cell>
        </row>
        <row r="300">
          <cell r="C300">
            <v>-1.0368799999999999E-2</v>
          </cell>
          <cell r="D300">
            <v>-4.5161000000000003E-3</v>
          </cell>
          <cell r="E300">
            <v>4.5161000000000003E-3</v>
          </cell>
          <cell r="F300">
            <v>9.0322000000000006E-3</v>
          </cell>
          <cell r="G300">
            <v>1.8064500000000001E-2</v>
          </cell>
        </row>
        <row r="301">
          <cell r="C301">
            <v>-1.2777000000000001E-3</v>
          </cell>
          <cell r="D301">
            <v>-8.1709999999999997E-4</v>
          </cell>
          <cell r="E301">
            <v>-5.1590000000000002E-4</v>
          </cell>
          <cell r="F301">
            <v>1.3449999999999999E-4</v>
          </cell>
          <cell r="G301">
            <v>1.4354999999999999E-3</v>
          </cell>
        </row>
        <row r="302">
          <cell r="C302">
            <v>-4.8335000000000001E-3</v>
          </cell>
          <cell r="D302">
            <v>-9.6667000000000003E-3</v>
          </cell>
          <cell r="E302">
            <v>-2.9000000000000001E-2</v>
          </cell>
          <cell r="F302">
            <v>-2.41666E-2</v>
          </cell>
          <cell r="G302">
            <v>-1.45001E-2</v>
          </cell>
        </row>
        <row r="303">
          <cell r="C303">
            <v>5.2373000000000003E-3</v>
          </cell>
          <cell r="D303">
            <v>2.83799E-2</v>
          </cell>
          <cell r="E303">
            <v>3.1935499999999999E-2</v>
          </cell>
          <cell r="F303">
            <v>3.1935499999999999E-2</v>
          </cell>
          <cell r="G303">
            <v>2.8387300000000001E-2</v>
          </cell>
        </row>
        <row r="304">
          <cell r="C304">
            <v>2.1427E-3</v>
          </cell>
          <cell r="D304">
            <v>8.2766999999999997E-3</v>
          </cell>
          <cell r="E304">
            <v>8.0645000000000005E-3</v>
          </cell>
          <cell r="F304">
            <v>8.0645000000000005E-3</v>
          </cell>
          <cell r="G304">
            <v>4.9462000000000004E-3</v>
          </cell>
        </row>
        <row r="305">
          <cell r="C305">
            <v>0</v>
          </cell>
          <cell r="D305">
            <v>-6.6667000000000002E-3</v>
          </cell>
          <cell r="E305">
            <v>-0.01</v>
          </cell>
          <cell r="F305">
            <v>-0.01</v>
          </cell>
          <cell r="G305">
            <v>-1.3333299999999999E-2</v>
          </cell>
        </row>
        <row r="306">
          <cell r="C306">
            <v>-5.2500000000000003E-3</v>
          </cell>
          <cell r="D306">
            <v>-6.9931000000000004E-3</v>
          </cell>
          <cell r="E306">
            <v>-1.3999899999999999E-2</v>
          </cell>
          <cell r="F306">
            <v>-2.7999900000000001E-2</v>
          </cell>
          <cell r="G306">
            <v>-3.5000099999999999E-2</v>
          </cell>
        </row>
        <row r="307">
          <cell r="C307">
            <v>-7.5512000000000001E-3</v>
          </cell>
          <cell r="D307">
            <v>-5.9001000000000001E-3</v>
          </cell>
          <cell r="E307">
            <v>-1.4709699999999999E-2</v>
          </cell>
          <cell r="F307">
            <v>-2.07098E-2</v>
          </cell>
          <cell r="G307">
            <v>-2.6613000000000001E-2</v>
          </cell>
        </row>
        <row r="308">
          <cell r="C308">
            <v>-3.8287999999999998E-3</v>
          </cell>
          <cell r="D308">
            <v>-2.0969000000000001E-3</v>
          </cell>
          <cell r="E308">
            <v>-6.2903999999999998E-3</v>
          </cell>
          <cell r="F308">
            <v>-6.2903999999999998E-3</v>
          </cell>
          <cell r="G308">
            <v>-8.3870999999999998E-3</v>
          </cell>
        </row>
        <row r="309">
          <cell r="C309">
            <v>0</v>
          </cell>
          <cell r="D309">
            <v>0</v>
          </cell>
          <cell r="E309">
            <v>-1.4464100000000001E-2</v>
          </cell>
          <cell r="F309">
            <v>-1.9285699999999999E-2</v>
          </cell>
          <cell r="G309">
            <v>-1.9285699999999999E-2</v>
          </cell>
        </row>
        <row r="310">
          <cell r="C310">
            <v>0</v>
          </cell>
          <cell r="D310">
            <v>3.2258E-3</v>
          </cell>
          <cell r="E310">
            <v>2.2044899999999999E-2</v>
          </cell>
          <cell r="F310">
            <v>2.99308E-2</v>
          </cell>
          <cell r="G310">
            <v>3.3156600000000001E-2</v>
          </cell>
        </row>
        <row r="311">
          <cell r="C311">
            <v>0</v>
          </cell>
          <cell r="D311">
            <v>6.7742000000000002E-3</v>
          </cell>
          <cell r="E311">
            <v>4.7419299999999998E-2</v>
          </cell>
          <cell r="F311">
            <v>6.4354900000000007E-2</v>
          </cell>
          <cell r="G311">
            <v>7.1129100000000001E-2</v>
          </cell>
        </row>
        <row r="312">
          <cell r="C312">
            <v>-5.1732000000000002E-3</v>
          </cell>
          <cell r="D312">
            <v>9.3547999999999999E-3</v>
          </cell>
          <cell r="E312">
            <v>1.40324E-2</v>
          </cell>
          <cell r="F312">
            <v>2.33872E-2</v>
          </cell>
          <cell r="G312">
            <v>3.2742E-2</v>
          </cell>
        </row>
        <row r="313">
          <cell r="C313">
            <v>-5.2329999999999998E-4</v>
          </cell>
          <cell r="D313">
            <v>1.1451E-3</v>
          </cell>
          <cell r="E313">
            <v>2.8011999999999998E-3</v>
          </cell>
          <cell r="F313">
            <v>3.2794E-3</v>
          </cell>
          <cell r="G313">
            <v>3.7580000000000001E-3</v>
          </cell>
        </row>
        <row r="314">
          <cell r="C314">
            <v>-4.8335000000000001E-3</v>
          </cell>
          <cell r="D314">
            <v>1.45001E-2</v>
          </cell>
          <cell r="E314">
            <v>5.3166400000000003E-2</v>
          </cell>
          <cell r="F314">
            <v>4.8333399999999999E-2</v>
          </cell>
          <cell r="G314">
            <v>4.3499900000000001E-2</v>
          </cell>
        </row>
        <row r="315">
          <cell r="C315">
            <v>-5.2306999999999996E-3</v>
          </cell>
          <cell r="D315">
            <v>-7.4193000000000002E-3</v>
          </cell>
          <cell r="E315">
            <v>-1.85483E-2</v>
          </cell>
          <cell r="F315">
            <v>-1.8548499999999999E-2</v>
          </cell>
          <cell r="G315">
            <v>-2.2258E-2</v>
          </cell>
        </row>
        <row r="316">
          <cell r="C316">
            <v>1.46806E-2</v>
          </cell>
          <cell r="D316">
            <v>8.4192999999999994E-3</v>
          </cell>
          <cell r="E316">
            <v>-9.5180000000000004E-4</v>
          </cell>
          <cell r="F316">
            <v>-2.7850000000000001E-3</v>
          </cell>
          <cell r="G316">
            <v>-4.0752999999999996E-3</v>
          </cell>
        </row>
        <row r="317">
          <cell r="C317">
            <v>2.85001E-2</v>
          </cell>
          <cell r="D317">
            <v>1.9000099999999999E-2</v>
          </cell>
          <cell r="E317">
            <v>9.4999999999999998E-3</v>
          </cell>
          <cell r="F317">
            <v>6.3334000000000003E-3</v>
          </cell>
          <cell r="G317">
            <v>6.3334000000000003E-3</v>
          </cell>
        </row>
        <row r="318">
          <cell r="C318">
            <v>-5.1801E-3</v>
          </cell>
          <cell r="D318">
            <v>0</v>
          </cell>
          <cell r="E318">
            <v>0.01</v>
          </cell>
          <cell r="F318">
            <v>0.01</v>
          </cell>
          <cell r="G318">
            <v>1.5000100000000001E-2</v>
          </cell>
        </row>
        <row r="319">
          <cell r="C319">
            <v>-5.2772000000000001E-3</v>
          </cell>
          <cell r="D319">
            <v>-3.0645999999999998E-3</v>
          </cell>
          <cell r="E319">
            <v>-9.1933999999999991E-3</v>
          </cell>
          <cell r="F319">
            <v>-1.83871E-2</v>
          </cell>
          <cell r="G319">
            <v>-1.83871E-2</v>
          </cell>
        </row>
        <row r="320">
          <cell r="C320">
            <v>-3.1714E-3</v>
          </cell>
          <cell r="D320">
            <v>-1.1289E-3</v>
          </cell>
          <cell r="E320">
            <v>-5.0001000000000004E-3</v>
          </cell>
          <cell r="F320">
            <v>-1.04837E-2</v>
          </cell>
          <cell r="G320">
            <v>-1.0322599999999999E-2</v>
          </cell>
        </row>
        <row r="321">
          <cell r="C321">
            <v>4.8386999999999996E-3</v>
          </cell>
          <cell r="D321">
            <v>2.41935E-2</v>
          </cell>
          <cell r="E321">
            <v>2.41935E-2</v>
          </cell>
          <cell r="F321">
            <v>3.3870900000000002E-2</v>
          </cell>
          <cell r="G321">
            <v>3.8709599999999997E-2</v>
          </cell>
        </row>
        <row r="322">
          <cell r="C322">
            <v>0</v>
          </cell>
          <cell r="D322">
            <v>3.8709999999999999E-3</v>
          </cell>
          <cell r="E322">
            <v>7.0968000000000003E-3</v>
          </cell>
          <cell r="F322">
            <v>7.7419000000000003E-3</v>
          </cell>
          <cell r="G322">
            <v>8.3870999999999998E-3</v>
          </cell>
        </row>
        <row r="323">
          <cell r="C323">
            <v>0</v>
          </cell>
          <cell r="D323">
            <v>2.6128999999999999E-2</v>
          </cell>
          <cell r="E323">
            <v>4.7903300000000003E-2</v>
          </cell>
          <cell r="F323">
            <v>5.2257999999999999E-2</v>
          </cell>
          <cell r="G323">
            <v>5.6612999999999997E-2</v>
          </cell>
        </row>
        <row r="324">
          <cell r="C324">
            <v>0</v>
          </cell>
          <cell r="D324">
            <v>2.4838699999999998E-2</v>
          </cell>
          <cell r="E324">
            <v>3.9032200000000003E-2</v>
          </cell>
          <cell r="F324">
            <v>4.6129000000000003E-2</v>
          </cell>
          <cell r="G324">
            <v>4.6129000000000003E-2</v>
          </cell>
        </row>
        <row r="325">
          <cell r="C325">
            <v>-9.9989999999999996E-4</v>
          </cell>
          <cell r="D325">
            <v>8.4945999999999997E-3</v>
          </cell>
          <cell r="E325">
            <v>1.29678E-2</v>
          </cell>
          <cell r="F325">
            <v>1.6204400000000001E-2</v>
          </cell>
          <cell r="G325">
            <v>1.6204099999999999E-2</v>
          </cell>
        </row>
        <row r="326">
          <cell r="C326">
            <v>-1.4000200000000001E-2</v>
          </cell>
          <cell r="D326">
            <v>-2.3333300000000001E-2</v>
          </cell>
          <cell r="E326">
            <v>-4.2000099999999999E-2</v>
          </cell>
          <cell r="F326">
            <v>-3.73333E-2</v>
          </cell>
          <cell r="G326">
            <v>-3.73333E-2</v>
          </cell>
        </row>
        <row r="327">
          <cell r="C327">
            <v>-3.6526400000000001E-2</v>
          </cell>
          <cell r="D327">
            <v>-2.7096700000000001E-2</v>
          </cell>
          <cell r="E327">
            <v>-2.7096700000000001E-2</v>
          </cell>
          <cell r="F327">
            <v>-2.3225800000000001E-2</v>
          </cell>
          <cell r="G327">
            <v>-2.3225800000000001E-2</v>
          </cell>
        </row>
        <row r="328">
          <cell r="C328">
            <v>-1.6149799999999999E-2</v>
          </cell>
          <cell r="D328">
            <v>-7.9030999999999997E-3</v>
          </cell>
          <cell r="E328">
            <v>-5.7010000000000003E-4</v>
          </cell>
          <cell r="F328">
            <v>5.5909999999999998E-4</v>
          </cell>
          <cell r="G328">
            <v>4.2256999999999998E-3</v>
          </cell>
        </row>
        <row r="329">
          <cell r="C329">
            <v>-1.0622700000000001E-2</v>
          </cell>
          <cell r="D329">
            <v>-1.1291999999999999E-3</v>
          </cell>
          <cell r="E329">
            <v>1.1537800000000001E-2</v>
          </cell>
          <cell r="F329">
            <v>1.04086E-2</v>
          </cell>
          <cell r="G329">
            <v>1.56131E-2</v>
          </cell>
        </row>
        <row r="330">
          <cell r="C330">
            <v>-3.8709999999999999E-3</v>
          </cell>
          <cell r="D330">
            <v>-3.8709999999999999E-3</v>
          </cell>
          <cell r="E330">
            <v>-3.8709999999999999E-3</v>
          </cell>
          <cell r="F330">
            <v>-7.7419000000000003E-3</v>
          </cell>
          <cell r="G330">
            <v>-1.1612900000000001E-2</v>
          </cell>
        </row>
        <row r="331">
          <cell r="C331">
            <v>0</v>
          </cell>
          <cell r="D331">
            <v>-3.2258E-3</v>
          </cell>
          <cell r="E331">
            <v>-9.6773999999999992E-3</v>
          </cell>
          <cell r="F331">
            <v>-3.5483800000000003E-2</v>
          </cell>
          <cell r="G331">
            <v>-3.8709599999999997E-2</v>
          </cell>
        </row>
        <row r="332">
          <cell r="C332">
            <v>-1.6139999999999999E-4</v>
          </cell>
          <cell r="D332">
            <v>-1.9354999999999999E-3</v>
          </cell>
          <cell r="E332">
            <v>-5.3226999999999997E-3</v>
          </cell>
          <cell r="F332">
            <v>-1.98388E-2</v>
          </cell>
          <cell r="G332">
            <v>-2.19355E-2</v>
          </cell>
        </row>
        <row r="333">
          <cell r="C333">
            <v>-4.8386999999999996E-3</v>
          </cell>
          <cell r="D333">
            <v>-4.8386999999999996E-3</v>
          </cell>
          <cell r="E333">
            <v>0</v>
          </cell>
          <cell r="F333">
            <v>-9.6773999999999992E-3</v>
          </cell>
          <cell r="G333">
            <v>-1.93551E-2</v>
          </cell>
        </row>
        <row r="334">
          <cell r="C334">
            <v>0</v>
          </cell>
          <cell r="D334">
            <v>-5.326E-3</v>
          </cell>
          <cell r="E334">
            <v>-3.3709500000000003E-2</v>
          </cell>
          <cell r="F334">
            <v>-4.0806500000000002E-2</v>
          </cell>
          <cell r="G334">
            <v>-4.0806500000000002E-2</v>
          </cell>
        </row>
        <row r="335">
          <cell r="C335">
            <v>0</v>
          </cell>
          <cell r="D335">
            <v>-9.6837999999999994E-3</v>
          </cell>
          <cell r="E335">
            <v>-6.1290299999999999E-2</v>
          </cell>
          <cell r="F335">
            <v>-7.4193499999999996E-2</v>
          </cell>
          <cell r="G335">
            <v>-7.4193499999999996E-2</v>
          </cell>
        </row>
        <row r="336">
          <cell r="C336">
            <v>-5.2230000000000002E-3</v>
          </cell>
          <cell r="D336">
            <v>3.7096E-3</v>
          </cell>
          <cell r="E336">
            <v>2.59676E-2</v>
          </cell>
          <cell r="F336">
            <v>4.0806500000000002E-2</v>
          </cell>
          <cell r="G336">
            <v>4.4516300000000002E-2</v>
          </cell>
        </row>
        <row r="337">
          <cell r="C337">
            <v>-1.8167000000000001E-3</v>
          </cell>
          <cell r="D337">
            <v>1.2903000000000001E-3</v>
          </cell>
          <cell r="E337">
            <v>9.5321999999999994E-3</v>
          </cell>
          <cell r="F337">
            <v>1.56934E-2</v>
          </cell>
          <cell r="G337">
            <v>1.7983900000000001E-2</v>
          </cell>
        </row>
        <row r="338">
          <cell r="C338">
            <v>0</v>
          </cell>
          <cell r="D338">
            <v>0</v>
          </cell>
          <cell r="E338">
            <v>4.5002000000000002E-3</v>
          </cell>
          <cell r="F338">
            <v>1.35E-2</v>
          </cell>
          <cell r="G338">
            <v>2.24998E-2</v>
          </cell>
        </row>
        <row r="339">
          <cell r="C339">
            <v>5.2097000000000003E-3</v>
          </cell>
          <cell r="D339">
            <v>0</v>
          </cell>
          <cell r="E339">
            <v>-1.2096900000000001E-2</v>
          </cell>
          <cell r="F339">
            <v>-3.2258000000000002E-2</v>
          </cell>
          <cell r="G339">
            <v>-4.0322499999999997E-2</v>
          </cell>
        </row>
        <row r="340">
          <cell r="C340">
            <v>-8.5416300000000001E-2</v>
          </cell>
          <cell r="D340">
            <v>-7.3666800000000005E-2</v>
          </cell>
          <cell r="E340">
            <v>-8.3069799999999999E-2</v>
          </cell>
          <cell r="F340">
            <v>-8.1408700000000001E-2</v>
          </cell>
          <cell r="G340">
            <v>-7.6843999999999996E-2</v>
          </cell>
        </row>
        <row r="341">
          <cell r="C341">
            <v>-0.11413959999999999</v>
          </cell>
          <cell r="D341">
            <v>-9.5365500000000006E-2</v>
          </cell>
          <cell r="E341">
            <v>-0.10257529999999999</v>
          </cell>
          <cell r="F341">
            <v>-9.3429999999999999E-2</v>
          </cell>
          <cell r="G341">
            <v>-8.4607600000000005E-2</v>
          </cell>
        </row>
        <row r="342">
          <cell r="C342">
            <v>-2.4184000000000001E-2</v>
          </cell>
          <cell r="D342">
            <v>2.9032200000000001E-2</v>
          </cell>
          <cell r="E342">
            <v>6.7741899999999994E-2</v>
          </cell>
          <cell r="F342">
            <v>8.7096900000000005E-2</v>
          </cell>
          <cell r="G342">
            <v>9.6774100000000002E-2</v>
          </cell>
        </row>
        <row r="343">
          <cell r="C343">
            <v>2.1006799999999999E-2</v>
          </cell>
          <cell r="D343">
            <v>2.0322799999999999E-2</v>
          </cell>
          <cell r="E343">
            <v>8.4677500000000003E-2</v>
          </cell>
          <cell r="F343">
            <v>1.01612E-2</v>
          </cell>
          <cell r="G343">
            <v>-4.0645100000000003E-2</v>
          </cell>
        </row>
        <row r="344">
          <cell r="C344">
            <v>-0.1474192</v>
          </cell>
          <cell r="D344">
            <v>-3.9032200000000003E-2</v>
          </cell>
          <cell r="E344">
            <v>6.4519999999999996E-4</v>
          </cell>
          <cell r="F344">
            <v>-1.7419299999999999E-2</v>
          </cell>
          <cell r="G344">
            <v>-2.9032200000000001E-2</v>
          </cell>
        </row>
        <row r="345">
          <cell r="C345">
            <v>-0.4225874</v>
          </cell>
          <cell r="D345">
            <v>-0.20629049999999999</v>
          </cell>
          <cell r="E345">
            <v>-0.17532249999999999</v>
          </cell>
          <cell r="F345">
            <v>-0.1227419</v>
          </cell>
          <cell r="G345">
            <v>-8.0322500000000005E-2</v>
          </cell>
        </row>
        <row r="346">
          <cell r="C346">
            <v>4.3079399999999997E-2</v>
          </cell>
          <cell r="D346">
            <v>3.3870900000000002E-2</v>
          </cell>
          <cell r="E346">
            <v>1.12903E-2</v>
          </cell>
          <cell r="F346">
            <v>4.5161000000000003E-3</v>
          </cell>
          <cell r="G346">
            <v>2.2580999999999999E-3</v>
          </cell>
        </row>
        <row r="347">
          <cell r="C347">
            <v>5.0143699999999999E-2</v>
          </cell>
          <cell r="D347">
            <v>3.86291E-2</v>
          </cell>
          <cell r="E347">
            <v>1.0876200000000001E-2</v>
          </cell>
          <cell r="F347">
            <v>2.8172000000000002E-3</v>
          </cell>
          <cell r="G347">
            <v>9.0839999999999996E-4</v>
          </cell>
        </row>
        <row r="348">
          <cell r="C348">
            <v>-6.2833299999999995E-2</v>
          </cell>
          <cell r="D348">
            <v>-7.2499999999999995E-2</v>
          </cell>
          <cell r="E348">
            <v>-8.2166400000000001E-2</v>
          </cell>
          <cell r="F348">
            <v>-7.7333200000000005E-2</v>
          </cell>
          <cell r="G348">
            <v>-5.3166400000000003E-2</v>
          </cell>
        </row>
        <row r="349">
          <cell r="C349">
            <v>-1.9999000000000002E-3</v>
          </cell>
          <cell r="D349">
            <v>3.0000000000000001E-3</v>
          </cell>
          <cell r="E349">
            <v>-6.0000000000000001E-3</v>
          </cell>
          <cell r="F349">
            <v>-3.9998999999999998E-3</v>
          </cell>
          <cell r="G349">
            <v>-3.0000000000000001E-3</v>
          </cell>
        </row>
        <row r="350">
          <cell r="C350">
            <v>-7.9999000000000008E-3</v>
          </cell>
          <cell r="D350">
            <v>1.20001E-2</v>
          </cell>
          <cell r="E350">
            <v>-2.4000199999999999E-2</v>
          </cell>
          <cell r="F350">
            <v>-1.6E-2</v>
          </cell>
          <cell r="G350">
            <v>-1.20001E-2</v>
          </cell>
        </row>
        <row r="351">
          <cell r="C351">
            <v>-2.5958999999999999E-3</v>
          </cell>
          <cell r="D351">
            <v>-2.6128999999999999E-2</v>
          </cell>
          <cell r="E351">
            <v>-2.1774100000000001E-2</v>
          </cell>
          <cell r="F351">
            <v>-2.17743E-2</v>
          </cell>
          <cell r="G351">
            <v>-3.0484000000000001E-2</v>
          </cell>
        </row>
        <row r="352">
          <cell r="C352">
            <v>5.3180699999999997E-2</v>
          </cell>
          <cell r="D352">
            <v>5.6128999999999998E-2</v>
          </cell>
          <cell r="E352">
            <v>3.9274200000000002E-2</v>
          </cell>
          <cell r="F352">
            <v>2.92742E-2</v>
          </cell>
          <cell r="G352">
            <v>1.54839E-2</v>
          </cell>
        </row>
        <row r="353">
          <cell r="C353">
            <v>-4.3731699999999998E-2</v>
          </cell>
          <cell r="D353">
            <v>4.7427200000000003E-2</v>
          </cell>
          <cell r="E353">
            <v>2.2177499999999999E-2</v>
          </cell>
          <cell r="F353">
            <v>1.3145199999999999E-2</v>
          </cell>
          <cell r="G353">
            <v>6.9356000000000001E-3</v>
          </cell>
        </row>
        <row r="354">
          <cell r="C354">
            <v>-5.9003399999999998E-2</v>
          </cell>
          <cell r="D354">
            <v>-4.74172E-2</v>
          </cell>
          <cell r="E354">
            <v>-4.9677600000000002E-2</v>
          </cell>
          <cell r="F354">
            <v>-7.5645199999999996E-2</v>
          </cell>
          <cell r="G354">
            <v>-8.6935499999999999E-2</v>
          </cell>
        </row>
        <row r="355">
          <cell r="C355">
            <v>-8.26683E-2</v>
          </cell>
          <cell r="D355">
            <v>-9.5489000000000004E-2</v>
          </cell>
          <cell r="E355">
            <v>-0.1522579</v>
          </cell>
          <cell r="F355">
            <v>-0.15741939999999999</v>
          </cell>
          <cell r="G355">
            <v>-0.15741939999999999</v>
          </cell>
        </row>
        <row r="356">
          <cell r="C356">
            <v>-7.6856599999999997E-2</v>
          </cell>
          <cell r="D356">
            <v>-8.95209E-2</v>
          </cell>
          <cell r="E356">
            <v>-0.1440322</v>
          </cell>
          <cell r="F356">
            <v>-0.14951610000000001</v>
          </cell>
          <cell r="G356">
            <v>-0.14951610000000001</v>
          </cell>
        </row>
        <row r="357">
          <cell r="C357">
            <v>4.3550000000000004E-3</v>
          </cell>
          <cell r="D357">
            <v>0</v>
          </cell>
          <cell r="E357">
            <v>-8.7097000000000008E-3</v>
          </cell>
          <cell r="F357">
            <v>-1.30644E-2</v>
          </cell>
          <cell r="G357">
            <v>-1.30644E-2</v>
          </cell>
        </row>
        <row r="358">
          <cell r="C358">
            <v>0</v>
          </cell>
          <cell r="D358">
            <v>-4.5161000000000003E-3</v>
          </cell>
          <cell r="E358">
            <v>-2.7097E-2</v>
          </cell>
          <cell r="F358">
            <v>-2.7096700000000001E-2</v>
          </cell>
          <cell r="G358">
            <v>-2.4838699999999998E-2</v>
          </cell>
        </row>
        <row r="359">
          <cell r="C359">
            <v>3.3330000000000002E-4</v>
          </cell>
          <cell r="D359">
            <v>-5.1507999999999996E-3</v>
          </cell>
          <cell r="E359">
            <v>-3.2236599999999997E-2</v>
          </cell>
          <cell r="F359">
            <v>-3.1570000000000001E-2</v>
          </cell>
          <cell r="G359">
            <v>-2.7827999999999999E-2</v>
          </cell>
        </row>
        <row r="360">
          <cell r="C360">
            <v>4.6667999999999996E-3</v>
          </cell>
          <cell r="D360">
            <v>4.6667999999999996E-3</v>
          </cell>
          <cell r="E360">
            <v>9.3335999999999992E-3</v>
          </cell>
          <cell r="F360">
            <v>1.8666700000000001E-2</v>
          </cell>
          <cell r="G360">
            <v>3.26667E-2</v>
          </cell>
        </row>
        <row r="361">
          <cell r="C361">
            <v>0</v>
          </cell>
          <cell r="D361">
            <v>0</v>
          </cell>
          <cell r="E361">
            <v>8.1668000000000001E-3</v>
          </cell>
          <cell r="F361">
            <v>1.28334E-2</v>
          </cell>
          <cell r="G361">
            <v>1.8666700000000001E-2</v>
          </cell>
        </row>
        <row r="362">
          <cell r="C362">
            <v>0</v>
          </cell>
          <cell r="D362">
            <v>0</v>
          </cell>
          <cell r="E362">
            <v>2.6833099999999999E-2</v>
          </cell>
          <cell r="F362">
            <v>4.2166500000000003E-2</v>
          </cell>
          <cell r="G362">
            <v>6.1333199999999997E-2</v>
          </cell>
        </row>
        <row r="363">
          <cell r="C363">
            <v>0</v>
          </cell>
          <cell r="D363">
            <v>-3.2258E-3</v>
          </cell>
          <cell r="E363">
            <v>-9.6773999999999992E-3</v>
          </cell>
          <cell r="F363">
            <v>-1.29032E-2</v>
          </cell>
          <cell r="G363">
            <v>-1.29032E-2</v>
          </cell>
        </row>
        <row r="364">
          <cell r="C364">
            <v>-1.3332000000000001E-3</v>
          </cell>
          <cell r="D364">
            <v>-5.7742999999999996E-3</v>
          </cell>
          <cell r="E364">
            <v>-3.06559E-2</v>
          </cell>
          <cell r="F364">
            <v>-4.0430099999999997E-2</v>
          </cell>
          <cell r="G364">
            <v>-4.3096799999999998E-2</v>
          </cell>
        </row>
        <row r="365">
          <cell r="C365">
            <v>-3.6668999999999998E-3</v>
          </cell>
          <cell r="D365">
            <v>-1.09999E-2</v>
          </cell>
          <cell r="E365">
            <v>-6.9666900000000004E-2</v>
          </cell>
          <cell r="F365">
            <v>-9.1666700000000004E-2</v>
          </cell>
          <cell r="G365">
            <v>-9.9000000000000005E-2</v>
          </cell>
        </row>
        <row r="366">
          <cell r="C366">
            <v>-5.1928E-3</v>
          </cell>
          <cell r="D366">
            <v>-8.9910000000000007E-3</v>
          </cell>
          <cell r="E366">
            <v>-1.34997E-2</v>
          </cell>
          <cell r="F366">
            <v>-1.7999899999999999E-2</v>
          </cell>
          <cell r="G366">
            <v>-3.1500100000000003E-2</v>
          </cell>
        </row>
        <row r="367">
          <cell r="C367">
            <v>-1.65772E-2</v>
          </cell>
          <cell r="D367">
            <v>-3.5796000000000001E-3</v>
          </cell>
          <cell r="E367">
            <v>-1.5001000000000001E-3</v>
          </cell>
          <cell r="F367">
            <v>3.1611999999999999E-3</v>
          </cell>
          <cell r="G367">
            <v>9.4032000000000004E-3</v>
          </cell>
        </row>
        <row r="368">
          <cell r="C368">
            <v>-1.5806199999999999E-2</v>
          </cell>
          <cell r="D368">
            <v>-2.4195000000000002E-3</v>
          </cell>
          <cell r="E368">
            <v>1.6130999999999999E-3</v>
          </cell>
          <cell r="F368">
            <v>1.0484E-2</v>
          </cell>
          <cell r="G368">
            <v>2.17743E-2</v>
          </cell>
        </row>
        <row r="369">
          <cell r="C369">
            <v>-4.1938000000000001E-3</v>
          </cell>
          <cell r="D369">
            <v>0</v>
          </cell>
          <cell r="E369">
            <v>8.3870999999999998E-3</v>
          </cell>
          <cell r="F369">
            <v>2.93548E-2</v>
          </cell>
          <cell r="G369">
            <v>5.0322499999999999E-2</v>
          </cell>
        </row>
        <row r="370">
          <cell r="C370">
            <v>-2.6684E-3</v>
          </cell>
          <cell r="D370">
            <v>-5.1612999999999997E-3</v>
          </cell>
          <cell r="E370">
            <v>-1.54839E-2</v>
          </cell>
          <cell r="F370">
            <v>-2.3225800000000001E-2</v>
          </cell>
          <cell r="G370">
            <v>-2.8387099999999998E-2</v>
          </cell>
        </row>
        <row r="371">
          <cell r="C371">
            <v>-2.5014999999999998E-3</v>
          </cell>
          <cell r="D371">
            <v>-5.8386000000000002E-3</v>
          </cell>
          <cell r="E371">
            <v>-1.6016499999999999E-2</v>
          </cell>
          <cell r="F371">
            <v>-2.3274199999999998E-2</v>
          </cell>
          <cell r="G371">
            <v>-2.7612899999999999E-2</v>
          </cell>
        </row>
        <row r="372">
          <cell r="C372">
            <v>0</v>
          </cell>
          <cell r="D372">
            <v>-9.0001000000000005E-3</v>
          </cell>
          <cell r="E372">
            <v>-1.34997E-2</v>
          </cell>
          <cell r="F372">
            <v>-1.35E-2</v>
          </cell>
          <cell r="G372">
            <v>-9.0001000000000005E-3</v>
          </cell>
        </row>
        <row r="373">
          <cell r="C373">
            <v>1.3332000000000001E-3</v>
          </cell>
          <cell r="D373">
            <v>0</v>
          </cell>
          <cell r="E373">
            <v>2.6665E-3</v>
          </cell>
          <cell r="F373">
            <v>1.3332000000000001E-3</v>
          </cell>
          <cell r="G373">
            <v>1.3335E-3</v>
          </cell>
        </row>
        <row r="374">
          <cell r="C374">
            <v>3.6668999999999998E-3</v>
          </cell>
          <cell r="D374">
            <v>0</v>
          </cell>
          <cell r="E374">
            <v>7.3333000000000001E-3</v>
          </cell>
          <cell r="F374">
            <v>3.6665999999999999E-3</v>
          </cell>
          <cell r="G374">
            <v>3.6665999999999999E-3</v>
          </cell>
        </row>
        <row r="375">
          <cell r="C375">
            <v>2.6183000000000001E-3</v>
          </cell>
          <cell r="D375">
            <v>0</v>
          </cell>
          <cell r="E375">
            <v>-1.41935E-2</v>
          </cell>
          <cell r="F375">
            <v>-2.4838699999999998E-2</v>
          </cell>
          <cell r="G375">
            <v>-2.8387099999999998E-2</v>
          </cell>
        </row>
        <row r="376">
          <cell r="C376">
            <v>1.0715E-3</v>
          </cell>
          <cell r="D376">
            <v>1.6668E-3</v>
          </cell>
          <cell r="E376">
            <v>-9.1395000000000001E-3</v>
          </cell>
          <cell r="F376">
            <v>-1.34945E-2</v>
          </cell>
          <cell r="G376">
            <v>-1.49462E-2</v>
          </cell>
        </row>
        <row r="377">
          <cell r="C377">
            <v>0</v>
          </cell>
          <cell r="D377">
            <v>3.3333E-3</v>
          </cell>
          <cell r="E377">
            <v>-6.6667000000000002E-3</v>
          </cell>
          <cell r="F377">
            <v>-6.6667000000000002E-3</v>
          </cell>
          <cell r="G377">
            <v>-6.6667000000000002E-3</v>
          </cell>
        </row>
        <row r="378">
          <cell r="C378">
            <v>7.7743999999999999E-3</v>
          </cell>
          <cell r="D378">
            <v>4.6665999999999999E-3</v>
          </cell>
          <cell r="E378">
            <v>-9.3335999999999992E-3</v>
          </cell>
          <cell r="F378">
            <v>-4.6667999999999996E-3</v>
          </cell>
          <cell r="G378">
            <v>-4.6667999999999996E-3</v>
          </cell>
        </row>
        <row r="379">
          <cell r="C379">
            <v>5.555E-4</v>
          </cell>
          <cell r="D379">
            <v>3.3330000000000002E-4</v>
          </cell>
          <cell r="E379">
            <v>-6.6660000000000005E-4</v>
          </cell>
          <cell r="F379">
            <v>-3.2364999999999998E-3</v>
          </cell>
          <cell r="G379">
            <v>-3.2364999999999998E-3</v>
          </cell>
        </row>
        <row r="380">
          <cell r="C380">
            <v>-9.6750000000000004E-4</v>
          </cell>
          <cell r="D380">
            <v>-9.6770000000000005E-4</v>
          </cell>
          <cell r="E380">
            <v>-9.68E-4</v>
          </cell>
          <cell r="F380">
            <v>-4.0324000000000002E-3</v>
          </cell>
          <cell r="G380">
            <v>-6.9354000000000004E-3</v>
          </cell>
        </row>
        <row r="381">
          <cell r="C381">
            <v>-4.0321000000000003E-3</v>
          </cell>
          <cell r="D381">
            <v>-4.0321000000000003E-3</v>
          </cell>
          <cell r="E381">
            <v>-4.0321000000000003E-3</v>
          </cell>
          <cell r="F381">
            <v>-8.0645000000000005E-3</v>
          </cell>
          <cell r="G381">
            <v>-2.0161399999999999E-2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5.4838999999999999E-3</v>
          </cell>
          <cell r="G382">
            <v>1.09677E-2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4.5161000000000003E-3</v>
          </cell>
          <cell r="G383">
            <v>9.0322000000000006E-3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</row>
        <row r="385">
          <cell r="C385">
            <v>0</v>
          </cell>
          <cell r="D385">
            <v>-1.5001000000000001E-3</v>
          </cell>
          <cell r="E385">
            <v>1.5001000000000001E-3</v>
          </cell>
          <cell r="F385">
            <v>1.5001000000000001E-3</v>
          </cell>
          <cell r="G385">
            <v>4.5002000000000002E-3</v>
          </cell>
        </row>
        <row r="386">
          <cell r="C386">
            <v>0</v>
          </cell>
          <cell r="D386">
            <v>-3.5000000000000001E-3</v>
          </cell>
          <cell r="E386">
            <v>3.5000000000000001E-3</v>
          </cell>
          <cell r="F386">
            <v>3.5000000000000001E-3</v>
          </cell>
          <cell r="G386">
            <v>1.0500000000000001E-2</v>
          </cell>
        </row>
        <row r="387">
          <cell r="C387">
            <v>-5.2233000000000002E-3</v>
          </cell>
          <cell r="D387">
            <v>-3.7096E-3</v>
          </cell>
          <cell r="E387">
            <v>3.7098000000000001E-3</v>
          </cell>
          <cell r="F387">
            <v>-2.5967799999999999E-2</v>
          </cell>
          <cell r="G387">
            <v>-5.9354999999999998E-2</v>
          </cell>
        </row>
        <row r="388">
          <cell r="C388">
            <v>9.6319999999999999E-4</v>
          </cell>
          <cell r="D388">
            <v>5.3762999999999997E-3</v>
          </cell>
          <cell r="E388">
            <v>1.96238E-2</v>
          </cell>
          <cell r="F388">
            <v>1.26345E-2</v>
          </cell>
          <cell r="G388">
            <v>1.0215999999999999E-3</v>
          </cell>
        </row>
        <row r="389">
          <cell r="C389">
            <v>5.5599000000000004E-3</v>
          </cell>
          <cell r="D389">
            <v>1.3333299999999999E-2</v>
          </cell>
          <cell r="E389">
            <v>3.6666400000000002E-2</v>
          </cell>
          <cell r="F389">
            <v>4.3333299999999998E-2</v>
          </cell>
          <cell r="G389">
            <v>4.3333299999999998E-2</v>
          </cell>
        </row>
        <row r="390">
          <cell r="C390">
            <v>0</v>
          </cell>
          <cell r="D390">
            <v>9.6667000000000003E-3</v>
          </cell>
          <cell r="E390">
            <v>9.6669000000000008E-3</v>
          </cell>
          <cell r="F390">
            <v>9.6667000000000003E-3</v>
          </cell>
          <cell r="G390">
            <v>1.45001E-2</v>
          </cell>
        </row>
        <row r="391">
          <cell r="C391">
            <v>2.6416999999999999E-3</v>
          </cell>
          <cell r="D391">
            <v>3.3330000000000002E-4</v>
          </cell>
          <cell r="E391">
            <v>6.4621000000000001E-3</v>
          </cell>
          <cell r="F391">
            <v>6.4622999999999998E-3</v>
          </cell>
          <cell r="G391">
            <v>6.6290000000000003E-3</v>
          </cell>
        </row>
        <row r="392">
          <cell r="C392">
            <v>5.3930000000000004E-4</v>
          </cell>
          <cell r="D392">
            <v>0</v>
          </cell>
          <cell r="E392">
            <v>4.84E-4</v>
          </cell>
          <cell r="F392">
            <v>-1.7741E-3</v>
          </cell>
          <cell r="G392">
            <v>-4.0324000000000002E-3</v>
          </cell>
        </row>
        <row r="393">
          <cell r="C393">
            <v>-3.8709999999999999E-3</v>
          </cell>
          <cell r="D393">
            <v>0</v>
          </cell>
          <cell r="E393">
            <v>-1.1612900000000001E-2</v>
          </cell>
          <cell r="F393">
            <v>-1.9354799999999998E-2</v>
          </cell>
          <cell r="G393">
            <v>-2.7096700000000001E-2</v>
          </cell>
        </row>
        <row r="394">
          <cell r="C394">
            <v>0</v>
          </cell>
          <cell r="D394">
            <v>0</v>
          </cell>
          <cell r="E394">
            <v>3.0645999999999998E-3</v>
          </cell>
          <cell r="F394">
            <v>9.1933999999999991E-3</v>
          </cell>
          <cell r="G394">
            <v>1.2258099999999999E-2</v>
          </cell>
        </row>
        <row r="395">
          <cell r="C395">
            <v>0</v>
          </cell>
          <cell r="D395">
            <v>0</v>
          </cell>
          <cell r="E395">
            <v>1.9354999999999999E-3</v>
          </cell>
          <cell r="F395">
            <v>5.8063999999999998E-3</v>
          </cell>
          <cell r="G395">
            <v>7.7419000000000003E-3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</row>
        <row r="397">
          <cell r="C397">
            <v>2.7537E-3</v>
          </cell>
          <cell r="D397">
            <v>3.6665999999999999E-3</v>
          </cell>
          <cell r="E397">
            <v>7.3333000000000001E-3</v>
          </cell>
          <cell r="F397">
            <v>7.3333000000000001E-3</v>
          </cell>
          <cell r="G397">
            <v>7.3333000000000001E-3</v>
          </cell>
        </row>
      </sheetData>
      <sheetData sheetId="16">
        <row r="2">
          <cell r="C2">
            <v>8.3799999999999999E-2</v>
          </cell>
        </row>
        <row r="3">
          <cell r="C3">
            <v>5.21E-2</v>
          </cell>
        </row>
        <row r="4">
          <cell r="C4">
            <v>-5.2299999999999999E-2</v>
          </cell>
        </row>
        <row r="5">
          <cell r="C5">
            <v>-0.1055</v>
          </cell>
        </row>
        <row r="6">
          <cell r="C6">
            <v>-1.6E-2</v>
          </cell>
        </row>
        <row r="7">
          <cell r="C7">
            <v>5.7200000000000001E-2</v>
          </cell>
        </row>
        <row r="8">
          <cell r="C8">
            <v>-0.3679</v>
          </cell>
        </row>
        <row r="9">
          <cell r="C9">
            <v>-0.2306</v>
          </cell>
        </row>
        <row r="10">
          <cell r="C10">
            <v>-0.32190000000000002</v>
          </cell>
        </row>
        <row r="11">
          <cell r="C11">
            <v>0.1515</v>
          </cell>
        </row>
        <row r="12">
          <cell r="C12">
            <v>4.48E-2</v>
          </cell>
        </row>
        <row r="13">
          <cell r="C13">
            <v>-9.2999999999999992E-3</v>
          </cell>
        </row>
        <row r="14">
          <cell r="C14">
            <v>-4.3400000000000001E-2</v>
          </cell>
        </row>
        <row r="15">
          <cell r="C15">
            <v>0.1772</v>
          </cell>
        </row>
        <row r="16">
          <cell r="C16">
            <v>-0.123</v>
          </cell>
        </row>
        <row r="17">
          <cell r="C17">
            <v>1.8800000000000001E-2</v>
          </cell>
        </row>
        <row r="18">
          <cell r="C18">
            <v>3.7600000000000001E-2</v>
          </cell>
        </row>
        <row r="19">
          <cell r="C19">
            <v>0.60229999999999995</v>
          </cell>
        </row>
        <row r="20">
          <cell r="C20">
            <v>1.0931999999999999</v>
          </cell>
        </row>
        <row r="21">
          <cell r="C21">
            <v>0.65410000000000001</v>
          </cell>
        </row>
        <row r="22">
          <cell r="C22">
            <v>0.73929999999999996</v>
          </cell>
        </row>
        <row r="23">
          <cell r="C23">
            <v>0.79710000000000003</v>
          </cell>
        </row>
        <row r="24">
          <cell r="C24">
            <v>0.84119999999999995</v>
          </cell>
        </row>
        <row r="25">
          <cell r="C25">
            <v>0.94850000000000001</v>
          </cell>
        </row>
        <row r="26">
          <cell r="C26">
            <v>0.29189999999999999</v>
          </cell>
        </row>
        <row r="27">
          <cell r="C27">
            <v>0.36880000000000002</v>
          </cell>
        </row>
        <row r="28">
          <cell r="C28">
            <v>0.51259999999999994</v>
          </cell>
        </row>
        <row r="29">
          <cell r="C29">
            <v>0.15959999999999999</v>
          </cell>
        </row>
        <row r="30">
          <cell r="C30">
            <v>0.3206</v>
          </cell>
        </row>
        <row r="31">
          <cell r="C31">
            <v>0.21299999999999999</v>
          </cell>
        </row>
        <row r="32">
          <cell r="C32">
            <v>0.3523</v>
          </cell>
        </row>
        <row r="33">
          <cell r="C33">
            <v>0.2681</v>
          </cell>
        </row>
        <row r="34">
          <cell r="C34">
            <v>0.28100000000000003</v>
          </cell>
        </row>
        <row r="35">
          <cell r="C35">
            <v>0.1017</v>
          </cell>
        </row>
        <row r="36">
          <cell r="C36">
            <v>0.2001</v>
          </cell>
        </row>
        <row r="37">
          <cell r="C37">
            <v>-2.8500000000000001E-2</v>
          </cell>
        </row>
        <row r="38">
          <cell r="C38">
            <v>-7.4099999999999999E-2</v>
          </cell>
        </row>
        <row r="39">
          <cell r="C39">
            <v>7.6E-3</v>
          </cell>
        </row>
        <row r="40">
          <cell r="C40">
            <v>-2.35E-2</v>
          </cell>
        </row>
        <row r="41">
          <cell r="C41">
            <v>2.5399999999999999E-2</v>
          </cell>
        </row>
        <row r="42">
          <cell r="C42">
            <v>-1.3100000000000001E-2</v>
          </cell>
        </row>
        <row r="43">
          <cell r="C43">
            <v>6.3299999999999995E-2</v>
          </cell>
        </row>
        <row r="44">
          <cell r="C44">
            <v>5.7799999999999997E-2</v>
          </cell>
        </row>
        <row r="45">
          <cell r="C45">
            <v>-2.6800000000000001E-2</v>
          </cell>
        </row>
        <row r="46">
          <cell r="C46">
            <v>-3.56E-2</v>
          </cell>
        </row>
        <row r="47">
          <cell r="C47">
            <v>7.7999999999999996E-3</v>
          </cell>
        </row>
        <row r="48">
          <cell r="C48">
            <v>-0.17979999999999999</v>
          </cell>
        </row>
        <row r="49">
          <cell r="C49">
            <v>3.8300000000000001E-2</v>
          </cell>
        </row>
        <row r="50">
          <cell r="C50">
            <v>-0.18099999999999999</v>
          </cell>
        </row>
        <row r="51">
          <cell r="C51">
            <v>-9.0700000000000003E-2</v>
          </cell>
        </row>
        <row r="52">
          <cell r="C52">
            <v>4.1000000000000002E-2</v>
          </cell>
        </row>
        <row r="53">
          <cell r="C53">
            <v>1.26E-2</v>
          </cell>
        </row>
        <row r="54">
          <cell r="C54">
            <v>-9.4600000000000004E-2</v>
          </cell>
        </row>
        <row r="55">
          <cell r="C55">
            <v>-0.15809999999999999</v>
          </cell>
        </row>
        <row r="56">
          <cell r="C56">
            <v>-8.14E-2</v>
          </cell>
        </row>
        <row r="57">
          <cell r="C57">
            <v>-0.1449</v>
          </cell>
        </row>
        <row r="58">
          <cell r="C58">
            <v>-9.1399999999999995E-2</v>
          </cell>
        </row>
        <row r="59">
          <cell r="C59">
            <v>-0.1111</v>
          </cell>
        </row>
        <row r="60">
          <cell r="C60">
            <v>-9.4200000000000006E-2</v>
          </cell>
        </row>
        <row r="61">
          <cell r="C61">
            <v>-0.24729999999999999</v>
          </cell>
        </row>
        <row r="62">
          <cell r="C62">
            <v>-0.2437</v>
          </cell>
        </row>
        <row r="63">
          <cell r="C63">
            <v>-0.2429</v>
          </cell>
        </row>
        <row r="64">
          <cell r="C64">
            <v>-0.2266</v>
          </cell>
        </row>
        <row r="65">
          <cell r="C65">
            <v>-0.1779</v>
          </cell>
        </row>
        <row r="66">
          <cell r="C66">
            <v>-0.12180000000000001</v>
          </cell>
        </row>
        <row r="67">
          <cell r="C67">
            <v>-0.3669</v>
          </cell>
        </row>
        <row r="68">
          <cell r="C68">
            <v>-0.25919999999999999</v>
          </cell>
        </row>
        <row r="69">
          <cell r="C69">
            <v>-0.30659999999999998</v>
          </cell>
        </row>
        <row r="70">
          <cell r="C70">
            <v>-0.23860000000000001</v>
          </cell>
        </row>
        <row r="71">
          <cell r="C71">
            <v>-0.45710000000000001</v>
          </cell>
        </row>
        <row r="72">
          <cell r="C72">
            <v>-0.21579999999999999</v>
          </cell>
        </row>
        <row r="73">
          <cell r="C73">
            <v>-0.36830000000000002</v>
          </cell>
        </row>
        <row r="74">
          <cell r="C74">
            <v>-0.23680000000000001</v>
          </cell>
        </row>
        <row r="75">
          <cell r="C75">
            <v>-0.30199999999999999</v>
          </cell>
        </row>
        <row r="76">
          <cell r="C76">
            <v>-0.10199999999999999</v>
          </cell>
        </row>
        <row r="77">
          <cell r="C77">
            <v>-0.1779</v>
          </cell>
        </row>
        <row r="78">
          <cell r="C78">
            <v>-0.26929999999999998</v>
          </cell>
        </row>
        <row r="79">
          <cell r="C79">
            <v>-0.161</v>
          </cell>
        </row>
        <row r="80">
          <cell r="C80">
            <v>-0.22189999999999999</v>
          </cell>
        </row>
        <row r="81">
          <cell r="C81">
            <v>-0.31509999999999999</v>
          </cell>
        </row>
        <row r="82">
          <cell r="C82">
            <v>-8.6900000000000005E-2</v>
          </cell>
        </row>
        <row r="83">
          <cell r="C83">
            <v>-0.91290000000000004</v>
          </cell>
        </row>
        <row r="84">
          <cell r="C84">
            <v>-0.16270000000000001</v>
          </cell>
        </row>
        <row r="85">
          <cell r="C85">
            <v>0.1323</v>
          </cell>
        </row>
        <row r="86">
          <cell r="C86">
            <v>-9.9500000000000005E-2</v>
          </cell>
        </row>
        <row r="87">
          <cell r="C87">
            <v>-0.58579999999999999</v>
          </cell>
        </row>
        <row r="88">
          <cell r="C88">
            <v>0.2606</v>
          </cell>
        </row>
        <row r="89">
          <cell r="C89">
            <v>-0.73319999999999996</v>
          </cell>
        </row>
        <row r="90">
          <cell r="C90">
            <v>2.3900000000000001E-2</v>
          </cell>
        </row>
        <row r="91">
          <cell r="C91">
            <v>-8.2199999999999995E-2</v>
          </cell>
        </row>
        <row r="92">
          <cell r="C92">
            <v>9.6699999999999994E-2</v>
          </cell>
        </row>
        <row r="93">
          <cell r="C93">
            <v>-3.7900000000000003E-2</v>
          </cell>
        </row>
        <row r="94">
          <cell r="C94">
            <v>-7.1999999999999995E-2</v>
          </cell>
        </row>
        <row r="95">
          <cell r="C95">
            <v>-0.29770000000000002</v>
          </cell>
        </row>
        <row r="96">
          <cell r="C96">
            <v>0.26729999999999998</v>
          </cell>
        </row>
        <row r="97">
          <cell r="C97">
            <v>-9.9299999999999999E-2</v>
          </cell>
        </row>
        <row r="98">
          <cell r="C98">
            <v>0.32869999999999999</v>
          </cell>
        </row>
        <row r="99">
          <cell r="C99">
            <v>0.1061</v>
          </cell>
        </row>
        <row r="100">
          <cell r="C100">
            <v>-3.6799999999999999E-2</v>
          </cell>
        </row>
        <row r="101">
          <cell r="C101">
            <v>0.50270000000000004</v>
          </cell>
        </row>
        <row r="102">
          <cell r="C102">
            <v>0.26550000000000001</v>
          </cell>
        </row>
        <row r="103">
          <cell r="C103">
            <v>0.42580000000000001</v>
          </cell>
        </row>
        <row r="104">
          <cell r="C104">
            <v>0.41220000000000001</v>
          </cell>
        </row>
        <row r="105">
          <cell r="C105">
            <v>0.2397</v>
          </cell>
        </row>
        <row r="106">
          <cell r="C106">
            <v>0.39439999999999997</v>
          </cell>
        </row>
        <row r="107">
          <cell r="C107">
            <v>0.56989999999999996</v>
          </cell>
        </row>
        <row r="108">
          <cell r="C108">
            <v>0.155</v>
          </cell>
        </row>
        <row r="109">
          <cell r="C109">
            <v>0.54110000000000003</v>
          </cell>
        </row>
        <row r="110">
          <cell r="C110">
            <v>0.75570000000000004</v>
          </cell>
        </row>
        <row r="111">
          <cell r="C111">
            <v>0.45229999999999998</v>
          </cell>
        </row>
        <row r="112">
          <cell r="C112">
            <v>0.90749999999999997</v>
          </cell>
        </row>
        <row r="113">
          <cell r="C113">
            <v>0.69550000000000001</v>
          </cell>
        </row>
        <row r="114">
          <cell r="C114">
            <v>0.7107</v>
          </cell>
        </row>
        <row r="115">
          <cell r="C115">
            <v>0.64090000000000003</v>
          </cell>
        </row>
        <row r="116">
          <cell r="C116">
            <v>0.60860000000000003</v>
          </cell>
        </row>
        <row r="117">
          <cell r="C117">
            <v>-0.12859999999999999</v>
          </cell>
        </row>
        <row r="118">
          <cell r="C118">
            <v>0.47039999999999998</v>
          </cell>
        </row>
        <row r="119">
          <cell r="C119">
            <v>0.1178</v>
          </cell>
        </row>
        <row r="120">
          <cell r="C120">
            <v>0.49709999999999999</v>
          </cell>
        </row>
        <row r="121">
          <cell r="C121">
            <v>0.69979999999999998</v>
          </cell>
        </row>
        <row r="122">
          <cell r="C122">
            <v>0.33100000000000002</v>
          </cell>
        </row>
        <row r="123">
          <cell r="C123">
            <v>0.27089999999999997</v>
          </cell>
        </row>
        <row r="124">
          <cell r="C124">
            <v>0.219</v>
          </cell>
        </row>
        <row r="125">
          <cell r="C125">
            <v>0.12139999999999999</v>
          </cell>
        </row>
        <row r="126">
          <cell r="C126">
            <v>-7.8899999999999998E-2</v>
          </cell>
        </row>
        <row r="127">
          <cell r="C127">
            <v>8.9300000000000004E-2</v>
          </cell>
        </row>
        <row r="128">
          <cell r="C128">
            <v>-7.8899999999999998E-2</v>
          </cell>
        </row>
        <row r="129">
          <cell r="C129">
            <v>-0.18099999999999999</v>
          </cell>
        </row>
        <row r="130">
          <cell r="C130">
            <v>-5.0099999999999999E-2</v>
          </cell>
        </row>
        <row r="131">
          <cell r="C131">
            <v>-6.8400000000000002E-2</v>
          </cell>
        </row>
        <row r="132">
          <cell r="C132">
            <v>4.4900000000000002E-2</v>
          </cell>
        </row>
        <row r="133">
          <cell r="C133">
            <v>0.12740000000000001</v>
          </cell>
        </row>
        <row r="134">
          <cell r="C134">
            <v>5.5100000000000003E-2</v>
          </cell>
        </row>
        <row r="135">
          <cell r="C135">
            <v>-5.3600000000000002E-2</v>
          </cell>
        </row>
        <row r="136">
          <cell r="C136">
            <v>2.7199999999999998E-2</v>
          </cell>
        </row>
        <row r="137">
          <cell r="C137">
            <v>0.14430000000000001</v>
          </cell>
        </row>
        <row r="138">
          <cell r="C138">
            <v>-0.29239999999999999</v>
          </cell>
        </row>
        <row r="139">
          <cell r="C139">
            <v>-9.9000000000000008E-3</v>
          </cell>
        </row>
        <row r="140">
          <cell r="C140">
            <v>-0.124</v>
          </cell>
        </row>
        <row r="141">
          <cell r="C141">
            <v>0.22009999999999999</v>
          </cell>
        </row>
        <row r="142">
          <cell r="C142">
            <v>-2.1000000000000001E-2</v>
          </cell>
        </row>
        <row r="143">
          <cell r="C143">
            <v>-0.23830000000000001</v>
          </cell>
        </row>
        <row r="144">
          <cell r="C144">
            <v>-7.0900000000000005E-2</v>
          </cell>
        </row>
        <row r="145">
          <cell r="C145">
            <v>-1.6999999999999999E-3</v>
          </cell>
        </row>
        <row r="146">
          <cell r="C146">
            <v>-7.6300000000000007E-2</v>
          </cell>
        </row>
        <row r="147">
          <cell r="C147">
            <v>-9.7699999999999995E-2</v>
          </cell>
        </row>
        <row r="148">
          <cell r="C148">
            <v>0.13619999999999999</v>
          </cell>
        </row>
        <row r="149">
          <cell r="C149">
            <v>-3.27E-2</v>
          </cell>
        </row>
        <row r="150">
          <cell r="C150">
            <v>-0.1961</v>
          </cell>
        </row>
        <row r="151">
          <cell r="C151">
            <v>0.21429999999999999</v>
          </cell>
        </row>
        <row r="152">
          <cell r="C152">
            <v>0.13589999999999999</v>
          </cell>
        </row>
        <row r="153">
          <cell r="C153">
            <v>0.1477</v>
          </cell>
        </row>
        <row r="154">
          <cell r="C154">
            <v>0.25190000000000001</v>
          </cell>
        </row>
        <row r="155">
          <cell r="C155">
            <v>0.2964</v>
          </cell>
        </row>
        <row r="156">
          <cell r="C156">
            <v>0.29049999999999998</v>
          </cell>
        </row>
        <row r="157">
          <cell r="C157">
            <v>3.3000000000000002E-2</v>
          </cell>
        </row>
        <row r="158">
          <cell r="C158">
            <v>0.33939999999999998</v>
          </cell>
        </row>
        <row r="159">
          <cell r="C159">
            <v>-0.28549999999999998</v>
          </cell>
        </row>
        <row r="160">
          <cell r="C160">
            <v>0.58740000000000003</v>
          </cell>
        </row>
        <row r="161">
          <cell r="C161">
            <v>0.54610000000000003</v>
          </cell>
        </row>
        <row r="162">
          <cell r="C162">
            <v>2.8500000000000001E-2</v>
          </cell>
        </row>
        <row r="163">
          <cell r="C163">
            <v>2.0199999999999999E-2</v>
          </cell>
        </row>
        <row r="164">
          <cell r="C164">
            <v>0.77549999999999997</v>
          </cell>
        </row>
        <row r="165">
          <cell r="C165">
            <v>0.71040000000000003</v>
          </cell>
        </row>
        <row r="166">
          <cell r="C166">
            <v>0.3145</v>
          </cell>
        </row>
        <row r="167">
          <cell r="C167">
            <v>0.54730000000000001</v>
          </cell>
        </row>
        <row r="168">
          <cell r="C168">
            <v>0.67249999999999999</v>
          </cell>
        </row>
        <row r="169">
          <cell r="C169">
            <v>0.70330000000000004</v>
          </cell>
        </row>
        <row r="170">
          <cell r="C170">
            <v>0.55820000000000003</v>
          </cell>
        </row>
        <row r="171">
          <cell r="C171">
            <v>0.63429999999999997</v>
          </cell>
        </row>
        <row r="172">
          <cell r="C172">
            <v>0.52200000000000002</v>
          </cell>
        </row>
        <row r="173">
          <cell r="C173">
            <v>-0.38969999999999999</v>
          </cell>
        </row>
        <row r="174">
          <cell r="C174">
            <v>0.2571</v>
          </cell>
        </row>
        <row r="175">
          <cell r="C175">
            <v>0.24229999999999999</v>
          </cell>
        </row>
        <row r="176">
          <cell r="C176">
            <v>0.48430000000000001</v>
          </cell>
        </row>
        <row r="177">
          <cell r="C177">
            <v>0.46870000000000001</v>
          </cell>
        </row>
        <row r="178">
          <cell r="C178">
            <v>0.4904</v>
          </cell>
        </row>
        <row r="179">
          <cell r="C179">
            <v>-0.8548</v>
          </cell>
        </row>
        <row r="180">
          <cell r="C180">
            <v>0.26290000000000002</v>
          </cell>
        </row>
        <row r="181">
          <cell r="C181">
            <v>3.5000000000000001E-3</v>
          </cell>
        </row>
        <row r="182">
          <cell r="C182">
            <v>-0.18629999999999999</v>
          </cell>
        </row>
        <row r="183">
          <cell r="C183">
            <v>0.2273</v>
          </cell>
        </row>
        <row r="184">
          <cell r="C184">
            <v>-5.0999999999999997E-2</v>
          </cell>
        </row>
        <row r="185">
          <cell r="C185">
            <v>-1.1999999999999999E-3</v>
          </cell>
        </row>
        <row r="186">
          <cell r="C186">
            <v>4.7600000000000003E-2</v>
          </cell>
        </row>
        <row r="187">
          <cell r="C187">
            <v>9.2600000000000002E-2</v>
          </cell>
        </row>
        <row r="188">
          <cell r="C188">
            <v>-0.23380000000000001</v>
          </cell>
        </row>
        <row r="189">
          <cell r="C189">
            <v>-1.49E-2</v>
          </cell>
        </row>
        <row r="190">
          <cell r="C190">
            <v>0.1479</v>
          </cell>
        </row>
        <row r="191">
          <cell r="C191">
            <v>0.23899999999999999</v>
          </cell>
        </row>
        <row r="192">
          <cell r="C192">
            <v>0.1022</v>
          </cell>
        </row>
        <row r="193">
          <cell r="C193">
            <v>0.23050000000000001</v>
          </cell>
        </row>
        <row r="194">
          <cell r="C194">
            <v>0.13850000000000001</v>
          </cell>
        </row>
        <row r="195">
          <cell r="C195">
            <v>-4.7999999999999996E-3</v>
          </cell>
        </row>
        <row r="196">
          <cell r="C196">
            <v>0.28139999999999998</v>
          </cell>
        </row>
        <row r="197">
          <cell r="C197">
            <v>0.50729999999999997</v>
          </cell>
        </row>
        <row r="198">
          <cell r="C198">
            <v>0.22889999999999999</v>
          </cell>
        </row>
        <row r="199">
          <cell r="C199">
            <v>0.40970000000000001</v>
          </cell>
        </row>
        <row r="200">
          <cell r="C200">
            <v>0.64470000000000005</v>
          </cell>
        </row>
        <row r="201">
          <cell r="C201">
            <v>0.35289999999999999</v>
          </cell>
        </row>
        <row r="202">
          <cell r="C202">
            <v>0.37459999999999999</v>
          </cell>
        </row>
        <row r="203">
          <cell r="C203">
            <v>0.27629999999999999</v>
          </cell>
        </row>
        <row r="204">
          <cell r="C204">
            <v>0.46610000000000001</v>
          </cell>
        </row>
        <row r="205">
          <cell r="C205">
            <v>0.40799999999999997</v>
          </cell>
        </row>
        <row r="206">
          <cell r="C206">
            <v>0.12230000000000001</v>
          </cell>
        </row>
        <row r="207">
          <cell r="C207">
            <v>0.2427</v>
          </cell>
        </row>
        <row r="208">
          <cell r="C208">
            <v>0.35</v>
          </cell>
        </row>
        <row r="209">
          <cell r="C209">
            <v>-3.0200000000000001E-2</v>
          </cell>
        </row>
        <row r="210">
          <cell r="C210">
            <v>-7.17E-2</v>
          </cell>
        </row>
        <row r="211">
          <cell r="C211">
            <v>3.6999999999999998E-2</v>
          </cell>
        </row>
        <row r="212">
          <cell r="C212">
            <v>7.6E-3</v>
          </cell>
        </row>
        <row r="213">
          <cell r="C213">
            <v>-0.27010000000000001</v>
          </cell>
        </row>
        <row r="214">
          <cell r="C214">
            <v>-5.0500000000000003E-2</v>
          </cell>
        </row>
        <row r="215">
          <cell r="C215">
            <v>0.1004</v>
          </cell>
        </row>
        <row r="216">
          <cell r="C216">
            <v>0.26</v>
          </cell>
        </row>
        <row r="217">
          <cell r="C217">
            <v>0.19309999999999999</v>
          </cell>
        </row>
        <row r="218">
          <cell r="C218">
            <v>0.2213</v>
          </cell>
        </row>
        <row r="219">
          <cell r="C219">
            <v>0.14050000000000001</v>
          </cell>
        </row>
        <row r="220">
          <cell r="C220">
            <v>9.5200000000000007E-2</v>
          </cell>
        </row>
        <row r="221">
          <cell r="C221">
            <v>9.2600000000000002E-2</v>
          </cell>
        </row>
        <row r="222">
          <cell r="C222">
            <v>0.107</v>
          </cell>
        </row>
        <row r="223">
          <cell r="C223">
            <v>3.32E-2</v>
          </cell>
        </row>
        <row r="224">
          <cell r="C224">
            <v>0.11600000000000001</v>
          </cell>
        </row>
        <row r="225">
          <cell r="C225">
            <v>7.5200000000000003E-2</v>
          </cell>
        </row>
        <row r="226">
          <cell r="C226">
            <v>8.9300000000000004E-2</v>
          </cell>
        </row>
        <row r="227">
          <cell r="C227">
            <v>8.6300000000000002E-2</v>
          </cell>
        </row>
        <row r="228">
          <cell r="C228">
            <v>9.64E-2</v>
          </cell>
        </row>
        <row r="229">
          <cell r="C229">
            <v>2.8299999999999999E-2</v>
          </cell>
        </row>
        <row r="230">
          <cell r="C230">
            <v>-3.9399999999999998E-2</v>
          </cell>
        </row>
        <row r="231">
          <cell r="C231">
            <v>-1.2699999999999999E-2</v>
          </cell>
        </row>
        <row r="232">
          <cell r="C232">
            <v>-3.7600000000000001E-2</v>
          </cell>
        </row>
        <row r="233">
          <cell r="C233">
            <v>-1.4800000000000001E-2</v>
          </cell>
        </row>
        <row r="234">
          <cell r="C234">
            <v>-9.6199999999999994E-2</v>
          </cell>
        </row>
        <row r="235">
          <cell r="C235">
            <v>-0.14829999999999999</v>
          </cell>
        </row>
        <row r="236">
          <cell r="C236">
            <v>-0.23319999999999999</v>
          </cell>
        </row>
        <row r="237">
          <cell r="C237">
            <v>-6.3E-2</v>
          </cell>
        </row>
        <row r="238">
          <cell r="C238">
            <v>1.09E-2</v>
          </cell>
        </row>
        <row r="239">
          <cell r="C239">
            <v>8.0000000000000004E-4</v>
          </cell>
        </row>
        <row r="240">
          <cell r="C240">
            <v>5.0799999999999998E-2</v>
          </cell>
        </row>
        <row r="241">
          <cell r="C241">
            <v>8.2500000000000004E-2</v>
          </cell>
        </row>
        <row r="242">
          <cell r="C242">
            <v>3.4500000000000003E-2</v>
          </cell>
        </row>
        <row r="243">
          <cell r="C243">
            <v>-1.11E-2</v>
          </cell>
        </row>
        <row r="244">
          <cell r="C244">
            <v>1.1999999999999999E-3</v>
          </cell>
        </row>
        <row r="245">
          <cell r="C245">
            <v>5.8999999999999999E-3</v>
          </cell>
        </row>
        <row r="246">
          <cell r="C246">
            <v>-9.4000000000000004E-3</v>
          </cell>
        </row>
        <row r="247">
          <cell r="C247">
            <v>-9.1300000000000006E-2</v>
          </cell>
        </row>
        <row r="248">
          <cell r="C248">
            <v>-9.8100000000000007E-2</v>
          </cell>
        </row>
        <row r="249">
          <cell r="C249">
            <v>-0.12590000000000001</v>
          </cell>
        </row>
        <row r="250">
          <cell r="C250">
            <v>-3.7600000000000001E-2</v>
          </cell>
        </row>
        <row r="251">
          <cell r="C251">
            <v>-0.1111</v>
          </cell>
        </row>
        <row r="252">
          <cell r="C252">
            <v>-0.16930000000000001</v>
          </cell>
        </row>
        <row r="253">
          <cell r="C253">
            <v>-0.19989999999999999</v>
          </cell>
        </row>
        <row r="254">
          <cell r="C254">
            <v>-0.26939999999999997</v>
          </cell>
        </row>
        <row r="255">
          <cell r="C255">
            <v>-0.46</v>
          </cell>
        </row>
        <row r="256">
          <cell r="C256">
            <v>-0.35199999999999998</v>
          </cell>
        </row>
        <row r="257">
          <cell r="C257">
            <v>-0.3216</v>
          </cell>
        </row>
        <row r="258">
          <cell r="C258">
            <v>-0.32150000000000001</v>
          </cell>
        </row>
        <row r="259">
          <cell r="C259">
            <v>-0.36609999999999998</v>
          </cell>
        </row>
        <row r="260">
          <cell r="C260">
            <v>-0.32519999999999999</v>
          </cell>
        </row>
        <row r="261">
          <cell r="C261">
            <v>-0.29770000000000002</v>
          </cell>
        </row>
        <row r="262">
          <cell r="C262">
            <v>-0.43070000000000003</v>
          </cell>
        </row>
        <row r="263">
          <cell r="C263">
            <v>-0.32800000000000001</v>
          </cell>
        </row>
        <row r="264">
          <cell r="C264">
            <v>-0.3049</v>
          </cell>
        </row>
        <row r="265">
          <cell r="C265">
            <v>-0.25409999999999999</v>
          </cell>
        </row>
        <row r="266">
          <cell r="C266">
            <v>-0.27360000000000001</v>
          </cell>
        </row>
        <row r="267">
          <cell r="C267">
            <v>-0.32700000000000001</v>
          </cell>
        </row>
        <row r="268">
          <cell r="C268">
            <v>-0.32969999999999999</v>
          </cell>
        </row>
        <row r="269">
          <cell r="C269">
            <v>-0.2596</v>
          </cell>
        </row>
        <row r="270">
          <cell r="C270">
            <v>-0.40110000000000001</v>
          </cell>
        </row>
        <row r="271">
          <cell r="C271">
            <v>-0.18629999999999999</v>
          </cell>
        </row>
        <row r="272">
          <cell r="C272">
            <v>-0.34639999999999999</v>
          </cell>
        </row>
        <row r="273">
          <cell r="C273">
            <v>-0.24829999999999999</v>
          </cell>
        </row>
        <row r="274">
          <cell r="C274">
            <v>-0.20660000000000001</v>
          </cell>
        </row>
        <row r="275">
          <cell r="C275">
            <v>-0.17749999999999999</v>
          </cell>
        </row>
        <row r="276">
          <cell r="C276">
            <v>-9.4100000000000003E-2</v>
          </cell>
        </row>
        <row r="277">
          <cell r="C277">
            <v>-8.6300000000000002E-2</v>
          </cell>
        </row>
        <row r="278">
          <cell r="C278">
            <v>-0.1154</v>
          </cell>
        </row>
        <row r="279">
          <cell r="C279">
            <v>-0.33019999999999999</v>
          </cell>
        </row>
        <row r="280">
          <cell r="C280">
            <v>-0.34110000000000001</v>
          </cell>
        </row>
        <row r="281">
          <cell r="C281">
            <v>-0.29530000000000001</v>
          </cell>
        </row>
        <row r="282">
          <cell r="C282">
            <v>-0.32869999999999999</v>
          </cell>
        </row>
        <row r="283">
          <cell r="C283">
            <v>-0.30499999999999999</v>
          </cell>
        </row>
        <row r="284">
          <cell r="C284">
            <v>-0.37369999999999998</v>
          </cell>
        </row>
        <row r="285">
          <cell r="C285">
            <v>-0.43759999999999999</v>
          </cell>
        </row>
        <row r="286">
          <cell r="C286">
            <v>-0.4249</v>
          </cell>
        </row>
        <row r="287">
          <cell r="C287">
            <v>-0.38109999999999999</v>
          </cell>
        </row>
        <row r="288">
          <cell r="C288">
            <v>-0.34899999999999998</v>
          </cell>
        </row>
        <row r="289">
          <cell r="C289">
            <v>-0.443</v>
          </cell>
        </row>
        <row r="290">
          <cell r="C290">
            <v>-0.35010000000000002</v>
          </cell>
        </row>
        <row r="291">
          <cell r="C291">
            <v>-0.48609999999999998</v>
          </cell>
        </row>
        <row r="292">
          <cell r="C292">
            <v>-0.51300000000000001</v>
          </cell>
        </row>
        <row r="293">
          <cell r="C293">
            <v>-0.43880000000000002</v>
          </cell>
        </row>
        <row r="294">
          <cell r="C294">
            <v>-0.437</v>
          </cell>
        </row>
        <row r="295">
          <cell r="C295">
            <v>-0.50770000000000004</v>
          </cell>
        </row>
        <row r="296">
          <cell r="C296">
            <v>-0.52539999999999998</v>
          </cell>
        </row>
        <row r="297">
          <cell r="C297">
            <v>-0.50119999999999998</v>
          </cell>
        </row>
        <row r="298">
          <cell r="C298">
            <v>-0.59899999999999998</v>
          </cell>
        </row>
        <row r="299">
          <cell r="C299">
            <v>-0.4728</v>
          </cell>
        </row>
        <row r="300">
          <cell r="C300">
            <v>-0.39600000000000002</v>
          </cell>
        </row>
        <row r="301">
          <cell r="C301">
            <v>-0.45169999999999999</v>
          </cell>
        </row>
        <row r="302">
          <cell r="C302">
            <v>-0.372</v>
          </cell>
        </row>
        <row r="303">
          <cell r="C303">
            <v>-0.3518</v>
          </cell>
        </row>
        <row r="304">
          <cell r="C304">
            <v>-0.4017</v>
          </cell>
        </row>
        <row r="305">
          <cell r="C305">
            <v>-0.47639999999999999</v>
          </cell>
        </row>
        <row r="306">
          <cell r="C306">
            <v>-0.43540000000000001</v>
          </cell>
        </row>
        <row r="307">
          <cell r="C307">
            <v>-0.42120000000000002</v>
          </cell>
        </row>
        <row r="308">
          <cell r="C308">
            <v>-0.38479999999999998</v>
          </cell>
        </row>
        <row r="309">
          <cell r="C309">
            <v>-3.7999999999999999E-2</v>
          </cell>
        </row>
        <row r="310">
          <cell r="C310">
            <v>-9.9599999999999994E-2</v>
          </cell>
        </row>
        <row r="311">
          <cell r="C311">
            <v>3.2000000000000002E-3</v>
          </cell>
        </row>
        <row r="312">
          <cell r="C312">
            <v>3.2199999999999999E-2</v>
          </cell>
        </row>
        <row r="313">
          <cell r="C313">
            <v>-0.10390000000000001</v>
          </cell>
        </row>
        <row r="314">
          <cell r="C314">
            <v>-0.122</v>
          </cell>
        </row>
        <row r="315">
          <cell r="C315">
            <v>-0.3518</v>
          </cell>
        </row>
        <row r="316">
          <cell r="C316">
            <v>-0.27400000000000002</v>
          </cell>
        </row>
        <row r="317">
          <cell r="C317">
            <v>-0.27850000000000003</v>
          </cell>
        </row>
        <row r="318">
          <cell r="C318">
            <v>-0.28010000000000002</v>
          </cell>
        </row>
        <row r="319">
          <cell r="C319">
            <v>-0.21410000000000001</v>
          </cell>
        </row>
        <row r="320">
          <cell r="C320">
            <v>-0.1497</v>
          </cell>
        </row>
        <row r="321">
          <cell r="C321">
            <v>-0.14810000000000001</v>
          </cell>
        </row>
        <row r="322">
          <cell r="C322">
            <v>-4.5999999999999999E-3</v>
          </cell>
        </row>
        <row r="323">
          <cell r="C323">
            <v>-4.0899999999999999E-2</v>
          </cell>
        </row>
        <row r="324">
          <cell r="C324">
            <v>-7.8799999999999995E-2</v>
          </cell>
        </row>
        <row r="325">
          <cell r="C325">
            <v>-0.31430000000000002</v>
          </cell>
        </row>
        <row r="326">
          <cell r="C326">
            <v>-0.1216</v>
          </cell>
        </row>
        <row r="327">
          <cell r="C327">
            <v>-0.1046</v>
          </cell>
        </row>
        <row r="328">
          <cell r="C328">
            <v>0.15390000000000001</v>
          </cell>
        </row>
        <row r="329">
          <cell r="C329">
            <v>0.3301</v>
          </cell>
        </row>
        <row r="330">
          <cell r="C330">
            <v>0.49969999999999998</v>
          </cell>
        </row>
        <row r="331">
          <cell r="C331">
            <v>0.55269999999999997</v>
          </cell>
        </row>
        <row r="332">
          <cell r="C332">
            <v>0.61219999999999997</v>
          </cell>
        </row>
        <row r="333">
          <cell r="C333">
            <v>0.76959999999999995</v>
          </cell>
        </row>
        <row r="334">
          <cell r="C334">
            <v>0.82240000000000002</v>
          </cell>
        </row>
        <row r="335">
          <cell r="C335">
            <v>1.2587999999999999</v>
          </cell>
        </row>
        <row r="336">
          <cell r="C336">
            <v>1.2965</v>
          </cell>
        </row>
        <row r="337">
          <cell r="C337">
            <v>1.369</v>
          </cell>
        </row>
        <row r="338">
          <cell r="C338">
            <v>0.91610000000000003</v>
          </cell>
        </row>
        <row r="339">
          <cell r="C339">
            <v>0.94189999999999996</v>
          </cell>
        </row>
        <row r="340">
          <cell r="C340">
            <v>0.97889999999999999</v>
          </cell>
        </row>
        <row r="341">
          <cell r="C341">
            <v>0.77539999999999998</v>
          </cell>
        </row>
        <row r="342">
          <cell r="C342">
            <v>0.68830000000000002</v>
          </cell>
        </row>
        <row r="343">
          <cell r="C343">
            <v>0.97789999999999999</v>
          </cell>
        </row>
        <row r="344">
          <cell r="C344">
            <v>0.56599999999999995</v>
          </cell>
        </row>
        <row r="345">
          <cell r="C345">
            <v>0.61180000000000001</v>
          </cell>
        </row>
        <row r="346">
          <cell r="C346">
            <v>1.0023</v>
          </cell>
        </row>
        <row r="347">
          <cell r="C347">
            <v>0.86890000000000001</v>
          </cell>
        </row>
        <row r="348">
          <cell r="C348">
            <v>-0.4335</v>
          </cell>
        </row>
        <row r="349">
          <cell r="C349">
            <v>0.35620000000000002</v>
          </cell>
        </row>
        <row r="350">
          <cell r="C350">
            <v>0.49830000000000002</v>
          </cell>
        </row>
        <row r="351">
          <cell r="C351">
            <v>0.71160000000000001</v>
          </cell>
        </row>
        <row r="352">
          <cell r="C352">
            <v>0.26179999999999998</v>
          </cell>
        </row>
        <row r="353">
          <cell r="C353">
            <v>0.3831</v>
          </cell>
        </row>
        <row r="354">
          <cell r="C354">
            <v>0.41310000000000002</v>
          </cell>
        </row>
        <row r="355">
          <cell r="C355">
            <v>0.75229999999999997</v>
          </cell>
        </row>
        <row r="356">
          <cell r="C356">
            <v>1.1727000000000001</v>
          </cell>
        </row>
        <row r="357">
          <cell r="C357">
            <v>1.1977</v>
          </cell>
        </row>
        <row r="358">
          <cell r="C358">
            <v>1.3159000000000001</v>
          </cell>
        </row>
        <row r="359">
          <cell r="C359">
            <v>1.1194</v>
          </cell>
        </row>
        <row r="360">
          <cell r="C360">
            <v>0.7883</v>
          </cell>
        </row>
        <row r="361">
          <cell r="C361">
            <v>0.67010000000000003</v>
          </cell>
        </row>
        <row r="362">
          <cell r="C362">
            <v>0.59550000000000003</v>
          </cell>
        </row>
        <row r="363">
          <cell r="C363">
            <v>0.40389999999999998</v>
          </cell>
        </row>
        <row r="364">
          <cell r="C364">
            <v>-0.1452</v>
          </cell>
        </row>
        <row r="365">
          <cell r="C365">
            <v>-0.1308</v>
          </cell>
        </row>
        <row r="366">
          <cell r="C366">
            <v>-0.84350000000000003</v>
          </cell>
        </row>
        <row r="367">
          <cell r="C367">
            <v>-0.55220000000000002</v>
          </cell>
        </row>
        <row r="368">
          <cell r="C368">
            <v>-1.3291999999999999</v>
          </cell>
        </row>
        <row r="369">
          <cell r="C369">
            <v>-0.22409999999999999</v>
          </cell>
        </row>
        <row r="370">
          <cell r="C370">
            <v>-0.69069999999999998</v>
          </cell>
        </row>
        <row r="371">
          <cell r="C371">
            <v>-0.54249999999999998</v>
          </cell>
        </row>
        <row r="372">
          <cell r="C372">
            <v>-0.54010000000000002</v>
          </cell>
        </row>
        <row r="373">
          <cell r="C373">
            <v>-0.49230000000000002</v>
          </cell>
        </row>
        <row r="374">
          <cell r="C374">
            <v>-0.71099999999999997</v>
          </cell>
        </row>
        <row r="375">
          <cell r="C375">
            <v>-0.28439999999999999</v>
          </cell>
        </row>
        <row r="376">
          <cell r="C376">
            <v>-0.53159999999999996</v>
          </cell>
        </row>
        <row r="377">
          <cell r="C377">
            <v>-0.74380000000000002</v>
          </cell>
        </row>
        <row r="378">
          <cell r="C378">
            <v>-0.3261</v>
          </cell>
        </row>
        <row r="379">
          <cell r="C379">
            <v>-0.33500000000000002</v>
          </cell>
        </row>
        <row r="380">
          <cell r="C380">
            <v>-0.30669999999999997</v>
          </cell>
        </row>
        <row r="381">
          <cell r="C381">
            <v>-0.45989999999999998</v>
          </cell>
        </row>
        <row r="382">
          <cell r="C382">
            <v>-0.59770000000000001</v>
          </cell>
        </row>
        <row r="383">
          <cell r="C383">
            <v>-0.57350000000000001</v>
          </cell>
        </row>
        <row r="384">
          <cell r="C384">
            <v>-0.7016</v>
          </cell>
        </row>
        <row r="385">
          <cell r="C385">
            <v>-0.85340000000000005</v>
          </cell>
        </row>
        <row r="386">
          <cell r="C386">
            <v>-0.80579999999999996</v>
          </cell>
        </row>
        <row r="387">
          <cell r="C387">
            <v>-1.093</v>
          </cell>
        </row>
        <row r="388">
          <cell r="C388">
            <v>-0.73240000000000005</v>
          </cell>
        </row>
        <row r="389">
          <cell r="C389">
            <v>-0.53380000000000005</v>
          </cell>
        </row>
        <row r="390">
          <cell r="C390">
            <v>-0.38419999999999999</v>
          </cell>
        </row>
        <row r="391">
          <cell r="C391">
            <v>-0.56230000000000002</v>
          </cell>
        </row>
        <row r="392">
          <cell r="C392">
            <v>-0.65290000000000004</v>
          </cell>
        </row>
        <row r="393">
          <cell r="C393">
            <v>-0.71799999999999997</v>
          </cell>
        </row>
        <row r="394">
          <cell r="C394">
            <v>-0.55289999999999995</v>
          </cell>
        </row>
        <row r="395">
          <cell r="C395">
            <v>-0.45279999999999998</v>
          </cell>
        </row>
        <row r="396">
          <cell r="C396">
            <v>-0.3841</v>
          </cell>
        </row>
        <row r="397">
          <cell r="C397">
            <v>-0.39119999999999999</v>
          </cell>
        </row>
        <row r="398">
          <cell r="C398">
            <v>-0.4536</v>
          </cell>
        </row>
        <row r="399">
          <cell r="C399">
            <v>-0.34470000000000001</v>
          </cell>
        </row>
        <row r="400">
          <cell r="C400">
            <v>-0.51319999999999999</v>
          </cell>
        </row>
        <row r="401">
          <cell r="C401">
            <v>-0.5272</v>
          </cell>
        </row>
        <row r="402">
          <cell r="C402">
            <v>-0.3982</v>
          </cell>
        </row>
        <row r="403">
          <cell r="C403">
            <v>-0.44619999999999999</v>
          </cell>
        </row>
        <row r="404">
          <cell r="C404">
            <v>-0.37469999999999998</v>
          </cell>
        </row>
        <row r="405">
          <cell r="C405">
            <v>-0.41739999999999999</v>
          </cell>
        </row>
        <row r="406">
          <cell r="C406">
            <v>-0.5171</v>
          </cell>
        </row>
        <row r="407">
          <cell r="C407">
            <v>-0.53359999999999996</v>
          </cell>
        </row>
        <row r="408">
          <cell r="C408">
            <v>-0.51800000000000002</v>
          </cell>
        </row>
        <row r="409">
          <cell r="C409">
            <v>-0.65720000000000001</v>
          </cell>
        </row>
        <row r="410">
          <cell r="C410">
            <v>-0.67420000000000002</v>
          </cell>
        </row>
        <row r="411">
          <cell r="C411">
            <v>-0.72929999999999995</v>
          </cell>
        </row>
        <row r="412">
          <cell r="C412">
            <v>-0.47989999999999999</v>
          </cell>
        </row>
        <row r="413">
          <cell r="C413">
            <v>-0.4793</v>
          </cell>
        </row>
        <row r="414">
          <cell r="C414">
            <v>-0.73450000000000004</v>
          </cell>
        </row>
        <row r="415">
          <cell r="C415">
            <v>-0.49370000000000003</v>
          </cell>
        </row>
        <row r="416">
          <cell r="C416">
            <v>-7.9600000000000004E-2</v>
          </cell>
        </row>
        <row r="417">
          <cell r="C417">
            <v>8.72E-2</v>
          </cell>
        </row>
        <row r="418">
          <cell r="C418">
            <v>3.2000000000000002E-3</v>
          </cell>
        </row>
        <row r="419">
          <cell r="C419">
            <v>-7.6499999999999999E-2</v>
          </cell>
        </row>
        <row r="420">
          <cell r="C420">
            <v>0.22239999999999999</v>
          </cell>
        </row>
        <row r="421">
          <cell r="C421">
            <v>0.39400000000000002</v>
          </cell>
        </row>
        <row r="422">
          <cell r="C422">
            <v>0.68620000000000003</v>
          </cell>
        </row>
        <row r="423">
          <cell r="C423">
            <v>0.85809999999999997</v>
          </cell>
        </row>
        <row r="424">
          <cell r="C424">
            <v>1.0992</v>
          </cell>
        </row>
        <row r="425">
          <cell r="C425">
            <v>0.5988</v>
          </cell>
        </row>
        <row r="426">
          <cell r="C426">
            <v>0.63260000000000005</v>
          </cell>
        </row>
        <row r="427">
          <cell r="C427">
            <v>0.70979999999999999</v>
          </cell>
        </row>
        <row r="428">
          <cell r="C428">
            <v>1.0610999999999999</v>
          </cell>
        </row>
        <row r="429">
          <cell r="C429">
            <v>1.157</v>
          </cell>
        </row>
        <row r="430">
          <cell r="C430">
            <v>1.4974000000000001</v>
          </cell>
        </row>
        <row r="431">
          <cell r="C431">
            <v>2.9638</v>
          </cell>
        </row>
        <row r="432">
          <cell r="C432">
            <v>2.0017999999999998</v>
          </cell>
        </row>
        <row r="433">
          <cell r="C433">
            <v>2.2480000000000002</v>
          </cell>
        </row>
        <row r="434">
          <cell r="C434">
            <v>2.1840999999999999</v>
          </cell>
        </row>
        <row r="435">
          <cell r="C435">
            <v>2.6105999999999998</v>
          </cell>
        </row>
        <row r="436">
          <cell r="C436">
            <v>2.1473</v>
          </cell>
        </row>
        <row r="437">
          <cell r="C437">
            <v>1.9360999999999999</v>
          </cell>
        </row>
        <row r="438">
          <cell r="C438">
            <v>0.99109999999999998</v>
          </cell>
        </row>
        <row r="439">
          <cell r="C439">
            <v>0.6391</v>
          </cell>
        </row>
        <row r="440">
          <cell r="C440">
            <v>8.3400000000000002E-2</v>
          </cell>
        </row>
        <row r="441">
          <cell r="C441">
            <v>-0.22370000000000001</v>
          </cell>
        </row>
        <row r="442">
          <cell r="C442">
            <v>-0.13669999999999999</v>
          </cell>
        </row>
        <row r="443">
          <cell r="C443">
            <v>-0.34110000000000001</v>
          </cell>
        </row>
        <row r="444">
          <cell r="C444">
            <v>-0.14149999999999999</v>
          </cell>
        </row>
        <row r="445">
          <cell r="C445">
            <v>-0.56859999999999999</v>
          </cell>
        </row>
        <row r="446">
          <cell r="C446">
            <v>-0.22389999999999999</v>
          </cell>
        </row>
        <row r="447">
          <cell r="C447">
            <v>4.2500000000000003E-2</v>
          </cell>
        </row>
        <row r="448">
          <cell r="C448">
            <v>-9.0999999999999998E-2</v>
          </cell>
        </row>
        <row r="449">
          <cell r="C449">
            <v>-0.224</v>
          </cell>
        </row>
        <row r="450">
          <cell r="C450">
            <v>-0.17219999999999999</v>
          </cell>
        </row>
        <row r="451">
          <cell r="C451">
            <v>-3.1800000000000002E-2</v>
          </cell>
        </row>
        <row r="452">
          <cell r="C452">
            <v>0.17780000000000001</v>
          </cell>
        </row>
        <row r="453">
          <cell r="C453">
            <v>-0.47639999999999999</v>
          </cell>
        </row>
        <row r="454">
          <cell r="C454">
            <v>-7.3800000000000004E-2</v>
          </cell>
        </row>
        <row r="455">
          <cell r="C455">
            <v>-2.2700000000000001E-2</v>
          </cell>
        </row>
        <row r="456">
          <cell r="C456">
            <v>-0.14419999999999999</v>
          </cell>
        </row>
        <row r="457">
          <cell r="C457">
            <v>-0.3992</v>
          </cell>
        </row>
        <row r="458">
          <cell r="C458">
            <v>8.8200000000000001E-2</v>
          </cell>
        </row>
        <row r="459">
          <cell r="C459">
            <v>-0.2122</v>
          </cell>
        </row>
        <row r="460">
          <cell r="C460">
            <v>-0.24679999999999999</v>
          </cell>
        </row>
        <row r="461">
          <cell r="C461">
            <v>-0.2112</v>
          </cell>
        </row>
        <row r="462">
          <cell r="C462">
            <v>-7.7299999999999994E-2</v>
          </cell>
        </row>
        <row r="463">
          <cell r="C463">
            <v>8.8099999999999998E-2</v>
          </cell>
        </row>
        <row r="464">
          <cell r="C464">
            <v>-1.18E-2</v>
          </cell>
        </row>
        <row r="465">
          <cell r="C465">
            <v>-0.2356</v>
          </cell>
        </row>
        <row r="466">
          <cell r="C466">
            <v>0.30280000000000001</v>
          </cell>
        </row>
        <row r="467">
          <cell r="C467">
            <v>-0.29389999999999999</v>
          </cell>
        </row>
        <row r="468">
          <cell r="C468">
            <v>0.39450000000000002</v>
          </cell>
        </row>
        <row r="469">
          <cell r="C469">
            <v>0.12039999999999999</v>
          </cell>
        </row>
        <row r="470">
          <cell r="C470">
            <v>3.8199999999999998E-2</v>
          </cell>
        </row>
        <row r="471">
          <cell r="C471">
            <v>-0.114</v>
          </cell>
        </row>
        <row r="472">
          <cell r="C472">
            <v>-0.52969999999999995</v>
          </cell>
        </row>
        <row r="473">
          <cell r="C473">
            <v>-0.36109999999999998</v>
          </cell>
        </row>
        <row r="474">
          <cell r="C474">
            <v>-0.34689999999999999</v>
          </cell>
        </row>
        <row r="475">
          <cell r="C475">
            <v>-6.0900000000000003E-2</v>
          </cell>
        </row>
        <row r="476">
          <cell r="C476">
            <v>-0.26879999999999998</v>
          </cell>
        </row>
        <row r="477">
          <cell r="C477">
            <v>-0.4672</v>
          </cell>
        </row>
        <row r="478">
          <cell r="C478">
            <v>-0.34289999999999998</v>
          </cell>
        </row>
        <row r="479">
          <cell r="C479">
            <v>-0.30590000000000001</v>
          </cell>
        </row>
        <row r="480">
          <cell r="C480">
            <v>-0.23860000000000001</v>
          </cell>
        </row>
        <row r="481">
          <cell r="C481">
            <v>-0.35</v>
          </cell>
        </row>
      </sheetData>
      <sheetData sheetId="17">
        <row r="77">
          <cell r="B77">
            <v>-0.42952000000000001</v>
          </cell>
        </row>
        <row r="78">
          <cell r="B78">
            <v>-0.20263999999999999</v>
          </cell>
        </row>
        <row r="79">
          <cell r="B79">
            <v>-0.34037000000000001</v>
          </cell>
        </row>
        <row r="80">
          <cell r="B80">
            <v>-0.5655</v>
          </cell>
        </row>
        <row r="81">
          <cell r="B81">
            <v>-0.42538999999999999</v>
          </cell>
        </row>
        <row r="82">
          <cell r="B82">
            <v>-1.6228</v>
          </cell>
        </row>
        <row r="83">
          <cell r="B83">
            <v>0.10836</v>
          </cell>
        </row>
        <row r="84">
          <cell r="B84">
            <v>-0.37853999999999999</v>
          </cell>
        </row>
        <row r="85">
          <cell r="B85">
            <v>-1.4395</v>
          </cell>
        </row>
        <row r="86">
          <cell r="B86">
            <v>-3.8635999999999997E-2</v>
          </cell>
        </row>
        <row r="87">
          <cell r="B87">
            <v>-0.55488999999999999</v>
          </cell>
        </row>
        <row r="88">
          <cell r="B88">
            <v>0.38046000000000002</v>
          </cell>
        </row>
        <row r="89">
          <cell r="B89">
            <v>-0.70904</v>
          </cell>
        </row>
        <row r="90">
          <cell r="B90">
            <v>-0.40379999999999999</v>
          </cell>
        </row>
        <row r="91">
          <cell r="B91">
            <v>-1.8258000000000001</v>
          </cell>
        </row>
        <row r="92">
          <cell r="B92">
            <v>-1.5076000000000001</v>
          </cell>
        </row>
        <row r="93">
          <cell r="B93">
            <v>1.2148000000000001</v>
          </cell>
        </row>
        <row r="94">
          <cell r="B94">
            <v>1.1049</v>
          </cell>
        </row>
        <row r="95">
          <cell r="B95">
            <v>1.5273000000000001</v>
          </cell>
        </row>
        <row r="96">
          <cell r="B96">
            <v>0.78415000000000001</v>
          </cell>
        </row>
        <row r="97">
          <cell r="B97">
            <v>-0.40264</v>
          </cell>
        </row>
        <row r="98">
          <cell r="B98">
            <v>2.3191999999999999</v>
          </cell>
        </row>
        <row r="99">
          <cell r="B99">
            <v>1.4463999999999999</v>
          </cell>
        </row>
        <row r="100">
          <cell r="B100">
            <v>-2.4786999999999999</v>
          </cell>
        </row>
        <row r="101">
          <cell r="B101">
            <v>-2.0192999999999999</v>
          </cell>
        </row>
        <row r="102">
          <cell r="B102">
            <v>0.56449000000000005</v>
          </cell>
        </row>
        <row r="103">
          <cell r="B103">
            <v>-2.5449000000000002</v>
          </cell>
        </row>
        <row r="104">
          <cell r="B104">
            <v>-1.3508</v>
          </cell>
        </row>
        <row r="105">
          <cell r="B105">
            <v>-0.30721999999999999</v>
          </cell>
        </row>
        <row r="106">
          <cell r="B106">
            <v>1.2647999999999999</v>
          </cell>
        </row>
        <row r="107">
          <cell r="B107">
            <v>-0.80345999999999995</v>
          </cell>
        </row>
        <row r="108">
          <cell r="B108">
            <v>0.65952</v>
          </cell>
        </row>
        <row r="109">
          <cell r="B109">
            <v>0.27062999999999998</v>
          </cell>
        </row>
        <row r="110">
          <cell r="B110">
            <v>-1.3816999999999999</v>
          </cell>
        </row>
        <row r="111">
          <cell r="B111">
            <v>1.3353999999999999</v>
          </cell>
        </row>
        <row r="112">
          <cell r="B112">
            <v>1.5344</v>
          </cell>
        </row>
        <row r="113">
          <cell r="B113">
            <v>-0.17294000000000001</v>
          </cell>
        </row>
        <row r="114">
          <cell r="B114">
            <v>-0.82164999999999999</v>
          </cell>
        </row>
        <row r="115">
          <cell r="B115">
            <v>1.1100000000000001</v>
          </cell>
        </row>
        <row r="116">
          <cell r="B116">
            <v>3.1331000000000002</v>
          </cell>
        </row>
        <row r="117">
          <cell r="B117">
            <v>0.42370000000000002</v>
          </cell>
        </row>
        <row r="118">
          <cell r="B118">
            <v>-1.4754</v>
          </cell>
        </row>
        <row r="119">
          <cell r="B119">
            <v>-0.22449</v>
          </cell>
        </row>
        <row r="120">
          <cell r="B120">
            <v>6.9836999999999996E-2</v>
          </cell>
        </row>
        <row r="121">
          <cell r="B121">
            <v>-1.7028000000000001</v>
          </cell>
        </row>
        <row r="122">
          <cell r="B122">
            <v>0.90922999999999998</v>
          </cell>
        </row>
        <row r="123">
          <cell r="B123">
            <v>-1.2438</v>
          </cell>
        </row>
        <row r="124">
          <cell r="B124">
            <v>0.66884999999999994</v>
          </cell>
        </row>
        <row r="125">
          <cell r="B125">
            <v>1.2287999999999999</v>
          </cell>
        </row>
        <row r="126">
          <cell r="B126">
            <v>0.51398999999999995</v>
          </cell>
        </row>
        <row r="127">
          <cell r="B127">
            <v>-0.36130000000000001</v>
          </cell>
        </row>
        <row r="128">
          <cell r="B128">
            <v>3.0304000000000002</v>
          </cell>
        </row>
        <row r="129">
          <cell r="B129">
            <v>7.0494000000000003</v>
          </cell>
        </row>
        <row r="130">
          <cell r="B130">
            <v>-0.5504</v>
          </cell>
        </row>
        <row r="131">
          <cell r="B131">
            <v>-2.4577</v>
          </cell>
        </row>
        <row r="132">
          <cell r="B132">
            <v>4.1787999999999998</v>
          </cell>
        </row>
        <row r="133">
          <cell r="B133">
            <v>-0.91652999999999996</v>
          </cell>
        </row>
        <row r="134">
          <cell r="B134">
            <v>-0.45100000000000001</v>
          </cell>
        </row>
        <row r="135">
          <cell r="B135">
            <v>-0.57699999999999996</v>
          </cell>
        </row>
        <row r="136">
          <cell r="B136">
            <v>1.6813</v>
          </cell>
        </row>
        <row r="137">
          <cell r="B137">
            <v>0.55237000000000003</v>
          </cell>
        </row>
        <row r="138">
          <cell r="B138">
            <v>2.2294999999999998</v>
          </cell>
        </row>
        <row r="139">
          <cell r="B139">
            <v>-8.2845999999999993</v>
          </cell>
        </row>
        <row r="140">
          <cell r="B140">
            <v>4.7088000000000001</v>
          </cell>
        </row>
        <row r="141">
          <cell r="B141">
            <v>-0.22378000000000001</v>
          </cell>
        </row>
        <row r="142">
          <cell r="B142">
            <v>-0.85255999999999998</v>
          </cell>
        </row>
        <row r="143">
          <cell r="B143">
            <v>-1.1372</v>
          </cell>
        </row>
        <row r="144">
          <cell r="B144">
            <v>-3.0310999999999999</v>
          </cell>
        </row>
        <row r="145">
          <cell r="B145">
            <v>-0.83018999999999998</v>
          </cell>
        </row>
        <row r="146">
          <cell r="B146">
            <v>0.99556999999999995</v>
          </cell>
        </row>
        <row r="147">
          <cell r="B147">
            <v>-2.5794000000000001</v>
          </cell>
        </row>
        <row r="148">
          <cell r="B148">
            <v>-2.8380000000000001</v>
          </cell>
        </row>
        <row r="149">
          <cell r="B149">
            <v>-3.4066000000000001</v>
          </cell>
        </row>
        <row r="150">
          <cell r="B150">
            <v>-2.2934000000000001</v>
          </cell>
        </row>
        <row r="151">
          <cell r="B151">
            <v>-9.7378000000000006E-2</v>
          </cell>
        </row>
        <row r="152">
          <cell r="B152">
            <v>2.6211000000000002</v>
          </cell>
        </row>
        <row r="153">
          <cell r="B153">
            <v>2.3064</v>
          </cell>
        </row>
        <row r="154">
          <cell r="B154">
            <v>1.0431999999999999</v>
          </cell>
        </row>
        <row r="155">
          <cell r="B155">
            <v>1.7810999999999999</v>
          </cell>
        </row>
        <row r="156">
          <cell r="B156">
            <v>1.5822000000000001</v>
          </cell>
        </row>
        <row r="157">
          <cell r="B157">
            <v>-6.4972000000000002E-2</v>
          </cell>
        </row>
        <row r="158">
          <cell r="B158">
            <v>-1.3591</v>
          </cell>
        </row>
        <row r="159">
          <cell r="B159">
            <v>-0.80415000000000003</v>
          </cell>
        </row>
        <row r="160">
          <cell r="B160">
            <v>-3.6080999999999999</v>
          </cell>
        </row>
        <row r="161">
          <cell r="B161">
            <v>-3.5278</v>
          </cell>
        </row>
        <row r="162">
          <cell r="B162">
            <v>-1.79</v>
          </cell>
        </row>
        <row r="163">
          <cell r="B163">
            <v>2.4319000000000002</v>
          </cell>
        </row>
        <row r="164">
          <cell r="B164">
            <v>0.44497999999999999</v>
          </cell>
        </row>
        <row r="165">
          <cell r="B165">
            <v>-1.8085</v>
          </cell>
        </row>
        <row r="166">
          <cell r="B166">
            <v>-1.4224000000000001</v>
          </cell>
        </row>
        <row r="167">
          <cell r="B167">
            <v>-1.6858</v>
          </cell>
        </row>
        <row r="168">
          <cell r="B168">
            <v>0.72902999999999996</v>
          </cell>
        </row>
        <row r="169">
          <cell r="B169">
            <v>-0.45351000000000002</v>
          </cell>
        </row>
        <row r="170">
          <cell r="B170">
            <v>0.86706000000000005</v>
          </cell>
        </row>
        <row r="171">
          <cell r="B171">
            <v>-0.26706999999999997</v>
          </cell>
        </row>
        <row r="172">
          <cell r="B172">
            <v>0.67476000000000003</v>
          </cell>
        </row>
        <row r="173">
          <cell r="B173">
            <v>2.5139999999999998</v>
          </cell>
        </row>
        <row r="174">
          <cell r="B174">
            <v>2.5659000000000001</v>
          </cell>
        </row>
        <row r="175">
          <cell r="B175">
            <v>0.98655000000000004</v>
          </cell>
        </row>
        <row r="176">
          <cell r="B176">
            <v>-3.5939000000000001</v>
          </cell>
        </row>
        <row r="177">
          <cell r="B177">
            <v>2.2418</v>
          </cell>
        </row>
        <row r="178">
          <cell r="B178">
            <v>1.4888999999999999</v>
          </cell>
        </row>
        <row r="179">
          <cell r="B179">
            <v>11.521000000000001</v>
          </cell>
        </row>
        <row r="180">
          <cell r="B180">
            <v>-2.2216</v>
          </cell>
        </row>
        <row r="181">
          <cell r="B181">
            <v>0.81535000000000002</v>
          </cell>
        </row>
        <row r="182">
          <cell r="B182">
            <v>-6.6782000000000004</v>
          </cell>
        </row>
        <row r="183">
          <cell r="B183">
            <v>0.49725999999999998</v>
          </cell>
        </row>
        <row r="184">
          <cell r="B184">
            <v>-0.23057</v>
          </cell>
        </row>
        <row r="185">
          <cell r="B185">
            <v>-1.8007</v>
          </cell>
        </row>
        <row r="186">
          <cell r="B186">
            <v>-4.7039</v>
          </cell>
        </row>
        <row r="187">
          <cell r="B187">
            <v>2.0507</v>
          </cell>
        </row>
        <row r="188">
          <cell r="B188">
            <v>6.6502999999999997</v>
          </cell>
        </row>
        <row r="189">
          <cell r="B189">
            <v>2.7353999999999998</v>
          </cell>
        </row>
        <row r="190">
          <cell r="B190">
            <v>1.7506999999999999</v>
          </cell>
        </row>
        <row r="191">
          <cell r="B191">
            <v>5.2084999999999999</v>
          </cell>
        </row>
        <row r="192">
          <cell r="B192">
            <v>-6.9188999999999998</v>
          </cell>
        </row>
        <row r="193">
          <cell r="B193">
            <v>-3.4548999999999999</v>
          </cell>
        </row>
        <row r="194">
          <cell r="B194">
            <v>-6.2037000000000004</v>
          </cell>
        </row>
        <row r="195">
          <cell r="B195">
            <v>-0.38372000000000001</v>
          </cell>
        </row>
        <row r="196">
          <cell r="B196">
            <v>-2.1579999999999999</v>
          </cell>
        </row>
        <row r="197">
          <cell r="B197">
            <v>-4.5785999999999998</v>
          </cell>
        </row>
        <row r="198">
          <cell r="B198">
            <v>-0.31548999999999999</v>
          </cell>
        </row>
        <row r="199">
          <cell r="B199">
            <v>-0.81923000000000001</v>
          </cell>
        </row>
        <row r="200">
          <cell r="B200">
            <v>3.6393</v>
          </cell>
        </row>
        <row r="201">
          <cell r="B201">
            <v>-0.58038000000000001</v>
          </cell>
        </row>
        <row r="202">
          <cell r="B202">
            <v>3.3151999999999999</v>
          </cell>
        </row>
        <row r="203">
          <cell r="B203">
            <v>4.9535999999999998</v>
          </cell>
        </row>
        <row r="204">
          <cell r="B204">
            <v>-5.3328999999999998E-3</v>
          </cell>
        </row>
        <row r="205">
          <cell r="B205">
            <v>0.34923999999999999</v>
          </cell>
        </row>
        <row r="206">
          <cell r="B206">
            <v>-2.8047</v>
          </cell>
        </row>
        <row r="207">
          <cell r="B207">
            <v>-4.1391999999999998</v>
          </cell>
        </row>
        <row r="208">
          <cell r="B208">
            <v>0.84677999999999998</v>
          </cell>
        </row>
        <row r="209">
          <cell r="B209">
            <v>-3.0510000000000002</v>
          </cell>
        </row>
        <row r="210">
          <cell r="B210">
            <v>-2.2450999999999999</v>
          </cell>
        </row>
        <row r="211">
          <cell r="B211">
            <v>-0.66105000000000003</v>
          </cell>
        </row>
        <row r="212">
          <cell r="B212">
            <v>-2.3715999999999999</v>
          </cell>
        </row>
        <row r="213">
          <cell r="B213">
            <v>1.6072</v>
          </cell>
        </row>
        <row r="214">
          <cell r="B214">
            <v>-6.3838000000000006E-2</v>
          </cell>
        </row>
        <row r="215">
          <cell r="B215">
            <v>-3.3182</v>
          </cell>
        </row>
        <row r="216">
          <cell r="B216">
            <v>-1.6337999999999999</v>
          </cell>
        </row>
        <row r="217">
          <cell r="B217">
            <v>-0.80476999999999999</v>
          </cell>
        </row>
        <row r="218">
          <cell r="B218">
            <v>-2.8957000000000002</v>
          </cell>
        </row>
        <row r="219">
          <cell r="B219">
            <v>-0.32983000000000001</v>
          </cell>
        </row>
        <row r="220">
          <cell r="B220">
            <v>-2.0926999999999998</v>
          </cell>
        </row>
        <row r="221">
          <cell r="B221">
            <v>-0.34464</v>
          </cell>
        </row>
        <row r="222">
          <cell r="B222">
            <v>-0.51770000000000005</v>
          </cell>
        </row>
        <row r="223">
          <cell r="B223">
            <v>-1.3478000000000001</v>
          </cell>
        </row>
        <row r="224">
          <cell r="B224">
            <v>-1.7361</v>
          </cell>
        </row>
        <row r="225">
          <cell r="B225">
            <v>2.9163999999999999</v>
          </cell>
        </row>
        <row r="226">
          <cell r="B226">
            <v>-2.0710999999999999</v>
          </cell>
        </row>
        <row r="227">
          <cell r="B227">
            <v>-0.69177999999999995</v>
          </cell>
        </row>
        <row r="228">
          <cell r="B228">
            <v>2.0855999999999999</v>
          </cell>
        </row>
        <row r="229">
          <cell r="B229">
            <v>0.78471999999999997</v>
          </cell>
        </row>
        <row r="230">
          <cell r="B230">
            <v>1.4931000000000001</v>
          </cell>
        </row>
        <row r="231">
          <cell r="B231">
            <v>8.5407999999999998E-2</v>
          </cell>
        </row>
        <row r="232">
          <cell r="B232">
            <v>-5.2167999999999999E-2</v>
          </cell>
        </row>
        <row r="233">
          <cell r="B233">
            <v>-0.30430000000000001</v>
          </cell>
        </row>
        <row r="234">
          <cell r="B234">
            <v>-0.36897999999999997</v>
          </cell>
        </row>
        <row r="235">
          <cell r="B235">
            <v>-1.2115</v>
          </cell>
        </row>
        <row r="236">
          <cell r="B236">
            <v>-0.19105</v>
          </cell>
        </row>
        <row r="237">
          <cell r="B237">
            <v>0.91535</v>
          </cell>
        </row>
        <row r="238">
          <cell r="B238">
            <v>-0.85551999999999995</v>
          </cell>
        </row>
        <row r="239">
          <cell r="B239">
            <v>-1.6285000000000001</v>
          </cell>
        </row>
        <row r="240">
          <cell r="B240">
            <v>-4.6899999999999997E-2</v>
          </cell>
        </row>
        <row r="241">
          <cell r="B241">
            <v>0.71423000000000003</v>
          </cell>
        </row>
        <row r="242">
          <cell r="B242">
            <v>2.7242000000000002</v>
          </cell>
        </row>
        <row r="243">
          <cell r="B243">
            <v>2.9266999999999999</v>
          </cell>
        </row>
        <row r="244">
          <cell r="B244">
            <v>-0.14616000000000001</v>
          </cell>
        </row>
        <row r="245">
          <cell r="B245">
            <v>-0.65246999999999999</v>
          </cell>
        </row>
        <row r="246">
          <cell r="B246">
            <v>-0.53742000000000001</v>
          </cell>
        </row>
        <row r="247">
          <cell r="B247">
            <v>-0.44729999999999998</v>
          </cell>
        </row>
        <row r="248">
          <cell r="B248">
            <v>-1.2083999999999999</v>
          </cell>
        </row>
        <row r="249">
          <cell r="B249">
            <v>1.7432000000000001</v>
          </cell>
        </row>
        <row r="250">
          <cell r="B250">
            <v>-1.6524000000000001</v>
          </cell>
        </row>
        <row r="251">
          <cell r="B251">
            <v>0.68654000000000004</v>
          </cell>
        </row>
        <row r="252">
          <cell r="B252">
            <v>2.5123000000000002</v>
          </cell>
        </row>
        <row r="253">
          <cell r="B253">
            <v>3.4112</v>
          </cell>
        </row>
        <row r="254">
          <cell r="B254">
            <v>15.856999999999999</v>
          </cell>
        </row>
        <row r="255">
          <cell r="B255">
            <v>-6.4656000000000002</v>
          </cell>
        </row>
        <row r="256">
          <cell r="B256">
            <v>3.2317</v>
          </cell>
        </row>
        <row r="257">
          <cell r="B257">
            <v>-0.15351000000000001</v>
          </cell>
        </row>
        <row r="258">
          <cell r="B258">
            <v>2.2262</v>
          </cell>
        </row>
        <row r="259">
          <cell r="B259">
            <v>21.341000000000001</v>
          </cell>
        </row>
        <row r="260">
          <cell r="B260">
            <v>0.99917999999999996</v>
          </cell>
        </row>
        <row r="261">
          <cell r="B261">
            <v>-45.37</v>
          </cell>
        </row>
        <row r="262">
          <cell r="B262">
            <v>-1.4354</v>
          </cell>
        </row>
        <row r="263">
          <cell r="B263">
            <v>5.1973000000000003</v>
          </cell>
        </row>
        <row r="264">
          <cell r="B264">
            <v>9.2972000000000001</v>
          </cell>
        </row>
        <row r="265">
          <cell r="B265">
            <v>9.9337</v>
          </cell>
        </row>
        <row r="266">
          <cell r="B266">
            <v>11.499000000000001</v>
          </cell>
        </row>
        <row r="267">
          <cell r="B267">
            <v>16.483000000000001</v>
          </cell>
        </row>
        <row r="268">
          <cell r="B268">
            <v>16.678000000000001</v>
          </cell>
        </row>
        <row r="269">
          <cell r="B269">
            <v>-3.6705000000000001</v>
          </cell>
        </row>
        <row r="270">
          <cell r="B270">
            <v>-21.706</v>
          </cell>
        </row>
        <row r="271">
          <cell r="B271">
            <v>-4.2336999999999998</v>
          </cell>
        </row>
        <row r="272">
          <cell r="B272">
            <v>11.648999999999999</v>
          </cell>
        </row>
        <row r="273">
          <cell r="B273">
            <v>22.766999999999999</v>
          </cell>
        </row>
        <row r="274">
          <cell r="B274">
            <v>3.9731000000000001</v>
          </cell>
        </row>
        <row r="275">
          <cell r="B275">
            <v>-0.24623999999999999</v>
          </cell>
        </row>
        <row r="276">
          <cell r="B276">
            <v>-8.1491000000000007</v>
          </cell>
        </row>
        <row r="277">
          <cell r="B277">
            <v>-11.651999999999999</v>
          </cell>
        </row>
        <row r="278">
          <cell r="B278">
            <v>-2.3218000000000001</v>
          </cell>
        </row>
        <row r="279">
          <cell r="B279">
            <v>-8.2824000000000009</v>
          </cell>
        </row>
        <row r="280">
          <cell r="B280">
            <v>-1.256</v>
          </cell>
        </row>
        <row r="281">
          <cell r="B281">
            <v>10.657999999999999</v>
          </cell>
        </row>
        <row r="282">
          <cell r="B282">
            <v>14.804</v>
          </cell>
        </row>
        <row r="283">
          <cell r="B283">
            <v>-5.0542999999999998E-2</v>
          </cell>
        </row>
        <row r="284">
          <cell r="B284">
            <v>3.8805000000000001</v>
          </cell>
        </row>
        <row r="285">
          <cell r="B285">
            <v>-0.70987</v>
          </cell>
        </row>
        <row r="286">
          <cell r="B286">
            <v>1.2423999999999999</v>
          </cell>
        </row>
        <row r="287">
          <cell r="B287">
            <v>-6.9039999999999999</v>
          </cell>
        </row>
        <row r="288">
          <cell r="B288">
            <v>-12.595000000000001</v>
          </cell>
        </row>
        <row r="289">
          <cell r="B289">
            <v>6.9499000000000004</v>
          </cell>
        </row>
        <row r="290">
          <cell r="B290">
            <v>-0.33051000000000003</v>
          </cell>
        </row>
        <row r="291">
          <cell r="B291">
            <v>-0.39853</v>
          </cell>
        </row>
        <row r="292">
          <cell r="B292">
            <v>1.0843</v>
          </cell>
        </row>
        <row r="293">
          <cell r="B293">
            <v>0.65471000000000001</v>
          </cell>
        </row>
        <row r="294">
          <cell r="B294">
            <v>-0.59033999999999998</v>
          </cell>
        </row>
        <row r="295">
          <cell r="B295">
            <v>2.3761000000000001</v>
          </cell>
        </row>
        <row r="296">
          <cell r="B296">
            <v>-0.20285</v>
          </cell>
        </row>
        <row r="297">
          <cell r="B297">
            <v>-1.7293000000000001</v>
          </cell>
        </row>
        <row r="298">
          <cell r="B298">
            <v>2.0724</v>
          </cell>
        </row>
        <row r="299">
          <cell r="B299">
            <v>2.0339</v>
          </cell>
        </row>
        <row r="300">
          <cell r="B300">
            <v>-0.17377000000000001</v>
          </cell>
        </row>
        <row r="301">
          <cell r="B301">
            <v>-1.7002999999999999</v>
          </cell>
        </row>
        <row r="302">
          <cell r="B302">
            <v>-1.2749999999999999</v>
          </cell>
        </row>
        <row r="303">
          <cell r="B303">
            <v>-1.5542</v>
          </cell>
        </row>
        <row r="304">
          <cell r="B304">
            <v>-0.60167000000000004</v>
          </cell>
        </row>
        <row r="305">
          <cell r="B305">
            <v>-0.84536</v>
          </cell>
        </row>
        <row r="306">
          <cell r="B306">
            <v>-1.1105</v>
          </cell>
        </row>
        <row r="307">
          <cell r="B307">
            <v>1.1422000000000001</v>
          </cell>
        </row>
        <row r="308">
          <cell r="B308">
            <v>1.4258</v>
          </cell>
        </row>
        <row r="309">
          <cell r="B309">
            <v>-0.92998999999999998</v>
          </cell>
        </row>
        <row r="310">
          <cell r="B310">
            <v>3.7252999999999998</v>
          </cell>
        </row>
        <row r="311">
          <cell r="B311">
            <v>0.15554000000000001</v>
          </cell>
        </row>
        <row r="312">
          <cell r="B312">
            <v>2.9607000000000001</v>
          </cell>
        </row>
        <row r="313">
          <cell r="B313">
            <v>-1.7503</v>
          </cell>
        </row>
        <row r="314">
          <cell r="B314">
            <v>-7.7378</v>
          </cell>
        </row>
        <row r="315">
          <cell r="B315">
            <v>-1.4894000000000001</v>
          </cell>
        </row>
        <row r="316">
          <cell r="B316">
            <v>-5.1501999999999999</v>
          </cell>
        </row>
        <row r="317">
          <cell r="B317">
            <v>2.4403000000000001</v>
          </cell>
        </row>
        <row r="318">
          <cell r="B318">
            <v>2.0150999999999999</v>
          </cell>
        </row>
        <row r="319">
          <cell r="B319">
            <v>1.1688000000000001</v>
          </cell>
        </row>
        <row r="320">
          <cell r="B320">
            <v>-2.6669</v>
          </cell>
        </row>
        <row r="321">
          <cell r="B321">
            <v>-2.1739000000000002</v>
          </cell>
        </row>
        <row r="322">
          <cell r="B322">
            <v>-2.6265000000000001</v>
          </cell>
        </row>
        <row r="323">
          <cell r="B323">
            <v>4.1197999999999997</v>
          </cell>
        </row>
        <row r="324">
          <cell r="B324">
            <v>1.0654999999999999</v>
          </cell>
        </row>
        <row r="325">
          <cell r="B325">
            <v>0.75995999999999997</v>
          </cell>
        </row>
        <row r="326">
          <cell r="B326">
            <v>0.50536999999999999</v>
          </cell>
        </row>
        <row r="327">
          <cell r="B327">
            <v>0.74314999999999998</v>
          </cell>
        </row>
        <row r="328">
          <cell r="B328">
            <v>1.1774</v>
          </cell>
        </row>
        <row r="329">
          <cell r="B329">
            <v>-0.48620999999999998</v>
          </cell>
        </row>
        <row r="330">
          <cell r="B330">
            <v>-2.0589</v>
          </cell>
        </row>
        <row r="331">
          <cell r="B331">
            <v>-1.7481</v>
          </cell>
        </row>
        <row r="332">
          <cell r="B332">
            <v>-1.4565999999999999</v>
          </cell>
        </row>
        <row r="333">
          <cell r="B333">
            <v>0.67913000000000001</v>
          </cell>
        </row>
        <row r="334">
          <cell r="B334">
            <v>2.0727000000000002</v>
          </cell>
        </row>
        <row r="335">
          <cell r="B335">
            <v>-1.9399</v>
          </cell>
        </row>
        <row r="336">
          <cell r="B336">
            <v>-2.3090000000000002</v>
          </cell>
        </row>
        <row r="337">
          <cell r="B337">
            <v>-1.1860999999999999</v>
          </cell>
        </row>
        <row r="338">
          <cell r="B338">
            <v>-0.28173999999999999</v>
          </cell>
        </row>
        <row r="339">
          <cell r="B339">
            <v>1.1773</v>
          </cell>
        </row>
        <row r="340">
          <cell r="B340">
            <v>4.0769000000000002</v>
          </cell>
        </row>
        <row r="341">
          <cell r="B341">
            <v>-4.6746999999999996</v>
          </cell>
        </row>
        <row r="342">
          <cell r="B342">
            <v>-2.9270999999999998</v>
          </cell>
        </row>
        <row r="343">
          <cell r="B343">
            <v>-0.69940999999999998</v>
          </cell>
        </row>
        <row r="344">
          <cell r="B344">
            <v>1.2041999999999999</v>
          </cell>
        </row>
        <row r="345">
          <cell r="B345">
            <v>2.1032999999999999</v>
          </cell>
        </row>
        <row r="346">
          <cell r="B346">
            <v>-2.3033999999999999</v>
          </cell>
        </row>
        <row r="347">
          <cell r="B347">
            <v>-2.5198</v>
          </cell>
        </row>
        <row r="348">
          <cell r="B348">
            <v>0.19939000000000001</v>
          </cell>
        </row>
        <row r="349">
          <cell r="B349">
            <v>1.9813000000000001</v>
          </cell>
        </row>
        <row r="350">
          <cell r="B350">
            <v>-1.6221000000000001</v>
          </cell>
        </row>
        <row r="351">
          <cell r="B351">
            <v>-5.4028999999999998</v>
          </cell>
        </row>
        <row r="352">
          <cell r="B352">
            <v>-0.37053999999999998</v>
          </cell>
        </row>
        <row r="353">
          <cell r="B353">
            <v>-0.55825000000000002</v>
          </cell>
        </row>
        <row r="354">
          <cell r="B354">
            <v>-1.8211999999999999</v>
          </cell>
        </row>
        <row r="355">
          <cell r="B355">
            <v>0.72406999999999999</v>
          </cell>
        </row>
        <row r="356">
          <cell r="B356">
            <v>2.0941000000000001</v>
          </cell>
        </row>
        <row r="357">
          <cell r="B357">
            <v>0.32400000000000001</v>
          </cell>
        </row>
        <row r="358">
          <cell r="B358">
            <v>1.4650000000000001</v>
          </cell>
        </row>
        <row r="359">
          <cell r="B359">
            <v>-0.48309999999999997</v>
          </cell>
        </row>
        <row r="360">
          <cell r="B360">
            <v>0.74409999999999998</v>
          </cell>
        </row>
        <row r="361">
          <cell r="B361">
            <v>0.82703000000000004</v>
          </cell>
        </row>
        <row r="362">
          <cell r="B362">
            <v>0.85633000000000004</v>
          </cell>
        </row>
        <row r="363">
          <cell r="B363">
            <v>8.1956000000000001E-2</v>
          </cell>
        </row>
        <row r="364">
          <cell r="B364">
            <v>2.9056999999999999</v>
          </cell>
        </row>
        <row r="365">
          <cell r="B365">
            <v>1.8520000000000001</v>
          </cell>
        </row>
        <row r="366">
          <cell r="B366">
            <v>0.93918000000000001</v>
          </cell>
        </row>
        <row r="367">
          <cell r="B367">
            <v>1.9714</v>
          </cell>
        </row>
        <row r="368">
          <cell r="B368">
            <v>-0.85955000000000004</v>
          </cell>
        </row>
        <row r="369">
          <cell r="B369">
            <v>-0.25680999999999998</v>
          </cell>
        </row>
        <row r="370">
          <cell r="B370">
            <v>-1.4923</v>
          </cell>
        </row>
        <row r="371">
          <cell r="B371">
            <v>-1.1592</v>
          </cell>
        </row>
        <row r="372">
          <cell r="B372">
            <v>-1.8890999999999999E-3</v>
          </cell>
        </row>
        <row r="373">
          <cell r="B373">
            <v>1.8306</v>
          </cell>
        </row>
        <row r="374">
          <cell r="B374">
            <v>-0.44220999999999999</v>
          </cell>
        </row>
        <row r="375">
          <cell r="B375">
            <v>-1.4962</v>
          </cell>
        </row>
        <row r="376">
          <cell r="B376">
            <v>-0.14693000000000001</v>
          </cell>
        </row>
        <row r="377">
          <cell r="B377">
            <v>-0.45007000000000003</v>
          </cell>
        </row>
        <row r="378">
          <cell r="B378">
            <v>1.2819</v>
          </cell>
        </row>
        <row r="379">
          <cell r="B379">
            <v>1.0507</v>
          </cell>
        </row>
        <row r="380">
          <cell r="B380">
            <v>-0.58345000000000002</v>
          </cell>
        </row>
        <row r="381">
          <cell r="B381">
            <v>-0.57635999999999998</v>
          </cell>
        </row>
        <row r="382">
          <cell r="B382">
            <v>-0.21339</v>
          </cell>
        </row>
        <row r="383">
          <cell r="B383">
            <v>-1.1358999999999999</v>
          </cell>
        </row>
        <row r="384">
          <cell r="B384">
            <v>-0.10383000000000001</v>
          </cell>
        </row>
        <row r="385">
          <cell r="B385">
            <v>1.6060000000000001</v>
          </cell>
        </row>
        <row r="386">
          <cell r="B386">
            <v>0.59769000000000005</v>
          </cell>
        </row>
        <row r="387">
          <cell r="B387">
            <v>-0.95043</v>
          </cell>
        </row>
        <row r="388">
          <cell r="B388">
            <v>-1.2614000000000001</v>
          </cell>
        </row>
        <row r="389">
          <cell r="B389">
            <v>0.18525</v>
          </cell>
        </row>
        <row r="390">
          <cell r="B390">
            <v>-1.9876</v>
          </cell>
        </row>
        <row r="391">
          <cell r="B391">
            <v>1.5826</v>
          </cell>
        </row>
        <row r="392">
          <cell r="B392">
            <v>0.64966999999999997</v>
          </cell>
        </row>
        <row r="393">
          <cell r="B393">
            <v>0.14788999999999999</v>
          </cell>
        </row>
        <row r="394">
          <cell r="B394">
            <v>2.1915</v>
          </cell>
        </row>
        <row r="395">
          <cell r="B395">
            <v>0.36653999999999998</v>
          </cell>
        </row>
        <row r="396">
          <cell r="B396">
            <v>-3.7040999999999998E-2</v>
          </cell>
        </row>
        <row r="397">
          <cell r="B397">
            <v>-0.17047999999999999</v>
          </cell>
        </row>
        <row r="398">
          <cell r="B398">
            <v>-0.26748</v>
          </cell>
        </row>
        <row r="399">
          <cell r="B399">
            <v>-1.4971000000000001</v>
          </cell>
        </row>
        <row r="400">
          <cell r="B400">
            <v>-1.5442</v>
          </cell>
        </row>
        <row r="401">
          <cell r="B401">
            <v>-1.3434999999999999</v>
          </cell>
        </row>
        <row r="402">
          <cell r="B402">
            <v>0.87444</v>
          </cell>
        </row>
        <row r="403">
          <cell r="B403">
            <v>0.25556000000000001</v>
          </cell>
        </row>
        <row r="404">
          <cell r="B404">
            <v>-1.81</v>
          </cell>
        </row>
        <row r="405">
          <cell r="B405">
            <v>0.52329000000000003</v>
          </cell>
        </row>
        <row r="406">
          <cell r="B406">
            <v>-0.51383999999999996</v>
          </cell>
        </row>
        <row r="407">
          <cell r="B407">
            <v>-3.1631</v>
          </cell>
        </row>
        <row r="408">
          <cell r="B408">
            <v>0.81420999999999999</v>
          </cell>
        </row>
        <row r="409">
          <cell r="B409">
            <v>0.13372000000000001</v>
          </cell>
        </row>
        <row r="410">
          <cell r="B410">
            <v>6.5620999999999999E-2</v>
          </cell>
        </row>
        <row r="411">
          <cell r="B411">
            <v>-0.21359</v>
          </cell>
        </row>
        <row r="412">
          <cell r="B412">
            <v>-0.87824000000000002</v>
          </cell>
        </row>
        <row r="413">
          <cell r="B413">
            <v>0.57986000000000004</v>
          </cell>
        </row>
        <row r="414">
          <cell r="B414">
            <v>0.81493000000000004</v>
          </cell>
        </row>
        <row r="415">
          <cell r="B415">
            <v>0.38141999999999998</v>
          </cell>
        </row>
        <row r="416">
          <cell r="B416">
            <v>-0.49020999999999998</v>
          </cell>
        </row>
        <row r="417">
          <cell r="B417">
            <v>-0.16542000000000001</v>
          </cell>
        </row>
        <row r="418">
          <cell r="B418">
            <v>1.1287</v>
          </cell>
        </row>
        <row r="419">
          <cell r="B419">
            <v>0.11726</v>
          </cell>
        </row>
        <row r="420">
          <cell r="B420">
            <v>0.1158</v>
          </cell>
        </row>
        <row r="421">
          <cell r="B421">
            <v>0.72563999999999995</v>
          </cell>
        </row>
        <row r="422">
          <cell r="B422">
            <v>-0.26668999999999998</v>
          </cell>
        </row>
        <row r="423">
          <cell r="B423">
            <v>-0.41716999999999999</v>
          </cell>
        </row>
        <row r="424">
          <cell r="B424">
            <v>-0.93964999999999999</v>
          </cell>
        </row>
        <row r="425">
          <cell r="B425">
            <v>-0.12523000000000001</v>
          </cell>
        </row>
        <row r="426">
          <cell r="B426">
            <v>0.92871000000000004</v>
          </cell>
        </row>
        <row r="427">
          <cell r="B427">
            <v>3.7052000000000001E-3</v>
          </cell>
        </row>
        <row r="428">
          <cell r="B428">
            <v>0.52159</v>
          </cell>
        </row>
        <row r="429">
          <cell r="B429">
            <v>1.1674</v>
          </cell>
        </row>
        <row r="430">
          <cell r="B430">
            <v>0.29731999999999997</v>
          </cell>
        </row>
        <row r="431">
          <cell r="B431">
            <v>-2.032</v>
          </cell>
        </row>
        <row r="432">
          <cell r="B432">
            <v>0.60216000000000003</v>
          </cell>
        </row>
        <row r="433">
          <cell r="B433">
            <v>0.41399000000000002</v>
          </cell>
        </row>
        <row r="434">
          <cell r="B434">
            <v>-0.85070000000000001</v>
          </cell>
        </row>
        <row r="435">
          <cell r="B435">
            <v>2.5708000000000002</v>
          </cell>
        </row>
        <row r="436">
          <cell r="B436">
            <v>-0.15071999999999999</v>
          </cell>
        </row>
        <row r="437">
          <cell r="B437">
            <v>-1.1105</v>
          </cell>
        </row>
        <row r="438">
          <cell r="B438">
            <v>1.8563000000000001</v>
          </cell>
        </row>
        <row r="439">
          <cell r="B439">
            <v>-0.75983000000000001</v>
          </cell>
        </row>
        <row r="440">
          <cell r="B440">
            <v>-0.16261</v>
          </cell>
        </row>
        <row r="441">
          <cell r="B441">
            <v>-0.43503999999999998</v>
          </cell>
        </row>
        <row r="442">
          <cell r="B442">
            <v>0.42163</v>
          </cell>
        </row>
        <row r="443">
          <cell r="B443">
            <v>-0.54151000000000005</v>
          </cell>
        </row>
        <row r="444">
          <cell r="B444">
            <v>-5.3538000000000002E-2</v>
          </cell>
        </row>
        <row r="445">
          <cell r="B445">
            <v>1.5872999999999999</v>
          </cell>
        </row>
        <row r="446">
          <cell r="B446">
            <v>0.13394</v>
          </cell>
        </row>
        <row r="447">
          <cell r="B447">
            <v>0.74450000000000005</v>
          </cell>
        </row>
        <row r="448">
          <cell r="B448">
            <v>-0.77954999999999997</v>
          </cell>
        </row>
        <row r="449">
          <cell r="B449">
            <v>0.40849999999999997</v>
          </cell>
        </row>
        <row r="450">
          <cell r="B450">
            <v>-1.4117</v>
          </cell>
        </row>
        <row r="451">
          <cell r="B451">
            <v>0.84936999999999996</v>
          </cell>
        </row>
        <row r="452">
          <cell r="B452">
            <v>-6.7604999999999998E-2</v>
          </cell>
        </row>
        <row r="453">
          <cell r="B453">
            <v>-3.2936E-2</v>
          </cell>
        </row>
        <row r="454">
          <cell r="B454">
            <v>-0.24082999999999999</v>
          </cell>
        </row>
        <row r="455">
          <cell r="B455">
            <v>0.25026999999999999</v>
          </cell>
        </row>
        <row r="456">
          <cell r="B456">
            <v>-0.94608999999999999</v>
          </cell>
        </row>
        <row r="457">
          <cell r="B457">
            <v>0.11804000000000001</v>
          </cell>
        </row>
        <row r="458">
          <cell r="B458">
            <v>-0.28664000000000001</v>
          </cell>
        </row>
        <row r="459">
          <cell r="B459">
            <v>0.24576999999999999</v>
          </cell>
        </row>
        <row r="460">
          <cell r="B460">
            <v>7.4361999999999998E-2</v>
          </cell>
        </row>
        <row r="461">
          <cell r="B461">
            <v>-0.17193</v>
          </cell>
        </row>
        <row r="462">
          <cell r="B462">
            <v>-0.23041</v>
          </cell>
        </row>
        <row r="463">
          <cell r="B463">
            <v>0.83113999999999999</v>
          </cell>
        </row>
        <row r="464">
          <cell r="B464">
            <v>9.2981999999999995E-2</v>
          </cell>
        </row>
        <row r="465">
          <cell r="B465">
            <v>-0.92184999999999995</v>
          </cell>
        </row>
        <row r="466">
          <cell r="B466">
            <v>-0.44741999999999998</v>
          </cell>
        </row>
        <row r="467">
          <cell r="B467">
            <v>-0.27695999999999998</v>
          </cell>
        </row>
        <row r="468">
          <cell r="B468">
            <v>0.15792999999999999</v>
          </cell>
        </row>
        <row r="469">
          <cell r="B469">
            <v>0.39479999999999998</v>
          </cell>
        </row>
        <row r="470">
          <cell r="B470">
            <v>1.2478E-2</v>
          </cell>
        </row>
        <row r="471">
          <cell r="B471">
            <v>0.25620999999999999</v>
          </cell>
        </row>
        <row r="472">
          <cell r="B472">
            <v>-6.7933000000000004E-3</v>
          </cell>
        </row>
        <row r="473">
          <cell r="B473">
            <v>1.1383000000000001</v>
          </cell>
        </row>
        <row r="474">
          <cell r="B474">
            <v>0.2722</v>
          </cell>
        </row>
        <row r="475">
          <cell r="B475">
            <v>0.63536000000000004</v>
          </cell>
        </row>
        <row r="476">
          <cell r="B476">
            <v>-0.19202</v>
          </cell>
        </row>
        <row r="477">
          <cell r="B477">
            <v>0.21889</v>
          </cell>
        </row>
        <row r="478">
          <cell r="B478">
            <v>-0.21664</v>
          </cell>
        </row>
        <row r="479">
          <cell r="B479">
            <v>0.11951000000000001</v>
          </cell>
        </row>
        <row r="480">
          <cell r="B480">
            <v>0.68442000000000003</v>
          </cell>
        </row>
        <row r="481">
          <cell r="B481">
            <v>-0.53525999999999996</v>
          </cell>
        </row>
        <row r="482">
          <cell r="B482">
            <v>-2.2168999999999999</v>
          </cell>
        </row>
        <row r="483">
          <cell r="B483">
            <v>-0.90019000000000005</v>
          </cell>
        </row>
        <row r="484">
          <cell r="B484">
            <v>-6.1809999999999997E-2</v>
          </cell>
        </row>
        <row r="485">
          <cell r="B485">
            <v>0.31585999999999997</v>
          </cell>
        </row>
        <row r="486">
          <cell r="B486">
            <v>1.0123</v>
          </cell>
        </row>
        <row r="487">
          <cell r="B487">
            <v>0.97624999999999995</v>
          </cell>
        </row>
        <row r="488">
          <cell r="B488">
            <v>-0.51520999999999995</v>
          </cell>
        </row>
        <row r="489">
          <cell r="B489">
            <v>0.49872</v>
          </cell>
        </row>
        <row r="490">
          <cell r="B490">
            <v>0.29626999999999998</v>
          </cell>
        </row>
        <row r="491">
          <cell r="B491">
            <v>1.5012000000000001</v>
          </cell>
        </row>
        <row r="492">
          <cell r="B492">
            <v>0.21124000000000001</v>
          </cell>
        </row>
        <row r="493">
          <cell r="B493">
            <v>0.55396000000000001</v>
          </cell>
        </row>
        <row r="494">
          <cell r="B494">
            <v>-1.319</v>
          </cell>
        </row>
        <row r="495">
          <cell r="B495">
            <v>0.33184000000000002</v>
          </cell>
        </row>
        <row r="496">
          <cell r="B496">
            <v>-1.8512999999999999</v>
          </cell>
        </row>
        <row r="497">
          <cell r="B497">
            <v>0.62987000000000004</v>
          </cell>
        </row>
        <row r="498">
          <cell r="B498">
            <v>1.9288000000000001</v>
          </cell>
        </row>
        <row r="499">
          <cell r="B499">
            <v>0.46217999999999998</v>
          </cell>
        </row>
        <row r="500">
          <cell r="B500">
            <v>0.67542000000000002</v>
          </cell>
        </row>
        <row r="501">
          <cell r="B501">
            <v>1.9742999999999999</v>
          </cell>
        </row>
        <row r="502">
          <cell r="B502">
            <v>0.94579000000000002</v>
          </cell>
        </row>
        <row r="503">
          <cell r="B503">
            <v>0.37413999999999997</v>
          </cell>
        </row>
        <row r="504">
          <cell r="B504">
            <v>0.46237</v>
          </cell>
        </row>
        <row r="505">
          <cell r="B505">
            <v>0.90156000000000003</v>
          </cell>
        </row>
        <row r="506">
          <cell r="B506">
            <v>0.94828000000000001</v>
          </cell>
        </row>
        <row r="507">
          <cell r="B507">
            <v>0.31286000000000003</v>
          </cell>
        </row>
        <row r="508">
          <cell r="B508">
            <v>-0.80013000000000001</v>
          </cell>
        </row>
        <row r="509">
          <cell r="B509">
            <v>-2.9214000000000002</v>
          </cell>
        </row>
        <row r="510">
          <cell r="B510">
            <v>-2.4695</v>
          </cell>
        </row>
        <row r="511">
          <cell r="B511">
            <v>-0.49624000000000001</v>
          </cell>
        </row>
        <row r="512">
          <cell r="B512">
            <v>-2.266</v>
          </cell>
        </row>
        <row r="513">
          <cell r="B513">
            <v>-2.1835</v>
          </cell>
        </row>
        <row r="514">
          <cell r="B514">
            <v>-0.13400999999999999</v>
          </cell>
        </row>
        <row r="515">
          <cell r="B515">
            <v>0.36194999999999999</v>
          </cell>
        </row>
        <row r="516">
          <cell r="B516">
            <v>-0.29675000000000001</v>
          </cell>
        </row>
        <row r="517">
          <cell r="B517">
            <v>-4.8128000000000002</v>
          </cell>
        </row>
        <row r="518">
          <cell r="B518">
            <v>1.7695000000000001</v>
          </cell>
        </row>
        <row r="519">
          <cell r="B519">
            <v>-1.389</v>
          </cell>
        </row>
        <row r="520">
          <cell r="B520">
            <v>-0.43844</v>
          </cell>
        </row>
        <row r="521">
          <cell r="B521">
            <v>0.63910999999999996</v>
          </cell>
        </row>
        <row r="522">
          <cell r="B522">
            <v>-0.87588999999999995</v>
          </cell>
        </row>
        <row r="523">
          <cell r="B523">
            <v>1.0911999999999999</v>
          </cell>
        </row>
        <row r="524">
          <cell r="B524">
            <v>-0.40412999999999999</v>
          </cell>
        </row>
        <row r="525">
          <cell r="B525">
            <v>-1.7362</v>
          </cell>
        </row>
        <row r="526">
          <cell r="B526">
            <v>0.13711000000000001</v>
          </cell>
        </row>
        <row r="527">
          <cell r="B527">
            <v>-1.0662</v>
          </cell>
        </row>
        <row r="528">
          <cell r="B528">
            <v>-0.29815000000000003</v>
          </cell>
        </row>
        <row r="529">
          <cell r="B529">
            <v>0.13905999999999999</v>
          </cell>
        </row>
        <row r="530">
          <cell r="B530">
            <v>-1.1414</v>
          </cell>
        </row>
        <row r="531">
          <cell r="B531">
            <v>-3.0076000000000001</v>
          </cell>
        </row>
        <row r="532">
          <cell r="B532">
            <v>0.28893999999999997</v>
          </cell>
        </row>
        <row r="533">
          <cell r="B533">
            <v>2.2346000000000002E-3</v>
          </cell>
        </row>
        <row r="534">
          <cell r="B534">
            <v>-0.78113999999999995</v>
          </cell>
        </row>
        <row r="535">
          <cell r="B535">
            <v>0.21437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ulín Méndez Oscar Fernando" refreshedDate="46007.671700925923" createdVersion="8" refreshedVersion="8" minRefreshableVersion="3" recordCount="684" xr:uid="{131BE6E0-C98E-4F70-9433-550204FF0157}">
  <cacheSource type="worksheet">
    <worksheetSource ref="C1:AT685" sheet="MP "/>
  </cacheSource>
  <cacheFields count="44">
    <cacheField name="año" numFmtId="0">
      <sharedItems containsSemiMixedTypes="0" containsString="0" containsNumber="1" containsInteger="1" minValue="1959" maxValue="2015" count="57"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rim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LIP" numFmtId="0">
      <sharedItems containsString="0" containsBlank="1" containsNumber="1" minValue="3.1236284430920382" maxValue="4.6813049599335566"/>
    </cacheField>
    <cacheField name="UNEMP" numFmtId="0">
      <sharedItems containsString="0" containsBlank="1" containsNumber="1" minValue="3.4" maxValue="10.8"/>
    </cacheField>
    <cacheField name="LCPI" numFmtId="0">
      <sharedItems containsString="0" containsBlank="1" containsNumber="1" minValue="3.3662608117812591" maxValue="5.4726865535679954"/>
    </cacheField>
    <cacheField name="FFR" numFmtId="0">
      <sharedItems containsString="0" containsBlank="1" containsNumber="1" minValue="7.0000000000000007E-2" maxValue="19.100000000000001"/>
    </cacheField>
    <cacheField name="LPCOM" numFmtId="0">
      <sharedItems containsString="0" containsBlank="1" containsNumber="1" minValue="4.5443580465913342" maxValue="6.3555172086355993"/>
    </cacheField>
    <cacheField name="LRCDUR" numFmtId="0">
      <sharedItems containsString="0" containsBlank="1" containsNumber="1" minValue="2.0149030205422647" maxValue="4.9815085318453258"/>
    </cacheField>
    <cacheField name="LRCND" numFmtId="0">
      <sharedItems containsString="0" containsBlank="1" containsNumber="1" minValue="3.3653283785812445" maxValue="4.7237617835590582"/>
    </cacheField>
    <cacheField name="LRCSV" numFmtId="0">
      <sharedItems containsString="0" containsBlank="1" containsNumber="1" minValue="2.8482758040861156" maxValue="4.7117889097699956"/>
    </cacheField>
    <cacheField name="RRSHOCK" numFmtId="0">
      <sharedItems containsString="0" containsBlank="1" containsNumber="1" minValue="-3.2502490000000002" maxValue="1.875421"/>
    </cacheField>
    <cacheField name="CUMRRSHOCK" numFmtId="0">
      <sharedItems containsString="0" containsBlank="1" containsNumber="1" minValue="-8.6134193999999997" maxValue="1.061123"/>
    </cacheField>
    <cacheField name="CUMRRSHOCKORIG" numFmtId="0">
      <sharedItems containsString="0" containsBlank="1" containsNumber="1" minValue="-7.4568898999999993" maxValue="1.0063683999999999"/>
    </cacheField>
    <cacheField name="BCSHOCK" numFmtId="0">
      <sharedItems containsString="0" containsBlank="1" containsNumber="1" minValue="-5.5399240000000001" maxValue="3.8305959999999999"/>
    </cacheField>
    <cacheField name="CUMBCSHOCK" numFmtId="0">
      <sharedItems containsString="0" containsBlank="1" containsNumber="1" minValue="-10.311489999999999" maxValue="3.3231609999999998"/>
    </cacheField>
    <cacheField name="MP1_TC" numFmtId="0">
      <sharedItems containsString="0" containsBlank="1" containsNumber="1" minValue="-0.4225874" maxValue="0.1458303"/>
    </cacheField>
    <cacheField name="FF4_TC" numFmtId="0">
      <sharedItems containsString="0" containsBlank="1" containsNumber="1" minValue="-0.29032249999999998" maxValue="9.2193499999999998E-2"/>
    </cacheField>
    <cacheField name="ED2_TC" numFmtId="0">
      <sharedItems containsString="0" containsBlank="1" containsNumber="1" minValue="-0.45935480000000001" maxValue="0.15933330000000001"/>
    </cacheField>
    <cacheField name="ED3_TC" numFmtId="0">
      <sharedItems containsString="0" containsBlank="1" containsNumber="1" minValue="-0.42064509999999999" maxValue="0.17883879999999999"/>
    </cacheField>
    <cacheField name="ED4_TC" numFmtId="0">
      <sharedItems containsString="0" containsBlank="1" containsNumber="1" minValue="-0.38129030000000003" maxValue="0.21338699999999999"/>
    </cacheField>
    <cacheField name="GS1" numFmtId="2">
      <sharedItems containsSemiMixedTypes="0" containsString="0" containsNumber="1" minValue="0" maxValue="16.72"/>
    </cacheField>
    <cacheField name="EBP" numFmtId="0">
      <sharedItems containsString="0" containsBlank="1" containsNumber="1" minValue="-1.3291999999999999" maxValue="2.9638"/>
    </cacheField>
    <cacheField name="szshock" numFmtId="0">
      <sharedItems containsString="0" containsBlank="1" containsNumber="1" minValue="-45.37" maxValue="22.766999999999999"/>
    </cacheField>
    <cacheField name="rrshock83" numFmtId="0">
      <sharedItems containsString="0" containsBlank="1" containsNumber="1" minValue="-0.68257489999999998" maxValue="0.51236000000000004"/>
    </cacheField>
    <cacheField name="cumrrshock83" numFmtId="0">
      <sharedItems containsString="0" containsBlank="1" containsNumber="1" minValue="-1.0360523000000001" maxValue="1.6249701999999997"/>
    </cacheField>
    <cacheField name="rrshock83b" numFmtId="0">
      <sharedItems containsString="0" containsBlank="1" containsNumber="1" minValue="-0.68257489999999998" maxValue="0.51236000000000004"/>
    </cacheField>
    <cacheField name="mp1_vr" numFmtId="0">
      <sharedItems containsString="0" containsBlank="1" containsNumber="1" minValue="-0.43748999999999999" maxValue="0.16333"/>
    </cacheField>
    <cacheField name="ff1_vr" numFmtId="0">
      <sharedItems containsString="0" containsBlank="1" containsNumber="1" minValue="-0.35" maxValue="0.14000000000000001"/>
    </cacheField>
    <cacheField name="ff4_vr" numFmtId="0">
      <sharedItems containsString="0" containsBlank="1" containsNumber="1" minValue="-0.37" maxValue="0.12"/>
    </cacheField>
    <cacheField name="ed2_vr" numFmtId="0">
      <sharedItems containsString="0" containsBlank="1" containsNumber="1" minValue="-0.72" maxValue="0.19"/>
    </cacheField>
    <cacheField name="ff1_gkgreen" numFmtId="0">
      <sharedItems containsString="0" containsBlank="1" containsNumber="1" minValue="-0.27476329999999999" maxValue="0.11365749999999999"/>
    </cacheField>
    <cacheField name="ff4_gkgreen" numFmtId="0">
      <sharedItems containsString="0" containsBlank="1" containsNumber="1" minValue="-0.26432030000000001" maxValue="0.128468"/>
    </cacheField>
    <cacheField name="ed2_gkgreen" numFmtId="0">
      <sharedItems containsString="0" containsBlank="1" containsNumber="1" minValue="-0.20676459999999999" maxValue="0.16000510000000001"/>
    </cacheField>
    <cacheField name="wu_xia" numFmtId="0">
      <sharedItems containsString="0" containsBlank="1" containsNumber="1" minValue="-2.985643605263137" maxValue="22"/>
    </cacheField>
    <cacheField name="lm1" numFmtId="0">
      <sharedItems containsString="0" containsBlank="1" containsNumber="1" minValue="4.9337542497602982" maxValue="8.0262355522877122"/>
    </cacheField>
    <cacheField name="lm2" numFmtId="0">
      <sharedItems containsString="0" containsBlank="1" containsNumber="1" minValue="5.6580875153940715" maxValue="9.4092240170691159"/>
    </cacheField>
    <cacheField name="ltr" numFmtId="0">
      <sharedItems containsString="0" containsBlank="1" containsNumber="1" minValue="1.6243265249278511" maxValue="7.9326733047788318"/>
    </cacheField>
    <cacheField name="lnbr" numFmtId="0">
      <sharedItems containsString="0" containsBlank="1" containsNumber="1" minValue="2.3068758744112019" maxValue="7.5908647498714963"/>
    </cacheField>
    <cacheField name="factor1" numFmtId="0">
      <sharedItems containsString="0" containsBlank="1" containsNumber="1" minValue="-1.54164889" maxValue="1.7817468999999999"/>
    </cacheField>
    <cacheField name="factor2" numFmtId="0">
      <sharedItems containsString="0" containsBlank="1" containsNumber="1" minValue="-0.64902673200000005" maxValue="1.22616188"/>
    </cacheField>
    <cacheField name="factor3" numFmtId="0">
      <sharedItems containsString="0" containsBlank="1" containsNumber="1" minValue="-1.11073888" maxValue="0.96812606800000001"/>
    </cacheField>
    <cacheField name="factor4" numFmtId="0">
      <sharedItems containsString="0" containsBlank="1" containsNumber="1" minValue="-0.69434645399999995" maxValue="1.5131875299999999"/>
    </cacheField>
    <cacheField name="factor5" numFmtId="0">
      <sharedItems containsString="0" containsBlank="1" containsNumber="1" minValue="-0.90415254499999997" maxValue="0.658344506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4">
  <r>
    <x v="0"/>
    <x v="0"/>
    <x v="0"/>
    <n v="3.1236284430920382"/>
    <n v="6"/>
    <n v="3.3676405981333128"/>
    <n v="2.48"/>
    <n v="4.6074675450367746"/>
    <n v="2.027490136047736"/>
    <n v="3.3653283785812445"/>
    <n v="2.8482758040861156"/>
    <m/>
    <m/>
    <m/>
    <m/>
    <m/>
    <m/>
    <m/>
    <m/>
    <m/>
    <m/>
    <n v="3.36"/>
    <m/>
    <m/>
    <m/>
    <m/>
    <m/>
    <m/>
    <m/>
    <m/>
    <m/>
    <m/>
    <m/>
    <m/>
    <n v="2.5"/>
    <n v="4.9337542497602982"/>
    <n v="5.6580875153940715"/>
    <n v="2.9385797420496824"/>
    <n v="2.3570732782781154"/>
    <m/>
    <m/>
    <m/>
    <m/>
    <m/>
  </r>
  <r>
    <x v="0"/>
    <x v="1"/>
    <x v="0"/>
    <n v="3.1430223301760165"/>
    <n v="5.9"/>
    <n v="3.3672958299864741"/>
    <n v="2.4300000000000002"/>
    <n v="4.5984476402272643"/>
    <n v="2.0711573220921382"/>
    <n v="3.3670889120287057"/>
    <n v="2.8560678264260164"/>
    <m/>
    <m/>
    <m/>
    <m/>
    <m/>
    <m/>
    <m/>
    <m/>
    <m/>
    <m/>
    <n v="3.54"/>
    <m/>
    <m/>
    <m/>
    <m/>
    <m/>
    <m/>
    <m/>
    <m/>
    <m/>
    <m/>
    <m/>
    <m/>
    <n v="2.5"/>
    <n v="4.9373474983264236"/>
    <n v="5.6619182705575026"/>
    <n v="2.9215473753646144"/>
    <n v="2.3631155927340779"/>
    <m/>
    <m/>
    <m/>
    <m/>
    <m/>
  </r>
  <r>
    <x v="0"/>
    <x v="2"/>
    <x v="0"/>
    <n v="3.1573237731215484"/>
    <n v="5.6"/>
    <n v="3.3662608117812591"/>
    <n v="2.8"/>
    <n v="4.6165056956518367"/>
    <n v="2.0753080103982291"/>
    <n v="3.3862190984814422"/>
    <n v="2.8584796801276142"/>
    <m/>
    <m/>
    <m/>
    <m/>
    <m/>
    <m/>
    <m/>
    <m/>
    <m/>
    <m/>
    <n v="3.61"/>
    <m/>
    <m/>
    <m/>
    <m/>
    <m/>
    <m/>
    <m/>
    <m/>
    <m/>
    <m/>
    <m/>
    <m/>
    <n v="3"/>
    <n v="4.939497266262916"/>
    <n v="5.6671184902846097"/>
    <n v="2.9140340295694855"/>
    <n v="2.3496595003799743"/>
    <m/>
    <m/>
    <m/>
    <m/>
    <m/>
  </r>
  <r>
    <x v="0"/>
    <x v="3"/>
    <x v="1"/>
    <n v="3.1784037691122338"/>
    <n v="5.2"/>
    <n v="3.3666059368925363"/>
    <n v="2.96"/>
    <n v="4.6306429819611221"/>
    <n v="2.0881534822818573"/>
    <n v="3.3690184832979204"/>
    <n v="2.8618008009081284"/>
    <m/>
    <m/>
    <m/>
    <m/>
    <m/>
    <m/>
    <m/>
    <m/>
    <m/>
    <m/>
    <n v="3.72"/>
    <m/>
    <m/>
    <m/>
    <m/>
    <m/>
    <m/>
    <m/>
    <m/>
    <m/>
    <m/>
    <m/>
    <m/>
    <n v="3"/>
    <n v="4.939497266262916"/>
    <n v="5.6702256911273583"/>
    <n v="2.9273463606875261"/>
    <n v="2.3441108398225441"/>
    <m/>
    <m/>
    <m/>
    <m/>
    <m/>
  </r>
  <r>
    <x v="0"/>
    <x v="4"/>
    <x v="1"/>
    <n v="3.1933569710345227"/>
    <n v="5.0999999999999996"/>
    <n v="3.3686741899565953"/>
    <n v="2.9"/>
    <n v="4.6408268631961258"/>
    <n v="2.0929745559624204"/>
    <n v="3.3886861077250838"/>
    <n v="2.8692048670822325"/>
    <m/>
    <m/>
    <m/>
    <m/>
    <m/>
    <m/>
    <m/>
    <m/>
    <m/>
    <m/>
    <n v="3.96"/>
    <m/>
    <m/>
    <m/>
    <m/>
    <m/>
    <m/>
    <m/>
    <m/>
    <m/>
    <m/>
    <m/>
    <m/>
    <n v="3.25"/>
    <n v="4.9466299641203433"/>
    <n v="5.6774384993165992"/>
    <n v="2.9205775999532304"/>
    <n v="2.3337930201182391"/>
    <m/>
    <m/>
    <m/>
    <m/>
    <m/>
  </r>
  <r>
    <x v="0"/>
    <x v="5"/>
    <x v="1"/>
    <n v="3.1944970630215317"/>
    <n v="5"/>
    <n v="3.371081757757532"/>
    <n v="3.39"/>
    <n v="4.6382180400342916"/>
    <n v="2.1043780269698673"/>
    <n v="3.3857114241267077"/>
    <n v="2.876272833516663"/>
    <m/>
    <m/>
    <m/>
    <m/>
    <m/>
    <m/>
    <m/>
    <m/>
    <m/>
    <m/>
    <n v="4.07"/>
    <m/>
    <m/>
    <m/>
    <m/>
    <m/>
    <m/>
    <m/>
    <m/>
    <m/>
    <m/>
    <m/>
    <m/>
    <n v="3"/>
    <n v="4.9501773250591414"/>
    <n v="5.6839198455599496"/>
    <n v="2.9152811491563639"/>
    <n v="2.3068758744112019"/>
    <m/>
    <m/>
    <m/>
    <m/>
    <m/>
  </r>
  <r>
    <x v="0"/>
    <x v="6"/>
    <x v="2"/>
    <n v="3.1702568460457212"/>
    <n v="5.0999999999999996"/>
    <n v="3.3724549127965013"/>
    <n v="3.47"/>
    <n v="4.6233047561835736"/>
    <n v="2.0916171176099696"/>
    <n v="3.38017801443808"/>
    <n v="2.8777929756893044"/>
    <m/>
    <m/>
    <m/>
    <m/>
    <m/>
    <m/>
    <m/>
    <m/>
    <m/>
    <m/>
    <n v="4.3899999999999997"/>
    <m/>
    <m/>
    <m/>
    <m/>
    <m/>
    <m/>
    <m/>
    <m/>
    <m/>
    <m/>
    <m/>
    <m/>
    <n v="3.5"/>
    <n v="4.9537121466966347"/>
    <n v="5.6876530927263174"/>
    <n v="2.9276140194777005"/>
    <n v="2.3172766417370356"/>
    <m/>
    <m/>
    <m/>
    <m/>
    <m/>
  </r>
  <r>
    <x v="0"/>
    <x v="7"/>
    <x v="2"/>
    <n v="3.1357941709381478"/>
    <n v="5.2"/>
    <n v="3.3734835430946397"/>
    <n v="3.5"/>
    <n v="4.6239919402286791"/>
    <n v="2.1133597598832967"/>
    <n v="3.3827957724816029"/>
    <n v="2.8817793934779599"/>
    <m/>
    <m/>
    <m/>
    <m/>
    <m/>
    <m/>
    <m/>
    <m/>
    <m/>
    <m/>
    <n v="4.42"/>
    <m/>
    <m/>
    <m/>
    <m/>
    <m/>
    <m/>
    <m/>
    <m/>
    <m/>
    <m/>
    <m/>
    <m/>
    <n v="3.5"/>
    <n v="4.9551225841659967"/>
    <n v="5.6917098934219315"/>
    <n v="2.9226775926480801"/>
    <n v="2.3201302722097945"/>
    <m/>
    <m/>
    <m/>
    <m/>
    <m/>
  </r>
  <r>
    <x v="0"/>
    <x v="8"/>
    <x v="2"/>
    <n v="3.1345851071627995"/>
    <n v="5.5"/>
    <n v="3.3758795736778655"/>
    <n v="3.76"/>
    <n v="4.6228136211606863"/>
    <n v="2.1377104498038118"/>
    <n v="3.3919884425768454"/>
    <n v="2.8879243209196859"/>
    <m/>
    <m/>
    <m/>
    <m/>
    <m/>
    <m/>
    <m/>
    <m/>
    <m/>
    <m/>
    <n v="5"/>
    <m/>
    <m/>
    <m/>
    <m/>
    <m/>
    <m/>
    <m/>
    <m/>
    <m/>
    <m/>
    <m/>
    <m/>
    <n v="3"/>
    <n v="4.9487598903781684"/>
    <n v="5.6927215272967757"/>
    <n v="2.9243436774663381"/>
    <n v="2.3225837795007349"/>
    <m/>
    <m/>
    <m/>
    <m/>
    <m/>
  </r>
  <r>
    <x v="0"/>
    <x v="9"/>
    <x v="3"/>
    <n v="3.1272954805713078"/>
    <n v="5.7"/>
    <n v="3.3792925462741055"/>
    <n v="3.98"/>
    <n v="4.6166045636137545"/>
    <n v="2.0815642870608144"/>
    <n v="3.3923584329949512"/>
    <n v="2.8900939415309939"/>
    <m/>
    <m/>
    <m/>
    <m/>
    <m/>
    <m/>
    <m/>
    <m/>
    <m/>
    <m/>
    <n v="4.8"/>
    <m/>
    <m/>
    <m/>
    <m/>
    <m/>
    <m/>
    <m/>
    <m/>
    <m/>
    <m/>
    <m/>
    <m/>
    <n v="4"/>
    <n v="4.9452074887738009"/>
    <n v="5.6920472184377804"/>
    <n v="2.9235378540055041"/>
    <n v="2.3174737054877963"/>
    <m/>
    <m/>
    <m/>
    <m/>
    <m/>
  </r>
  <r>
    <x v="0"/>
    <x v="10"/>
    <x v="3"/>
    <n v="3.1333745797824677"/>
    <n v="5.8"/>
    <n v="3.3792925462741055"/>
    <n v="4"/>
    <n v="4.6124436699545894"/>
    <n v="2.0789414166381537"/>
    <n v="3.3879770434913006"/>
    <n v="2.8937549174415267"/>
    <m/>
    <m/>
    <m/>
    <m/>
    <m/>
    <m/>
    <m/>
    <m/>
    <m/>
    <m/>
    <n v="4.8099999999999996"/>
    <m/>
    <m/>
    <m/>
    <m/>
    <m/>
    <m/>
    <m/>
    <m/>
    <m/>
    <m/>
    <m/>
    <m/>
    <n v="4"/>
    <n v="4.9444954915917112"/>
    <n v="5.6940687824685616"/>
    <n v="2.9238065339824022"/>
    <n v="2.3217993119178502"/>
    <m/>
    <m/>
    <m/>
    <m/>
    <m/>
  </r>
  <r>
    <x v="0"/>
    <x v="11"/>
    <x v="3"/>
    <n v="3.193352867637115"/>
    <n v="5.3"/>
    <n v="3.3813347525659037"/>
    <n v="3.99"/>
    <n v="4.5914768588560886"/>
    <n v="2.0349670515780063"/>
    <n v="3.393165209964891"/>
    <n v="2.8996618048032574"/>
    <m/>
    <m/>
    <m/>
    <m/>
    <m/>
    <m/>
    <m/>
    <m/>
    <m/>
    <m/>
    <n v="5.14"/>
    <m/>
    <m/>
    <m/>
    <m/>
    <m/>
    <m/>
    <m/>
    <m/>
    <m/>
    <m/>
    <m/>
    <m/>
    <n v="4"/>
    <n v="4.9409278816714357"/>
    <n v="5.6964221202499088"/>
    <n v="2.926382195419198"/>
    <n v="2.3192455338871527"/>
    <m/>
    <m/>
    <m/>
    <m/>
    <m/>
  </r>
  <r>
    <x v="1"/>
    <x v="0"/>
    <x v="0"/>
    <n v="3.2192717464808944"/>
    <n v="5.2"/>
    <n v="3.379973745210529"/>
    <n v="3.99"/>
    <n v="4.6001576441645469"/>
    <n v="2.046918349974276"/>
    <n v="3.3943741563140297"/>
    <n v="2.90109186939987"/>
    <m/>
    <m/>
    <m/>
    <m/>
    <m/>
    <m/>
    <m/>
    <m/>
    <m/>
    <m/>
    <n v="5.03"/>
    <m/>
    <m/>
    <m/>
    <m/>
    <m/>
    <m/>
    <m/>
    <m/>
    <m/>
    <m/>
    <m/>
    <m/>
    <n v="4"/>
    <n v="4.9416424226093039"/>
    <n v="5.6977644023306384"/>
    <n v="2.9197687347469521"/>
    <n v="2.3217993119178502"/>
    <n v="-1.54164889"/>
    <n v="-0.61924410600000002"/>
    <n v="2.02958705E-2"/>
    <n v="0.33460619800000002"/>
    <n v="-0.85964739099999998"/>
  </r>
  <r>
    <x v="1"/>
    <x v="1"/>
    <x v="0"/>
    <n v="3.2103314252304078"/>
    <n v="4.8"/>
    <n v="3.3813347525659037"/>
    <n v="3.97"/>
    <n v="4.595927604621159"/>
    <n v="2.1019366195072067"/>
    <n v="3.3846614130220556"/>
    <n v="2.9026296552916668"/>
    <m/>
    <m/>
    <m/>
    <m/>
    <m/>
    <m/>
    <m/>
    <m/>
    <m/>
    <m/>
    <n v="4.66"/>
    <m/>
    <m/>
    <m/>
    <m/>
    <m/>
    <m/>
    <m/>
    <m/>
    <m/>
    <m/>
    <m/>
    <m/>
    <n v="4"/>
    <n v="4.9409278816714357"/>
    <n v="5.6987699328326569"/>
    <n v="2.8874229700471394"/>
    <n v="2.3099578473234588"/>
    <n v="-0.56619133499999996"/>
    <n v="-0.50352681700000002"/>
    <n v="4.0776932199999998E-2"/>
    <n v="0.121646104"/>
    <n v="-0.38079897400000001"/>
  </r>
  <r>
    <x v="1"/>
    <x v="2"/>
    <x v="0"/>
    <n v="3.2013145239224978"/>
    <n v="5.4"/>
    <n v="3.3813347525659037"/>
    <n v="3.84"/>
    <n v="4.5943114426532157"/>
    <n v="2.1401838036352219"/>
    <n v="3.4018971367764288"/>
    <n v="2.9066277984711704"/>
    <m/>
    <m/>
    <m/>
    <m/>
    <m/>
    <m/>
    <m/>
    <m/>
    <m/>
    <m/>
    <n v="4.0199999999999996"/>
    <m/>
    <m/>
    <m/>
    <m/>
    <m/>
    <m/>
    <m/>
    <m/>
    <m/>
    <m/>
    <m/>
    <m/>
    <n v="4"/>
    <n v="4.9402128297997097"/>
    <n v="5.7017804719855283"/>
    <n v="2.8778492328972742"/>
    <n v="2.3179661950323478"/>
    <n v="2.8076665600000002E-2"/>
    <n v="-2.4815307799999999E-2"/>
    <n v="-0.28939312299999997"/>
    <n v="-0.11281864699999999"/>
    <n v="0.26074059500000002"/>
  </r>
  <r>
    <x v="1"/>
    <x v="3"/>
    <x v="1"/>
    <n v="3.1933569710345227"/>
    <n v="5.2"/>
    <n v="3.3857452771032337"/>
    <n v="3.92"/>
    <n v="4.6146253447588466"/>
    <n v="2.174751721484161"/>
    <n v="3.4202153874979171"/>
    <n v="2.9133827405369659"/>
    <m/>
    <m/>
    <m/>
    <m/>
    <m/>
    <m/>
    <m/>
    <m/>
    <m/>
    <m/>
    <n v="4.04"/>
    <m/>
    <m/>
    <m/>
    <m/>
    <m/>
    <m/>
    <m/>
    <m/>
    <m/>
    <m/>
    <m/>
    <m/>
    <n v="4"/>
    <n v="4.9387811903282719"/>
    <n v="5.7041157524463211"/>
    <n v="2.8827875145378568"/>
    <n v="2.3185568625037445"/>
    <n v="0.66389187900000002"/>
    <n v="6.8996946599999998E-2"/>
    <n v="-0.18809216000000001"/>
    <n v="-0.113908856"/>
    <n v="6.9975656799999994E-2"/>
  </r>
  <r>
    <x v="1"/>
    <x v="4"/>
    <x v="1"/>
    <n v="3.1922114696703581"/>
    <n v="5.0999999999999996"/>
    <n v="3.3867603338643857"/>
    <n v="3.85"/>
    <n v="4.6172963657859318"/>
    <n v="2.1034021791246795"/>
    <n v="3.3917529228341556"/>
    <n v="2.9156603987884324"/>
    <m/>
    <m/>
    <m/>
    <m/>
    <m/>
    <m/>
    <m/>
    <m/>
    <m/>
    <m/>
    <n v="4.21"/>
    <m/>
    <m/>
    <m/>
    <m/>
    <m/>
    <m/>
    <m/>
    <m/>
    <m/>
    <m/>
    <m/>
    <m/>
    <n v="3.5"/>
    <n v="4.9387811903282719"/>
    <n v="5.7067779836359991"/>
    <n v="2.8869213676958112"/>
    <n v="2.3364066414695563"/>
    <n v="-0.169806128"/>
    <n v="9.4575574900000001E-2"/>
    <n v="-0.37847644800000002"/>
    <n v="-4.40387842E-2"/>
    <n v="1.94881399E-2"/>
  </r>
  <r>
    <x v="1"/>
    <x v="5"/>
    <x v="1"/>
    <n v="3.1795610272891186"/>
    <n v="5.4"/>
    <n v="3.3881121421135001"/>
    <n v="3.32"/>
    <n v="4.6104561904173291"/>
    <n v="2.0779404155535688"/>
    <n v="3.4014306877775002"/>
    <n v="2.914359515088254"/>
    <m/>
    <m/>
    <m/>
    <m/>
    <m/>
    <m/>
    <m/>
    <m/>
    <m/>
    <m/>
    <n v="3.36"/>
    <m/>
    <m/>
    <m/>
    <m/>
    <m/>
    <m/>
    <m/>
    <m/>
    <m/>
    <m/>
    <m/>
    <m/>
    <n v="3.5"/>
    <n v="4.9387811903282719"/>
    <n v="5.7114199017854128"/>
    <n v="2.8911492333615509"/>
    <n v="2.3466976676123665"/>
    <n v="0.56412377300000005"/>
    <n v="-6.9233430799999995E-2"/>
    <n v="0.14893467199999999"/>
    <n v="-0.21527822399999999"/>
    <n v="-0.145894777"/>
  </r>
  <r>
    <x v="1"/>
    <x v="6"/>
    <x v="2"/>
    <n v="3.1760852272531008"/>
    <n v="5.5"/>
    <n v="3.3860837438521072"/>
    <n v="3.23"/>
    <n v="4.6126422008267927"/>
    <n v="2.0866653867691554"/>
    <n v="3.404923763402969"/>
    <n v="2.9131655498970286"/>
    <m/>
    <m/>
    <m/>
    <m/>
    <m/>
    <m/>
    <m/>
    <m/>
    <m/>
    <m/>
    <n v="3.2"/>
    <m/>
    <m/>
    <m/>
    <m/>
    <m/>
    <m/>
    <m/>
    <m/>
    <m/>
    <m/>
    <m/>
    <m/>
    <n v="3.25"/>
    <n v="4.9430699746004896"/>
    <n v="5.7173565946833191"/>
    <n v="2.9016413501543954"/>
    <n v="2.3622680951552195"/>
    <n v="0.71273328899999999"/>
    <n v="3.40627113E-2"/>
    <n v="-0.22795410199999999"/>
    <n v="-3.7919903499999998E-2"/>
    <n v="8.35931647E-2"/>
  </r>
  <r>
    <x v="1"/>
    <x v="7"/>
    <x v="2"/>
    <n v="3.1749197576019652"/>
    <n v="5.6"/>
    <n v="3.3881121421135001"/>
    <n v="2.98"/>
    <n v="4.6093613906065594"/>
    <n v="2.1065702090680887"/>
    <n v="3.396955062404023"/>
    <n v="2.9120788885567377"/>
    <m/>
    <m/>
    <m/>
    <m/>
    <m/>
    <m/>
    <m/>
    <m/>
    <m/>
    <m/>
    <n v="2.95"/>
    <m/>
    <m/>
    <m/>
    <m/>
    <m/>
    <m/>
    <m/>
    <m/>
    <m/>
    <m/>
    <m/>
    <m/>
    <n v="3"/>
    <n v="4.9508852896904818"/>
    <n v="5.7265219616256902"/>
    <n v="2.8964642718953222"/>
    <n v="2.377878077029477"/>
    <n v="0.52103345000000001"/>
    <n v="2.4808063500000001E-2"/>
    <n v="-0.16358809199999999"/>
    <n v="-0.12675034800000001"/>
    <n v="-8.0167539400000001E-2"/>
  </r>
  <r>
    <x v="1"/>
    <x v="8"/>
    <x v="2"/>
    <n v="3.1644027434700668"/>
    <n v="5.5"/>
    <n v="3.3881121421135001"/>
    <n v="2.6"/>
    <n v="4.5941092386286666"/>
    <n v="2.1406542258478254"/>
    <n v="3.3941056278483992"/>
    <n v="2.914522218128448"/>
    <m/>
    <m/>
    <m/>
    <m/>
    <m/>
    <m/>
    <m/>
    <m/>
    <m/>
    <m/>
    <n v="3.07"/>
    <m/>
    <m/>
    <m/>
    <m/>
    <m/>
    <m/>
    <m/>
    <m/>
    <m/>
    <m/>
    <m/>
    <m/>
    <n v="3"/>
    <n v="4.9501773250591414"/>
    <n v="5.7313976416891741"/>
    <n v="2.8728864435551449"/>
    <n v="2.3916942680658217"/>
    <n v="0.31815972100000001"/>
    <n v="3.6880539E-3"/>
    <n v="-0.18977259199999999"/>
    <n v="-8.3443426299999998E-2"/>
    <n v="-4.09251926E-2"/>
  </r>
  <r>
    <x v="1"/>
    <x v="9"/>
    <x v="3"/>
    <n v="3.1632235703183236"/>
    <n v="6.1"/>
    <n v="3.3928291319916388"/>
    <n v="2.4700000000000002"/>
    <n v="4.5885325448350684"/>
    <n v="2.1315594959419428"/>
    <n v="3.4035945062618769"/>
    <n v="2.9197147871300753"/>
    <m/>
    <m/>
    <m/>
    <m/>
    <m/>
    <m/>
    <m/>
    <m/>
    <m/>
    <m/>
    <n v="3.04"/>
    <m/>
    <m/>
    <m/>
    <m/>
    <m/>
    <m/>
    <m/>
    <m/>
    <m/>
    <m/>
    <m/>
    <m/>
    <n v="2.75"/>
    <n v="4.9480504189046348"/>
    <n v="5.7349580921246508"/>
    <n v="2.8832352423268448"/>
    <n v="2.4023399261310381"/>
    <n v="0.49027323900000003"/>
    <n v="-4.0630648999999998E-2"/>
    <n v="3.0609698599999999E-2"/>
    <n v="-0.25594228099999999"/>
    <n v="-4.8698714300000001E-2"/>
  </r>
  <r>
    <x v="1"/>
    <x v="10"/>
    <x v="3"/>
    <n v="3.149006855433778"/>
    <n v="6.1"/>
    <n v="3.3938370272558629"/>
    <n v="2.44"/>
    <n v="4.5804675733477191"/>
    <n v="2.0897630907517075"/>
    <n v="3.4038937432098981"/>
    <n v="2.9242899760996255"/>
    <m/>
    <m/>
    <m/>
    <m/>
    <m/>
    <m/>
    <m/>
    <m/>
    <m/>
    <m/>
    <n v="3.08"/>
    <m/>
    <m/>
    <m/>
    <m/>
    <m/>
    <m/>
    <m/>
    <m/>
    <m/>
    <m/>
    <m/>
    <m/>
    <n v="0.25"/>
    <n v="4.9480504189046348"/>
    <n v="5.7394713170647078"/>
    <n v="2.8745246306183003"/>
    <n v="2.412873446888169"/>
    <n v="0.45489873199999997"/>
    <n v="7.8783459799999997E-2"/>
    <n v="0.183956181"/>
    <n v="-8.1612920699999994E-2"/>
    <n v="-0.24523962199999999"/>
  </r>
  <r>
    <x v="1"/>
    <x v="11"/>
    <x v="3"/>
    <n v="3.1297298075177564"/>
    <n v="6.6"/>
    <n v="3.3948439076899799"/>
    <n v="1.98"/>
    <n v="4.5674683188040799"/>
    <n v="2.034574920339729"/>
    <n v="3.3905071104539646"/>
    <n v="2.924665825120131"/>
    <m/>
    <m/>
    <m/>
    <m/>
    <m/>
    <m/>
    <m/>
    <m/>
    <m/>
    <m/>
    <n v="2.86"/>
    <m/>
    <m/>
    <m/>
    <m/>
    <m/>
    <m/>
    <m/>
    <m/>
    <m/>
    <m/>
    <m/>
    <m/>
    <n v="3"/>
    <n v="4.9466299641203433"/>
    <n v="5.744284417965531"/>
    <n v="2.8142103969306005"/>
    <n v="2.4134106480829303"/>
    <n v="0.77164906099999997"/>
    <n v="0.16005293000000001"/>
    <n v="-2.5675423700000002E-2"/>
    <n v="-0.26410312699999999"/>
    <n v="0.128292296"/>
  </r>
  <r>
    <x v="2"/>
    <x v="0"/>
    <x v="0"/>
    <n v="3.1309447523609983"/>
    <n v="6.6"/>
    <n v="3.3958497753355603"/>
    <n v="1.45"/>
    <n v="4.5806725543876912"/>
    <n v="2.0149030205422647"/>
    <n v="3.3966872261842691"/>
    <n v="2.9300731247477168"/>
    <m/>
    <m/>
    <m/>
    <m/>
    <m/>
    <m/>
    <m/>
    <m/>
    <m/>
    <m/>
    <n v="2.81"/>
    <m/>
    <m/>
    <m/>
    <m/>
    <m/>
    <m/>
    <m/>
    <m/>
    <m/>
    <m/>
    <m/>
    <m/>
    <n v="2.25"/>
    <n v="4.9494688588587685"/>
    <n v="5.7497114065446011"/>
    <n v="2.8164859832769644"/>
    <n v="2.4211678088209934"/>
    <n v="0.92274107299999997"/>
    <n v="5.3295492999999999E-2"/>
    <n v="7.0659038899999999E-2"/>
    <n v="-0.209513598"/>
    <n v="8.5467889599999999E-2"/>
  </r>
  <r>
    <x v="2"/>
    <x v="1"/>
    <x v="0"/>
    <n v="3.1297298075177564"/>
    <n v="6.9"/>
    <n v="3.3958497753355603"/>
    <n v="2.54"/>
    <n v="4.6021656769677923"/>
    <n v="2.0220772242902649"/>
    <n v="3.4035612521840926"/>
    <n v="2.9301799053137554"/>
    <m/>
    <m/>
    <m/>
    <m/>
    <m/>
    <m/>
    <m/>
    <m/>
    <m/>
    <m/>
    <n v="2.93"/>
    <m/>
    <m/>
    <m/>
    <m/>
    <m/>
    <m/>
    <m/>
    <m/>
    <m/>
    <m/>
    <m/>
    <m/>
    <n v="2"/>
    <n v="4.9530061812596191"/>
    <n v="5.7573232415842313"/>
    <n v="2.8047533496688537"/>
    <n v="2.4065846830125306"/>
    <n v="0.41468891200000002"/>
    <n v="-0.24370192900000001"/>
    <n v="5.5167344600000001E-2"/>
    <n v="-8.5867159200000001E-2"/>
    <n v="-0.19077507199999999"/>
  </r>
  <r>
    <x v="2"/>
    <x v="2"/>
    <x v="0"/>
    <n v="3.1357941709381478"/>
    <n v="6.9"/>
    <n v="3.3958497753355603"/>
    <n v="2.02"/>
    <n v="4.6195660662718234"/>
    <n v="2.0514277952246371"/>
    <n v="3.4154618256758598"/>
    <n v="2.9383679561644205"/>
    <m/>
    <m/>
    <m/>
    <m/>
    <m/>
    <m/>
    <m/>
    <m/>
    <m/>
    <m/>
    <n v="2.88"/>
    <m/>
    <m/>
    <m/>
    <m/>
    <m/>
    <m/>
    <m/>
    <m/>
    <m/>
    <m/>
    <m/>
    <m/>
    <n v="2"/>
    <n v="4.9551225841659967"/>
    <n v="5.762994334288047"/>
    <n v="2.8000214796410203"/>
    <n v="2.4013438650173096"/>
    <n v="0.51582518200000005"/>
    <n v="-4.3915748900000004E-3"/>
    <n v="5.6228012899999999E-2"/>
    <n v="-8.3928695299999995E-2"/>
    <n v="-0.200630535"/>
  </r>
  <r>
    <x v="2"/>
    <x v="3"/>
    <x v="1"/>
    <n v="3.1561404770360544"/>
    <n v="7"/>
    <n v="3.3948439076899799"/>
    <n v="1.49"/>
    <n v="4.6293748746849088"/>
    <n v="2.0386195471595809"/>
    <n v="3.4148043850683725"/>
    <n v="2.9434384788328569"/>
    <m/>
    <m/>
    <m/>
    <m/>
    <m/>
    <m/>
    <m/>
    <m/>
    <m/>
    <m/>
    <n v="2.88"/>
    <m/>
    <m/>
    <m/>
    <m/>
    <m/>
    <m/>
    <m/>
    <m/>
    <m/>
    <m/>
    <m/>
    <m/>
    <n v="0.5"/>
    <n v="4.9565310351030547"/>
    <n v="5.7680084469554727"/>
    <n v="2.8009331952489238"/>
    <n v="2.4038773444759181"/>
    <n v="2.1426679399999999E-2"/>
    <n v="-0.30174967000000003"/>
    <n v="-4.3770042199999998E-2"/>
    <n v="-2.11750362E-2"/>
    <n v="-0.16598147199999999"/>
  </r>
  <r>
    <x v="2"/>
    <x v="4"/>
    <x v="1"/>
    <n v="3.1714277596808897"/>
    <n v="7.1"/>
    <n v="3.3958497753355603"/>
    <n v="1.98"/>
    <n v="4.6234029542491513"/>
    <n v="2.053097566340234"/>
    <n v="3.4186770515428004"/>
    <n v="2.9490598653555602"/>
    <m/>
    <m/>
    <m/>
    <m/>
    <m/>
    <m/>
    <m/>
    <m/>
    <m/>
    <m/>
    <n v="2.87"/>
    <m/>
    <m/>
    <m/>
    <m/>
    <m/>
    <m/>
    <m/>
    <m/>
    <m/>
    <m/>
    <m/>
    <m/>
    <n v="1"/>
    <n v="4.9607445244827906"/>
    <n v="5.7751724707428735"/>
    <n v="2.7984392008298906"/>
    <n v="2.3924257969938352"/>
    <n v="-7.28930307E-2"/>
    <n v="-0.46397971199999999"/>
    <n v="0.18499149500000001"/>
    <n v="6.2957763E-2"/>
    <n v="-0.56351118899999997"/>
  </r>
  <r>
    <x v="2"/>
    <x v="5"/>
    <x v="1"/>
    <n v="3.1853314507763213"/>
    <n v="6.9"/>
    <n v="3.3958497753355603"/>
    <n v="1.73"/>
    <n v="4.5910712616085894"/>
    <n v="2.0587285000822946"/>
    <n v="3.4222084288516195"/>
    <n v="2.9496883350525844"/>
    <m/>
    <m/>
    <m/>
    <m/>
    <m/>
    <m/>
    <m/>
    <m/>
    <m/>
    <m/>
    <n v="3.06"/>
    <m/>
    <m/>
    <m/>
    <m/>
    <m/>
    <m/>
    <m/>
    <m/>
    <m/>
    <m/>
    <m/>
    <m/>
    <n v="0.5"/>
    <n v="4.9621450849358215"/>
    <n v="5.7816690133132722"/>
    <n v="2.8064465229584035"/>
    <n v="2.4000747142713026"/>
    <n v="-0.30883735800000001"/>
    <n v="-0.32657122100000002"/>
    <n v="-4.0252126499999999E-2"/>
    <n v="4.3905395999999999E-2"/>
    <n v="-0.266193293"/>
  </r>
  <r>
    <x v="2"/>
    <x v="6"/>
    <x v="2"/>
    <n v="3.1967733549602535"/>
    <n v="7"/>
    <n v="3.3985271531062766"/>
    <n v="1.17"/>
    <n v="4.5984476402272643"/>
    <n v="2.0664829405154439"/>
    <n v="3.4142123187396503"/>
    <n v="2.9479066440713861"/>
    <m/>
    <m/>
    <m/>
    <m/>
    <m/>
    <m/>
    <m/>
    <m/>
    <m/>
    <m/>
    <n v="2.92"/>
    <m/>
    <m/>
    <m/>
    <m/>
    <m/>
    <m/>
    <m/>
    <m/>
    <m/>
    <m/>
    <m/>
    <m/>
    <n v="2.5"/>
    <n v="4.9621450849358215"/>
    <n v="5.7856696341283849"/>
    <n v="2.8068089731254737"/>
    <n v="2.4042387467205457"/>
    <n v="-0.39959702699999999"/>
    <n v="-0.31612472400000002"/>
    <n v="3.58280791E-2"/>
    <n v="-4.9091890700000002E-2"/>
    <n v="-0.24141728000000001"/>
  </r>
  <r>
    <x v="2"/>
    <x v="7"/>
    <x v="2"/>
    <n v="3.2058351638598488"/>
    <n v="6.6"/>
    <n v="3.3991953789914824"/>
    <n v="2"/>
    <n v="4.604169685654508"/>
    <n v="2.0750569433620116"/>
    <n v="3.4189718097613198"/>
    <n v="2.9491646377376561"/>
    <m/>
    <m/>
    <m/>
    <m/>
    <m/>
    <m/>
    <m/>
    <m/>
    <m/>
    <m/>
    <n v="3.06"/>
    <m/>
    <m/>
    <m/>
    <m/>
    <m/>
    <m/>
    <m/>
    <m/>
    <m/>
    <m/>
    <m/>
    <m/>
    <n v="1.75"/>
    <n v="4.966335035199676"/>
    <n v="5.7917933519789147"/>
    <n v="2.8148097376737438"/>
    <n v="2.4131420835586894"/>
    <n v="-0.19016815000000001"/>
    <n v="-0.233935685"/>
    <n v="0.14397384199999999"/>
    <n v="2.7489018399999999E-3"/>
    <n v="-0.12225094"/>
  </r>
  <r>
    <x v="2"/>
    <x v="8"/>
    <x v="2"/>
    <n v="3.2047079325932271"/>
    <n v="6.7"/>
    <n v="3.4005304926744517"/>
    <n v="1.88"/>
    <n v="4.6001576441645469"/>
    <n v="2.0811900122139528"/>
    <n v="3.424783691468297"/>
    <n v="2.9543371981876052"/>
    <m/>
    <m/>
    <m/>
    <m/>
    <m/>
    <m/>
    <m/>
    <m/>
    <m/>
    <m/>
    <n v="3.06"/>
    <m/>
    <m/>
    <m/>
    <m/>
    <m/>
    <m/>
    <m/>
    <m/>
    <m/>
    <m/>
    <m/>
    <m/>
    <n v="1.5"/>
    <n v="4.9684234452869465"/>
    <n v="5.7975763539425618"/>
    <n v="2.8216169533071356"/>
    <n v="2.4204570135889347"/>
    <n v="-0.405302459"/>
    <n v="-0.25439478799999998"/>
    <n v="-2.81038768E-3"/>
    <n v="-8.2897945399999992E-3"/>
    <n v="-3.25964979E-2"/>
  </r>
  <r>
    <x v="2"/>
    <x v="9"/>
    <x v="3"/>
    <n v="3.2237121111596512"/>
    <n v="6.5"/>
    <n v="3.4005304926744517"/>
    <n v="2.2599999999999998"/>
    <n v="4.5900565481780431"/>
    <n v="2.095929859184638"/>
    <n v="3.426182634356064"/>
    <n v="2.9621754900251482"/>
    <m/>
    <m/>
    <m/>
    <m/>
    <m/>
    <m/>
    <m/>
    <m/>
    <m/>
    <m/>
    <n v="3.05"/>
    <m/>
    <m/>
    <m/>
    <m/>
    <m/>
    <m/>
    <m/>
    <m/>
    <m/>
    <m/>
    <m/>
    <m/>
    <n v="2"/>
    <n v="4.9705075030054759"/>
    <n v="5.8024204445532011"/>
    <n v="2.8386690229741309"/>
    <n v="2.4285126495918363"/>
    <n v="6.3359369700000001E-2"/>
    <n v="-0.115431508"/>
    <n v="-3.5220883500000001E-2"/>
    <n v="-0.17171710300000001"/>
    <n v="0.30053709299999998"/>
  </r>
  <r>
    <x v="2"/>
    <x v="10"/>
    <x v="3"/>
    <n v="3.2390979719967659"/>
    <n v="6.1"/>
    <n v="3.4005304926744517"/>
    <n v="2.61"/>
    <n v="4.5793394259535702"/>
    <n v="2.1239367815663872"/>
    <n v="3.4335677616926059"/>
    <n v="2.9685666054812212"/>
    <m/>
    <m/>
    <m/>
    <m/>
    <m/>
    <m/>
    <m/>
    <m/>
    <m/>
    <m/>
    <n v="3.07"/>
    <m/>
    <m/>
    <m/>
    <m/>
    <m/>
    <m/>
    <m/>
    <m/>
    <m/>
    <m/>
    <m/>
    <m/>
    <n v="1.75"/>
    <n v="4.9753534799516164"/>
    <n v="5.8093429703166937"/>
    <n v="2.8432801503623142"/>
    <n v="2.4322088607875512"/>
    <n v="-0.51254359599999999"/>
    <n v="-0.39786554200000002"/>
    <n v="-7.6676223099999996E-2"/>
    <n v="7.0063366099999996E-2"/>
    <n v="-0.34055722900000002"/>
  </r>
  <r>
    <x v="2"/>
    <x v="11"/>
    <x v="3"/>
    <n v="3.2477819870020475"/>
    <n v="6"/>
    <n v="3.4015306594522756"/>
    <n v="2.33"/>
    <n v="4.6011621645905523"/>
    <n v="2.144292513999452"/>
    <n v="3.4387179324093351"/>
    <n v="2.9730775829891849"/>
    <m/>
    <m/>
    <m/>
    <m/>
    <m/>
    <m/>
    <m/>
    <m/>
    <m/>
    <m/>
    <n v="3.18"/>
    <m/>
    <m/>
    <m/>
    <m/>
    <m/>
    <m/>
    <m/>
    <m/>
    <m/>
    <m/>
    <m/>
    <m/>
    <n v="2.5"/>
    <n v="4.9781121023906953"/>
    <n v="5.8156219564117366"/>
    <n v="2.8487971654302933"/>
    <n v="2.4306264428749298"/>
    <n v="-0.52001134400000004"/>
    <n v="-0.40558091899999998"/>
    <n v="-0.142718805"/>
    <n v="4.06419815E-2"/>
    <n v="-0.11085495200000001"/>
  </r>
  <r>
    <x v="3"/>
    <x v="0"/>
    <x v="0"/>
    <n v="3.2390940520652864"/>
    <n v="5.8"/>
    <n v="3.4025298268959339"/>
    <n v="2.15"/>
    <n v="4.6089629842267872"/>
    <n v="2.1410068973379905"/>
    <n v="3.439263582468612"/>
    <n v="2.9742532418768666"/>
    <m/>
    <m/>
    <m/>
    <m/>
    <m/>
    <m/>
    <m/>
    <m/>
    <m/>
    <m/>
    <n v="3.28"/>
    <m/>
    <m/>
    <m/>
    <m/>
    <m/>
    <m/>
    <m/>
    <m/>
    <m/>
    <m/>
    <m/>
    <m/>
    <n v="1.5"/>
    <n v="4.9781121023906953"/>
    <n v="5.8215655103125847"/>
    <n v="2.8444441593402092"/>
    <n v="2.4338764786752214"/>
    <n v="-0.31469571400000002"/>
    <n v="-0.271921725"/>
    <n v="1.6555272900000001E-2"/>
    <n v="-9.2840793099999999E-2"/>
    <n v="-1.6136878699999999E-2"/>
  </r>
  <r>
    <x v="3"/>
    <x v="1"/>
    <x v="0"/>
    <n v="3.2553196089974983"/>
    <n v="5.5"/>
    <n v="3.4048573424936426"/>
    <n v="2.37"/>
    <n v="4.5875152507493704"/>
    <n v="2.136412437939462"/>
    <n v="3.4365645254994468"/>
    <n v="2.976804263668472"/>
    <m/>
    <m/>
    <m/>
    <m/>
    <m/>
    <m/>
    <m/>
    <m/>
    <m/>
    <m/>
    <n v="3.28"/>
    <m/>
    <m/>
    <m/>
    <m/>
    <m/>
    <m/>
    <m/>
    <m/>
    <m/>
    <m/>
    <m/>
    <m/>
    <n v="2.75"/>
    <n v="4.9815497132011588"/>
    <n v="5.8292396920131502"/>
    <n v="2.8283190334931549"/>
    <n v="2.4188558746594322"/>
    <n v="0.10035741300000001"/>
    <n v="-7.6134829099999995E-2"/>
    <n v="-2.3309460600000002E-2"/>
    <n v="-0.26336114300000002"/>
    <n v="0.42667422399999999"/>
  </r>
  <r>
    <x v="3"/>
    <x v="2"/>
    <x v="0"/>
    <n v="3.2606739827858986"/>
    <n v="5.6"/>
    <n v="3.4068480531709699"/>
    <n v="2.85"/>
    <n v="4.5918822916611557"/>
    <n v="2.1516459174287594"/>
    <n v="3.4474128054591184"/>
    <n v="2.9810753842103574"/>
    <m/>
    <m/>
    <m/>
    <m/>
    <m/>
    <m/>
    <m/>
    <m/>
    <m/>
    <m/>
    <n v="3.06"/>
    <m/>
    <m/>
    <m/>
    <m/>
    <m/>
    <m/>
    <m/>
    <m/>
    <m/>
    <m/>
    <m/>
    <m/>
    <n v="2.75"/>
    <n v="4.9836066217083363"/>
    <n v="5.8380219498644044"/>
    <n v="2.8303268291363493"/>
    <n v="2.4132316130811091"/>
    <n v="-0.55694423299999996"/>
    <n v="-0.18414488100000001"/>
    <n v="-8.3829525500000002E-2"/>
    <n v="8.2014951599999997E-2"/>
    <n v="-4.5449070500000001E-2"/>
  </r>
  <r>
    <x v="3"/>
    <x v="3"/>
    <x v="1"/>
    <n v="3.2628046681318663"/>
    <n v="5.6"/>
    <n v="3.4081729953985804"/>
    <n v="2.78"/>
    <n v="4.5788262106484892"/>
    <n v="2.158021641802693"/>
    <n v="3.4452461644968362"/>
    <n v="2.9882040071331994"/>
    <m/>
    <m/>
    <m/>
    <m/>
    <m/>
    <m/>
    <m/>
    <m/>
    <m/>
    <m/>
    <n v="2.99"/>
    <m/>
    <m/>
    <m/>
    <m/>
    <m/>
    <m/>
    <m/>
    <m/>
    <m/>
    <m/>
    <m/>
    <m/>
    <n v="2.5"/>
    <n v="4.9863426015272116"/>
    <n v="5.8449926432077248"/>
    <n v="2.8365606766587357"/>
    <n v="2.4210789870418346"/>
    <n v="-0.19985382900000001"/>
    <n v="-0.14230088099999999"/>
    <n v="-0.18683535900000001"/>
    <n v="-6.3100246600000007E-2"/>
    <n v="1.39046021E-2"/>
  </r>
  <r>
    <x v="3"/>
    <x v="4"/>
    <x v="1"/>
    <n v="3.2617398929362804"/>
    <n v="5.5"/>
    <n v="3.4091655513113324"/>
    <n v="2.36"/>
    <n v="4.5682987112121864"/>
    <n v="2.180982271234797"/>
    <n v="3.450019291359439"/>
    <n v="2.9937302708833178"/>
    <m/>
    <m/>
    <m/>
    <m/>
    <m/>
    <m/>
    <m/>
    <m/>
    <m/>
    <m/>
    <n v="3.03"/>
    <m/>
    <m/>
    <m/>
    <m/>
    <m/>
    <m/>
    <m/>
    <m/>
    <m/>
    <m/>
    <m/>
    <m/>
    <n v="2.75"/>
    <n v="4.9890711161804155"/>
    <n v="5.8507646650048466"/>
    <n v="2.84193986287401"/>
    <n v="2.4268360553319024"/>
    <n v="-0.28598397399999997"/>
    <n v="-0.16662783"/>
    <n v="-0.20257752300000001"/>
    <n v="-7.3301083700000005E-2"/>
    <n v="4.6631010899999999E-2"/>
  </r>
  <r>
    <x v="3"/>
    <x v="5"/>
    <x v="1"/>
    <n v="3.2596030949022334"/>
    <n v="5.5"/>
    <n v="3.4081729953985804"/>
    <n v="2.68"/>
    <n v="4.5533504372582954"/>
    <n v="2.1692822456796255"/>
    <n v="3.4399692761626937"/>
    <n v="2.9946316681099581"/>
    <m/>
    <m/>
    <m/>
    <m/>
    <m/>
    <m/>
    <m/>
    <m/>
    <m/>
    <m/>
    <n v="3.03"/>
    <m/>
    <m/>
    <m/>
    <m/>
    <m/>
    <m/>
    <m/>
    <m/>
    <m/>
    <m/>
    <m/>
    <m/>
    <n v="2.75"/>
    <n v="4.9877077894525508"/>
    <n v="5.8559311518127863"/>
    <n v="2.84514191492149"/>
    <n v="2.4182325165200078"/>
    <n v="0.12564383500000001"/>
    <n v="-9.9855799100000003E-2"/>
    <n v="-9.2857874699999995E-2"/>
    <n v="-0.24201476"/>
    <n v="-7.2426560299999998E-2"/>
  </r>
  <r>
    <x v="3"/>
    <x v="6"/>
    <x v="2"/>
    <n v="3.2691734237154297"/>
    <n v="5.4"/>
    <n v="3.4085039568445934"/>
    <n v="2.71"/>
    <n v="4.5466932562291156"/>
    <n v="2.1689394081241273"/>
    <n v="3.4457563848593193"/>
    <n v="2.996931554129473"/>
    <m/>
    <m/>
    <m/>
    <m/>
    <m/>
    <m/>
    <m/>
    <m/>
    <m/>
    <m/>
    <n v="3.29"/>
    <m/>
    <m/>
    <m/>
    <m/>
    <m/>
    <m/>
    <m/>
    <m/>
    <m/>
    <m/>
    <m/>
    <m/>
    <n v="2.75"/>
    <n v="4.9870254284571223"/>
    <n v="5.8602162604980279"/>
    <n v="2.8482178582654418"/>
    <n v="2.4249797012076515"/>
    <n v="0.16723147899999999"/>
    <n v="-0.120120955"/>
    <n v="-7.7980258499999996E-2"/>
    <n v="-0.34824217000000002"/>
    <n v="0.106892023"/>
  </r>
  <r>
    <x v="3"/>
    <x v="7"/>
    <x v="2"/>
    <n v="3.2702303173831075"/>
    <n v="5.7"/>
    <n v="3.4104874285692479"/>
    <n v="2.93"/>
    <n v="4.5485998344996972"/>
    <n v="2.165504552445678"/>
    <n v="3.4505588111998797"/>
    <n v="2.9999234781724589"/>
    <m/>
    <m/>
    <m/>
    <m/>
    <m/>
    <m/>
    <m/>
    <m/>
    <m/>
    <m/>
    <n v="3.2"/>
    <m/>
    <m/>
    <m/>
    <m/>
    <m/>
    <m/>
    <m/>
    <m/>
    <m/>
    <m/>
    <m/>
    <m/>
    <n v="3"/>
    <n v="4.9877077894525508"/>
    <n v="5.8659013241326363"/>
    <n v="2.841298220246927"/>
    <n v="2.4186778119808992"/>
    <n v="-0.111753428"/>
    <n v="-0.27787433"/>
    <n v="-4.58330084E-2"/>
    <n v="-0.112973634"/>
    <n v="-0.25029072099999999"/>
  </r>
  <r>
    <x v="3"/>
    <x v="8"/>
    <x v="2"/>
    <n v="3.2765521045924619"/>
    <n v="5.6"/>
    <n v="3.4151002868311466"/>
    <n v="2.9"/>
    <n v="4.5473291862982412"/>
    <n v="2.1955565202355225"/>
    <n v="3.4621043165656769"/>
    <n v="3.0054350490153761"/>
    <m/>
    <m/>
    <m/>
    <m/>
    <m/>
    <m/>
    <m/>
    <m/>
    <m/>
    <m/>
    <n v="3.06"/>
    <m/>
    <m/>
    <m/>
    <m/>
    <m/>
    <m/>
    <m/>
    <m/>
    <m/>
    <m/>
    <m/>
    <m/>
    <n v="2.75"/>
    <n v="4.9856593080260785"/>
    <n v="5.871836059652451"/>
    <n v="2.8470002197535917"/>
    <n v="2.425068177208594"/>
    <n v="9.4135017099999996E-2"/>
    <n v="-2.7165650499999999E-2"/>
    <n v="-0.13851783200000001"/>
    <n v="-5.7621518300000001E-2"/>
    <n v="7.9266698799999993E-2"/>
  </r>
  <r>
    <x v="3"/>
    <x v="9"/>
    <x v="3"/>
    <n v="3.2776050044095251"/>
    <n v="5.4"/>
    <n v="3.4137844971676268"/>
    <n v="2.9"/>
    <n v="4.5513473792905845"/>
    <n v="2.1698533805400873"/>
    <n v="3.4540428042086808"/>
    <n v="3.0088952600802719"/>
    <m/>
    <m/>
    <m/>
    <m/>
    <m/>
    <m/>
    <m/>
    <m/>
    <m/>
    <m/>
    <n v="2.98"/>
    <m/>
    <m/>
    <m/>
    <m/>
    <m/>
    <m/>
    <m/>
    <m/>
    <m/>
    <m/>
    <m/>
    <m/>
    <n v="3"/>
    <n v="4.9883896851489355"/>
    <n v="5.8782958490023436"/>
    <n v="2.8548597146725756"/>
    <n v="2.432472353828468"/>
    <n v="-0.14772802600000001"/>
    <n v="7.3820953699999997E-2"/>
    <n v="2.77935063E-2"/>
    <n v="8.0415911199999995E-2"/>
    <n v="-7.5747696000000003E-2"/>
  </r>
  <r>
    <x v="3"/>
    <x v="10"/>
    <x v="3"/>
    <n v="3.2817905283271651"/>
    <n v="5.7"/>
    <n v="3.4137844971676268"/>
    <n v="2.94"/>
    <n v="4.5544030689344384"/>
    <n v="2.2300144001592104"/>
    <n v="3.4591203179951071"/>
    <n v="3.0149955397348371"/>
    <m/>
    <m/>
    <m/>
    <m/>
    <m/>
    <m/>
    <m/>
    <m/>
    <m/>
    <m/>
    <n v="3"/>
    <m/>
    <m/>
    <m/>
    <m/>
    <m/>
    <m/>
    <m/>
    <m/>
    <m/>
    <m/>
    <m/>
    <m/>
    <n v="2.88"/>
    <n v="4.9924713234685845"/>
    <n v="5.885548321516433"/>
    <n v="2.8155284727310379"/>
    <n v="2.4311541937887533"/>
    <n v="0.139915604"/>
    <n v="-0.22938256800000001"/>
    <n v="-0.22216042799999999"/>
    <n v="-0.20597568899999999"/>
    <n v="1.6947661700000002E-2"/>
  </r>
  <r>
    <x v="3"/>
    <x v="11"/>
    <x v="3"/>
    <n v="3.2817905283271651"/>
    <n v="5.5"/>
    <n v="3.4137844971676268"/>
    <n v="2.93"/>
    <n v="4.5494460372157297"/>
    <n v="2.25758772706331"/>
    <n v="3.4621043165656769"/>
    <n v="3.0159759800310333"/>
    <m/>
    <m/>
    <m/>
    <m/>
    <m/>
    <m/>
    <m/>
    <m/>
    <m/>
    <m/>
    <n v="3.01"/>
    <m/>
    <m/>
    <m/>
    <m/>
    <m/>
    <m/>
    <m/>
    <m/>
    <m/>
    <m/>
    <m/>
    <m/>
    <n v="3"/>
    <n v="4.9958600085141018"/>
    <n v="5.8935760462888567"/>
    <n v="2.8283190334931549"/>
    <n v="2.4286889697897718"/>
    <n v="8.1992870500000002E-3"/>
    <n v="-0.16843914400000001"/>
    <n v="-0.15309678299999999"/>
    <n v="-7.8158220599999995E-2"/>
    <n v="-6.6626554000000004E-2"/>
  </r>
  <r>
    <x v="4"/>
    <x v="0"/>
    <x v="0"/>
    <n v="3.289080761507321"/>
    <n v="5.7"/>
    <n v="3.4157575329934851"/>
    <n v="2.92"/>
    <n v="4.5557698356929643"/>
    <n v="2.2504493385735174"/>
    <n v="3.465454613241528"/>
    <n v="3.0144558875520935"/>
    <m/>
    <m/>
    <m/>
    <m/>
    <m/>
    <m/>
    <m/>
    <m/>
    <m/>
    <m/>
    <n v="3.04"/>
    <m/>
    <m/>
    <m/>
    <m/>
    <m/>
    <m/>
    <m/>
    <m/>
    <m/>
    <m/>
    <m/>
    <m/>
    <n v="3"/>
    <n v="4.9992372491438868"/>
    <n v="5.9004451487208129"/>
    <n v="2.8295005779089841"/>
    <n v="2.4354537660684699"/>
    <n v="9.1635926300000003E-2"/>
    <n v="-0.195613326"/>
    <n v="-0.163217314"/>
    <n v="-0.17880436399999999"/>
    <n v="6.5733254099999998E-3"/>
  </r>
  <r>
    <x v="4"/>
    <x v="1"/>
    <x v="0"/>
    <n v="3.3004263183381362"/>
    <n v="5.9"/>
    <n v="3.4170707308184456"/>
    <n v="3"/>
    <n v="4.5559799417973199"/>
    <n v="2.2358040593036943"/>
    <n v="3.4583650547184965"/>
    <n v="3.016563783133924"/>
    <m/>
    <m/>
    <m/>
    <m/>
    <m/>
    <m/>
    <m/>
    <m/>
    <m/>
    <m/>
    <n v="3.01"/>
    <m/>
    <m/>
    <m/>
    <m/>
    <m/>
    <m/>
    <m/>
    <m/>
    <m/>
    <m/>
    <m/>
    <m/>
    <n v="3"/>
    <n v="5.0032749396899634"/>
    <n v="5.907811162110729"/>
    <n v="2.8161270242542646"/>
    <n v="2.4239173781615704"/>
    <n v="-8.5442993999999994E-2"/>
    <n v="-0.115257269"/>
    <n v="-0.100566667"/>
    <n v="-8.2514899899999994E-2"/>
    <n v="-0.157938576"/>
  </r>
  <r>
    <x v="4"/>
    <x v="2"/>
    <x v="0"/>
    <n v="3.306560641712966"/>
    <n v="5.7"/>
    <n v="3.4180544987285781"/>
    <n v="2.98"/>
    <n v="4.5443580465913342"/>
    <n v="2.2323771979505489"/>
    <n v="3.4677962787666456"/>
    <n v="3.0207662912736328"/>
    <m/>
    <m/>
    <m/>
    <m/>
    <m/>
    <m/>
    <m/>
    <m/>
    <m/>
    <m/>
    <n v="3.03"/>
    <m/>
    <m/>
    <m/>
    <m/>
    <m/>
    <m/>
    <m/>
    <m/>
    <m/>
    <m/>
    <m/>
    <m/>
    <n v="3"/>
    <n v="5.0052876877696608"/>
    <n v="5.9153931101566863"/>
    <n v="2.8154685978694802"/>
    <n v="2.4208124743586956"/>
    <n v="-0.168140555"/>
    <n v="-0.16743956700000001"/>
    <n v="-0.103055352"/>
    <n v="-8.2020458399999996E-2"/>
    <n v="-0.13187016500000001"/>
  </r>
  <r>
    <x v="4"/>
    <x v="3"/>
    <x v="1"/>
    <n v="3.3156939580482141"/>
    <n v="5.7"/>
    <n v="3.4170707308184456"/>
    <n v="2.9"/>
    <n v="4.554297855614335"/>
    <n v="2.249606168203159"/>
    <n v="3.4647979630717503"/>
    <n v="3.0257278735893713"/>
    <m/>
    <m/>
    <m/>
    <m/>
    <m/>
    <m/>
    <m/>
    <m/>
    <m/>
    <m/>
    <n v="3.11"/>
    <m/>
    <m/>
    <m/>
    <m/>
    <m/>
    <m/>
    <m/>
    <m/>
    <m/>
    <m/>
    <m/>
    <m/>
    <n v="3"/>
    <n v="5.0086332914255829"/>
    <n v="5.922382385920538"/>
    <n v="2.8151691697748995"/>
    <n v="2.4264827296502833"/>
    <n v="-0.151292755"/>
    <n v="-0.207252714"/>
    <n v="-0.170332182"/>
    <n v="-0.15038190000000001"/>
    <n v="-1.4176063799999999E-2"/>
  </r>
  <r>
    <x v="4"/>
    <x v="4"/>
    <x v="1"/>
    <n v="3.327740992054208"/>
    <n v="5.9"/>
    <n v="3.4180544987285781"/>
    <n v="3"/>
    <n v="4.576256175823449"/>
    <n v="2.253394848803274"/>
    <n v="3.4652045116364478"/>
    <n v="3.0257763949023677"/>
    <m/>
    <m/>
    <m/>
    <m/>
    <m/>
    <m/>
    <m/>
    <m/>
    <m/>
    <m/>
    <n v="3.12"/>
    <m/>
    <m/>
    <m/>
    <m/>
    <m/>
    <m/>
    <m/>
    <m/>
    <m/>
    <m/>
    <m/>
    <m/>
    <n v="3"/>
    <n v="5.0132984115157395"/>
    <n v="5.9298550654762909"/>
    <n v="2.8189950950539369"/>
    <n v="2.4173413302922344"/>
    <n v="-0.372408564"/>
    <n v="-0.20922264900000001"/>
    <n v="-0.24463067499999999"/>
    <n v="-8.3988538200000004E-2"/>
    <n v="3.4452121600000003E-2"/>
  </r>
  <r>
    <x v="4"/>
    <x v="5"/>
    <x v="1"/>
    <n v="3.3307319979896506"/>
    <n v="5.6"/>
    <n v="3.421326752957321"/>
    <n v="2.99"/>
    <n v="4.5586025501717566"/>
    <n v="2.2792141066708056"/>
    <n v="3.4718422212314874"/>
    <n v="3.0329798875806575"/>
    <m/>
    <m/>
    <m/>
    <m/>
    <m/>
    <m/>
    <m/>
    <m/>
    <m/>
    <m/>
    <n v="3.2"/>
    <m/>
    <m/>
    <m/>
    <m/>
    <m/>
    <m/>
    <m/>
    <m/>
    <m/>
    <m/>
    <m/>
    <m/>
    <n v="3"/>
    <n v="5.0132984115157395"/>
    <n v="5.9359518371777229"/>
    <n v="2.8228658755307916"/>
    <n v="2.4104524638630527"/>
    <n v="-0.13440827"/>
    <n v="-0.124120388"/>
    <n v="-5.7997910899999998E-2"/>
    <n v="-6.6093838700000004E-2"/>
    <n v="-5.9397428500000002E-2"/>
  </r>
  <r>
    <x v="4"/>
    <x v="6"/>
    <x v="2"/>
    <n v="3.3267431957372078"/>
    <n v="5.6"/>
    <n v="3.4239368686316447"/>
    <n v="3.02"/>
    <n v="4.561009290202322"/>
    <n v="2.2886889878019345"/>
    <n v="3.4733009654185296"/>
    <n v="3.039749158970765"/>
    <m/>
    <m/>
    <m/>
    <m/>
    <m/>
    <m/>
    <m/>
    <m/>
    <m/>
    <m/>
    <n v="3.48"/>
    <m/>
    <m/>
    <m/>
    <m/>
    <m/>
    <m/>
    <m/>
    <m/>
    <m/>
    <m/>
    <m/>
    <m/>
    <n v="3.5"/>
    <n v="5.0192646207943099"/>
    <n v="5.9430618078798148"/>
    <n v="2.830385820965998"/>
    <n v="2.4187668472834551"/>
    <n v="-0.12919407099999999"/>
    <n v="7.6317945099999996E-3"/>
    <n v="-2.5181087599999999E-2"/>
    <n v="-0.108035044"/>
    <n v="3.7488424899999997E-2"/>
  </r>
  <r>
    <x v="4"/>
    <x v="7"/>
    <x v="2"/>
    <n v="3.3287377937660487"/>
    <n v="5.4"/>
    <n v="3.4258899942525267"/>
    <n v="3.49"/>
    <n v="4.5480705939475188"/>
    <n v="2.2636363428554711"/>
    <n v="3.48317667448207"/>
    <n v="3.0467580321570349"/>
    <m/>
    <m/>
    <m/>
    <m/>
    <m/>
    <m/>
    <m/>
    <m/>
    <m/>
    <m/>
    <n v="3.53"/>
    <m/>
    <m/>
    <m/>
    <m/>
    <m/>
    <m/>
    <m/>
    <m/>
    <m/>
    <m/>
    <m/>
    <m/>
    <n v="3.5"/>
    <n v="5.0225638649615298"/>
    <n v="5.9496003430092834"/>
    <n v="2.8172035149987327"/>
    <n v="2.4118878278844957"/>
    <n v="-5.0746164400000002E-2"/>
    <n v="-3.5613034799999999E-2"/>
    <n v="-8.3910594899999996E-2"/>
    <n v="-0.17462098100000001"/>
    <n v="0.15782080800000001"/>
  </r>
  <r>
    <x v="4"/>
    <x v="8"/>
    <x v="2"/>
    <n v="3.3386586374150027"/>
    <n v="5.5"/>
    <n v="3.4249139082794713"/>
    <n v="3.48"/>
    <n v="4.5517694092609764"/>
    <n v="2.2668542830382465"/>
    <n v="3.4726494490687947"/>
    <n v="3.0501731092322375"/>
    <m/>
    <m/>
    <m/>
    <m/>
    <m/>
    <m/>
    <m/>
    <m/>
    <m/>
    <m/>
    <n v="3.57"/>
    <m/>
    <m/>
    <m/>
    <m/>
    <m/>
    <m/>
    <m/>
    <m/>
    <m/>
    <m/>
    <m/>
    <m/>
    <n v="3.5"/>
    <n v="5.0238805208462765"/>
    <n v="5.955837369464831"/>
    <n v="2.8265440951499992"/>
    <n v="2.4144841854914545"/>
    <n v="-0.12450952899999999"/>
    <n v="-7.1031196599999999E-2"/>
    <n v="-0.151808358"/>
    <n v="-0.15343306800000001"/>
    <n v="-4.0134833100000003E-2"/>
  </r>
  <r>
    <x v="4"/>
    <x v="9"/>
    <x v="3"/>
    <n v="3.3455472415699883"/>
    <n v="5.5"/>
    <n v="3.4258899942525267"/>
    <n v="3.5"/>
    <n v="4.5827200571504996"/>
    <n v="2.2592599682556722"/>
    <n v="3.4683574635046783"/>
    <n v="3.0545199150370794"/>
    <m/>
    <m/>
    <m/>
    <m/>
    <m/>
    <m/>
    <m/>
    <m/>
    <m/>
    <m/>
    <n v="3.64"/>
    <m/>
    <m/>
    <m/>
    <m/>
    <m/>
    <m/>
    <m/>
    <m/>
    <m/>
    <m/>
    <m/>
    <m/>
    <n v="3.5"/>
    <n v="5.0278201188503564"/>
    <n v="5.9617782367376213"/>
    <n v="2.8290871961450441"/>
    <n v="2.4102728984109634"/>
    <n v="-0.25410075700000001"/>
    <n v="-0.23242047800000001"/>
    <n v="-0.180866482"/>
    <n v="-0.14785606400000001"/>
    <n v="-6.1914282799999998E-2"/>
  </r>
  <r>
    <x v="4"/>
    <x v="10"/>
    <x v="3"/>
    <n v="3.3504372784362637"/>
    <n v="5.7"/>
    <n v="3.426865128410733"/>
    <n v="3.48"/>
    <n v="4.5834356938420848"/>
    <n v="2.2870652813360088"/>
    <n v="3.4731148611996305"/>
    <n v="3.0580495796188525"/>
    <m/>
    <m/>
    <m/>
    <m/>
    <m/>
    <m/>
    <m/>
    <m/>
    <m/>
    <m/>
    <n v="3.74"/>
    <m/>
    <m/>
    <m/>
    <m/>
    <m/>
    <m/>
    <m/>
    <m/>
    <m/>
    <m/>
    <m/>
    <m/>
    <n v="3.5"/>
    <n v="5.0343518207135718"/>
    <n v="5.9699855154308574"/>
    <n v="2.835387449563405"/>
    <n v="2.4157351909267017"/>
    <n v="-0.35216022299999999"/>
    <n v="-6.4173758999999997E-2"/>
    <n v="-0.17040883300000001"/>
    <n v="-8.3106418500000001E-2"/>
    <n v="1.50622254E-2"/>
  </r>
  <r>
    <x v="4"/>
    <x v="11"/>
    <x v="3"/>
    <n v="3.3484820239901607"/>
    <n v="5.5"/>
    <n v="3.4301087251565754"/>
    <n v="3.38"/>
    <n v="4.5738858959483251"/>
    <n v="2.3191471812930238"/>
    <n v="3.4838520597843439"/>
    <n v="3.0647451448409448"/>
    <m/>
    <m/>
    <m/>
    <m/>
    <m/>
    <m/>
    <m/>
    <m/>
    <m/>
    <m/>
    <n v="3.81"/>
    <m/>
    <m/>
    <m/>
    <m/>
    <m/>
    <m/>
    <m/>
    <m/>
    <m/>
    <m/>
    <m/>
    <m/>
    <n v="3.25"/>
    <n v="5.0323967858777685"/>
    <n v="5.9743183882730113"/>
    <n v="2.8478701128116071"/>
    <n v="2.4333501628735981"/>
    <n v="-1.9972943199999999E-2"/>
    <n v="-8.8121608599999998E-2"/>
    <n v="-9.5836289300000002E-2"/>
    <n v="-0.15160616900000001"/>
    <n v="2.7289482300000001E-3"/>
  </r>
  <r>
    <x v="5"/>
    <x v="0"/>
    <x v="0"/>
    <n v="3.357242011019975"/>
    <n v="5.6"/>
    <n v="3.43204984514492"/>
    <n v="3.48"/>
    <n v="4.580877493419047"/>
    <n v="2.3268873855170105"/>
    <n v="3.4823779033182478"/>
    <n v="3.070375816549757"/>
    <m/>
    <m/>
    <m/>
    <m/>
    <m/>
    <m/>
    <m/>
    <m/>
    <m/>
    <m/>
    <n v="3.79"/>
    <m/>
    <m/>
    <m/>
    <m/>
    <m/>
    <m/>
    <m/>
    <m/>
    <m/>
    <m/>
    <m/>
    <m/>
    <n v="3.5"/>
    <n v="5.0350026505445502"/>
    <n v="5.9793919658737131"/>
    <n v="2.8498390733735879"/>
    <n v="2.4308903531469697"/>
    <n v="-5.9274667900000001E-2"/>
    <n v="-5.3904592799999998E-2"/>
    <n v="-7.3220011400000007E-2"/>
    <n v="-0.13029742599999999"/>
    <n v="4.56506572E-2"/>
  </r>
  <r>
    <x v="5"/>
    <x v="1"/>
    <x v="0"/>
    <n v="3.3640042116533864"/>
    <n v="5.4"/>
    <n v="3.4310797561440252"/>
    <n v="3.48"/>
    <n v="4.5682987112121864"/>
    <n v="2.3335021956287672"/>
    <n v="3.4938980991731912"/>
    <n v="3.0741274709813644"/>
    <m/>
    <m/>
    <m/>
    <m/>
    <m/>
    <m/>
    <m/>
    <m/>
    <m/>
    <m/>
    <n v="3.78"/>
    <m/>
    <m/>
    <m/>
    <m/>
    <m/>
    <m/>
    <m/>
    <m/>
    <m/>
    <m/>
    <m/>
    <m/>
    <n v="3.5"/>
    <n v="5.0388987593691148"/>
    <n v="5.9854464747824192"/>
    <n v="2.8337426157319547"/>
    <n v="2.4213454287148886"/>
    <n v="-0.28329028699999997"/>
    <n v="-9.6449880399999993E-2"/>
    <n v="-0.14782447100000001"/>
    <n v="-3.6566721500000003E-2"/>
    <n v="-0.101423889"/>
  </r>
  <r>
    <x v="5"/>
    <x v="2"/>
    <x v="0"/>
    <n v="3.3640042116533864"/>
    <n v="5.4"/>
    <n v="3.43204984514492"/>
    <n v="3.43"/>
    <n v="4.5674683188040799"/>
    <n v="2.3205232381250585"/>
    <n v="3.4999561536854191"/>
    <n v="3.0805788089641095"/>
    <m/>
    <m/>
    <m/>
    <m/>
    <m/>
    <m/>
    <m/>
    <m/>
    <m/>
    <m/>
    <n v="3.91"/>
    <m/>
    <m/>
    <m/>
    <m/>
    <m/>
    <m/>
    <m/>
    <m/>
    <m/>
    <m/>
    <m/>
    <m/>
    <n v="3.5"/>
    <n v="5.0401940963378005"/>
    <n v="5.9909644220663001"/>
    <n v="2.8420564809499438"/>
    <n v="2.4234744102694989"/>
    <n v="-0.29918623900000002"/>
    <n v="-0.24631581999999999"/>
    <n v="-0.28100008100000001"/>
    <n v="-0.13395283999999999"/>
    <n v="7.8643152800000005E-2"/>
  </r>
  <r>
    <x v="5"/>
    <x v="3"/>
    <x v="1"/>
    <n v="3.3802324791857856"/>
    <n v="5.3"/>
    <n v="3.4323729991306049"/>
    <n v="3.47"/>
    <n v="4.5885325448350684"/>
    <n v="2.3294217469476055"/>
    <n v="3.4970528673056767"/>
    <n v="3.0836515715918744"/>
    <m/>
    <m/>
    <m/>
    <m/>
    <m/>
    <m/>
    <m/>
    <m/>
    <m/>
    <m/>
    <n v="3.91"/>
    <m/>
    <m/>
    <m/>
    <m/>
    <m/>
    <m/>
    <m/>
    <m/>
    <m/>
    <m/>
    <m/>
    <m/>
    <n v="3.5"/>
    <n v="5.0421339611556268"/>
    <n v="5.9957055413652363"/>
    <n v="2.8386105177817784"/>
    <n v="2.4271009676916133"/>
    <n v="-0.147301455"/>
    <n v="-0.119182342"/>
    <n v="-0.13752479300000001"/>
    <n v="-0.19529104799999999"/>
    <n v="0.23991980700000001"/>
  </r>
  <r>
    <x v="5"/>
    <x v="4"/>
    <x v="1"/>
    <n v="3.3858976013171547"/>
    <n v="5.0999999999999996"/>
    <n v="3.4333418349887226"/>
    <n v="3.5"/>
    <n v="4.577284982498556"/>
    <n v="2.356220642159955"/>
    <n v="3.5176758630538285"/>
    <n v="3.0880835346181774"/>
    <m/>
    <m/>
    <m/>
    <m/>
    <m/>
    <m/>
    <m/>
    <m/>
    <m/>
    <m/>
    <n v="3.84"/>
    <m/>
    <m/>
    <m/>
    <m/>
    <m/>
    <m/>
    <m/>
    <m/>
    <m/>
    <m/>
    <m/>
    <m/>
    <n v="3.5"/>
    <n v="5.0453587301546419"/>
    <n v="6.0019098049695208"/>
    <n v="2.8388445180168467"/>
    <n v="2.4215230170655593"/>
    <n v="-0.381443421"/>
    <n v="-0.27014950399999998"/>
    <n v="-8.42357366E-2"/>
    <n v="-1.94276433E-3"/>
    <n v="-0.292724384"/>
  </r>
  <r>
    <x v="5"/>
    <x v="5"/>
    <x v="1"/>
    <n v="3.3887198601510429"/>
    <n v="5.2"/>
    <n v="3.4343097331123578"/>
    <n v="3.5"/>
    <n v="4.5759473273111881"/>
    <n v="2.372111155642656"/>
    <n v="3.5181207886844343"/>
    <n v="3.0947627970169451"/>
    <m/>
    <m/>
    <m/>
    <m/>
    <m/>
    <m/>
    <m/>
    <m/>
    <m/>
    <m/>
    <n v="3.83"/>
    <m/>
    <m/>
    <m/>
    <m/>
    <m/>
    <m/>
    <m/>
    <m/>
    <m/>
    <m/>
    <m/>
    <m/>
    <n v="3.5"/>
    <n v="5.0472886117442908"/>
    <n v="6.0090588555089335"/>
    <n v="2.8527852642340576"/>
    <n v="2.4271009676916133"/>
    <n v="-0.26603988099999998"/>
    <n v="-0.22643000299999999"/>
    <n v="-0.222864168"/>
    <n v="-0.11041630199999999"/>
    <n v="6.1864429899999997E-2"/>
  </r>
  <r>
    <x v="5"/>
    <x v="6"/>
    <x v="2"/>
    <n v="3.3952698484973562"/>
    <n v="4.9000000000000004"/>
    <n v="3.4346321577483927"/>
    <n v="3.42"/>
    <n v="4.5829245770407718"/>
    <n v="2.3883957494071568"/>
    <n v="3.5272424885128144"/>
    <n v="3.0979277858686607"/>
    <m/>
    <m/>
    <m/>
    <m/>
    <m/>
    <m/>
    <m/>
    <m/>
    <m/>
    <m/>
    <n v="3.72"/>
    <m/>
    <m/>
    <m/>
    <m/>
    <m/>
    <m/>
    <m/>
    <m/>
    <m/>
    <m/>
    <m/>
    <m/>
    <n v="3.5"/>
    <n v="5.0549711079163071"/>
    <n v="6.0164010323980133"/>
    <n v="2.8574467407496478"/>
    <n v="2.432472353828468"/>
    <n v="-0.12508450700000001"/>
    <n v="-8.42955705E-2"/>
    <n v="-0.118976227"/>
    <n v="-0.14324310200000001"/>
    <n v="0.103463611"/>
  </r>
  <r>
    <x v="5"/>
    <x v="7"/>
    <x v="2"/>
    <n v="3.4017772135271644"/>
    <n v="5"/>
    <n v="3.4355988083794879"/>
    <n v="3.5"/>
    <n v="4.6029677624328915"/>
    <n v="2.3978952727983707"/>
    <n v="3.5358448179448745"/>
    <n v="3.1007677363878718"/>
    <m/>
    <m/>
    <m/>
    <m/>
    <m/>
    <m/>
    <m/>
    <m/>
    <m/>
    <m/>
    <n v="3.74"/>
    <m/>
    <m/>
    <m/>
    <m/>
    <m/>
    <m/>
    <m/>
    <m/>
    <m/>
    <m/>
    <m/>
    <m/>
    <n v="3.5"/>
    <n v="5.0613284084117742"/>
    <n v="6.0244156472476682"/>
    <n v="2.8518619031342891"/>
    <n v="2.4406063908914204"/>
    <n v="-0.42280940900000002"/>
    <n v="-0.20450015699999999"/>
    <n v="-0.17416914"/>
    <n v="-3.7098866799999998E-2"/>
    <n v="7.6179438599999996E-2"/>
  </r>
  <r>
    <x v="5"/>
    <x v="8"/>
    <x v="2"/>
    <n v="3.4054782058456303"/>
    <n v="5.0999999999999996"/>
    <n v="3.4365645254994468"/>
    <n v="3.45"/>
    <n v="4.6243844049118961"/>
    <n v="2.3693087250369538"/>
    <n v="3.5279474999984521"/>
    <n v="3.1068263210595779"/>
    <m/>
    <m/>
    <m/>
    <m/>
    <m/>
    <m/>
    <m/>
    <m/>
    <m/>
    <m/>
    <n v="3.84"/>
    <m/>
    <m/>
    <m/>
    <m/>
    <m/>
    <m/>
    <m/>
    <m/>
    <m/>
    <m/>
    <m/>
    <m/>
    <n v="2.75"/>
    <n v="5.0670156275323635"/>
    <n v="6.0328463848867511"/>
    <n v="2.8675010956569089"/>
    <n v="2.4439110290844805"/>
    <n v="-0.33817787799999999"/>
    <n v="-0.19505172500000001"/>
    <n v="-0.19607372200000001"/>
    <n v="-0.13880782899999999"/>
    <n v="0.164373766"/>
  </r>
  <r>
    <x v="5"/>
    <x v="9"/>
    <x v="3"/>
    <n v="3.391530810545385"/>
    <n v="5.0999999999999996"/>
    <n v="3.4378506993101907"/>
    <n v="3.36"/>
    <n v="4.6482296754485386"/>
    <n v="2.386466576974748"/>
    <n v="3.5341536089107808"/>
    <n v="3.1103547643906886"/>
    <m/>
    <m/>
    <m/>
    <m/>
    <m/>
    <m/>
    <m/>
    <m/>
    <m/>
    <m/>
    <n v="3.86"/>
    <m/>
    <m/>
    <m/>
    <m/>
    <m/>
    <m/>
    <m/>
    <m/>
    <m/>
    <m/>
    <m/>
    <m/>
    <n v="3.5"/>
    <n v="5.0701612734102826"/>
    <n v="6.038109554931026"/>
    <n v="2.8749760724181912"/>
    <n v="2.4481562163132646"/>
    <n v="-0.35145701400000001"/>
    <n v="-0.13625050799999999"/>
    <n v="-0.169449238"/>
    <n v="-0.14172776000000001"/>
    <n v="0.32946006999999999"/>
  </r>
  <r>
    <x v="5"/>
    <x v="10"/>
    <x v="3"/>
    <n v="3.421963596845957"/>
    <n v="4.8"/>
    <n v="3.440738556282688"/>
    <n v="3.52"/>
    <n v="4.6501435516308227"/>
    <n v="2.3458361349883607"/>
    <n v="3.5181207886844343"/>
    <n v="3.1157350659486873"/>
    <m/>
    <m/>
    <m/>
    <m/>
    <m/>
    <m/>
    <m/>
    <m/>
    <m/>
    <m/>
    <n v="3.91"/>
    <m/>
    <m/>
    <m/>
    <m/>
    <m/>
    <m/>
    <m/>
    <m/>
    <m/>
    <m/>
    <m/>
    <m/>
    <n v="4"/>
    <n v="5.0751738152338266"/>
    <n v="6.045005314036012"/>
    <n v="2.8792546354952959"/>
    <n v="2.450832669454249"/>
    <n v="0.35702036799999998"/>
    <n v="7.4199453999999998E-2"/>
    <n v="-0.181928222"/>
    <n v="-0.43809748700000001"/>
    <n v="0.65834450600000005"/>
  </r>
  <r>
    <x v="5"/>
    <x v="11"/>
    <x v="3"/>
    <n v="3.433700066490784"/>
    <n v="5"/>
    <n v="3.4420193761824107"/>
    <n v="3.85"/>
    <n v="4.6566234675770071"/>
    <n v="2.329032263008894"/>
    <n v="3.5443448908806401"/>
    <n v="3.1203364367785218"/>
    <m/>
    <m/>
    <m/>
    <m/>
    <m/>
    <m/>
    <m/>
    <m/>
    <m/>
    <m/>
    <n v="4.0199999999999996"/>
    <m/>
    <m/>
    <m/>
    <m/>
    <m/>
    <m/>
    <m/>
    <m/>
    <m/>
    <m/>
    <m/>
    <m/>
    <n v="4"/>
    <n v="5.0770470596155075"/>
    <n v="6.0513830373192254"/>
    <n v="2.8892044101441576"/>
    <n v="2.4635978888417491"/>
    <n v="-0.96394417399999999"/>
    <n v="-0.313730603"/>
    <n v="-0.12109663"/>
    <n v="0.17594624"/>
    <n v="-0.43025390899999999"/>
  </r>
  <r>
    <x v="6"/>
    <x v="0"/>
    <x v="0"/>
    <n v="3.4444165007821321"/>
    <n v="4.9000000000000004"/>
    <n v="3.4429789156771102"/>
    <n v="3.9"/>
    <n v="4.6487084880025744"/>
    <n v="2.3805641343106343"/>
    <n v="3.5391896431333314"/>
    <n v="3.1238616012645188"/>
    <m/>
    <m/>
    <m/>
    <m/>
    <m/>
    <m/>
    <m/>
    <m/>
    <m/>
    <m/>
    <n v="3.94"/>
    <m/>
    <n v="-0.42952000000000001"/>
    <m/>
    <m/>
    <m/>
    <m/>
    <m/>
    <m/>
    <m/>
    <m/>
    <m/>
    <m/>
    <n v="4"/>
    <n v="5.0795392727434665"/>
    <n v="6.0579542883768145"/>
    <n v="2.8907605711873683"/>
    <n v="2.4555636575911262"/>
    <n v="-0.62820960800000003"/>
    <n v="-0.22863786799999999"/>
    <n v="-0.107603537"/>
    <n v="-3.0309030399999999E-2"/>
    <n v="-8.5771646199999996E-2"/>
  </r>
  <r>
    <x v="6"/>
    <x v="1"/>
    <x v="0"/>
    <n v="3.4506127471778867"/>
    <n v="5.0999999999999996"/>
    <n v="3.4429789156771102"/>
    <n v="3.98"/>
    <n v="4.6485169904914576"/>
    <n v="2.4501426573516603"/>
    <n v="3.5503068042499963"/>
    <n v="3.1268921062520132"/>
    <m/>
    <m/>
    <m/>
    <m/>
    <m/>
    <m/>
    <m/>
    <m/>
    <m/>
    <m/>
    <n v="4.03"/>
    <m/>
    <n v="-0.20263999999999999"/>
    <m/>
    <m/>
    <m/>
    <m/>
    <m/>
    <m/>
    <m/>
    <m/>
    <m/>
    <m/>
    <n v="4"/>
    <n v="5.0807830539983376"/>
    <n v="6.0647150088475748"/>
    <n v="2.878805121524699"/>
    <n v="2.4405192790833596"/>
    <n v="-0.45569259000000001"/>
    <n v="-0.15830588800000001"/>
    <n v="-0.16751568"/>
    <n v="-3.9121560999999999E-2"/>
    <n v="3.8218009300000001E-2"/>
  </r>
  <r>
    <x v="6"/>
    <x v="2"/>
    <x v="0"/>
    <n v="3.4637652122640739"/>
    <n v="4.7"/>
    <n v="3.4439375353383141"/>
    <n v="4.04"/>
    <n v="4.655673168161198"/>
    <n v="2.4950219835290932"/>
    <n v="3.5358156833869163"/>
    <n v="3.1299571756452225"/>
    <m/>
    <m/>
    <m/>
    <m/>
    <m/>
    <m/>
    <m/>
    <m/>
    <m/>
    <m/>
    <n v="4.0599999999999996"/>
    <m/>
    <n v="-0.34037000000000001"/>
    <m/>
    <m/>
    <m/>
    <m/>
    <m/>
    <m/>
    <m/>
    <m/>
    <m/>
    <m/>
    <n v="4"/>
    <n v="5.084505142662711"/>
    <n v="6.0711995151268354"/>
    <n v="2.8818914571302314"/>
    <n v="2.4399092838572645"/>
    <n v="-0.26760564599999997"/>
    <n v="-0.152018704"/>
    <n v="-0.21975393300000001"/>
    <n v="-0.19924233299999999"/>
    <n v="0.12000646299999999"/>
  </r>
  <r>
    <x v="6"/>
    <x v="3"/>
    <x v="1"/>
    <n v="3.4681112045356328"/>
    <n v="4.8"/>
    <n v="3.4461707473048864"/>
    <n v="4.09"/>
    <n v="4.6777698784024349"/>
    <n v="2.480814956884744"/>
    <n v="3.5519135990407791"/>
    <n v="3.137188432107985"/>
    <m/>
    <m/>
    <m/>
    <m/>
    <m/>
    <m/>
    <m/>
    <m/>
    <m/>
    <m/>
    <n v="4.04"/>
    <m/>
    <n v="-0.5655"/>
    <m/>
    <m/>
    <m/>
    <m/>
    <m/>
    <m/>
    <m/>
    <m/>
    <m/>
    <m/>
    <n v="4.13"/>
    <n v="5.0875963352323836"/>
    <n v="6.0762651488004469"/>
    <n v="2.89408706979179"/>
    <n v="2.4485019678942006"/>
    <n v="-0.54202249800000002"/>
    <n v="-0.21628710700000001"/>
    <n v="-0.183458437"/>
    <n v="-8.0805370099999996E-2"/>
    <n v="0.120310583"/>
  </r>
  <r>
    <x v="6"/>
    <x v="4"/>
    <x v="1"/>
    <n v="3.4758873272935995"/>
    <n v="4.5999999999999996"/>
    <n v="3.4493524235492026"/>
    <n v="4.0999999999999996"/>
    <n v="4.6760945243247898"/>
    <n v="2.4468585821504703"/>
    <n v="3.5569467828531107"/>
    <n v="3.1421243617690613"/>
    <m/>
    <m/>
    <m/>
    <m/>
    <m/>
    <m/>
    <m/>
    <m/>
    <m/>
    <m/>
    <n v="4.03"/>
    <m/>
    <n v="-0.42538999999999999"/>
    <m/>
    <m/>
    <m/>
    <m/>
    <m/>
    <m/>
    <m/>
    <m/>
    <m/>
    <m/>
    <n v="4.13"/>
    <n v="5.0857427665830608"/>
    <n v="6.0801620018692688"/>
    <n v="2.8927577979261612"/>
    <n v="2.4351034726941903"/>
    <n v="-0.38122423999999999"/>
    <n v="1.4364120899999999E-2"/>
    <n v="-0.21145991"/>
    <n v="-0.11674282800000001"/>
    <n v="0.281188981"/>
  </r>
  <r>
    <x v="6"/>
    <x v="5"/>
    <x v="1"/>
    <n v="3.4836034482477949"/>
    <n v="4.5999999999999996"/>
    <n v="3.4534735262275262"/>
    <n v="4.04"/>
    <n v="4.6662652853479019"/>
    <n v="2.4047806053087153"/>
    <n v="3.544980214917258"/>
    <n v="3.1466491588708516"/>
    <m/>
    <m/>
    <m/>
    <m/>
    <m/>
    <m/>
    <m/>
    <m/>
    <m/>
    <m/>
    <n v="3.99"/>
    <m/>
    <n v="-1.6228"/>
    <m/>
    <m/>
    <m/>
    <m/>
    <m/>
    <m/>
    <m/>
    <m/>
    <m/>
    <m/>
    <n v="4.13"/>
    <n v="5.0888301416813126"/>
    <n v="6.0870019738170456"/>
    <n v="2.9012567453311058"/>
    <n v="2.4394733450561672"/>
    <n v="-0.46264633799999999"/>
    <n v="-8.0269953699999994E-2"/>
    <n v="-0.176209266"/>
    <n v="-5.6702622100000002E-2"/>
    <n v="0.124536902"/>
  </r>
  <r>
    <x v="6"/>
    <x v="6"/>
    <x v="2"/>
    <n v="3.4929527658120127"/>
    <n v="4.4000000000000004"/>
    <n v="3.452524008827496"/>
    <n v="4.09"/>
    <n v="4.6572881402501976"/>
    <n v="2.4296581755575217"/>
    <n v="3.5623804192535453"/>
    <n v="3.1516242935109653"/>
    <m/>
    <m/>
    <m/>
    <m/>
    <m/>
    <m/>
    <m/>
    <m/>
    <m/>
    <m/>
    <n v="3.98"/>
    <m/>
    <n v="0.10836"/>
    <m/>
    <m/>
    <m/>
    <m/>
    <m/>
    <m/>
    <m/>
    <m/>
    <m/>
    <m/>
    <n v="4.13"/>
    <n v="5.0937502008067623"/>
    <n v="6.0933440109291528"/>
    <n v="2.908484504989711"/>
    <n v="2.4461658214715696"/>
    <n v="-0.292372144"/>
    <n v="1.52740272E-2"/>
    <n v="-0.10862021600000001"/>
    <n v="-8.7785197499999995E-2"/>
    <n v="0.20157612599999999"/>
  </r>
  <r>
    <x v="6"/>
    <x v="7"/>
    <x v="2"/>
    <n v="3.4971740060096406"/>
    <n v="4.4000000000000004"/>
    <n v="3.4515735889872223"/>
    <n v="4.12"/>
    <n v="4.6702085821673132"/>
    <n v="2.4673365285945361"/>
    <n v="3.5624087900599872"/>
    <n v="3.1553820910835286"/>
    <m/>
    <m/>
    <m/>
    <m/>
    <m/>
    <m/>
    <m/>
    <m/>
    <m/>
    <m/>
    <n v="4.07"/>
    <m/>
    <n v="-0.37853999999999999"/>
    <m/>
    <m/>
    <m/>
    <m/>
    <m/>
    <m/>
    <m/>
    <m/>
    <m/>
    <m/>
    <n v="4"/>
    <n v="5.098035484377089"/>
    <n v="6.0998704209517687"/>
    <n v="2.8912047442000568"/>
    <n v="2.4450390607889791"/>
    <n v="-0.47335638499999999"/>
    <n v="-0.21302674699999999"/>
    <n v="-0.328397459"/>
    <n v="-0.14013887"/>
    <n v="5.2736934200000002E-2"/>
  </r>
  <r>
    <x v="6"/>
    <x v="8"/>
    <x v="2"/>
    <n v="3.4996964110707669"/>
    <n v="4.3"/>
    <n v="3.453789831781326"/>
    <n v="4.01"/>
    <n v="4.678420647727684"/>
    <n v="2.5348073082414597"/>
    <n v="3.5736369386016595"/>
    <n v="3.1599322892342507"/>
    <m/>
    <m/>
    <m/>
    <m/>
    <m/>
    <m/>
    <m/>
    <m/>
    <m/>
    <m/>
    <n v="4.2"/>
    <m/>
    <n v="-1.4395"/>
    <m/>
    <m/>
    <m/>
    <m/>
    <m/>
    <m/>
    <m/>
    <m/>
    <m/>
    <m/>
    <n v="4.13"/>
    <n v="5.1047326174753715"/>
    <n v="6.1081358539116746"/>
    <n v="2.8992213731731473"/>
    <n v="2.4438242046867704"/>
    <n v="-0.161928032"/>
    <n v="-0.175382128"/>
    <n v="-0.238981268"/>
    <n v="-0.22483609700000001"/>
    <n v="0.18534532100000001"/>
  </r>
  <r>
    <x v="6"/>
    <x v="9"/>
    <x v="3"/>
    <n v="3.5097318549830483"/>
    <n v="4.2"/>
    <n v="3.4547381485901854"/>
    <n v="4.08"/>
    <n v="4.6805559128939809"/>
    <n v="2.5269279248837377"/>
    <n v="3.6054434958719019"/>
    <n v="3.1670350121988147"/>
    <m/>
    <m/>
    <m/>
    <m/>
    <m/>
    <m/>
    <m/>
    <m/>
    <m/>
    <m/>
    <n v="4.3"/>
    <m/>
    <n v="-3.8635999999999997E-2"/>
    <m/>
    <m/>
    <m/>
    <m/>
    <m/>
    <m/>
    <m/>
    <m/>
    <m/>
    <m/>
    <n v="4.13"/>
    <n v="5.1119877883565437"/>
    <n v="6.1150087331994367"/>
    <n v="2.9086481666468775"/>
    <n v="2.4535879665305731"/>
    <n v="-0.40674244100000001"/>
    <n v="-0.154763287"/>
    <n v="-0.23657488900000001"/>
    <n v="-0.12451878299999999"/>
    <n v="4.9585670499999998E-2"/>
  </r>
  <r>
    <x v="6"/>
    <x v="10"/>
    <x v="3"/>
    <n v="3.513883003105049"/>
    <n v="4.0999999999999996"/>
    <n v="3.4578927253387008"/>
    <n v="4.0999999999999996"/>
    <n v="4.6854590172168944"/>
    <n v="2.5209974699323539"/>
    <n v="3.5990914987229146"/>
    <n v="3.1730412885244013"/>
    <m/>
    <m/>
    <m/>
    <m/>
    <m/>
    <m/>
    <m/>
    <m/>
    <m/>
    <m/>
    <n v="4.37"/>
    <m/>
    <n v="-0.55488999999999999"/>
    <m/>
    <m/>
    <m/>
    <m/>
    <m/>
    <m/>
    <m/>
    <m/>
    <m/>
    <m/>
    <n v="4.13"/>
    <n v="5.1161957897567483"/>
    <n v="6.1218346982698364"/>
    <n v="2.9014765376282705"/>
    <n v="2.4557352724877206"/>
    <n v="-0.46500048100000002"/>
    <n v="-0.12526949100000001"/>
    <n v="-0.15596394099999999"/>
    <n v="-5.8581642900000001E-2"/>
    <n v="4.7426850200000002E-2"/>
  </r>
  <r>
    <x v="6"/>
    <x v="11"/>
    <x v="3"/>
    <n v="3.5262340460298467"/>
    <n v="4"/>
    <n v="3.4610373820181723"/>
    <n v="4.32"/>
    <n v="4.7122292582814991"/>
    <n v="2.5105743965365779"/>
    <n v="3.6031853909035738"/>
    <n v="3.177386941360242"/>
    <m/>
    <m/>
    <m/>
    <m/>
    <m/>
    <m/>
    <m/>
    <m/>
    <m/>
    <m/>
    <n v="4.72"/>
    <m/>
    <n v="0.38046000000000002"/>
    <m/>
    <m/>
    <m/>
    <m/>
    <m/>
    <m/>
    <m/>
    <m/>
    <m/>
    <m/>
    <n v="4.63"/>
    <n v="5.1227727940331063"/>
    <n v="6.1294858450053562"/>
    <n v="2.9315670160782044"/>
    <n v="2.4741826864250247"/>
    <n v="-0.37576367900000002"/>
    <n v="-5.4106632000000002E-2"/>
    <n v="-0.16985734599999999"/>
    <n v="-0.11566705100000001"/>
    <n v="0.128128505"/>
  </r>
  <r>
    <x v="7"/>
    <x v="0"/>
    <x v="0"/>
    <n v="3.5360050428427097"/>
    <n v="4"/>
    <n v="3.4619788539220142"/>
    <n v="4.42"/>
    <n v="4.7377761505361136"/>
    <n v="2.5388422834536386"/>
    <n v="3.6069912946412521"/>
    <n v="3.1788451838118474"/>
    <m/>
    <m/>
    <m/>
    <m/>
    <m/>
    <m/>
    <m/>
    <m/>
    <m/>
    <m/>
    <n v="4.88"/>
    <m/>
    <n v="-0.70904"/>
    <m/>
    <m/>
    <m/>
    <m/>
    <m/>
    <m/>
    <m/>
    <m/>
    <m/>
    <m/>
    <n v="4.5"/>
    <n v="5.1304902559045349"/>
    <n v="6.1355648910817386"/>
    <n v="2.9345481202289934"/>
    <n v="2.474435349920705"/>
    <n v="-0.64762088699999998"/>
    <n v="-6.0389158300000002E-2"/>
    <n v="-6.7913393000000002E-2"/>
    <n v="-0.11828217100000001"/>
    <n v="3.9907796799999999E-2"/>
  </r>
  <r>
    <x v="7"/>
    <x v="1"/>
    <x v="0"/>
    <n v="3.5424683298426816"/>
    <n v="3.8"/>
    <n v="3.4682327829983137"/>
    <n v="4.5999999999999996"/>
    <n v="4.7529865606823103"/>
    <n v="2.5644107509005996"/>
    <n v="3.6105124250398308"/>
    <n v="3.181921341874435"/>
    <m/>
    <m/>
    <m/>
    <m/>
    <m/>
    <m/>
    <m/>
    <m/>
    <m/>
    <m/>
    <n v="4.9400000000000004"/>
    <m/>
    <n v="-0.40379999999999999"/>
    <m/>
    <m/>
    <m/>
    <m/>
    <m/>
    <m/>
    <m/>
    <m/>
    <m/>
    <m/>
    <n v="4.63"/>
    <n v="5.1334427233578026"/>
    <n v="6.1411768203363089"/>
    <n v="2.9152811491563639"/>
    <n v="2.4605285710600002"/>
    <n v="-0.50121780000000005"/>
    <n v="-0.200365869"/>
    <n v="-0.11196560799999999"/>
    <n v="-0.12997901100000001"/>
    <n v="0.195090562"/>
  </r>
  <r>
    <x v="7"/>
    <x v="2"/>
    <x v="0"/>
    <n v="3.5560620922230708"/>
    <n v="3.8"/>
    <n v="3.4713451415642371"/>
    <n v="4.6500000000000004"/>
    <n v="4.7544518887038461"/>
    <n v="2.5939852448142373"/>
    <n v="3.6119714115733577"/>
    <n v="3.1874264365946106"/>
    <m/>
    <m/>
    <m/>
    <m/>
    <m/>
    <m/>
    <m/>
    <m/>
    <m/>
    <m/>
    <n v="4.97"/>
    <m/>
    <n v="-1.8258000000000001"/>
    <m/>
    <m/>
    <m/>
    <m/>
    <m/>
    <m/>
    <m/>
    <m/>
    <m/>
    <m/>
    <n v="4.75"/>
    <n v="5.1387352967235715"/>
    <n v="6.1467574315140174"/>
    <n v="2.9160395046447425"/>
    <n v="2.4513498662591573"/>
    <n v="-0.48700579700000002"/>
    <n v="3.8251541E-2"/>
    <n v="3.1492732300000001E-3"/>
    <n v="-9.3710939699999996E-2"/>
    <n v="0.28562955299999998"/>
  </r>
  <r>
    <x v="7"/>
    <x v="3"/>
    <x v="1"/>
    <n v="3.5576482711205424"/>
    <n v="3.8"/>
    <n v="3.4744478434017481"/>
    <n v="4.67"/>
    <n v="4.7438881052999138"/>
    <n v="2.5643337834193223"/>
    <n v="3.6215637468290693"/>
    <n v="3.1906820904974187"/>
    <m/>
    <m/>
    <m/>
    <m/>
    <m/>
    <m/>
    <m/>
    <m/>
    <m/>
    <m/>
    <n v="4.9000000000000004"/>
    <m/>
    <n v="-1.5076000000000001"/>
    <m/>
    <m/>
    <m/>
    <m/>
    <m/>
    <m/>
    <m/>
    <m/>
    <m/>
    <m/>
    <n v="4.63"/>
    <n v="5.1463310095501553"/>
    <n v="6.1512422228003718"/>
    <n v="2.9319934325869843"/>
    <n v="2.4528138062407367"/>
    <n v="-0.70168284199999997"/>
    <n v="-7.9886041699999993E-2"/>
    <n v="-0.18326198099999999"/>
    <n v="-0.11449711899999999"/>
    <n v="8.5446346899999998E-2"/>
  </r>
  <r>
    <x v="7"/>
    <x v="4"/>
    <x v="1"/>
    <n v="3.5671213407944715"/>
    <n v="3.9"/>
    <n v="3.4766140209469096"/>
    <n v="4.9000000000000004"/>
    <n v="4.7272108118971161"/>
    <n v="2.5105743965365779"/>
    <n v="3.6138864750725062"/>
    <n v="3.1937631240531252"/>
    <m/>
    <m/>
    <m/>
    <m/>
    <m/>
    <m/>
    <m/>
    <m/>
    <m/>
    <m/>
    <n v="4.93"/>
    <m/>
    <n v="1.2148000000000001"/>
    <m/>
    <m/>
    <m/>
    <m/>
    <m/>
    <m/>
    <m/>
    <m/>
    <m/>
    <m/>
    <n v="4.75"/>
    <n v="5.1434164053300746"/>
    <n v="6.152945438030085"/>
    <n v="2.9289512398636397"/>
    <n v="2.4488475999722978"/>
    <n v="-0.42886544599999998"/>
    <n v="7.2029978199999997E-2"/>
    <n v="-0.1188859"/>
    <n v="-7.1956660199999994E-2"/>
    <n v="0.19536161099999999"/>
  </r>
  <r>
    <x v="7"/>
    <x v="5"/>
    <x v="1"/>
    <n v="3.5718230294118647"/>
    <n v="3.8"/>
    <n v="3.477540948249489"/>
    <n v="5.17"/>
    <n v="4.7325074344492863"/>
    <n v="2.4996310451863826"/>
    <n v="3.622312209841823"/>
    <n v="3.1959756049818679"/>
    <m/>
    <m/>
    <m/>
    <m/>
    <m/>
    <m/>
    <m/>
    <m/>
    <m/>
    <m/>
    <n v="4.97"/>
    <m/>
    <n v="1.1049"/>
    <m/>
    <m/>
    <m/>
    <m/>
    <m/>
    <m/>
    <m/>
    <m/>
    <m/>
    <m/>
    <n v="5.5"/>
    <n v="5.1451661870538619"/>
    <n v="6.1552826323373768"/>
    <n v="2.9309270501878752"/>
    <n v="2.4465988531329503"/>
    <n v="-0.294192974"/>
    <n v="-1.44836992E-2"/>
    <n v="-0.19069749499999999"/>
    <n v="-0.260670344"/>
    <n v="0.15913648599999999"/>
  </r>
  <r>
    <x v="7"/>
    <x v="6"/>
    <x v="2"/>
    <n v="3.5772800726986738"/>
    <n v="3.8"/>
    <n v="3.4797004431500991"/>
    <n v="5.3"/>
    <n v="4.7486642856268206"/>
    <n v="2.5193885885620566"/>
    <n v="3.6318857325938159"/>
    <n v="3.2004674251848457"/>
    <m/>
    <m/>
    <m/>
    <m/>
    <m/>
    <m/>
    <m/>
    <m/>
    <m/>
    <m/>
    <n v="5.17"/>
    <m/>
    <n v="1.5273000000000001"/>
    <m/>
    <m/>
    <m/>
    <m/>
    <m/>
    <m/>
    <m/>
    <m/>
    <m/>
    <m/>
    <n v="5.75"/>
    <n v="5.1375615876686425"/>
    <n v="6.1546457572495088"/>
    <n v="2.9533465570575532"/>
    <n v="2.4535019783109062"/>
    <n v="-0.48605058200000001"/>
    <n v="-5.4446922000000002E-2"/>
    <n v="-0.30199944699999998"/>
    <n v="-0.15505071500000001"/>
    <n v="0.17366667499999999"/>
  </r>
  <r>
    <x v="7"/>
    <x v="7"/>
    <x v="2"/>
    <n v="3.5780568260207679"/>
    <n v="3.8"/>
    <n v="3.4858448557224402"/>
    <n v="5.53"/>
    <n v="4.7252616662459115"/>
    <n v="2.5566845284287005"/>
    <n v="3.6214567777965021"/>
    <n v="3.2003451882487659"/>
    <m/>
    <m/>
    <m/>
    <m/>
    <m/>
    <m/>
    <m/>
    <m/>
    <m/>
    <m/>
    <n v="5.54"/>
    <m/>
    <n v="0.78415000000000001"/>
    <m/>
    <m/>
    <m/>
    <m/>
    <m/>
    <m/>
    <m/>
    <m/>
    <m/>
    <m/>
    <n v="4.5"/>
    <n v="5.1404932813544697"/>
    <n v="6.1582493647528072"/>
    <n v="2.9327392242260695"/>
    <n v="2.4362414778067194"/>
    <n v="-0.33826088599999998"/>
    <n v="0.17276972099999999"/>
    <n v="-8.8138979100000001E-2"/>
    <n v="-0.209353966"/>
    <n v="0.171859926"/>
  </r>
  <r>
    <x v="7"/>
    <x v="8"/>
    <x v="2"/>
    <n v="3.5873394089337411"/>
    <n v="3.7"/>
    <n v="3.4889029620812608"/>
    <n v="5.4"/>
    <n v="4.6963810660414751"/>
    <n v="2.5950308012948486"/>
    <n v="3.6259130299174775"/>
    <n v="3.2039246104149885"/>
    <m/>
    <m/>
    <m/>
    <m/>
    <m/>
    <m/>
    <m/>
    <m/>
    <m/>
    <m/>
    <n v="5.82"/>
    <m/>
    <n v="-0.40264"/>
    <m/>
    <m/>
    <m/>
    <m/>
    <m/>
    <m/>
    <m/>
    <m/>
    <m/>
    <m/>
    <n v="5.75"/>
    <n v="5.1474944768134527"/>
    <n v="6.1641565549260937"/>
    <n v="2.9593794440881926"/>
    <n v="2.4388627112865935"/>
    <n v="-0.23229698200000001"/>
    <n v="0.14304531500000001"/>
    <n v="4.6389110900000002E-2"/>
    <n v="-0.21238700799999999"/>
    <n v="0.21903676699999999"/>
  </r>
  <r>
    <x v="7"/>
    <x v="9"/>
    <x v="3"/>
    <n v="3.5942417981147727"/>
    <n v="3.7"/>
    <n v="3.4919517449306197"/>
    <n v="5.53"/>
    <n v="4.6667355416462462"/>
    <n v="2.5697072514804655"/>
    <n v="3.6216974420309476"/>
    <n v="3.2059121584763419"/>
    <m/>
    <m/>
    <m/>
    <m/>
    <m/>
    <m/>
    <m/>
    <m/>
    <m/>
    <m/>
    <n v="5.58"/>
    <m/>
    <n v="2.3191999999999999"/>
    <m/>
    <m/>
    <m/>
    <m/>
    <m/>
    <m/>
    <m/>
    <m/>
    <m/>
    <m/>
    <n v="5.75"/>
    <n v="5.1428324637076415"/>
    <n v="6.1647874034382362"/>
    <n v="2.9657368760185898"/>
    <n v="2.4392989163098679"/>
    <n v="-0.220106674"/>
    <n v="3.2851015400000003E-2"/>
    <n v="2.46003204E-2"/>
    <n v="-0.17929752400000001"/>
    <n v="-2.85152446E-2"/>
  </r>
  <r>
    <x v="7"/>
    <x v="10"/>
    <x v="3"/>
    <n v="3.5873394089337411"/>
    <n v="3.6"/>
    <n v="3.492864570187979"/>
    <n v="5.76"/>
    <n v="4.6505258877088886"/>
    <n v="2.5534216293250043"/>
    <n v="3.6254070311583626"/>
    <n v="3.2124552570652778"/>
    <m/>
    <m/>
    <m/>
    <m/>
    <m/>
    <m/>
    <m/>
    <m/>
    <m/>
    <m/>
    <n v="5.54"/>
    <m/>
    <n v="1.4463999999999999"/>
    <m/>
    <m/>
    <m/>
    <m/>
    <m/>
    <m/>
    <m/>
    <m/>
    <m/>
    <m/>
    <n v="5.75"/>
    <n v="5.1440000061636795"/>
    <n v="6.1681452240118508"/>
    <n v="2.955274795922715"/>
    <n v="2.450832669454249"/>
    <n v="-0.21987472199999999"/>
    <n v="-2.2403951700000001E-2"/>
    <n v="-6.6055026399999994E-2"/>
    <n v="-4.4272089799999997E-2"/>
    <n v="-8.6253164899999998E-2"/>
  </r>
  <r>
    <x v="7"/>
    <x v="11"/>
    <x v="3"/>
    <n v="3.5896445827733765"/>
    <n v="3.8"/>
    <n v="3.4940803758088692"/>
    <n v="5.4"/>
    <n v="4.6539603501575231"/>
    <n v="2.5481161631858846"/>
    <n v="3.6238074573702215"/>
    <n v="3.2186357960635918"/>
    <m/>
    <m/>
    <m/>
    <m/>
    <m/>
    <m/>
    <m/>
    <m/>
    <m/>
    <m/>
    <n v="5.2"/>
    <m/>
    <n v="-2.4786999999999999"/>
    <m/>
    <m/>
    <m/>
    <m/>
    <m/>
    <m/>
    <m/>
    <m/>
    <m/>
    <m/>
    <n v="5"/>
    <n v="5.1474944768134527"/>
    <n v="6.1742026837871524"/>
    <n v="2.972975286431375"/>
    <n v="2.4587337754839771"/>
    <n v="0.10301723"/>
    <n v="7.0557766300000005E-2"/>
    <n v="-0.23589458299999999"/>
    <n v="-0.21661507599999999"/>
    <n v="0.29514624"/>
  </r>
  <r>
    <x v="8"/>
    <x v="0"/>
    <x v="0"/>
    <n v="3.5943517181205995"/>
    <n v="3.9"/>
    <n v="3.493472657771326"/>
    <n v="4.9400000000000004"/>
    <n v="4.6526261271443863"/>
    <n v="2.5560638441043282"/>
    <n v="3.6300048626008037"/>
    <n v="3.221272949467922"/>
    <m/>
    <m/>
    <m/>
    <m/>
    <m/>
    <m/>
    <m/>
    <m/>
    <m/>
    <m/>
    <n v="4.75"/>
    <m/>
    <n v="-2.0192999999999999"/>
    <m/>
    <m/>
    <m/>
    <m/>
    <m/>
    <m/>
    <m/>
    <m/>
    <m/>
    <m/>
    <n v="4"/>
    <n v="5.146912912388804"/>
    <n v="6.1771138939946111"/>
    <n v="2.9837609017727709"/>
    <n v="2.4785531758158248"/>
    <n v="7.0848035399999995E-2"/>
    <n v="-8.5330858800000006E-2"/>
    <n v="-0.27630672499999998"/>
    <n v="-0.102717367"/>
    <n v="8.9911863800000005E-2"/>
  </r>
  <r>
    <x v="8"/>
    <x v="1"/>
    <x v="0"/>
    <n v="3.5829465524522695"/>
    <n v="3.8"/>
    <n v="3.4965075614664802"/>
    <n v="5"/>
    <n v="4.6439100143040219"/>
    <n v="2.5209974699323539"/>
    <n v="3.6361904493335144"/>
    <n v="3.2194356681267147"/>
    <m/>
    <m/>
    <m/>
    <m/>
    <m/>
    <m/>
    <m/>
    <m/>
    <m/>
    <m/>
    <n v="4.71"/>
    <m/>
    <n v="0.56449000000000005"/>
    <m/>
    <m/>
    <m/>
    <m/>
    <m/>
    <m/>
    <m/>
    <m/>
    <m/>
    <m/>
    <n v="4.75"/>
    <n v="5.1532915944977793"/>
    <n v="6.1843550552511708"/>
    <n v="2.9799077232070195"/>
    <n v="2.477882034851036"/>
    <n v="5.3701187999999997E-2"/>
    <n v="-0.18014840300000001"/>
    <n v="-0.27599547800000002"/>
    <n v="-4.00612713E-2"/>
    <n v="-1.6712444399999998E-2"/>
  </r>
  <r>
    <x v="8"/>
    <x v="2"/>
    <x v="0"/>
    <n v="3.5772912532847041"/>
    <n v="3.8"/>
    <n v="3.4965075614664802"/>
    <n v="4.53"/>
    <n v="4.6242863031803214"/>
    <n v="2.5367872716649891"/>
    <n v="3.6382438381453563"/>
    <n v="3.223942965201219"/>
    <m/>
    <m/>
    <m/>
    <m/>
    <m/>
    <m/>
    <m/>
    <m/>
    <m/>
    <m/>
    <n v="4.3499999999999996"/>
    <m/>
    <n v="-2.5449000000000002"/>
    <m/>
    <m/>
    <m/>
    <m/>
    <m/>
    <m/>
    <m/>
    <m/>
    <m/>
    <m/>
    <n v="4.5"/>
    <n v="5.1636424632214348"/>
    <n v="6.1937929587082721"/>
    <n v="2.9662519682314827"/>
    <n v="2.5044641490035313"/>
    <n v="0.45875886799999999"/>
    <n v="8.7891242999999994E-2"/>
    <n v="-0.22176325899999999"/>
    <n v="-0.18187789700000001"/>
    <n v="0.21901748700000001"/>
  </r>
  <r>
    <x v="8"/>
    <x v="3"/>
    <x v="1"/>
    <n v="3.5866778327806066"/>
    <n v="3.8"/>
    <n v="3.4995332823830174"/>
    <n v="4.05"/>
    <n v="4.6056700610297421"/>
    <n v="2.5798379699552876"/>
    <n v="3.6422070459155056"/>
    <n v="3.2273993958090776"/>
    <m/>
    <m/>
    <m/>
    <m/>
    <m/>
    <m/>
    <m/>
    <m/>
    <m/>
    <m/>
    <n v="4.1100000000000003"/>
    <m/>
    <n v="-1.3508"/>
    <m/>
    <m/>
    <m/>
    <m/>
    <m/>
    <m/>
    <m/>
    <m/>
    <m/>
    <m/>
    <n v="4"/>
    <n v="5.1602040644184024"/>
    <n v="6.1986819478719326"/>
    <n v="2.9644479835142246"/>
    <n v="2.5130080798988752"/>
    <n v="0.28018349399999998"/>
    <n v="-7.0303375900000006E-2"/>
    <n v="-0.26685281700000002"/>
    <n v="-0.140551228"/>
    <n v="6.5631130600000004E-2"/>
  </r>
  <r>
    <x v="8"/>
    <x v="4"/>
    <x v="1"/>
    <n v="3.5779171666776102"/>
    <n v="3.8"/>
    <n v="3.4995332823830174"/>
    <n v="3.94"/>
    <n v="4.6159122825199939"/>
    <n v="2.5727648903096845"/>
    <n v="3.6405029543735754"/>
    <n v="3.2306462804671163"/>
    <m/>
    <m/>
    <m/>
    <m/>
    <m/>
    <m/>
    <m/>
    <m/>
    <m/>
    <m/>
    <n v="4.1500000000000004"/>
    <m/>
    <n v="-0.30721999999999999"/>
    <m/>
    <m/>
    <m/>
    <m/>
    <m/>
    <m/>
    <m/>
    <m/>
    <m/>
    <m/>
    <n v="4.13"/>
    <n v="5.168777995193051"/>
    <n v="6.2089923596365564"/>
    <n v="2.9573032469342091"/>
    <n v="2.5119542108864157"/>
    <n v="0.17280056899999999"/>
    <n v="-1.5031945499999999E-2"/>
    <n v="-3.6300148400000003E-2"/>
    <n v="3.6903315299999999E-3"/>
    <n v="-0.39228285200000002"/>
  </r>
  <r>
    <x v="8"/>
    <x v="5"/>
    <x v="1"/>
    <n v="3.5777914565900484"/>
    <n v="3.9"/>
    <n v="3.505557396986398"/>
    <n v="3.98"/>
    <n v="4.6151205168412597"/>
    <n v="2.587688844431026"/>
    <n v="3.6439866852231995"/>
    <n v="3.2354969258844366"/>
    <m/>
    <m/>
    <m/>
    <m/>
    <m/>
    <m/>
    <m/>
    <m/>
    <m/>
    <m/>
    <n v="4.4800000000000004"/>
    <m/>
    <n v="1.2647999999999999"/>
    <m/>
    <m/>
    <m/>
    <m/>
    <m/>
    <m/>
    <m/>
    <m/>
    <m/>
    <m/>
    <n v="3.5"/>
    <n v="5.1761497325738288"/>
    <n v="6.2186001196917289"/>
    <n v="2.9636222196357571"/>
    <n v="2.5137370314558773"/>
    <n v="0.22824570199999999"/>
    <n v="6.7353734200000001E-2"/>
    <n v="-0.14985960500000001"/>
    <n v="-0.18829506500000001"/>
    <n v="0.15892452900000001"/>
  </r>
  <r>
    <x v="8"/>
    <x v="6"/>
    <x v="2"/>
    <n v="3.5755119680541938"/>
    <n v="3.8"/>
    <n v="3.5085558999826545"/>
    <n v="3.79"/>
    <n v="4.5969363810609876"/>
    <n v="2.5721541100188996"/>
    <n v="3.6333138886642278"/>
    <n v="3.240832992220243"/>
    <m/>
    <m/>
    <m/>
    <m/>
    <m/>
    <m/>
    <m/>
    <m/>
    <m/>
    <m/>
    <n v="5.01"/>
    <m/>
    <n v="-0.80345999999999995"/>
    <m/>
    <m/>
    <m/>
    <m/>
    <m/>
    <m/>
    <m/>
    <m/>
    <m/>
    <m/>
    <n v="3.75"/>
    <n v="5.1823451902956164"/>
    <n v="6.2271293789758637"/>
    <n v="2.982900294738613"/>
    <n v="2.5342522152491322"/>
    <n v="-4.0114455000000004E-3"/>
    <n v="0.17747994"/>
    <n v="-8.13895972E-3"/>
    <n v="-0.139048116"/>
    <n v="-0.11251209099999999"/>
  </r>
  <r>
    <x v="8"/>
    <x v="7"/>
    <x v="2"/>
    <n v="3.5944891011391755"/>
    <n v="3.8"/>
    <n v="3.5115454388310208"/>
    <n v="3.9"/>
    <n v="4.5918822916611557"/>
    <n v="2.5577697998530509"/>
    <n v="3.6407915433068814"/>
    <n v="3.2456735372535785"/>
    <m/>
    <m/>
    <m/>
    <m/>
    <m/>
    <m/>
    <m/>
    <m/>
    <m/>
    <m/>
    <n v="5.13"/>
    <m/>
    <n v="0.65952"/>
    <m/>
    <m/>
    <m/>
    <m/>
    <m/>
    <m/>
    <m/>
    <m/>
    <m/>
    <m/>
    <n v="4"/>
    <n v="5.1912887937895134"/>
    <n v="6.2359781241583843"/>
    <n v="2.97598864451738"/>
    <n v="2.5335380711997373"/>
    <n v="3.9481001399999998E-3"/>
    <n v="1.6064541200000001E-2"/>
    <n v="0.12106974700000001"/>
    <n v="-0.25824469799999999"/>
    <n v="7.8738743999999999E-2"/>
  </r>
  <r>
    <x v="8"/>
    <x v="8"/>
    <x v="2"/>
    <n v="3.5928640256802487"/>
    <n v="3.8"/>
    <n v="3.5145260669691587"/>
    <n v="3.99"/>
    <n v="4.5847633762104287"/>
    <n v="2.5861838400081902"/>
    <n v="3.6497227389127422"/>
    <n v="3.2475410240819653"/>
    <m/>
    <m/>
    <m/>
    <m/>
    <m/>
    <m/>
    <m/>
    <m/>
    <m/>
    <m/>
    <n v="5.24"/>
    <m/>
    <n v="0.27062999999999998"/>
    <m/>
    <m/>
    <m/>
    <m/>
    <m/>
    <m/>
    <m/>
    <m/>
    <m/>
    <m/>
    <n v="3.75"/>
    <n v="5.1968381975981828"/>
    <n v="6.2435842066587091"/>
    <n v="2.9935799589858485"/>
    <n v="2.5461585258197634"/>
    <n v="-0.44098938199999999"/>
    <n v="-0.13001674699999999"/>
    <n v="3.6747404999999997E-2"/>
    <n v="6.5916072199999995E-2"/>
    <n v="-0.31750610800000001"/>
  </r>
  <r>
    <x v="8"/>
    <x v="9"/>
    <x v="3"/>
    <n v="3.6009767709380252"/>
    <n v="4"/>
    <n v="3.5174978373583161"/>
    <n v="3.88"/>
    <n v="4.5730601320698581"/>
    <n v="2.5555204291159916"/>
    <n v="3.6340007926039468"/>
    <n v="3.2490946034521975"/>
    <m/>
    <m/>
    <m/>
    <m/>
    <m/>
    <m/>
    <m/>
    <m/>
    <m/>
    <m/>
    <n v="5.37"/>
    <m/>
    <n v="-1.3816999999999999"/>
    <m/>
    <m/>
    <m/>
    <m/>
    <m/>
    <m/>
    <m/>
    <m/>
    <m/>
    <m/>
    <n v="4.13"/>
    <n v="5.2018064661671932"/>
    <n v="6.2503612681280094"/>
    <n v="3.0169554600055162"/>
    <n v="2.5617905274532773"/>
    <n v="3.8870083800000002E-3"/>
    <n v="2.1261631E-2"/>
    <n v="5.1710717899999998E-4"/>
    <n v="-0.135284392"/>
    <n v="8.3843838800000001E-2"/>
  </r>
  <r>
    <x v="8"/>
    <x v="10"/>
    <x v="3"/>
    <n v="3.615176399969851"/>
    <n v="3.9"/>
    <n v="3.5234150143864045"/>
    <n v="4.13"/>
    <n v="4.5741953816886607"/>
    <n v="2.5661025384465286"/>
    <n v="3.6442481299683425"/>
    <n v="3.2522332285221971"/>
    <m/>
    <m/>
    <m/>
    <m/>
    <m/>
    <m/>
    <m/>
    <m/>
    <m/>
    <m/>
    <n v="5.61"/>
    <m/>
    <n v="1.3353999999999999"/>
    <m/>
    <m/>
    <m/>
    <m/>
    <m/>
    <m/>
    <m/>
    <m/>
    <m/>
    <m/>
    <n v="4.5"/>
    <n v="5.2062020776402314"/>
    <n v="6.2561338452506901"/>
    <n v="3.0177383538166058"/>
    <n v="2.5648724314258819"/>
    <n v="-0.14453211899999999"/>
    <n v="-8.78111195E-3"/>
    <n v="9.7885678599999998E-2"/>
    <n v="-0.13128872599999999"/>
    <n v="-0.176940457"/>
  </r>
  <r>
    <x v="8"/>
    <x v="11"/>
    <x v="3"/>
    <n v="3.6258890673310615"/>
    <n v="3.8"/>
    <n v="3.5263605246161616"/>
    <n v="4.51"/>
    <n v="4.5868025286299066"/>
    <n v="2.6016521103123904"/>
    <n v="3.6590643690347506"/>
    <n v="3.2575579314605445"/>
    <m/>
    <m/>
    <m/>
    <m/>
    <m/>
    <m/>
    <m/>
    <m/>
    <m/>
    <m/>
    <n v="5.71"/>
    <m/>
    <n v="1.5344"/>
    <m/>
    <m/>
    <m/>
    <m/>
    <m/>
    <m/>
    <m/>
    <m/>
    <m/>
    <m/>
    <n v="4.5"/>
    <n v="5.2111241548456597"/>
    <n v="6.2630172376298789"/>
    <n v="3.0335096378880211"/>
    <n v="2.5612502163753339"/>
    <n v="-0.71972044800000001"/>
    <n v="-0.16738882999999999"/>
    <n v="7.0448172099999998E-2"/>
    <n v="-3.4213358300000003E-2"/>
    <n v="-0.25005816800000003"/>
  </r>
  <r>
    <x v="9"/>
    <x v="0"/>
    <x v="0"/>
    <n v="3.624812821619404"/>
    <n v="3.7"/>
    <n v="3.529297384289471"/>
    <n v="4.5999999999999996"/>
    <n v="4.5876170267405021"/>
    <n v="2.6230731171710042"/>
    <n v="3.6570275246647541"/>
    <n v="3.265301290578845"/>
    <m/>
    <m/>
    <m/>
    <m/>
    <m/>
    <m/>
    <m/>
    <m/>
    <m/>
    <m/>
    <n v="5.43"/>
    <m/>
    <n v="-0.17294000000000001"/>
    <m/>
    <m/>
    <m/>
    <m/>
    <m/>
    <m/>
    <m/>
    <m/>
    <m/>
    <m/>
    <n v="4.75"/>
    <n v="5.2165648646757781"/>
    <n v="6.2679592739191863"/>
    <n v="3.0529156870814447"/>
    <n v="2.5644107509005996"/>
    <n v="-0.43547712999999999"/>
    <n v="-0.14516826099999999"/>
    <n v="1.7529334899999999E-2"/>
    <n v="-6.0259500200000003E-2"/>
    <n v="-0.237336984"/>
  </r>
  <r>
    <x v="9"/>
    <x v="1"/>
    <x v="0"/>
    <n v="3.6283887295828596"/>
    <n v="3.8"/>
    <n v="3.5322256440685598"/>
    <n v="4.71"/>
    <n v="4.5890408040582074"/>
    <n v="2.6177607297547492"/>
    <n v="3.6617137860411666"/>
    <n v="3.2654540206287792"/>
    <m/>
    <m/>
    <m/>
    <m/>
    <m/>
    <m/>
    <m/>
    <m/>
    <m/>
    <m/>
    <n v="5.41"/>
    <m/>
    <n v="-0.82164999999999999"/>
    <m/>
    <m/>
    <m/>
    <m/>
    <m/>
    <m/>
    <m/>
    <m/>
    <m/>
    <m/>
    <n v="4.75"/>
    <n v="5.2187328872051939"/>
    <n v="6.2736314388716528"/>
    <n v="3.0579086319806668"/>
    <n v="2.5506163598160345"/>
    <n v="0.29056114500000002"/>
    <n v="7.2587274500000007E-2"/>
    <n v="7.1352444200000004E-2"/>
    <n v="-0.107171936"/>
    <n v="0.15028314200000001"/>
  </r>
  <r>
    <x v="9"/>
    <x v="2"/>
    <x v="0"/>
    <n v="3.6315045462526125"/>
    <n v="3.7"/>
    <n v="3.535145354171894"/>
    <n v="5.05"/>
    <n v="4.594614672048575"/>
    <n v="2.6632620183120759"/>
    <n v="3.6770345797460129"/>
    <n v="3.2740834482642951"/>
    <m/>
    <m/>
    <m/>
    <m/>
    <m/>
    <m/>
    <m/>
    <m/>
    <m/>
    <m/>
    <n v="5.58"/>
    <m/>
    <n v="1.1100000000000001"/>
    <m/>
    <m/>
    <m/>
    <m/>
    <m/>
    <m/>
    <m/>
    <m/>
    <m/>
    <m/>
    <n v="5.25"/>
    <n v="5.2230548820474896"/>
    <n v="6.278896588304554"/>
    <n v="3.0594110502171739"/>
    <n v="2.5278863148620547"/>
    <n v="-0.466154923"/>
    <n v="-7.8750029600000004E-3"/>
    <n v="-0.23422646499999999"/>
    <n v="-3.4444361499999999E-2"/>
    <n v="0.142485525"/>
  </r>
  <r>
    <x v="9"/>
    <x v="3"/>
    <x v="1"/>
    <n v="3.6329517532242601"/>
    <n v="3.5"/>
    <n v="3.5380565643793527"/>
    <n v="5.76"/>
    <n v="4.5849674786705723"/>
    <n v="2.6379138189131797"/>
    <n v="3.6708173112955276"/>
    <n v="3.279029747687948"/>
    <m/>
    <m/>
    <m/>
    <m/>
    <m/>
    <m/>
    <m/>
    <m/>
    <m/>
    <m/>
    <n v="5.71"/>
    <m/>
    <n v="3.1331000000000002"/>
    <m/>
    <m/>
    <m/>
    <m/>
    <m/>
    <m/>
    <m/>
    <m/>
    <m/>
    <m/>
    <n v="6.25"/>
    <n v="5.2289672884132434"/>
    <n v="6.2835743028869144"/>
    <n v="3.0560274293377465"/>
    <n v="2.5202737936252917"/>
    <n v="-0.20780469300000001"/>
    <n v="4.4333333699999998E-2"/>
    <n v="-1.87496708E-2"/>
    <n v="-0.102074993"/>
    <n v="-4.3586975899999998E-2"/>
  </r>
  <r>
    <x v="9"/>
    <x v="4"/>
    <x v="1"/>
    <n v="3.6441069582955112"/>
    <n v="3.5"/>
    <n v="3.5409593240373143"/>
    <n v="6.11"/>
    <n v="4.5714065558352823"/>
    <n v="2.6670893080471112"/>
    <n v="3.6743747679110546"/>
    <n v="3.2814373931215508"/>
    <m/>
    <m/>
    <m/>
    <m/>
    <m/>
    <m/>
    <m/>
    <m/>
    <m/>
    <m/>
    <n v="6.14"/>
    <m/>
    <n v="0.42370000000000002"/>
    <m/>
    <m/>
    <m/>
    <m/>
    <m/>
    <m/>
    <m/>
    <m/>
    <m/>
    <m/>
    <n v="6.13"/>
    <n v="5.2364419628299492"/>
    <n v="6.2895300249394506"/>
    <n v="3.0515453383732036"/>
    <n v="2.5168089821336017"/>
    <n v="-0.26609233100000002"/>
    <n v="5.7577247499999998E-2"/>
    <n v="-0.18603176499999999"/>
    <n v="-0.125380449"/>
    <n v="0.208715031"/>
  </r>
  <r>
    <x v="9"/>
    <x v="5"/>
    <x v="1"/>
    <n v="3.6477735651327952"/>
    <n v="3.7"/>
    <n v="3.5467396869528134"/>
    <n v="6.07"/>
    <n v="4.566221435849517"/>
    <n v="2.6628436082641307"/>
    <n v="3.687303212497568"/>
    <n v="3.290749875103919"/>
    <m/>
    <m/>
    <m/>
    <m/>
    <m/>
    <m/>
    <m/>
    <m/>
    <m/>
    <m/>
    <n v="5.98"/>
    <m/>
    <n v="-1.4754"/>
    <m/>
    <m/>
    <m/>
    <m/>
    <m/>
    <m/>
    <m/>
    <m/>
    <m/>
    <m/>
    <n v="5.5"/>
    <n v="5.2438611807519777"/>
    <n v="6.2963724002248318"/>
    <n v="3.058800965020974"/>
    <n v="2.530278279006827"/>
    <n v="-0.35214300700000001"/>
    <n v="-8.7794866099999994E-2"/>
    <n v="-1.7476428299999999E-2"/>
    <n v="-0.137397189"/>
    <n v="-0.185956336"/>
  </r>
  <r>
    <x v="9"/>
    <x v="6"/>
    <x v="2"/>
    <n v="3.6462380972238808"/>
    <n v="3.7"/>
    <n v="3.5524868292083815"/>
    <n v="6.02"/>
    <n v="4.5587073115777503"/>
    <n v="2.6965172852884858"/>
    <n v="3.6958550678503617"/>
    <n v="3.2929066511891163"/>
    <m/>
    <m/>
    <m/>
    <m/>
    <m/>
    <m/>
    <m/>
    <m/>
    <m/>
    <m/>
    <n v="5.65"/>
    <m/>
    <n v="-0.22449"/>
    <m/>
    <m/>
    <m/>
    <m/>
    <m/>
    <m/>
    <m/>
    <m/>
    <m/>
    <m/>
    <n v="6"/>
    <n v="5.2496521945667558"/>
    <n v="6.3018861065292526"/>
    <n v="3.0706542000712505"/>
    <n v="2.5593955017787398"/>
    <n v="-0.177158489"/>
    <n v="0.192821348"/>
    <n v="-0.18815409699999999"/>
    <n v="1.9863035599999999E-2"/>
    <n v="-2.0924306699999999E-2"/>
  </r>
  <r>
    <x v="9"/>
    <x v="7"/>
    <x v="2"/>
    <n v="3.6490257406582294"/>
    <n v="3.5"/>
    <n v="3.5553480614894135"/>
    <n v="6.03"/>
    <n v="4.5596496706862819"/>
    <n v="2.7013612129514133"/>
    <n v="3.6970460167803298"/>
    <n v="3.2961331184135467"/>
    <m/>
    <m/>
    <m/>
    <m/>
    <m/>
    <m/>
    <m/>
    <m/>
    <m/>
    <m/>
    <n v="5.43"/>
    <m/>
    <n v="6.9836999999999996E-2"/>
    <m/>
    <m/>
    <m/>
    <m/>
    <m/>
    <m/>
    <m/>
    <m/>
    <m/>
    <m/>
    <n v="5.75"/>
    <n v="5.256453162449338"/>
    <n v="6.3088267736611732"/>
    <n v="3.0739425340905511"/>
    <n v="2.5552874465497997"/>
    <n v="-4.5279658600000001E-2"/>
    <n v="0.189159139"/>
    <n v="-0.25153407300000002"/>
    <n v="-4.2337910300000003E-2"/>
    <n v="6.7849510099999996E-2"/>
  </r>
  <r>
    <x v="9"/>
    <x v="8"/>
    <x v="2"/>
    <n v="3.652806581308528"/>
    <n v="3.4"/>
    <n v="3.55820113047182"/>
    <n v="5.78"/>
    <n v="4.5682987112121864"/>
    <n v="2.7022333157806453"/>
    <n v="3.6870277407504619"/>
    <n v="3.3003452066657535"/>
    <m/>
    <m/>
    <m/>
    <m/>
    <m/>
    <m/>
    <m/>
    <m/>
    <m/>
    <m/>
    <n v="5.45"/>
    <m/>
    <n v="-1.7028000000000001"/>
    <m/>
    <m/>
    <m/>
    <m/>
    <m/>
    <m/>
    <m/>
    <m/>
    <m/>
    <m/>
    <n v="5.5"/>
    <n v="5.2611345754203205"/>
    <n v="6.3164424043034595"/>
    <n v="3.0681459540630365"/>
    <n v="2.5596275293137145"/>
    <n v="-0.20376633999999999"/>
    <n v="0.14341408"/>
    <n v="-0.34695517199999998"/>
    <n v="1.2968713099999999E-2"/>
    <n v="-1.5586458799999999E-2"/>
  </r>
  <r>
    <x v="9"/>
    <x v="9"/>
    <x v="3"/>
    <n v="3.6547899537425224"/>
    <n v="3.4"/>
    <n v="3.5638829639392511"/>
    <n v="5.91"/>
    <n v="4.5767707114663931"/>
    <n v="2.6994130077065464"/>
    <n v="3.6885293928496408"/>
    <n v="3.3035478009253993"/>
    <m/>
    <m/>
    <m/>
    <m/>
    <m/>
    <m/>
    <m/>
    <m/>
    <m/>
    <m/>
    <n v="5.57"/>
    <m/>
    <n v="0.90922999999999998"/>
    <m/>
    <m/>
    <m/>
    <m/>
    <m/>
    <m/>
    <m/>
    <m/>
    <m/>
    <m/>
    <n v="6"/>
    <n v="5.2678581590633282"/>
    <n v="6.3236418594463144"/>
    <n v="3.0967081908939931"/>
    <n v="2.5715429564475469"/>
    <n v="-0.19150044199999999"/>
    <n v="7.0641818999999995E-2"/>
    <n v="-0.15733778800000001"/>
    <n v="-4.2351929000000003E-2"/>
    <n v="-5.7573617100000002E-2"/>
  </r>
  <r>
    <x v="9"/>
    <x v="10"/>
    <x v="3"/>
    <n v="3.6676404957880355"/>
    <n v="3.4"/>
    <n v="3.5667118201397288"/>
    <n v="5.82"/>
    <n v="4.6051701859880918"/>
    <n v="2.687983538951896"/>
    <n v="3.7027330484024721"/>
    <n v="3.3080215890986131"/>
    <m/>
    <m/>
    <m/>
    <m/>
    <m/>
    <m/>
    <m/>
    <m/>
    <m/>
    <m/>
    <n v="5.75"/>
    <m/>
    <n v="-1.2438"/>
    <m/>
    <m/>
    <m/>
    <m/>
    <m/>
    <m/>
    <m/>
    <m/>
    <m/>
    <m/>
    <n v="6"/>
    <n v="5.2781146592305168"/>
    <n v="6.3322133404964553"/>
    <n v="3.1021622171698375"/>
    <n v="2.5729175271107136"/>
    <n v="-0.297189017"/>
    <n v="0.202781616"/>
    <n v="-0.120148175"/>
    <n v="-7.3857471699999996E-2"/>
    <n v="-5.7222348800000003E-2"/>
  </r>
  <r>
    <x v="9"/>
    <x v="11"/>
    <x v="3"/>
    <n v="3.6707944009424653"/>
    <n v="3.4"/>
    <n v="3.572345637857985"/>
    <n v="6.02"/>
    <n v="4.6125429403175042"/>
    <n v="2.6948974145239095"/>
    <n v="3.6893043638270169"/>
    <n v="3.31072547849808"/>
    <m/>
    <m/>
    <m/>
    <m/>
    <m/>
    <m/>
    <m/>
    <m/>
    <m/>
    <m/>
    <n v="6.19"/>
    <m/>
    <n v="0.66884999999999994"/>
    <m/>
    <m/>
    <m/>
    <m/>
    <m/>
    <m/>
    <m/>
    <m/>
    <m/>
    <m/>
    <n v="4"/>
    <n v="5.2852321269993814"/>
    <n v="6.3400065078165255"/>
    <n v="3.1115133065397012"/>
    <n v="2.5665634387465914"/>
    <n v="-0.48423531600000003"/>
    <n v="4.6261248499999998E-2"/>
    <n v="-0.11421939"/>
    <n v="-2.71886925E-2"/>
    <n v="-0.13794841299999999"/>
  </r>
  <r>
    <x v="10"/>
    <x v="0"/>
    <x v="0"/>
    <n v="3.6768271155897616"/>
    <n v="3.4"/>
    <n v="3.5751506887855933"/>
    <n v="6.3"/>
    <n v="4.6335632604893089"/>
    <n v="2.7182645235091818"/>
    <n v="3.6990277851657516"/>
    <n v="3.3129124667945837"/>
    <m/>
    <m/>
    <m/>
    <m/>
    <m/>
    <m/>
    <m/>
    <m/>
    <m/>
    <m/>
    <n v="6.34"/>
    <m/>
    <n v="1.2287999999999999"/>
    <m/>
    <m/>
    <m/>
    <m/>
    <m/>
    <m/>
    <m/>
    <m/>
    <m/>
    <m/>
    <n v="6.38"/>
    <n v="5.2917961495577712"/>
    <n v="6.3444075359570364"/>
    <n v="3.1354942159291497"/>
    <n v="2.5566845284287005"/>
    <n v="-0.23060640199999999"/>
    <n v="6.2794051099999998E-2"/>
    <n v="-1.9620150499999999E-2"/>
    <n v="-0.30609928400000003"/>
    <n v="9.9231532999999997E-2"/>
  </r>
  <r>
    <x v="10"/>
    <x v="1"/>
    <x v="0"/>
    <n v="3.6832058898430846"/>
    <n v="3.4"/>
    <n v="3.5779478934066544"/>
    <n v="6.61"/>
    <n v="4.6553879021487088"/>
    <n v="2.7214269981438486"/>
    <n v="3.7079219886912522"/>
    <n v="3.3184677340631592"/>
    <m/>
    <m/>
    <m/>
    <m/>
    <m/>
    <m/>
    <m/>
    <m/>
    <m/>
    <m/>
    <n v="6.41"/>
    <m/>
    <n v="0.51398999999999995"/>
    <m/>
    <m/>
    <m/>
    <m/>
    <m/>
    <m/>
    <m/>
    <m/>
    <m/>
    <m/>
    <n v="7"/>
    <n v="5.2948112272187489"/>
    <n v="6.3489641509212706"/>
    <n v="3.1209983523863882"/>
    <n v="2.5555980779105334"/>
    <n v="-0.30606521199999998"/>
    <n v="0.107530347"/>
    <n v="-6.2725683000000004E-2"/>
    <n v="-0.175135659"/>
    <n v="3.7585873299999998E-3"/>
  </r>
  <r>
    <x v="10"/>
    <x v="2"/>
    <x v="0"/>
    <n v="3.6910171675754833"/>
    <n v="3.4"/>
    <n v="3.5862928653388351"/>
    <n v="6.79"/>
    <n v="4.6656065547919221"/>
    <n v="2.6984711346552159"/>
    <n v="3.706793043398815"/>
    <n v="3.3175258756345398"/>
    <n v="-0.23169790000000001"/>
    <n v="-0.23169790000000001"/>
    <n v="-0.2459423"/>
    <m/>
    <m/>
    <m/>
    <m/>
    <m/>
    <m/>
    <m/>
    <n v="6.34"/>
    <m/>
    <n v="-0.36130000000000001"/>
    <m/>
    <m/>
    <m/>
    <m/>
    <m/>
    <m/>
    <m/>
    <m/>
    <m/>
    <m/>
    <n v="6.25"/>
    <n v="5.2983173665480363"/>
    <n v="6.3533260177340143"/>
    <n v="3.1021622171698375"/>
    <n v="2.5456096999014046"/>
    <n v="-0.35955409700000002"/>
    <n v="0.105086819"/>
    <n v="-0.184716304"/>
    <n v="-0.10481915999999999"/>
    <n v="-9.6860992100000001E-2"/>
  </r>
  <r>
    <x v="10"/>
    <x v="3"/>
    <x v="1"/>
    <n v="3.6873282516211998"/>
    <n v="3.4"/>
    <n v="3.591817741270805"/>
    <n v="7.41"/>
    <n v="4.680092112505351"/>
    <n v="2.7107133185216936"/>
    <n v="3.7052448082002005"/>
    <n v="3.3230196005981312"/>
    <n v="0.45687309999999998"/>
    <n v="0.22517519999999996"/>
    <n v="0.15895670000000001"/>
    <m/>
    <m/>
    <m/>
    <m/>
    <m/>
    <m/>
    <m/>
    <n v="6.26"/>
    <m/>
    <n v="3.0304000000000002"/>
    <m/>
    <m/>
    <m/>
    <m/>
    <m/>
    <m/>
    <m/>
    <m/>
    <m/>
    <m/>
    <n v="8"/>
    <n v="5.3018112558022921"/>
    <n v="6.355586691681764"/>
    <n v="3.1175515968750851"/>
    <n v="2.5231653619050904"/>
    <n v="-0.36820162400000001"/>
    <n v="0.37935147000000002"/>
    <n v="-2.29670472E-2"/>
    <n v="2.2943733000000001E-2"/>
    <n v="-8.7839002299999996E-2"/>
  </r>
  <r>
    <x v="10"/>
    <x v="4"/>
    <x v="1"/>
    <n v="3.6835427391489417"/>
    <n v="3.4"/>
    <n v="3.5945687746426951"/>
    <n v="8.67"/>
    <n v="4.69866052907543"/>
    <n v="2.7109127667156865"/>
    <n v="3.7143035064540948"/>
    <n v="3.3299161796571917"/>
    <n v="0.21062710000000001"/>
    <n v="0.43580229999999998"/>
    <n v="0.36210810000000004"/>
    <m/>
    <m/>
    <m/>
    <m/>
    <m/>
    <m/>
    <m/>
    <n v="6.42"/>
    <m/>
    <n v="7.0494000000000003"/>
    <m/>
    <m/>
    <m/>
    <m/>
    <m/>
    <m/>
    <m/>
    <m/>
    <m/>
    <m/>
    <n v="9.3800000000000008"/>
    <n v="5.3023093878175738"/>
    <n v="6.3569753397091135"/>
    <n v="3.1495257467334077"/>
    <n v="2.5233257596919452"/>
    <n v="-7.04639086E-2"/>
    <n v="0.34066760499999998"/>
    <n v="-0.20198729100000001"/>
    <n v="-0.134001339"/>
    <n v="0.15750461499999999"/>
  </r>
  <r>
    <x v="10"/>
    <x v="5"/>
    <x v="1"/>
    <n v="3.6932648243064627"/>
    <n v="3.5"/>
    <n v="3.6000482404073204"/>
    <n v="8.9"/>
    <n v="4.71240893665769"/>
    <n v="2.7085833922638689"/>
    <n v="3.7007586166440141"/>
    <n v="3.3325615892720171"/>
    <n v="1.0019E-3"/>
    <n v="0.43680419999999998"/>
    <n v="0.34161340000000007"/>
    <m/>
    <m/>
    <m/>
    <m/>
    <m/>
    <m/>
    <m/>
    <n v="7.04"/>
    <m/>
    <n v="-0.5504"/>
    <m/>
    <m/>
    <m/>
    <m/>
    <m/>
    <m/>
    <m/>
    <m/>
    <m/>
    <m/>
    <n v="7.5"/>
    <n v="5.3047963326457461"/>
    <n v="6.3604385466337314"/>
    <n v="3.1233776273896607"/>
    <n v="2.5185025992165158"/>
    <n v="-0.143575591"/>
    <n v="0.35279700899999999"/>
    <n v="-0.33590910099999999"/>
    <n v="-0.202539622"/>
    <n v="0.18484583800000001"/>
  </r>
  <r>
    <x v="10"/>
    <x v="6"/>
    <x v="2"/>
    <n v="3.6985302351560443"/>
    <n v="3.5"/>
    <n v="3.6054978451748854"/>
    <n v="8.61"/>
    <n v="4.71240893665769"/>
    <n v="2.686349774122871"/>
    <n v="3.7071367703847673"/>
    <n v="3.3319544789199944"/>
    <n v="0.1707941"/>
    <n v="0.60759830000000004"/>
    <n v="0.52178270000000004"/>
    <m/>
    <m/>
    <m/>
    <m/>
    <m/>
    <m/>
    <m/>
    <n v="7.6"/>
    <m/>
    <n v="-2.4577"/>
    <m/>
    <m/>
    <m/>
    <m/>
    <m/>
    <m/>
    <m/>
    <m/>
    <m/>
    <m/>
    <n v="8.75"/>
    <n v="5.3067814449601665"/>
    <n v="6.3621656627798062"/>
    <n v="3.1095072878128356"/>
    <n v="2.5046275744002013"/>
    <n v="-0.447413212"/>
    <n v="0.38726747"/>
    <n v="-0.148819015"/>
    <n v="-0.25488112699999999"/>
    <n v="-4.2213105299999998E-2"/>
  </r>
  <r>
    <x v="10"/>
    <x v="7"/>
    <x v="2"/>
    <n v="3.7008253173198153"/>
    <n v="3.5"/>
    <n v="3.6082115510464816"/>
    <n v="9.19"/>
    <n v="4.7294211483259483"/>
    <n v="2.7070497007686263"/>
    <n v="3.7176369645331322"/>
    <n v="3.336694415448056"/>
    <n v="0.2883907"/>
    <n v="0.89598900000000004"/>
    <n v="0.8302737"/>
    <m/>
    <m/>
    <m/>
    <m/>
    <m/>
    <m/>
    <m/>
    <n v="7.54"/>
    <m/>
    <n v="4.1787999999999998"/>
    <m/>
    <m/>
    <m/>
    <m/>
    <m/>
    <m/>
    <m/>
    <m/>
    <m/>
    <m/>
    <n v="9.75"/>
    <n v="5.3067814449601665"/>
    <n v="6.3632005024720186"/>
    <n v="3.1073183700060087"/>
    <n v="2.5309151709955553"/>
    <n v="-0.213002997"/>
    <n v="0.21578694500000001"/>
    <n v="-2.2200920099999999E-3"/>
    <n v="-0.25641850999999999"/>
    <n v="-0.27602113700000003"/>
  </r>
  <r>
    <x v="10"/>
    <x v="8"/>
    <x v="2"/>
    <n v="3.7006004935646328"/>
    <n v="3.7"/>
    <n v="3.6136169696133895"/>
    <n v="9.15"/>
    <n v="4.7351452624098371"/>
    <n v="2.7277874667852418"/>
    <n v="3.7067439298975033"/>
    <n v="3.3407040012331928"/>
    <n v="6.3639999999999999E-3"/>
    <n v="0.90235300000000007"/>
    <n v="0.85838210000000004"/>
    <m/>
    <m/>
    <m/>
    <m/>
    <m/>
    <m/>
    <m/>
    <n v="7.82"/>
    <m/>
    <n v="-0.91652999999999996"/>
    <m/>
    <m/>
    <m/>
    <m/>
    <m/>
    <m/>
    <m/>
    <m/>
    <m/>
    <m/>
    <n v="8.5"/>
    <n v="5.3087626244095754"/>
    <n v="6.3666422542776901"/>
    <n v="3.1031506703212615"/>
    <n v="2.5449821012301421"/>
    <n v="-0.21675161600000001"/>
    <n v="0.25420186299999997"/>
    <n v="-0.31126936900000002"/>
    <n v="-8.5645457300000005E-2"/>
    <n v="0.104808685"/>
  </r>
  <r>
    <x v="10"/>
    <x v="9"/>
    <x v="3"/>
    <n v="3.7008944836921409"/>
    <n v="3.7"/>
    <n v="3.6189933266497696"/>
    <n v="9"/>
    <n v="4.7328595471289807"/>
    <n v="2.7109792406080899"/>
    <n v="3.7204265696120657"/>
    <n v="3.3464243558148636"/>
    <n v="9.5922300000000002E-2"/>
    <n v="0.99827530000000009"/>
    <n v="0.94596049999999998"/>
    <m/>
    <m/>
    <m/>
    <m/>
    <m/>
    <m/>
    <m/>
    <n v="7.64"/>
    <m/>
    <n v="-0.45100000000000001"/>
    <m/>
    <m/>
    <m/>
    <m/>
    <m/>
    <m/>
    <m/>
    <m/>
    <m/>
    <m/>
    <n v="9"/>
    <n v="5.3127132468317688"/>
    <n v="6.3688730574336212"/>
    <n v="3.1211747892445056"/>
    <n v="2.5458449478930798"/>
    <n v="7.9399894200000001E-2"/>
    <n v="0.40472298299999998"/>
    <n v="-2.38720311E-2"/>
    <n v="-0.224503811"/>
    <n v="-2.3308065199999999E-2"/>
  </r>
  <r>
    <x v="10"/>
    <x v="10"/>
    <x v="3"/>
    <n v="3.6914237147361884"/>
    <n v="3.5"/>
    <n v="3.6243409329763652"/>
    <n v="8.85"/>
    <n v="4.7382139597458561"/>
    <n v="2.7006898466959175"/>
    <n v="3.7153753179179012"/>
    <n v="3.3507458381660573"/>
    <n v="9.4979999999999999E-4"/>
    <n v="0.99922510000000009"/>
    <n v="0.94148520000000002"/>
    <m/>
    <m/>
    <m/>
    <m/>
    <m/>
    <m/>
    <m/>
    <n v="7.89"/>
    <m/>
    <n v="-0.57699999999999996"/>
    <m/>
    <m/>
    <m/>
    <m/>
    <m/>
    <m/>
    <m/>
    <m/>
    <m/>
    <m/>
    <n v="9.25"/>
    <n v="5.3161572846763674"/>
    <n v="6.372295374257785"/>
    <n v="3.1362330733415571"/>
    <n v="2.5625618943536042"/>
    <n v="-0.15525561099999999"/>
    <n v="0.30167862000000001"/>
    <n v="-0.18121285500000001"/>
    <n v="-9.7354004399999999E-2"/>
    <n v="0.147600025"/>
  </r>
  <r>
    <x v="10"/>
    <x v="11"/>
    <x v="3"/>
    <n v="3.6887344436004201"/>
    <n v="3.5"/>
    <n v="3.629660094453965"/>
    <n v="8.9700000000000006"/>
    <n v="4.7412732689804313"/>
    <n v="2.6983365089145708"/>
    <n v="3.7157647828953184"/>
    <n v="3.3493425261198784"/>
    <n v="6.1897899999999999E-2"/>
    <n v="1.061123"/>
    <n v="1.0063683999999999"/>
    <m/>
    <m/>
    <m/>
    <m/>
    <m/>
    <m/>
    <m/>
    <n v="8.17"/>
    <m/>
    <n v="1.6813"/>
    <m/>
    <m/>
    <m/>
    <m/>
    <m/>
    <m/>
    <m/>
    <m/>
    <m/>
    <m/>
    <n v="5"/>
    <n v="5.3176296775804097"/>
    <n v="6.376556865408209"/>
    <n v="3.1395728435296641"/>
    <n v="2.5687115024801099"/>
    <n v="0.245888369"/>
    <n v="0.44588243500000002"/>
    <n v="-3.1448244700000003E-2"/>
    <n v="-0.192567925"/>
    <n v="0.235099908"/>
  </r>
  <r>
    <x v="11"/>
    <x v="0"/>
    <x v="0"/>
    <n v="3.6700431597676415"/>
    <n v="3.9"/>
    <n v="3.6349511120883808"/>
    <n v="8.98"/>
    <n v="4.7542796085759322"/>
    <n v="2.685940915514109"/>
    <n v="3.7285327659905878"/>
    <n v="3.3556419800026527"/>
    <n v="-0.13148779999999999"/>
    <n v="0.92963520000000011"/>
    <n v="0.84663999999999995"/>
    <m/>
    <m/>
    <m/>
    <m/>
    <m/>
    <m/>
    <m/>
    <n v="8.1"/>
    <m/>
    <n v="0.55237000000000003"/>
    <m/>
    <m/>
    <m/>
    <m/>
    <m/>
    <m/>
    <m/>
    <m/>
    <m/>
    <m/>
    <n v="9.3800000000000008"/>
    <n v="5.3288465715828597"/>
    <n v="6.3794443408751267"/>
    <n v="3.1602716605521475"/>
    <n v="2.5747473537877896"/>
    <n v="-6.6634293999999997E-2"/>
    <n v="0.32098998000000001"/>
    <n v="6.3856368699999999E-2"/>
    <n v="-0.35410064299999999"/>
    <n v="0.110730177"/>
  </r>
  <r>
    <x v="11"/>
    <x v="1"/>
    <x v="0"/>
    <n v="3.6693856791179744"/>
    <n v="4.2"/>
    <n v="3.6402142821326553"/>
    <n v="8.98"/>
    <n v="4.7587492739163917"/>
    <n v="2.7031046587091958"/>
    <n v="3.7221207878937381"/>
    <n v="3.3639453959592664"/>
    <n v="-0.34753339999999999"/>
    <n v="0.58210180000000011"/>
    <n v="0.48687069999999993"/>
    <m/>
    <m/>
    <m/>
    <m/>
    <m/>
    <m/>
    <m/>
    <n v="7.59"/>
    <m/>
    <n v="2.2294999999999998"/>
    <m/>
    <m/>
    <m/>
    <m/>
    <m/>
    <m/>
    <m/>
    <m/>
    <m/>
    <m/>
    <n v="8.5"/>
    <n v="5.3230099791384085"/>
    <n v="6.373831603970169"/>
    <n v="3.1375356091283537"/>
    <n v="2.5664098289152601"/>
    <n v="0.52867118599999996"/>
    <n v="0.47896766400000002"/>
    <n v="-3.5354648599999997E-2"/>
    <n v="-0.26953798200000001"/>
    <n v="0.34638593099999998"/>
  </r>
  <r>
    <x v="11"/>
    <x v="2"/>
    <x v="0"/>
    <n v="3.668084734857231"/>
    <n v="4.4000000000000004"/>
    <n v="3.6454498961866002"/>
    <n v="7.76"/>
    <n v="4.7616609827475243"/>
    <n v="2.6743555245781132"/>
    <n v="3.7265123689207873"/>
    <n v="3.3588464411216252"/>
    <n v="-9.1493900000000003E-2"/>
    <n v="0.4906079000000001"/>
    <n v="0.34879169999999993"/>
    <m/>
    <m/>
    <m/>
    <m/>
    <m/>
    <m/>
    <m/>
    <n v="6.97"/>
    <m/>
    <n v="-8.2845999999999993"/>
    <m/>
    <m/>
    <m/>
    <m/>
    <m/>
    <m/>
    <m/>
    <m/>
    <m/>
    <m/>
    <n v="7.5"/>
    <n v="5.3264187966589116"/>
    <n v="6.3755357625284734"/>
    <n v="3.126102424715846"/>
    <n v="2.5781692802476899"/>
    <n v="0.176835353"/>
    <n v="0.29746537899999997"/>
    <n v="-0.23133447800000001"/>
    <n v="3.3128500300000002E-2"/>
    <n v="-0.18486232999999999"/>
  </r>
  <r>
    <x v="11"/>
    <x v="3"/>
    <x v="1"/>
    <n v="3.6655110269029914"/>
    <n v="4.5999999999999996"/>
    <n v="3.6506582412937387"/>
    <n v="8.1"/>
    <n v="4.7561730595246186"/>
    <n v="2.6895467295376503"/>
    <n v="3.7185110692385392"/>
    <n v="3.3618326581398787"/>
    <n v="-9.5471600000000004E-2"/>
    <n v="0.39513630000000011"/>
    <n v="0.20701929999999993"/>
    <m/>
    <m/>
    <m/>
    <m/>
    <m/>
    <m/>
    <m/>
    <n v="7.06"/>
    <m/>
    <n v="4.7088000000000001"/>
    <m/>
    <m/>
    <m/>
    <m/>
    <m/>
    <m/>
    <m/>
    <m/>
    <m/>
    <m/>
    <n v="8.5"/>
    <n v="5.3312684666877228"/>
    <n v="6.3774069887272828"/>
    <n v="3.1505969841149062"/>
    <n v="2.5925645244945104"/>
    <n v="0.26179738499999999"/>
    <n v="0.217888518"/>
    <n v="-0.32904027000000002"/>
    <n v="8.3088534199999994E-2"/>
    <n v="-8.2621578400000006E-2"/>
  </r>
  <r>
    <x v="11"/>
    <x v="4"/>
    <x v="1"/>
    <n v="3.6643459538645247"/>
    <n v="4.8"/>
    <n v="3.6532522764707851"/>
    <n v="7.94"/>
    <n v="4.7447582001951449"/>
    <n v="2.7008913039037306"/>
    <n v="3.7274509180890365"/>
    <n v="3.3659846259064108"/>
    <n v="0.21766289999999999"/>
    <n v="0.6127992000000001"/>
    <n v="0.50269279999999994"/>
    <m/>
    <m/>
    <m/>
    <m/>
    <m/>
    <m/>
    <m/>
    <n v="7.75"/>
    <m/>
    <n v="-0.22378000000000001"/>
    <m/>
    <m/>
    <m/>
    <m/>
    <m/>
    <m/>
    <m/>
    <m/>
    <m/>
    <m/>
    <n v="7.88"/>
    <n v="5.3336845103853276"/>
    <n v="6.3826616834184415"/>
    <n v="3.1385764175834714"/>
    <n v="2.5680215564985067"/>
    <n v="0.398691395"/>
    <n v="0.44982063700000002"/>
    <n v="2.9516197599999999E-2"/>
    <n v="-0.121580887"/>
    <n v="-0.181886989"/>
  </r>
  <r>
    <x v="11"/>
    <x v="5"/>
    <x v="1"/>
    <n v="3.6611047843610804"/>
    <n v="4.9000000000000004"/>
    <n v="3.6584202466292277"/>
    <n v="7.6"/>
    <n v="4.7342667593225016"/>
    <n v="2.7076501210808703"/>
    <n v="3.7293013686128518"/>
    <n v="3.3695347011533139"/>
    <n v="-0.1733587"/>
    <n v="0.43944050000000012"/>
    <n v="0.32281549999999992"/>
    <m/>
    <m/>
    <m/>
    <m/>
    <m/>
    <m/>
    <m/>
    <n v="7.55"/>
    <m/>
    <n v="-0.85255999999999998"/>
    <m/>
    <m/>
    <m/>
    <m/>
    <m/>
    <m/>
    <m/>
    <m/>
    <m/>
    <m/>
    <n v="5.75"/>
    <n v="5.3356131512917333"/>
    <n v="6.3888974835188819"/>
    <n v="3.122320870653565"/>
    <n v="2.5799895310346925"/>
    <n v="0.327889176"/>
    <n v="0.180391474"/>
    <n v="0.24432947599999999"/>
    <n v="-0.35100030799999998"/>
    <n v="-0.25869055499999999"/>
  </r>
  <r>
    <x v="11"/>
    <x v="6"/>
    <x v="2"/>
    <n v="3.6635565179113692"/>
    <n v="5"/>
    <n v="3.6609942506244004"/>
    <n v="7.21"/>
    <n v="4.7267681577355791"/>
    <n v="2.698942182071483"/>
    <n v="3.7282924564707711"/>
    <n v="3.3722147467376726"/>
    <n v="-0.23188049999999999"/>
    <n v="0.20756000000000013"/>
    <n v="8.0228099999999913E-2"/>
    <m/>
    <m/>
    <m/>
    <m/>
    <m/>
    <m/>
    <m/>
    <n v="7.1"/>
    <m/>
    <n v="-1.1372"/>
    <m/>
    <m/>
    <m/>
    <m/>
    <m/>
    <m/>
    <m/>
    <m/>
    <m/>
    <m/>
    <n v="6.75"/>
    <n v="5.3375380797013179"/>
    <n v="6.3954285290898794"/>
    <n v="3.1436349034774862"/>
    <n v="2.5493670428736546"/>
    <n v="0.29195747700000002"/>
    <n v="0.204641409"/>
    <n v="7.9827894100000005E-2"/>
    <n v="-3.5580057800000002E-2"/>
    <n v="-5.4358220700000001E-2"/>
  </r>
  <r>
    <x v="11"/>
    <x v="7"/>
    <x v="2"/>
    <n v="3.6617728677318966"/>
    <n v="5.0999999999999996"/>
    <n v="3.6635616461296463"/>
    <n v="6.61"/>
    <n v="4.7265024711556167"/>
    <n v="2.7067159780890733"/>
    <n v="3.7310045991645833"/>
    <n v="3.3764606014297414"/>
    <n v="-0.44976830000000001"/>
    <n v="-0.24220829999999988"/>
    <n v="-0.40177930000000006"/>
    <m/>
    <m/>
    <m/>
    <m/>
    <m/>
    <m/>
    <m/>
    <n v="6.98"/>
    <m/>
    <n v="-3.0310999999999999"/>
    <m/>
    <m/>
    <m/>
    <m/>
    <m/>
    <m/>
    <m/>
    <m/>
    <m/>
    <m/>
    <n v="6.5"/>
    <n v="5.3466312268265872"/>
    <n v="6.4050631551128685"/>
    <n v="3.1517098550083436"/>
    <n v="2.5986072897208281"/>
    <n v="4.9840944099999999E-2"/>
    <n v="3.5066477899999997E-2"/>
    <n v="-0.124373425"/>
    <n v="5.5056919599999997E-2"/>
    <n v="-0.118632882"/>
  </r>
  <r>
    <x v="11"/>
    <x v="8"/>
    <x v="2"/>
    <n v="3.6548546189770925"/>
    <n v="5.4"/>
    <n v="3.6686767467964168"/>
    <n v="6.29"/>
    <n v="4.7192129020287519"/>
    <n v="2.703372611551099"/>
    <n v="3.7374791239499987"/>
    <n v="3.3825920373365861"/>
    <n v="-0.2516544"/>
    <n v="-0.49386269999999988"/>
    <n v="-0.67409800000000009"/>
    <m/>
    <m/>
    <m/>
    <m/>
    <m/>
    <m/>
    <m/>
    <n v="6.73"/>
    <m/>
    <n v="-0.83018999999999998"/>
    <m/>
    <m/>
    <m/>
    <m/>
    <m/>
    <m/>
    <m/>
    <m/>
    <m/>
    <m/>
    <n v="5"/>
    <n v="5.355642433167306"/>
    <n v="6.415424237852311"/>
    <n v="3.1648419363757152"/>
    <n v="2.628068602672577"/>
    <n v="0.49592212099999999"/>
    <n v="4.6345866499999996E-3"/>
    <n v="5.9970930799999999E-3"/>
    <n v="-4.2901898000000001E-2"/>
    <n v="2.14787057E-3"/>
  </r>
  <r>
    <x v="11"/>
    <x v="9"/>
    <x v="3"/>
    <n v="3.6346502752847987"/>
    <n v="5.5"/>
    <n v="3.673765816303888"/>
    <n v="6.2"/>
    <n v="4.7086288943563215"/>
    <n v="2.6679224100114309"/>
    <n v="3.7370027292956647"/>
    <n v="3.3806204546733243"/>
    <n v="-8.3306000000000005E-3"/>
    <n v="-0.50219329999999984"/>
    <n v="-0.68478670000000008"/>
    <m/>
    <m/>
    <m/>
    <m/>
    <m/>
    <m/>
    <m/>
    <n v="6.43"/>
    <m/>
    <n v="0.99556999999999995"/>
    <m/>
    <m/>
    <m/>
    <m/>
    <m/>
    <m/>
    <m/>
    <m/>
    <m/>
    <m/>
    <n v="6.13"/>
    <n v="5.3608225718994342"/>
    <n v="6.4238961034459603"/>
    <n v="3.1587011018321305"/>
    <n v="2.6402708786809206"/>
    <n v="0.44545432499999998"/>
    <n v="0.25218248700000001"/>
    <n v="-2.6080922499999999E-2"/>
    <n v="7.6049430900000006E-2"/>
    <n v="-2.2519295599999999E-2"/>
  </r>
  <r>
    <x v="11"/>
    <x v="10"/>
    <x v="3"/>
    <n v="3.6285746249083934"/>
    <n v="5.9"/>
    <n v="3.6788291182604347"/>
    <n v="5.6"/>
    <n v="4.6931810633108046"/>
    <n v="2.6084508358794554"/>
    <n v="3.740118997056904"/>
    <n v="3.3810286873716286"/>
    <n v="-0.35977350000000002"/>
    <n v="-0.86196679999999981"/>
    <n v="-1.0324806"/>
    <m/>
    <m/>
    <m/>
    <m/>
    <m/>
    <m/>
    <m/>
    <n v="5.51"/>
    <m/>
    <n v="-2.5794000000000001"/>
    <m/>
    <m/>
    <m/>
    <m/>
    <m/>
    <m/>
    <m/>
    <m/>
    <m/>
    <m/>
    <n v="5.5"/>
    <n v="5.3645731623251018"/>
    <n v="6.4314920995652569"/>
    <n v="3.1580636854714434"/>
    <n v="2.6429782043584953"/>
    <n v="0.98371053600000002"/>
    <n v="0.45071248800000002"/>
    <n v="-1.17141912E-2"/>
    <n v="-0.16719193700000001"/>
    <n v="0.20887573600000001"/>
  </r>
  <r>
    <x v="11"/>
    <x v="11"/>
    <x v="3"/>
    <n v="3.6512788279108026"/>
    <n v="6.1"/>
    <n v="3.6838669122903918"/>
    <n v="4.9000000000000004"/>
    <n v="4.6752557935547792"/>
    <n v="2.6256101777178227"/>
    <n v="3.7544330848533751"/>
    <n v="3.3848308442418578"/>
    <n v="-0.25860080000000002"/>
    <n v="-1.1205675999999998"/>
    <n v="-1.2635087999999999"/>
    <m/>
    <m/>
    <m/>
    <m/>
    <m/>
    <m/>
    <m/>
    <n v="5"/>
    <m/>
    <n v="-2.8380000000000001"/>
    <m/>
    <m/>
    <m/>
    <m/>
    <m/>
    <m/>
    <m/>
    <m/>
    <m/>
    <m/>
    <n v="3"/>
    <n v="5.3678434291966468"/>
    <n v="6.440148774336123"/>
    <n v="3.1741713030837206"/>
    <n v="2.6550009800123946"/>
    <n v="0.64917480599999999"/>
    <n v="0.28228823600000003"/>
    <n v="-0.118145635"/>
    <n v="0.134862606"/>
    <n v="-0.206090152"/>
  </r>
  <r>
    <x v="12"/>
    <x v="0"/>
    <x v="0"/>
    <n v="3.6589433056862739"/>
    <n v="5.9"/>
    <n v="3.6863763238958178"/>
    <n v="4.1399999999999997"/>
    <n v="4.6740430502744665"/>
    <n v="2.7324175575505043"/>
    <n v="3.7514551125964171"/>
    <n v="3.3848647270412577"/>
    <n v="-0.68867829999999997"/>
    <n v="-1.8092458999999996"/>
    <n v="-1.9443079999999999"/>
    <m/>
    <m/>
    <m/>
    <m/>
    <m/>
    <m/>
    <m/>
    <n v="4.57"/>
    <m/>
    <n v="-3.4066000000000001"/>
    <m/>
    <m/>
    <m/>
    <m/>
    <m/>
    <m/>
    <m/>
    <m/>
    <m/>
    <m/>
    <n v="4"/>
    <n v="5.3729609095438029"/>
    <n v="6.4503124317812599"/>
    <n v="3.2144661163795005"/>
    <n v="2.6560549059838299"/>
    <n v="-0.475646703"/>
    <n v="-0.15128363"/>
    <n v="-0.18956213099999999"/>
    <n v="0.58630917699999996"/>
    <n v="-0.90415254499999997"/>
  </r>
  <r>
    <x v="12"/>
    <x v="1"/>
    <x v="0"/>
    <n v="3.6570352673695132"/>
    <n v="5.9"/>
    <n v="3.6863763238958178"/>
    <n v="3.72"/>
    <n v="4.6992978487127894"/>
    <n v="2.7265447837383743"/>
    <n v="3.7515960039694018"/>
    <n v="3.3902038401872896"/>
    <n v="-6.9735800000000001E-2"/>
    <n v="-1.8789816999999995"/>
    <n v="-1.9725747999999999"/>
    <m/>
    <m/>
    <m/>
    <m/>
    <m/>
    <m/>
    <m/>
    <n v="3.89"/>
    <m/>
    <n v="-2.2934000000000001"/>
    <m/>
    <m/>
    <m/>
    <m/>
    <m/>
    <m/>
    <m/>
    <m/>
    <m/>
    <m/>
    <n v="3.38"/>
    <n v="5.3817389746871092"/>
    <n v="6.4630294569206699"/>
    <n v="3.2080170815333249"/>
    <n v="2.673320720581112"/>
    <n v="1.3695068200000001E-4"/>
    <n v="-0.14742594000000001"/>
    <n v="-0.17470785"/>
    <n v="0.24095550700000001"/>
    <n v="-0.26699682000000002"/>
  </r>
  <r>
    <x v="12"/>
    <x v="2"/>
    <x v="0"/>
    <n v="3.6559507049744648"/>
    <n v="6"/>
    <n v="3.6888794541139363"/>
    <n v="3.71"/>
    <n v="4.6944622934668532"/>
    <n v="2.7495119909098045"/>
    <n v="3.7407838117642971"/>
    <n v="3.3920220837267032"/>
    <n v="-0.106141"/>
    <n v="-1.9851226999999996"/>
    <n v="-2.0382259"/>
    <m/>
    <m/>
    <m/>
    <m/>
    <m/>
    <m/>
    <m/>
    <n v="3.69"/>
    <m/>
    <n v="-9.7378000000000006E-2"/>
    <m/>
    <m/>
    <m/>
    <m/>
    <m/>
    <m/>
    <m/>
    <m/>
    <m/>
    <m/>
    <n v="4.5"/>
    <n v="5.388158070547826"/>
    <n v="6.4768185049003035"/>
    <n v="3.2025431702473033"/>
    <n v="2.6726993237992844"/>
    <n v="0.196264045"/>
    <n v="-8.2159285200000001E-2"/>
    <n v="-0.18143024599999999"/>
    <n v="0.24232693999999999"/>
    <n v="2.43230974E-2"/>
  </r>
  <r>
    <x v="12"/>
    <x v="3"/>
    <x v="1"/>
    <n v="3.6615519357061301"/>
    <n v="5.9"/>
    <n v="3.6913763343125234"/>
    <n v="4.1500000000000004"/>
    <n v="4.6980228030027078"/>
    <n v="2.7540428049526828"/>
    <n v="3.7511262888429844"/>
    <n v="3.3954475496815482"/>
    <n v="0.41698780000000002"/>
    <n v="-1.5681348999999996"/>
    <n v="-1.5770033000000001"/>
    <m/>
    <m/>
    <m/>
    <m/>
    <m/>
    <m/>
    <m/>
    <n v="4.3"/>
    <m/>
    <n v="2.6211000000000002"/>
    <m/>
    <m/>
    <m/>
    <m/>
    <m/>
    <m/>
    <m/>
    <m/>
    <m/>
    <m/>
    <n v="4.25"/>
    <n v="5.393627546352362"/>
    <n v="6.4898126493628601"/>
    <n v="3.2124552570652778"/>
    <n v="2.6814324031979182"/>
    <n v="0.19274385899999999"/>
    <n v="4.2607457300000004E-3"/>
    <n v="-0.16204732899999999"/>
    <n v="2.7092382000000002E-2"/>
    <n v="-1.03539411E-2"/>
  </r>
  <r>
    <x v="12"/>
    <x v="4"/>
    <x v="1"/>
    <n v="3.6666133950597639"/>
    <n v="5.9"/>
    <n v="3.6963514689526371"/>
    <n v="4.63"/>
    <n v="4.6893274939948144"/>
    <n v="2.7454102098592874"/>
    <n v="3.7462517339718064"/>
    <n v="3.3997964007465273"/>
    <n v="6.5412999999999999E-2"/>
    <n v="-1.5027218999999996"/>
    <n v="-1.5705694000000001"/>
    <m/>
    <m/>
    <m/>
    <m/>
    <m/>
    <m/>
    <m/>
    <n v="5.04"/>
    <m/>
    <n v="2.3064"/>
    <m/>
    <m/>
    <m/>
    <m/>
    <m/>
    <m/>
    <m/>
    <m/>
    <m/>
    <m/>
    <n v="4.88"/>
    <n v="5.4026773818722793"/>
    <n v="6.5023401696240146"/>
    <n v="3.2252554318322399"/>
    <n v="2.6877114301066793"/>
    <n v="-0.26703479299999999"/>
    <n v="2.9008103100000002E-2"/>
    <n v="4.0960436900000001E-2"/>
    <n v="-0.121742326"/>
    <n v="-0.150695099"/>
  </r>
  <r>
    <x v="12"/>
    <x v="5"/>
    <x v="1"/>
    <n v="3.6707969465631707"/>
    <n v="5.9"/>
    <n v="3.7013019741124933"/>
    <n v="4.91"/>
    <n v="4.6834266839538587"/>
    <n v="2.7764562337662704"/>
    <n v="3.7532851539311465"/>
    <n v="3.4018971367764288"/>
    <n v="0.43965110000000002"/>
    <n v="-1.0630707999999995"/>
    <n v="-1.2225631000000001"/>
    <m/>
    <m/>
    <m/>
    <m/>
    <m/>
    <m/>
    <m/>
    <n v="5.64"/>
    <m/>
    <n v="1.0431999999999999"/>
    <m/>
    <m/>
    <m/>
    <m/>
    <m/>
    <m/>
    <m/>
    <m/>
    <m/>
    <m/>
    <n v="4.75"/>
    <n v="5.4094114140536238"/>
    <n v="6.5117453296447279"/>
    <n v="3.2134209741852371"/>
    <n v="2.6785527303131871"/>
    <n v="-0.28176356499999999"/>
    <n v="0.136284248"/>
    <n v="0.121927034"/>
    <n v="-0.18760442799999999"/>
    <n v="-9.1667874100000005E-2"/>
  </r>
  <r>
    <x v="12"/>
    <x v="6"/>
    <x v="2"/>
    <n v="3.6678907236754514"/>
    <n v="6"/>
    <n v="3.7037680666076871"/>
    <n v="5.31"/>
    <n v="4.6851821239574765"/>
    <n v="2.7548701717461008"/>
    <n v="3.7464877667342495"/>
    <n v="3.4041928906419536"/>
    <n v="-0.1096186"/>
    <n v="-1.1726893999999994"/>
    <n v="-1.3403499000000001"/>
    <m/>
    <m/>
    <m/>
    <m/>
    <m/>
    <m/>
    <m/>
    <n v="6.04"/>
    <m/>
    <n v="1.7810999999999999"/>
    <m/>
    <m/>
    <m/>
    <m/>
    <m/>
    <m/>
    <m/>
    <m/>
    <m/>
    <m/>
    <n v="5.5"/>
    <n v="5.4156558589652697"/>
    <n v="6.5215043897977774"/>
    <n v="3.2288657588975487"/>
    <n v="2.660399387626204"/>
    <n v="-8.3810049799999994E-2"/>
    <n v="0.12900250899999999"/>
    <n v="0.14998863600000001"/>
    <n v="-0.16698584299999999"/>
    <n v="-0.22266683500000001"/>
  </r>
  <r>
    <x v="12"/>
    <x v="7"/>
    <x v="2"/>
    <n v="3.6620707917686079"/>
    <n v="6.1"/>
    <n v="3.7062280924485496"/>
    <n v="5.56"/>
    <n v="4.6845357413688316"/>
    <n v="2.7737130899014906"/>
    <n v="3.7469124853645459"/>
    <n v="3.4096614600742847"/>
    <n v="0"/>
    <n v="-1.1726893999999994"/>
    <n v="-1.3403499000000001"/>
    <m/>
    <m/>
    <m/>
    <m/>
    <m/>
    <m/>
    <m/>
    <n v="5.8"/>
    <m/>
    <n v="1.5822000000000001"/>
    <m/>
    <m/>
    <m/>
    <m/>
    <m/>
    <m/>
    <m/>
    <m/>
    <m/>
    <m/>
    <n v="5.75"/>
    <n v="5.4187635196239041"/>
    <n v="6.5301484990023688"/>
    <n v="3.2227084708883771"/>
    <n v="2.6658383522929006"/>
    <n v="-8.3830698400000001E-2"/>
    <n v="-3.25775643E-2"/>
    <n v="3.7417490499999997E-2"/>
    <n v="-0.23843476799999999"/>
    <n v="-8.2802447900000006E-2"/>
  </r>
  <r>
    <x v="12"/>
    <x v="8"/>
    <x v="2"/>
    <n v="3.6781925520587913"/>
    <n v="6"/>
    <n v="3.708682081410116"/>
    <n v="5.55"/>
    <n v="4.6770256230885199"/>
    <n v="2.8250625695004836"/>
    <n v="3.7511497798400608"/>
    <n v="3.4114776910697118"/>
    <n v="0"/>
    <n v="-1.1726893999999994"/>
    <n v="-1.3403499000000001"/>
    <m/>
    <m/>
    <m/>
    <m/>
    <m/>
    <m/>
    <m/>
    <n v="5.41"/>
    <m/>
    <n v="-6.4972000000000002E-2"/>
    <m/>
    <m/>
    <m/>
    <m/>
    <m/>
    <m/>
    <m/>
    <m/>
    <m/>
    <m/>
    <n v="5.38"/>
    <n v="5.4227449449230889"/>
    <n v="6.5403082380614936"/>
    <n v="3.2326603798388174"/>
    <n v="2.7032386441049883"/>
    <n v="0.10309265200000001"/>
    <n v="7.4338567199999997E-2"/>
    <n v="-0.22420959600000001"/>
    <n v="-1.9989742099999999E-2"/>
    <n v="0.25599263799999999"/>
  </r>
  <r>
    <x v="12"/>
    <x v="9"/>
    <x v="3"/>
    <n v="3.6856492425936511"/>
    <n v="5.8"/>
    <n v="3.7111300630487558"/>
    <n v="5.2"/>
    <n v="4.6698336993138136"/>
    <n v="2.8277277373548295"/>
    <n v="3.7474077625530051"/>
    <n v="3.41795616547711"/>
    <n v="-0.29955159999999997"/>
    <n v="-1.4722409999999995"/>
    <n v="-1.6625306000000002"/>
    <m/>
    <m/>
    <m/>
    <m/>
    <m/>
    <m/>
    <m/>
    <n v="4.91"/>
    <m/>
    <n v="-1.3591"/>
    <m/>
    <m/>
    <m/>
    <m/>
    <m/>
    <m/>
    <m/>
    <m/>
    <m/>
    <m/>
    <n v="5.13"/>
    <n v="5.4258306868469965"/>
    <n v="6.5487920045253922"/>
    <n v="3.235378896967215"/>
    <n v="2.6982691892471045"/>
    <n v="-0.33663382800000002"/>
    <n v="-0.248136984"/>
    <n v="-0.34327194100000002"/>
    <n v="0.221597189"/>
    <n v="-0.21547180699999999"/>
  </r>
  <r>
    <x v="12"/>
    <x v="10"/>
    <x v="3"/>
    <n v="3.6898839494395399"/>
    <n v="6"/>
    <n v="3.713572066704308"/>
    <n v="4.91"/>
    <n v="4.6619285198067004"/>
    <n v="2.8275502803137558"/>
    <n v="3.7577289819943505"/>
    <n v="3.4210980433684917"/>
    <n v="-0.3463425"/>
    <n v="-1.8185834999999995"/>
    <n v="-2.0045754000000002"/>
    <m/>
    <m/>
    <m/>
    <m/>
    <m/>
    <m/>
    <m/>
    <n v="4.67"/>
    <m/>
    <n v="-0.80415000000000003"/>
    <m/>
    <m/>
    <m/>
    <m/>
    <m/>
    <m/>
    <m/>
    <m/>
    <m/>
    <m/>
    <n v="4.25"/>
    <n v="5.4284680510130814"/>
    <n v="6.5576302659071377"/>
    <n v="3.2376975791087887"/>
    <n v="2.698942182071483"/>
    <n v="-0.124474029"/>
    <n v="-0.17210568800000001"/>
    <n v="-0.144145839"/>
    <n v="0.120224815"/>
    <n v="-0.236537513"/>
  </r>
  <r>
    <x v="12"/>
    <x v="11"/>
    <x v="3"/>
    <n v="3.7013612316159921"/>
    <n v="6"/>
    <n v="3.7160081215021892"/>
    <n v="4.1399999999999997"/>
    <n v="4.6695524449173593"/>
    <n v="2.8251218726880474"/>
    <n v="3.7597339250821609"/>
    <n v="3.4329867041515629"/>
    <n v="-0.89109919999999998"/>
    <n v="-2.7096826999999992"/>
    <n v="-2.9254285000000002"/>
    <m/>
    <m/>
    <m/>
    <m/>
    <m/>
    <m/>
    <m/>
    <n v="4.5999999999999996"/>
    <m/>
    <n v="-3.6080999999999999"/>
    <m/>
    <m/>
    <m/>
    <m/>
    <m/>
    <m/>
    <m/>
    <m/>
    <m/>
    <m/>
    <n v="3"/>
    <n v="5.4306605535357502"/>
    <n v="6.5656874160037644"/>
    <n v="3.2453229948830491"/>
    <n v="2.7149596094031447"/>
    <n v="-0.128956924"/>
    <n v="-4.3013841800000001E-2"/>
    <n v="-0.28884845599999998"/>
    <n v="1.8923832200000001E-2"/>
    <n v="-8.9074939800000003E-2"/>
  </r>
  <r>
    <x v="13"/>
    <x v="0"/>
    <x v="0"/>
    <n v="3.7251077135712132"/>
    <n v="5.8"/>
    <n v="3.7184382563554808"/>
    <n v="3.5"/>
    <n v="4.7034758747722147"/>
    <n v="2.8486234085157789"/>
    <n v="3.7466293596548401"/>
    <n v="3.434890022628625"/>
    <n v="-0.26992919999999998"/>
    <n v="-2.9796118999999992"/>
    <n v="-3.1567563000000001"/>
    <m/>
    <m/>
    <m/>
    <m/>
    <m/>
    <m/>
    <m/>
    <n v="4.28"/>
    <m/>
    <n v="-3.5278"/>
    <m/>
    <m/>
    <m/>
    <m/>
    <m/>
    <m/>
    <m/>
    <m/>
    <m/>
    <m/>
    <n v="3.13"/>
    <n v="5.4385139970413201"/>
    <n v="6.5760516544360259"/>
    <n v="3.2951329145849551"/>
    <n v="2.7309200151929578"/>
    <n v="-0.41162772399999997"/>
    <n v="-2.4488693999999998E-2"/>
    <n v="-0.13723486200000001"/>
    <n v="0.18888890799999999"/>
    <n v="-7.6630304100000005E-2"/>
  </r>
  <r>
    <x v="13"/>
    <x v="1"/>
    <x v="0"/>
    <n v="3.7345337542161601"/>
    <n v="5.7"/>
    <n v="3.7232808808312687"/>
    <n v="3.29"/>
    <n v="4.7215299871042866"/>
    <n v="2.8367365420635329"/>
    <n v="3.7543628412250287"/>
    <n v="3.4380434827828181"/>
    <n v="-8.2486199999999996E-2"/>
    <n v="-3.0620980999999992"/>
    <n v="-3.2416377999999999"/>
    <m/>
    <m/>
    <m/>
    <m/>
    <m/>
    <m/>
    <m/>
    <n v="4.2699999999999996"/>
    <m/>
    <n v="-1.79"/>
    <m/>
    <m/>
    <m/>
    <m/>
    <m/>
    <m/>
    <m/>
    <m/>
    <m/>
    <m/>
    <n v="3.25"/>
    <n v="5.4480296397763635"/>
    <n v="6.5871367062840918"/>
    <n v="3.2732124835211751"/>
    <n v="2.7298769223283172"/>
    <n v="-0.71471978800000002"/>
    <n v="-0.230897662"/>
    <n v="-0.32646393099999998"/>
    <n v="0.273847699"/>
    <n v="-0.237034936"/>
  </r>
  <r>
    <x v="13"/>
    <x v="2"/>
    <x v="0"/>
    <n v="3.7418015462898806"/>
    <n v="5.8"/>
    <n v="3.7232808808312687"/>
    <n v="3.83"/>
    <n v="4.7395262384871701"/>
    <n v="2.8628292548897636"/>
    <n v="3.7735881820408905"/>
    <n v="3.449257120405715"/>
    <n v="0.23055020000000001"/>
    <n v="-2.831547899999999"/>
    <n v="-2.9879769"/>
    <m/>
    <m/>
    <m/>
    <m/>
    <m/>
    <m/>
    <m/>
    <n v="4.67"/>
    <m/>
    <n v="2.4319000000000002"/>
    <m/>
    <m/>
    <m/>
    <m/>
    <m/>
    <m/>
    <m/>
    <m/>
    <m/>
    <m/>
    <n v="4"/>
    <n v="5.4566023455137502"/>
    <n v="6.5978275975830361"/>
    <n v="3.2777106105890934"/>
    <n v="2.7331979946348621"/>
    <n v="-0.420120885"/>
    <n v="-6.8123679399999998E-2"/>
    <n v="-3.1804814299999998E-2"/>
    <n v="9.8570606399999997E-2"/>
    <n v="-2.9594116E-2"/>
  </r>
  <r>
    <x v="13"/>
    <x v="3"/>
    <x v="1"/>
    <n v="3.752206303974261"/>
    <n v="5.7"/>
    <n v="3.7256934272366524"/>
    <n v="4.17"/>
    <n v="4.7501359562382772"/>
    <n v="2.864712011115587"/>
    <n v="3.7776455406998273"/>
    <n v="3.4517637452328431"/>
    <n v="-0.14241419999999999"/>
    <n v="-2.9739620999999992"/>
    <n v="-3.0921608000000003"/>
    <m/>
    <m/>
    <m/>
    <m/>
    <m/>
    <m/>
    <m/>
    <n v="4.96"/>
    <m/>
    <n v="0.44497999999999999"/>
    <m/>
    <m/>
    <m/>
    <m/>
    <m/>
    <m/>
    <m/>
    <m/>
    <m/>
    <m/>
    <n v="4.3099999999999996"/>
    <n v="5.4621354517774314"/>
    <n v="6.604485683188642"/>
    <n v="3.3017084831614127"/>
    <n v="2.7430311699974554"/>
    <n v="-0.47681093099999999"/>
    <n v="-0.19548660000000001"/>
    <n v="-0.144695451"/>
    <n v="-0.107605298"/>
    <n v="8.0146627499999998E-2"/>
  </r>
  <r>
    <x v="13"/>
    <x v="4"/>
    <x v="1"/>
    <n v="3.7517462662242758"/>
    <n v="5.7"/>
    <n v="3.7281001672672178"/>
    <n v="4.2699999999999996"/>
    <n v="4.7828141532309347"/>
    <n v="2.8779617378194833"/>
    <n v="3.7886342872509284"/>
    <n v="3.4504953533834417"/>
    <n v="-0.13742199999999999"/>
    <n v="-3.1113840999999991"/>
    <n v="-3.2061368000000003"/>
    <m/>
    <m/>
    <m/>
    <m/>
    <m/>
    <m/>
    <m/>
    <n v="4.6399999999999997"/>
    <m/>
    <n v="-1.8085"/>
    <m/>
    <m/>
    <m/>
    <m/>
    <m/>
    <m/>
    <m/>
    <m/>
    <m/>
    <m/>
    <n v="4.75"/>
    <n v="5.4634079864136291"/>
    <n v="6.6110997317312474"/>
    <n v="3.3097762961838257"/>
    <n v="2.7490641771928241"/>
    <n v="-0.44794803500000002"/>
    <n v="-0.16356263400000001"/>
    <n v="-1.57908457E-2"/>
    <n v="-7.1561964899999997E-2"/>
    <n v="-9.9563064300000004E-2"/>
  </r>
  <r>
    <x v="13"/>
    <x v="5"/>
    <x v="1"/>
    <n v="3.7544962999004503"/>
    <n v="5.7"/>
    <n v="3.730501128804756"/>
    <n v="4.46"/>
    <n v="4.7803832035447513"/>
    <n v="2.8800407990577996"/>
    <n v="3.7885211484408021"/>
    <n v="3.4563166808832348"/>
    <n v="-9.3250600000000003E-2"/>
    <n v="-3.2046346999999993"/>
    <n v="-3.2570259000000004"/>
    <m/>
    <m/>
    <m/>
    <m/>
    <m/>
    <m/>
    <m/>
    <n v="4.93"/>
    <m/>
    <n v="-1.4224000000000001"/>
    <m/>
    <m/>
    <m/>
    <m/>
    <m/>
    <m/>
    <m/>
    <m/>
    <m/>
    <m/>
    <n v="4.5"/>
    <n v="5.4663709515442864"/>
    <n v="6.6196731265090163"/>
    <n v="3.2960220340448543"/>
    <n v="2.7605793981140505"/>
    <n v="-0.266988314"/>
    <n v="1.35355545E-2"/>
    <n v="-0.217094712"/>
    <n v="-2.4722310500000001E-2"/>
    <n v="0.22983490500000001"/>
  </r>
  <r>
    <x v="13"/>
    <x v="6"/>
    <x v="2"/>
    <n v="3.7541567647793053"/>
    <n v="5.6"/>
    <n v="3.7328963395307104"/>
    <n v="4.55"/>
    <n v="4.7860740716944257"/>
    <n v="2.8937549174415267"/>
    <n v="3.7947023628516034"/>
    <n v="3.4625119614812481"/>
    <n v="0"/>
    <n v="-3.2046346999999993"/>
    <n v="-3.2570259000000004"/>
    <m/>
    <m/>
    <m/>
    <m/>
    <m/>
    <m/>
    <m/>
    <n v="4.96"/>
    <m/>
    <n v="-1.6858"/>
    <m/>
    <m/>
    <m/>
    <m/>
    <m/>
    <m/>
    <m/>
    <m/>
    <m/>
    <m/>
    <n v="4.5"/>
    <n v="5.4756263815184472"/>
    <n v="6.6326603220358278"/>
    <n v="3.31072547849808"/>
    <n v="2.7470785880696882"/>
    <n v="-0.29538904500000002"/>
    <n v="-3.8481717700000001E-2"/>
    <n v="-0.193537924"/>
    <n v="-9.4336372099999996E-2"/>
    <n v="0.14487735299999999"/>
  </r>
  <r>
    <x v="13"/>
    <x v="7"/>
    <x v="2"/>
    <n v="3.7672446016237715"/>
    <n v="5.6"/>
    <n v="3.735285826928092"/>
    <n v="4.8"/>
    <n v="4.7954599124312232"/>
    <n v="2.9054245605224573"/>
    <n v="3.7982494211682791"/>
    <n v="3.4672347789234625"/>
    <n v="0"/>
    <n v="-3.2046346999999993"/>
    <n v="-3.2570259000000004"/>
    <m/>
    <m/>
    <m/>
    <m/>
    <m/>
    <m/>
    <m/>
    <n v="4.9800000000000004"/>
    <m/>
    <n v="0.72902999999999996"/>
    <m/>
    <m/>
    <m/>
    <m/>
    <m/>
    <m/>
    <m/>
    <m/>
    <m/>
    <m/>
    <n v="5.13"/>
    <n v="5.4843819096208257"/>
    <n v="6.6447007763550863"/>
    <n v="3.3099954182356846"/>
    <n v="2.7487441874297662"/>
    <n v="-1.82228197E-2"/>
    <n v="-5.1507511099999998E-3"/>
    <n v="-6.3509722000000005E-2"/>
    <n v="-0.124359308"/>
    <n v="2.5240198200000001E-2"/>
  </r>
  <r>
    <x v="13"/>
    <x v="8"/>
    <x v="2"/>
    <n v="3.7746924049443855"/>
    <n v="5.5"/>
    <n v="3.7400477406883357"/>
    <n v="4.87"/>
    <n v="4.8097423517168654"/>
    <n v="2.8997718824080798"/>
    <n v="3.8028998644097509"/>
    <n v="3.4692297920539823"/>
    <n v="0"/>
    <n v="-3.2046346999999993"/>
    <n v="-3.2570259000000004"/>
    <m/>
    <m/>
    <m/>
    <m/>
    <m/>
    <m/>
    <m/>
    <n v="5.52"/>
    <m/>
    <n v="-0.45351000000000002"/>
    <m/>
    <m/>
    <m/>
    <m/>
    <m/>
    <m/>
    <m/>
    <m/>
    <m/>
    <m/>
    <n v="4.88"/>
    <n v="5.4938841500920121"/>
    <n v="6.6571120539653421"/>
    <n v="3.3058238665188568"/>
    <n v="2.738191358014197"/>
    <n v="-0.67429508299999996"/>
    <n v="-0.16055725500000001"/>
    <n v="-0.22362623000000001"/>
    <n v="6.5359843000000001E-2"/>
    <n v="-0.10385583399999999"/>
  </r>
  <r>
    <x v="13"/>
    <x v="9"/>
    <x v="3"/>
    <n v="3.788355942787677"/>
    <n v="5.6"/>
    <n v="3.7424202210419661"/>
    <n v="5.04"/>
    <n v="4.8241450604300811"/>
    <n v="2.9412232880535982"/>
    <n v="3.8193812621780943"/>
    <n v="3.4780966924979464"/>
    <n v="0"/>
    <n v="-3.2046346999999993"/>
    <n v="-3.2570259000000004"/>
    <m/>
    <m/>
    <m/>
    <m/>
    <m/>
    <m/>
    <m/>
    <n v="5.52"/>
    <m/>
    <n v="0.86706000000000005"/>
    <m/>
    <m/>
    <m/>
    <m/>
    <m/>
    <m/>
    <m/>
    <m/>
    <m/>
    <m/>
    <n v="4.88"/>
    <n v="5.5012582105447274"/>
    <n v="6.6681011755409374"/>
    <n v="3.3339886319687055"/>
    <n v="2.7496399008613732"/>
    <n v="-0.49432175499999997"/>
    <n v="3.6381266799999999E-2"/>
    <n v="8.1420713800000002E-2"/>
    <n v="-0.108585472"/>
    <n v="0.102461935"/>
  </r>
  <r>
    <x v="13"/>
    <x v="10"/>
    <x v="3"/>
    <n v="3.7997318616886915"/>
    <n v="5.3"/>
    <n v="3.7471483622379123"/>
    <n v="5.0599999999999996"/>
    <n v="4.8377094589426637"/>
    <n v="2.951623633927928"/>
    <n v="3.8166788250458081"/>
    <n v="3.484404308678541"/>
    <n v="1.24695E-2"/>
    <n v="-3.1921651999999994"/>
    <n v="-3.2215014000000002"/>
    <m/>
    <m/>
    <m/>
    <m/>
    <m/>
    <m/>
    <m/>
    <n v="5.27"/>
    <m/>
    <n v="-0.26706999999999997"/>
    <m/>
    <m/>
    <m/>
    <m/>
    <m/>
    <m/>
    <m/>
    <m/>
    <m/>
    <m/>
    <n v="5.19"/>
    <n v="5.5069562316593643"/>
    <n v="6.6769575087310677"/>
    <n v="3.2580965380214821"/>
    <n v="2.762096369519297"/>
    <n v="-0.73481988799999998"/>
    <n v="-0.25544602300000002"/>
    <n v="-0.28642022700000003"/>
    <n v="-3.8188884899999997E-2"/>
    <n v="-9.0279237299999995E-2"/>
  </r>
  <r>
    <x v="13"/>
    <x v="11"/>
    <x v="3"/>
    <n v="3.8110815999926011"/>
    <n v="5.2"/>
    <n v="3.7495040759303713"/>
    <n v="5.33"/>
    <n v="4.87351652213313"/>
    <n v="2.9608302215447262"/>
    <n v="3.8159525366774125"/>
    <n v="3.4896660296497637"/>
    <n v="-2.2706199999999999E-2"/>
    <n v="-3.2148713999999994"/>
    <n v="-3.2496506000000003"/>
    <m/>
    <m/>
    <m/>
    <m/>
    <m/>
    <m/>
    <m/>
    <n v="5.52"/>
    <m/>
    <n v="0.67476000000000003"/>
    <m/>
    <m/>
    <m/>
    <m/>
    <m/>
    <m/>
    <m/>
    <m/>
    <m/>
    <m/>
    <n v="5.5"/>
    <n v="5.518255786913298"/>
    <n v="6.6874826027596104"/>
    <n v="3.2314761068439393"/>
    <n v="2.7469503500597665"/>
    <n v="-0.69516715699999998"/>
    <n v="-6.5308096400000001E-2"/>
    <n v="-0.189131835"/>
    <n v="9.7478094900000006E-2"/>
    <n v="0.18737329999999999"/>
  </r>
  <r>
    <x v="14"/>
    <x v="0"/>
    <x v="0"/>
    <n v="3.8176705668432467"/>
    <n v="4.9000000000000004"/>
    <n v="3.7541989202345789"/>
    <n v="5.94"/>
    <n v="4.9009692265418199"/>
    <n v="2.9961321935753178"/>
    <n v="3.8232792195935916"/>
    <n v="3.4931686602009657"/>
    <n v="0.26632749999999999"/>
    <n v="-2.9485438999999993"/>
    <n v="-2.9700395000000004"/>
    <m/>
    <m/>
    <m/>
    <m/>
    <m/>
    <m/>
    <m/>
    <n v="5.89"/>
    <n v="8.3799999999999999E-2"/>
    <n v="2.5139999999999998"/>
    <m/>
    <m/>
    <m/>
    <m/>
    <m/>
    <m/>
    <m/>
    <m/>
    <m/>
    <m/>
    <n v="6.5"/>
    <n v="5.5274429895397938"/>
    <n v="6.6974045494666798"/>
    <n v="3.2732124835211751"/>
    <n v="2.7439320129899767"/>
    <n v="-0.73715145000000004"/>
    <n v="-3.3869999999999997E-2"/>
    <n v="-0.13193888100000001"/>
    <n v="2.1418568900000001E-2"/>
    <n v="0.154829568"/>
  </r>
  <r>
    <x v="14"/>
    <x v="1"/>
    <x v="0"/>
    <n v="3.8324320290419998"/>
    <n v="5"/>
    <n v="3.7612001156935624"/>
    <n v="6.58"/>
    <n v="4.962844630259907"/>
    <n v="3.0128351814536534"/>
    <n v="3.8277932107943307"/>
    <n v="3.497022580336643"/>
    <n v="0.20039209999999999"/>
    <n v="-2.7481517999999991"/>
    <n v="-2.7445412000000005"/>
    <m/>
    <m/>
    <m/>
    <m/>
    <m/>
    <m/>
    <m/>
    <n v="6.19"/>
    <n v="5.21E-2"/>
    <n v="2.5659000000000001"/>
    <m/>
    <m/>
    <m/>
    <m/>
    <m/>
    <m/>
    <m/>
    <m/>
    <m/>
    <m/>
    <n v="7.5"/>
    <n v="5.5302224235308195"/>
    <n v="6.702083208579932"/>
    <n v="3.2466466218135572"/>
    <n v="2.716018370751387"/>
    <n v="-0.67849634400000003"/>
    <n v="3.3940680299999998E-2"/>
    <n v="-6.5527701899999999E-2"/>
    <n v="-8.3760826699999999E-2"/>
    <n v="0.34994349000000002"/>
  </r>
  <r>
    <x v="14"/>
    <x v="2"/>
    <x v="0"/>
    <n v="3.8329516591636588"/>
    <n v="4.9000000000000004"/>
    <n v="3.7704594411063592"/>
    <n v="7.09"/>
    <n v="5.0097682516569044"/>
    <n v="3.0296988231172639"/>
    <n v="3.8189423384121044"/>
    <n v="3.5001977141672991"/>
    <n v="3.8923899999999997E-2"/>
    <n v="-2.7092278999999992"/>
    <n v="-2.6799824000000005"/>
    <m/>
    <m/>
    <m/>
    <m/>
    <m/>
    <m/>
    <m/>
    <n v="6.85"/>
    <n v="-5.2299999999999999E-2"/>
    <n v="0.98655000000000004"/>
    <m/>
    <m/>
    <m/>
    <m/>
    <m/>
    <m/>
    <m/>
    <m/>
    <m/>
    <m/>
    <n v="7.38"/>
    <n v="5.52823790214127"/>
    <n v="6.7035561436688651"/>
    <n v="3.2594801957101409"/>
    <n v="2.7146285164623327"/>
    <n v="-1.0017417"/>
    <n v="0.24371363200000001"/>
    <n v="-0.10973008400000001"/>
    <n v="0.110858607"/>
    <n v="0.20090836000000001"/>
  </r>
  <r>
    <x v="14"/>
    <x v="3"/>
    <x v="1"/>
    <n v="3.8313182453129149"/>
    <n v="5"/>
    <n v="3.7773481021015445"/>
    <n v="7.12"/>
    <n v="5.0295878870129425"/>
    <n v="3.0120976276402551"/>
    <n v="3.8147408826215923"/>
    <n v="3.5008617047751005"/>
    <n v="-9.2673000000000005E-2"/>
    <n v="-2.8019008999999993"/>
    <n v="-2.7439434000000005"/>
    <m/>
    <m/>
    <m/>
    <m/>
    <m/>
    <m/>
    <m/>
    <n v="6.85"/>
    <n v="-0.1055"/>
    <n v="-3.5939000000000001"/>
    <m/>
    <m/>
    <m/>
    <m/>
    <m/>
    <m/>
    <m/>
    <m/>
    <m/>
    <m/>
    <n v="7.63"/>
    <n v="5.5322030143941481"/>
    <n v="6.7089384196589847"/>
    <n v="3.2781253840721614"/>
    <n v="2.7093826463359885"/>
    <n v="-0.64092913299999998"/>
    <n v="0.57316341900000001"/>
    <n v="6.6602130600000004E-2"/>
    <n v="1.17647063E-2"/>
    <n v="0.429202629"/>
  </r>
  <r>
    <x v="14"/>
    <x v="4"/>
    <x v="1"/>
    <n v="3.8377023952839537"/>
    <n v="4.9000000000000004"/>
    <n v="3.7819143200811256"/>
    <n v="7.84"/>
    <n v="5.0825217528963655"/>
    <n v="3.0157799688577689"/>
    <n v="3.813020015586138"/>
    <n v="3.5050167103011525"/>
    <n v="0.28743600000000002"/>
    <n v="-2.5144648999999992"/>
    <n v="-2.4267627000000003"/>
    <m/>
    <m/>
    <m/>
    <m/>
    <m/>
    <m/>
    <m/>
    <n v="6.89"/>
    <n v="-1.6E-2"/>
    <n v="2.2418"/>
    <m/>
    <m/>
    <m/>
    <m/>
    <m/>
    <m/>
    <m/>
    <m/>
    <m/>
    <m/>
    <n v="8.1300000000000008"/>
    <n v="5.5408713113820696"/>
    <n v="6.7175628278076127"/>
    <n v="3.2735912570570092"/>
    <n v="2.6965847229929318"/>
    <n v="-0.339886729"/>
    <n v="0.37479595399999999"/>
    <n v="-0.135844509"/>
    <n v="-9.1881295900000007E-2"/>
    <n v="0.41995949199999999"/>
  </r>
  <r>
    <x v="14"/>
    <x v="5"/>
    <x v="1"/>
    <n v="3.8383613951785871"/>
    <n v="4.9000000000000004"/>
    <n v="3.7887247890836524"/>
    <n v="8.49"/>
    <n v="5.1431244771423348"/>
    <n v="2.9749171338400711"/>
    <n v="3.816810820822135"/>
    <n v="3.5100517865742376"/>
    <n v="0.35885600000000001"/>
    <n v="-2.1556088999999994"/>
    <n v="-2.0175988"/>
    <m/>
    <m/>
    <m/>
    <m/>
    <m/>
    <m/>
    <m/>
    <n v="7.31"/>
    <n v="5.7200000000000001E-2"/>
    <n v="1.4888999999999999"/>
    <m/>
    <m/>
    <m/>
    <m/>
    <m/>
    <m/>
    <m/>
    <m/>
    <m/>
    <m/>
    <n v="8.8800000000000008"/>
    <n v="5.5479080878770946"/>
    <n v="6.7253937213881612"/>
    <n v="3.262011939745336"/>
    <n v="2.7010255861652457"/>
    <n v="-0.45698911199999998"/>
    <n v="0.33870545000000002"/>
    <n v="-0.17744539200000001"/>
    <n v="-2.62076189E-2"/>
    <n v="0.160674555"/>
  </r>
  <r>
    <x v="14"/>
    <x v="6"/>
    <x v="2"/>
    <n v="3.8427543816393088"/>
    <n v="4.8"/>
    <n v="3.7887247890836524"/>
    <n v="10.4"/>
    <n v="5.204446150937966"/>
    <n v="2.9879520862350288"/>
    <n v="3.8355522440852359"/>
    <n v="3.50927420481421"/>
    <n v="8.2284899999999994E-2"/>
    <n v="-2.0733239999999995"/>
    <n v="-1.9059519"/>
    <m/>
    <m/>
    <m/>
    <m/>
    <m/>
    <m/>
    <m/>
    <n v="8.39"/>
    <n v="-0.3679"/>
    <n v="11.521000000000001"/>
    <m/>
    <m/>
    <m/>
    <m/>
    <m/>
    <m/>
    <m/>
    <m/>
    <m/>
    <m/>
    <n v="11.22"/>
    <n v="5.551019720103791"/>
    <n v="6.7292265204268791"/>
    <n v="3.3035845527951548"/>
    <n v="2.7103808164404923"/>
    <n v="-0.480997059"/>
    <n v="0.44643511000000002"/>
    <n v="-0.10058207"/>
    <n v="-0.15559598799999999"/>
    <n v="0.379030178"/>
  </r>
  <r>
    <x v="14"/>
    <x v="7"/>
    <x v="2"/>
    <n v="3.840915757364483"/>
    <n v="4.8"/>
    <n v="3.8066624897703196"/>
    <n v="10.5"/>
    <n v="5.3365760786651268"/>
    <n v="2.9751723595886297"/>
    <n v="3.8033458848002764"/>
    <n v="3.5099919940542641"/>
    <n v="0.24591160000000001"/>
    <n v="-1.8274123999999996"/>
    <n v="-1.5865507999999999"/>
    <m/>
    <m/>
    <m/>
    <m/>
    <m/>
    <m/>
    <m/>
    <n v="8.82"/>
    <n v="-0.2306"/>
    <n v="-2.2216"/>
    <m/>
    <m/>
    <m/>
    <m/>
    <m/>
    <m/>
    <m/>
    <m/>
    <m/>
    <m/>
    <n v="11.22"/>
    <n v="5.551796117658319"/>
    <n v="6.7319722990277651"/>
    <n v="3.3111997320137085"/>
    <n v="2.6831425653960252"/>
    <n v="-0.236890564"/>
    <n v="0.116251905"/>
    <n v="-0.16741004900000001"/>
    <n v="-0.52143378900000004"/>
    <n v="2.7661735699999999E-2"/>
  </r>
  <r>
    <x v="14"/>
    <x v="8"/>
    <x v="2"/>
    <n v="3.8497900910022098"/>
    <n v="4.8"/>
    <n v="3.8110970868381857"/>
    <n v="10.78"/>
    <n v="5.2740246739789924"/>
    <n v="3.0129826269605187"/>
    <n v="3.8194251439605797"/>
    <n v="3.5166369327616458"/>
    <n v="-0.60312739999999998"/>
    <n v="-2.4305397999999996"/>
    <n v="-2.1589483"/>
    <m/>
    <m/>
    <m/>
    <m/>
    <m/>
    <m/>
    <m/>
    <n v="8.31"/>
    <n v="-0.32190000000000002"/>
    <n v="0.81535000000000002"/>
    <m/>
    <m/>
    <m/>
    <m/>
    <m/>
    <m/>
    <m/>
    <m/>
    <m/>
    <m/>
    <n v="10.82"/>
    <n v="5.5525719128872986"/>
    <n v="6.7325682110887817"/>
    <n v="3.3179969157360079"/>
    <n v="2.7002196219870216"/>
    <n v="-0.46643919099999998"/>
    <n v="1.22616188"/>
    <n v="0.384112501"/>
    <n v="9.9445535199999997E-3"/>
    <n v="0.464661502"/>
  </r>
  <r>
    <x v="14"/>
    <x v="9"/>
    <x v="3"/>
    <n v="3.8566138842127295"/>
    <n v="4.5999999999999996"/>
    <n v="3.8199077165203406"/>
    <n v="10.01"/>
    <n v="5.2578078232098271"/>
    <n v="2.9794504409797082"/>
    <n v="3.8144983755380948"/>
    <n v="3.5164290171152448"/>
    <n v="-0.87293960000000004"/>
    <n v="-3.3034793999999996"/>
    <n v="-3.0083080999999998"/>
    <m/>
    <m/>
    <m/>
    <m/>
    <m/>
    <m/>
    <m/>
    <n v="7.4"/>
    <n v="0.1515"/>
    <n v="-6.6782000000000004"/>
    <m/>
    <m/>
    <m/>
    <m/>
    <m/>
    <m/>
    <m/>
    <m/>
    <m/>
    <m/>
    <n v="10.61"/>
    <n v="5.5568280616995374"/>
    <n v="6.7364923495449158"/>
    <n v="3.3523922173802223"/>
    <n v="2.7374795451262135"/>
    <n v="-0.31380623000000002"/>
    <n v="0.15867055399999999"/>
    <n v="-0.47280417400000002"/>
    <n v="-7.2594867800000004E-2"/>
    <n v="-0.18892425099999999"/>
  </r>
  <r>
    <x v="14"/>
    <x v="10"/>
    <x v="3"/>
    <n v="3.8617733767583298"/>
    <n v="4.8"/>
    <n v="3.8264651170664994"/>
    <n v="10.029999999999999"/>
    <n v="5.2577557547919138"/>
    <n v="2.9747639671177946"/>
    <n v="3.819841924882434"/>
    <n v="3.5178241935938748"/>
    <n v="-0.1196041"/>
    <n v="-3.4230834999999997"/>
    <n v="-3.1046247"/>
    <m/>
    <m/>
    <m/>
    <m/>
    <m/>
    <m/>
    <m/>
    <n v="7.57"/>
    <n v="4.48E-2"/>
    <n v="0.49725999999999998"/>
    <m/>
    <m/>
    <m/>
    <m/>
    <m/>
    <m/>
    <m/>
    <m/>
    <m/>
    <m/>
    <n v="10.34"/>
    <n v="5.5645204073226937"/>
    <n v="6.7439413937439223"/>
    <n v="3.3458608366226894"/>
    <n v="2.7463089132193006"/>
    <n v="-0.41391552799999998"/>
    <n v="0.50007564400000004"/>
    <n v="-0.60116125899999995"/>
    <n v="0.28148126000000001"/>
    <n v="5.5445713000000004E-3"/>
  </r>
  <r>
    <x v="14"/>
    <x v="11"/>
    <x v="3"/>
    <n v="3.8594109471167362"/>
    <n v="4.9000000000000004"/>
    <n v="3.8351419610921882"/>
    <n v="9.9499999999999993"/>
    <n v="5.3197363339213366"/>
    <n v="2.9511532301560237"/>
    <n v="3.8124015453965656"/>
    <n v="3.5129772491221654"/>
    <n v="-0.19873830000000001"/>
    <n v="-3.6218217999999998"/>
    <n v="-3.2697718999999998"/>
    <m/>
    <m/>
    <m/>
    <m/>
    <m/>
    <m/>
    <m/>
    <n v="7.27"/>
    <n v="-9.2999999999999992E-3"/>
    <n v="-0.23057"/>
    <m/>
    <m/>
    <m/>
    <m/>
    <m/>
    <m/>
    <m/>
    <m/>
    <m/>
    <m/>
    <n v="9.83"/>
    <n v="5.5717737317358358"/>
    <n v="6.751686093332248"/>
    <n v="3.348956269816465"/>
    <n v="2.7551246084881389"/>
    <n v="-0.57945826700000003"/>
    <n v="0.57578951499999997"/>
    <n v="-0.13674467800000001"/>
    <n v="-0.15681526700000001"/>
    <n v="0.13203468700000001"/>
  </r>
  <r>
    <x v="15"/>
    <x v="0"/>
    <x v="0"/>
    <n v="3.8523558001422011"/>
    <n v="5.0999999999999996"/>
    <n v="3.8458832029236012"/>
    <n v="9.65"/>
    <n v="5.3628871371973368"/>
    <n v="2.950368731802461"/>
    <n v="3.809901682361386"/>
    <n v="3.51390087157524"/>
    <n v="-0.2057967"/>
    <n v="-3.8276184999999998"/>
    <n v="-3.4732729"/>
    <m/>
    <m/>
    <m/>
    <m/>
    <m/>
    <m/>
    <m/>
    <n v="7.42"/>
    <n v="-4.3400000000000001E-2"/>
    <n v="-1.8007"/>
    <m/>
    <m/>
    <m/>
    <m/>
    <m/>
    <m/>
    <m/>
    <m/>
    <m/>
    <m/>
    <n v="9.31"/>
    <n v="5.575191240283214"/>
    <n v="6.7565834911803986"/>
    <n v="3.3804843400646138"/>
    <n v="2.7832195145958067"/>
    <n v="-0.13436804299999999"/>
    <n v="0.68829278400000005"/>
    <n v="-0.183472635"/>
    <n v="-0.102671093"/>
    <n v="0.46638673200000003"/>
  </r>
  <r>
    <x v="15"/>
    <x v="1"/>
    <x v="0"/>
    <n v="3.8492471964668944"/>
    <n v="5.2"/>
    <n v="3.8565102954978872"/>
    <n v="8.9700000000000006"/>
    <n v="5.4469528656871846"/>
    <n v="2.9309270501878752"/>
    <n v="3.8024982758987091"/>
    <n v="3.5130666692328076"/>
    <n v="0.20245959999999999"/>
    <n v="-3.6251588999999997"/>
    <n v="-3.2714387999999999"/>
    <m/>
    <m/>
    <m/>
    <m/>
    <m/>
    <m/>
    <m/>
    <n v="6.88"/>
    <n v="0.1772"/>
    <n v="-4.7039"/>
    <m/>
    <m/>
    <m/>
    <m/>
    <m/>
    <m/>
    <m/>
    <m/>
    <m/>
    <m/>
    <n v="8.8699999999999992"/>
    <n v="5.5808612611436939"/>
    <n v="6.7618042234978333"/>
    <n v="3.3546297458458207"/>
    <n v="2.768392430108372"/>
    <n v="-0.16506637699999999"/>
    <n v="1.07483401"/>
    <n v="0.21051861599999999"/>
    <n v="2.4367753900000001E-2"/>
    <n v="0.51562801899999999"/>
  </r>
  <r>
    <x v="15"/>
    <x v="2"/>
    <x v="0"/>
    <n v="3.8495069710181151"/>
    <n v="5.0999999999999996"/>
    <n v="3.8670256394974101"/>
    <n v="9.35"/>
    <n v="5.4510384535657002"/>
    <n v="2.9530335190208756"/>
    <n v="3.793757353331181"/>
    <n v="3.5158941782969686"/>
    <n v="0.75529069999999998"/>
    <n v="-2.8698682"/>
    <n v="-2.5358248999999997"/>
    <m/>
    <m/>
    <m/>
    <m/>
    <m/>
    <m/>
    <m/>
    <n v="7.76"/>
    <n v="-0.123"/>
    <n v="2.0507"/>
    <m/>
    <m/>
    <m/>
    <m/>
    <m/>
    <m/>
    <m/>
    <m/>
    <m/>
    <m/>
    <n v="9.9499999999999993"/>
    <n v="5.5861244311879688"/>
    <n v="6.768608147571979"/>
    <n v="3.3490265093332461"/>
    <n v="2.7610853109813518"/>
    <n v="-0.11651840099999999"/>
    <n v="0.95187144599999995"/>
    <n v="-0.15823922700000001"/>
    <n v="0.29988092"/>
    <n v="0.30459741099999998"/>
  </r>
  <r>
    <x v="15"/>
    <x v="3"/>
    <x v="1"/>
    <n v="3.846553918114811"/>
    <n v="5.0999999999999996"/>
    <n v="3.8732821771117156"/>
    <n v="10.51"/>
    <n v="5.4416381859922591"/>
    <n v="2.950264085506844"/>
    <n v="3.7961855758521779"/>
    <n v="3.5214071001701877"/>
    <n v="0.39193080000000002"/>
    <n v="-2.4779374000000001"/>
    <n v="-2.1493357"/>
    <m/>
    <m/>
    <m/>
    <m/>
    <m/>
    <m/>
    <m/>
    <n v="8.6199999999999992"/>
    <n v="1.8800000000000001E-2"/>
    <n v="6.6502999999999997"/>
    <m/>
    <m/>
    <m/>
    <m/>
    <m/>
    <m/>
    <m/>
    <m/>
    <m/>
    <m/>
    <n v="11"/>
    <n v="5.5879974416624902"/>
    <n v="6.7718210017413041"/>
    <n v="3.3860837438521072"/>
    <n v="2.7447677840373728"/>
    <n v="-0.30370370899999999"/>
    <n v="0.84812345200000006"/>
    <n v="0.24752054400000001"/>
    <n v="-2.4494212800000002E-2"/>
    <n v="8.7295501600000006E-2"/>
  </r>
  <r>
    <x v="15"/>
    <x v="4"/>
    <x v="1"/>
    <n v="3.8538619714855415"/>
    <n v="5.0999999999999996"/>
    <n v="3.8836235309064482"/>
    <n v="11.31"/>
    <n v="5.4012349005547229"/>
    <n v="2.9622788972947713"/>
    <n v="3.795354348620942"/>
    <n v="3.524181682073531"/>
    <n v="0.34379110000000002"/>
    <n v="-2.1341463000000003"/>
    <n v="-1.758057"/>
    <m/>
    <m/>
    <m/>
    <m/>
    <m/>
    <m/>
    <m/>
    <n v="8.7799999999999994"/>
    <n v="3.7600000000000001E-2"/>
    <n v="2.7353999999999998"/>
    <m/>
    <m/>
    <m/>
    <m/>
    <m/>
    <m/>
    <m/>
    <m/>
    <m/>
    <m/>
    <n v="11.64"/>
    <n v="5.5894933282540737"/>
    <n v="6.7737666389788203"/>
    <n v="3.3972897568311384"/>
    <n v="2.6968544283414753"/>
    <n v="-0.13337459199999999"/>
    <n v="0.70330790899999995"/>
    <n v="0.106303647"/>
    <n v="-0.34506895799999998"/>
    <n v="8.7676501500000004E-2"/>
  </r>
  <r>
    <x v="15"/>
    <x v="5"/>
    <x v="1"/>
    <n v="3.8531770508448822"/>
    <n v="5.4"/>
    <n v="3.8918202981106265"/>
    <n v="11.93"/>
    <n v="5.4134301736485408"/>
    <n v="2.9378912738641412"/>
    <n v="3.7946798730001481"/>
    <n v="3.5266251954700936"/>
    <n v="0.23393800000000001"/>
    <n v="-1.9002083000000003"/>
    <n v="-1.4805796"/>
    <m/>
    <m/>
    <m/>
    <m/>
    <m/>
    <m/>
    <m/>
    <n v="8.67"/>
    <n v="0.60229999999999995"/>
    <n v="1.7506999999999999"/>
    <m/>
    <m/>
    <m/>
    <m/>
    <m/>
    <m/>
    <m/>
    <m/>
    <m/>
    <m/>
    <n v="13.31"/>
    <n v="5.5928509139489195"/>
    <n v="6.7774187772541339"/>
    <n v="3.3941391978502486"/>
    <n v="2.6645161990784816"/>
    <n v="-0.43875804200000001"/>
    <n v="0.92689676399999998"/>
    <n v="8.0899043499999997E-3"/>
    <n v="0.10054165800000001"/>
    <n v="-0.22758927100000001"/>
  </r>
  <r>
    <x v="15"/>
    <x v="6"/>
    <x v="2"/>
    <n v="3.8531515958366076"/>
    <n v="5.5"/>
    <n v="3.8979240810486444"/>
    <n v="12.92"/>
    <n v="5.4683976369196374"/>
    <n v="2.9445442367845578"/>
    <n v="3.8012255139454747"/>
    <n v="3.5266545990191038"/>
    <n v="-0.13442570000000001"/>
    <n v="-2.0346340000000005"/>
    <n v="-1.5714170000000001"/>
    <m/>
    <m/>
    <m/>
    <m/>
    <m/>
    <m/>
    <m/>
    <n v="8.8000000000000007"/>
    <n v="1.0931999999999999"/>
    <n v="5.2084999999999999"/>
    <m/>
    <m/>
    <m/>
    <m/>
    <m/>
    <m/>
    <m/>
    <m/>
    <m/>
    <m/>
    <n v="12.06"/>
    <n v="5.5958259998175537"/>
    <n v="6.7815115524078866"/>
    <n v="3.4175627357484197"/>
    <n v="2.6521850682608146"/>
    <n v="-2.25970227E-2"/>
    <n v="0.86096332900000005"/>
    <n v="-0.25104195400000001"/>
    <n v="-0.10214189799999999"/>
    <n v="-0.27062772800000001"/>
  </r>
  <r>
    <x v="15"/>
    <x v="7"/>
    <x v="2"/>
    <n v="3.8434293399621522"/>
    <n v="5.5"/>
    <n v="3.9100210027574729"/>
    <n v="12.01"/>
    <n v="5.484091290392243"/>
    <n v="2.9900159665578818"/>
    <n v="3.8002419219673973"/>
    <n v="3.5288867428030448"/>
    <n v="-4.4339299999999998E-2"/>
    <n v="-2.0789733000000004"/>
    <n v="-1.5925907000000001"/>
    <m/>
    <m/>
    <m/>
    <m/>
    <m/>
    <m/>
    <m/>
    <n v="9.36"/>
    <n v="0.65410000000000001"/>
    <n v="-6.9188999999999998"/>
    <m/>
    <m/>
    <m/>
    <m/>
    <m/>
    <m/>
    <m/>
    <m/>
    <m/>
    <m/>
    <n v="11.6"/>
    <n v="5.5987922607985698"/>
    <n v="6.7845701784117587"/>
    <n v="3.4102892583403737"/>
    <n v="2.6429782043584953"/>
    <n v="-8.7274940699999998E-2"/>
    <n v="1.1006532"/>
    <n v="-6.3841054499999994E-2"/>
    <n v="-0.116120128"/>
    <n v="-8.0569624699999995E-2"/>
  </r>
  <r>
    <x v="15"/>
    <x v="8"/>
    <x v="2"/>
    <n v="3.8439390065056536"/>
    <n v="5.9"/>
    <n v="3.9239515762934198"/>
    <n v="11.34"/>
    <n v="5.440337626568466"/>
    <n v="2.9324196673422249"/>
    <n v="3.7912329532257525"/>
    <n v="3.5314358585858847"/>
    <n v="-0.43687920000000002"/>
    <n v="-2.5158525000000003"/>
    <n v="-2.0222003000000002"/>
    <m/>
    <m/>
    <m/>
    <m/>
    <m/>
    <m/>
    <m/>
    <n v="8.8699999999999992"/>
    <n v="0.73929999999999996"/>
    <n v="-3.4548999999999999"/>
    <m/>
    <m/>
    <m/>
    <m/>
    <m/>
    <m/>
    <m/>
    <m/>
    <m/>
    <m/>
    <n v="11.11"/>
    <n v="5.602118820879701"/>
    <n v="6.7888591240382814"/>
    <n v="3.4059858983939524"/>
    <n v="2.6463166312968487"/>
    <n v="-4.9838802400000003E-3"/>
    <n v="1.1795868"/>
    <n v="0.331686074"/>
    <n v="-0.166432513"/>
    <n v="-2.1939492099999999E-2"/>
  </r>
  <r>
    <x v="15"/>
    <x v="9"/>
    <x v="3"/>
    <n v="3.8400994150053331"/>
    <n v="6"/>
    <n v="3.9318256327243257"/>
    <n v="10.06"/>
    <n v="5.4446662628831737"/>
    <n v="2.8918706340199005"/>
    <n v="3.7899005681726643"/>
    <n v="3.537765824444175"/>
    <n v="-0.30897160000000001"/>
    <n v="-2.8248241000000003"/>
    <n v="-2.3024849000000001"/>
    <m/>
    <m/>
    <m/>
    <m/>
    <m/>
    <m/>
    <m/>
    <n v="8.0500000000000007"/>
    <n v="0.79710000000000003"/>
    <n v="-6.2037000000000004"/>
    <m/>
    <m/>
    <m/>
    <m/>
    <m/>
    <m/>
    <m/>
    <m/>
    <m/>
    <m/>
    <n v="9.66"/>
    <n v="5.6069043996797143"/>
    <n v="6.7949224707077933"/>
    <n v="3.4017638878338952"/>
    <n v="2.7431599115489691"/>
    <n v="0.26814685100000002"/>
    <n v="0.94187575800000001"/>
    <n v="-7.3875662300000006E-2"/>
    <n v="8.4415785799999993E-3"/>
    <n v="-0.194152134"/>
  </r>
  <r>
    <x v="15"/>
    <x v="10"/>
    <x v="3"/>
    <n v="3.8066113773529913"/>
    <n v="6.6"/>
    <n v="3.9415818076696905"/>
    <n v="9.4499999999999993"/>
    <n v="5.4284680510130814"/>
    <n v="2.8418815487357305"/>
    <n v="3.7813674735490879"/>
    <n v="3.5358156833869163"/>
    <n v="0.28582649999999998"/>
    <n v="-2.5389976000000001"/>
    <n v="-1.9645721"/>
    <m/>
    <m/>
    <m/>
    <m/>
    <m/>
    <m/>
    <m/>
    <n v="7.66"/>
    <n v="0.84119999999999995"/>
    <n v="-0.38372000000000001"/>
    <m/>
    <m/>
    <m/>
    <m/>
    <m/>
    <m/>
    <m/>
    <m/>
    <m/>
    <m/>
    <n v="9.4700000000000006"/>
    <n v="5.6120326160466334"/>
    <n v="6.8008379966360595"/>
    <n v="3.3961178359188566"/>
    <n v="2.7850729687282811"/>
    <n v="0.429651752"/>
    <n v="0.78139615500000004"/>
    <n v="-0.140909585"/>
    <n v="0.31056659399999997"/>
    <n v="-0.114520254"/>
  </r>
  <r>
    <x v="15"/>
    <x v="11"/>
    <x v="3"/>
    <n v="3.7708464629779255"/>
    <n v="7.2"/>
    <n v="3.949318790171843"/>
    <n v="8.5299999999999994"/>
    <n v="5.3618553873520245"/>
    <n v="2.8330368578952143"/>
    <n v="3.7672977662480429"/>
    <n v="3.5434489759037304"/>
    <n v="-0.25133319999999998"/>
    <n v="-2.7903308"/>
    <n v="-2.1926879000000001"/>
    <m/>
    <m/>
    <m/>
    <m/>
    <m/>
    <m/>
    <m/>
    <n v="7.31"/>
    <n v="0.94850000000000001"/>
    <n v="-2.1579999999999999"/>
    <m/>
    <m/>
    <m/>
    <m/>
    <m/>
    <m/>
    <m/>
    <m/>
    <m/>
    <m/>
    <n v="3.87"/>
    <n v="5.6138577671282137"/>
    <n v="6.8047253786625932"/>
    <n v="3.3905408014736267"/>
    <n v="2.8227469977370232"/>
    <n v="1.24418995"/>
    <n v="0.98749895499999996"/>
    <n v="3.2913579599999999E-2"/>
    <n v="9.6732459099999994E-3"/>
    <n v="0.350207934"/>
  </r>
  <r>
    <x v="16"/>
    <x v="0"/>
    <x v="0"/>
    <n v="3.7568721589342489"/>
    <n v="8.1"/>
    <n v="3.9569963710708773"/>
    <n v="7.13"/>
    <n v="5.3234001469154997"/>
    <n v="2.8676147707735482"/>
    <n v="3.7771650189812966"/>
    <n v="3.5437380684442652"/>
    <n v="-0.36870839999999999"/>
    <n v="-3.1590392"/>
    <n v="-2.5446814"/>
    <m/>
    <m/>
    <m/>
    <m/>
    <m/>
    <m/>
    <m/>
    <n v="6.83"/>
    <n v="0.29189999999999999"/>
    <n v="-4.5785999999999998"/>
    <m/>
    <m/>
    <m/>
    <m/>
    <m/>
    <m/>
    <m/>
    <m/>
    <m/>
    <m/>
    <n v="6.76"/>
    <n v="5.6127630762690321"/>
    <n v="6.8093703770607359"/>
    <n v="3.3982263057172011"/>
    <n v="2.8257739757434348"/>
    <n v="1.7750550199999999"/>
    <n v="0.81026647100000004"/>
    <n v="0.12530391799999999"/>
    <n v="-0.29140700000000003"/>
    <n v="0.163279071"/>
  </r>
  <r>
    <x v="16"/>
    <x v="1"/>
    <x v="0"/>
    <n v="3.7335420640201256"/>
    <n v="8.1"/>
    <n v="3.9627161197436642"/>
    <n v="6.24"/>
    <n v="5.3079211026907318"/>
    <n v="2.9002670817359246"/>
    <n v="3.7802272485732118"/>
    <n v="3.5499334287879147"/>
    <n v="0.23399809999999999"/>
    <n v="-2.9250411000000001"/>
    <n v="-2.3022002000000001"/>
    <m/>
    <m/>
    <m/>
    <m/>
    <m/>
    <m/>
    <m/>
    <n v="5.98"/>
    <n v="0.36880000000000002"/>
    <n v="-0.31548999999999999"/>
    <m/>
    <m/>
    <m/>
    <m/>
    <m/>
    <m/>
    <m/>
    <m/>
    <m/>
    <m/>
    <n v="6.07"/>
    <n v="5.6167710976665717"/>
    <n v="6.8179399746597733"/>
    <n v="3.3485347290788496"/>
    <n v="2.8404225890068342"/>
    <n v="1.3089982499999999"/>
    <n v="0.54686152799999999"/>
    <n v="7.7824296599999995E-2"/>
    <n v="0.16052139000000001"/>
    <n v="-0.15339706"/>
  </r>
  <r>
    <x v="16"/>
    <x v="2"/>
    <x v="0"/>
    <n v="3.7228725849294535"/>
    <n v="8.6"/>
    <n v="3.9665111907122159"/>
    <n v="5.54"/>
    <n v="5.2912927516110724"/>
    <n v="2.8628863602205619"/>
    <n v="3.7870038521071354"/>
    <n v="3.5511679082384506"/>
    <n v="-0.4145509"/>
    <n v="-3.3395920000000001"/>
    <n v="-2.7962224"/>
    <m/>
    <m/>
    <m/>
    <m/>
    <m/>
    <m/>
    <m/>
    <n v="6.11"/>
    <n v="0.51259999999999994"/>
    <n v="-0.81923000000000001"/>
    <m/>
    <m/>
    <m/>
    <m/>
    <m/>
    <m/>
    <m/>
    <m/>
    <m/>
    <m/>
    <n v="5.39"/>
    <n v="5.6218490918935151"/>
    <n v="6.8297937375124249"/>
    <n v="3.3279813193308962"/>
    <n v="2.8526121989591733"/>
    <n v="1.44022809"/>
    <n v="0.39727110399999999"/>
    <n v="-5.7544800000000002E-3"/>
    <n v="0.17985619899999999"/>
    <n v="-0.20028104599999999"/>
  </r>
  <r>
    <x v="16"/>
    <x v="3"/>
    <x v="1"/>
    <n v="3.724041461081983"/>
    <n v="8.8000000000000007"/>
    <n v="3.970291913552122"/>
    <n v="5.49"/>
    <n v="5.3043988368639043"/>
    <n v="2.8623151601136394"/>
    <n v="3.78200543210342"/>
    <n v="3.5568612018292241"/>
    <n v="-0.57693289999999997"/>
    <n v="-3.9165249000000002"/>
    <n v="-3.4336625000000001"/>
    <m/>
    <m/>
    <m/>
    <m/>
    <m/>
    <m/>
    <m/>
    <n v="6.9"/>
    <n v="0.15959999999999999"/>
    <n v="3.6393"/>
    <m/>
    <m/>
    <m/>
    <m/>
    <m/>
    <m/>
    <m/>
    <m/>
    <m/>
    <m/>
    <n v="7.03"/>
    <n v="5.621125240975192"/>
    <n v="6.8406534754414015"/>
    <n v="3.3428618046491918"/>
    <n v="2.8557228005456525"/>
    <n v="0.96998260199999997"/>
    <n v="0.15256588900000001"/>
    <n v="0.27973366599999999"/>
    <n v="1.84153476E-2"/>
    <n v="-0.43911233300000002"/>
  </r>
  <r>
    <x v="16"/>
    <x v="4"/>
    <x v="1"/>
    <n v="3.7214023058194385"/>
    <n v="9"/>
    <n v="3.9721769282478934"/>
    <n v="5.22"/>
    <n v="5.2705863928097259"/>
    <n v="2.9073927422304675"/>
    <n v="3.8163707671284839"/>
    <n v="3.5609324397833144"/>
    <n v="0.13552330000000001"/>
    <n v="-3.7810016000000002"/>
    <n v="-3.2978095999999999"/>
    <m/>
    <m/>
    <m/>
    <m/>
    <m/>
    <m/>
    <m/>
    <n v="6.39"/>
    <n v="0.3206"/>
    <n v="-0.58038000000000001"/>
    <m/>
    <m/>
    <m/>
    <m/>
    <m/>
    <m/>
    <m/>
    <m/>
    <m/>
    <m/>
    <n v="5.23"/>
    <n v="5.6319283708882173"/>
    <n v="6.8542490114589958"/>
    <n v="3.3225509210041535"/>
    <n v="2.8502439668053854"/>
    <n v="0.43620743299999998"/>
    <n v="6.3208824400000002E-2"/>
    <n v="0.59673964700000004"/>
    <n v="-2.9044828200000001E-2"/>
    <n v="-0.70459297899999995"/>
  </r>
  <r>
    <x v="16"/>
    <x v="5"/>
    <x v="1"/>
    <n v="3.7283597489575904"/>
    <n v="8.8000000000000007"/>
    <n v="3.9796816539019608"/>
    <n v="5.55"/>
    <n v="5.2323378076140612"/>
    <n v="2.9183111265854063"/>
    <n v="3.8114288901924436"/>
    <n v="3.5641662099402951"/>
    <n v="0.18274399999999999"/>
    <n v="-3.5982576000000002"/>
    <n v="-3.1268422999999999"/>
    <m/>
    <m/>
    <m/>
    <m/>
    <m/>
    <m/>
    <m/>
    <n v="6.29"/>
    <n v="0.21299999999999999"/>
    <n v="3.3151999999999999"/>
    <m/>
    <m/>
    <m/>
    <m/>
    <m/>
    <m/>
    <m/>
    <m/>
    <m/>
    <m/>
    <n v="5.97"/>
    <n v="5.6433245056190868"/>
    <n v="6.8700534117981258"/>
    <n v="3.3199873262366122"/>
    <n v="2.8624294262395704"/>
    <n v="0.28651497500000001"/>
    <n v="-8.32023915E-2"/>
    <n v="3.0602524900000001E-2"/>
    <n v="0.34253366499999999"/>
    <n v="-0.35537527200000002"/>
  </r>
  <r>
    <x v="16"/>
    <x v="6"/>
    <x v="2"/>
    <n v="3.7375648508906947"/>
    <n v="8.6"/>
    <n v="3.9889840465642745"/>
    <n v="6.1"/>
    <n v="5.2755603794254204"/>
    <n v="2.9491122529187646"/>
    <n v="3.8105881077727921"/>
    <n v="3.564364434416003"/>
    <n v="4.5389400000000003E-2"/>
    <n v="-3.5528682000000003"/>
    <n v="-3.0555083999999999"/>
    <m/>
    <m/>
    <m/>
    <m/>
    <m/>
    <m/>
    <m/>
    <n v="7.11"/>
    <n v="0.3523"/>
    <n v="4.9535999999999998"/>
    <m/>
    <m/>
    <m/>
    <m/>
    <m/>
    <m/>
    <m/>
    <m/>
    <m/>
    <m/>
    <n v="6.23"/>
    <n v="5.6479173418148054"/>
    <n v="6.8825400298410733"/>
    <n v="3.3199873262366122"/>
    <n v="2.8536501416195348"/>
    <n v="0.20581223600000001"/>
    <n v="8.8713761000000002E-2"/>
    <n v="0.29382008199999998"/>
    <n v="0.36196677599999999"/>
    <n v="-0.53334492"/>
  </r>
  <r>
    <x v="16"/>
    <x v="7"/>
    <x v="2"/>
    <n v="3.7481337256644802"/>
    <n v="8.4"/>
    <n v="3.9926809084456005"/>
    <n v="6.14"/>
    <n v="5.3261756946764329"/>
    <n v="2.9478017397964411"/>
    <n v="3.8159085022424772"/>
    <n v="3.5661749528884505"/>
    <n v="-0.14411979999999999"/>
    <n v="-3.6969880000000002"/>
    <n v="-3.1902562999999997"/>
    <m/>
    <m/>
    <m/>
    <m/>
    <m/>
    <m/>
    <m/>
    <n v="7.7"/>
    <n v="0.2681"/>
    <n v="-5.3328999999999998E-3"/>
    <m/>
    <m/>
    <m/>
    <m/>
    <m/>
    <m/>
    <m/>
    <m/>
    <m/>
    <m/>
    <n v="6.13"/>
    <n v="5.6493262888601423"/>
    <n v="6.8907108443728786"/>
    <n v="3.3017821208639502"/>
    <n v="2.8599698225399908"/>
    <n v="-0.35923529399999998"/>
    <n v="0.236702096"/>
    <n v="0.53017848300000003"/>
    <n v="0.16096830300000001"/>
    <n v="-0.60685266599999999"/>
  </r>
  <r>
    <x v="16"/>
    <x v="8"/>
    <x v="2"/>
    <n v="3.7605021977869035"/>
    <n v="8.4"/>
    <n v="4.0000338827508592"/>
    <n v="6.24"/>
    <n v="5.3294283615730897"/>
    <n v="2.9735377880442222"/>
    <n v="3.8128654338949275"/>
    <n v="3.5660336241150903"/>
    <n v="-0.11214780000000001"/>
    <n v="-3.8091358"/>
    <n v="-3.3063752999999996"/>
    <m/>
    <m/>
    <m/>
    <m/>
    <m/>
    <m/>
    <m/>
    <n v="7.75"/>
    <n v="0.28100000000000003"/>
    <n v="0.34923999999999999"/>
    <m/>
    <m/>
    <m/>
    <m/>
    <m/>
    <m/>
    <m/>
    <m/>
    <m/>
    <m/>
    <n v="6.22"/>
    <n v="5.654942309236727"/>
    <n v="6.8992189479598505"/>
    <n v="3.3034742931335406"/>
    <n v="2.8594542552613631"/>
    <n v="-0.39174399700000001"/>
    <n v="-8.5508018099999999E-2"/>
    <n v="0.354024173"/>
    <n v="1.7069697000000002E-2"/>
    <n v="-0.25542964699999998"/>
  </r>
  <r>
    <x v="16"/>
    <x v="9"/>
    <x v="3"/>
    <n v="3.7647264490049968"/>
    <n v="8.4"/>
    <n v="4.0055133485154846"/>
    <n v="5.82"/>
    <n v="5.3051936704874691"/>
    <n v="2.9556912240168072"/>
    <n v="3.8034127707040972"/>
    <n v="3.5765782407767786"/>
    <n v="-0.19803680000000001"/>
    <n v="-4.0071725999999996"/>
    <n v="-3.5070339999999995"/>
    <m/>
    <m/>
    <m/>
    <m/>
    <m/>
    <m/>
    <m/>
    <n v="6.95"/>
    <n v="0.1017"/>
    <n v="-2.8047"/>
    <m/>
    <m/>
    <m/>
    <m/>
    <m/>
    <m/>
    <m/>
    <m/>
    <m/>
    <m/>
    <n v="5.65"/>
    <n v="5.653891705042736"/>
    <n v="6.9055528554269365"/>
    <n v="3.3073261660520847"/>
    <n v="2.856929870673532"/>
    <n v="-0.31050298300000001"/>
    <n v="2.6563203399999999E-2"/>
    <n v="0.29754177500000001"/>
    <n v="0.296617874"/>
    <n v="-0.343102089"/>
  </r>
  <r>
    <x v="16"/>
    <x v="10"/>
    <x v="3"/>
    <n v="3.766987984780207"/>
    <n v="8.3000000000000007"/>
    <n v="4.0127729085282891"/>
    <n v="5.22"/>
    <n v="5.2556707918265637"/>
    <n v="2.9860858965021855"/>
    <n v="3.8124015453965656"/>
    <n v="3.5769697615603473"/>
    <n v="-0.31537799999999999"/>
    <n v="-4.3225505999999996"/>
    <n v="-3.7884554999999995"/>
    <m/>
    <m/>
    <m/>
    <m/>
    <m/>
    <m/>
    <m/>
    <n v="6.49"/>
    <n v="0.2001"/>
    <n v="-4.1391999999999998"/>
    <m/>
    <m/>
    <m/>
    <m/>
    <m/>
    <m/>
    <m/>
    <m/>
    <m/>
    <m/>
    <n v="5.29"/>
    <n v="5.658785108725465"/>
    <n v="6.9146315829215688"/>
    <n v="3.3038417780707938"/>
    <n v="2.8788613218225758"/>
    <n v="-0.18502901199999999"/>
    <n v="6.5311380399999994E-2"/>
    <n v="5.0480769999999998E-3"/>
    <n v="0.40454488799999999"/>
    <n v="8.4122571400000005E-3"/>
  </r>
  <r>
    <x v="16"/>
    <x v="11"/>
    <x v="3"/>
    <n v="3.7793552397704748"/>
    <n v="8.1999999999999993"/>
    <n v="4.0181832012565364"/>
    <n v="5.2"/>
    <n v="5.2452329954555816"/>
    <n v="3.0141123208354204"/>
    <n v="3.8161946914154727"/>
    <n v="3.5849900780216735"/>
    <n v="0.2369289"/>
    <n v="-4.0856216999999999"/>
    <n v="-3.5069712999999996"/>
    <m/>
    <m/>
    <m/>
    <m/>
    <m/>
    <m/>
    <m/>
    <n v="6.6"/>
    <n v="-2.8500000000000001E-2"/>
    <n v="0.84677999999999998"/>
    <m/>
    <m/>
    <m/>
    <m/>
    <m/>
    <m/>
    <m/>
    <m/>
    <m/>
    <m/>
    <n v="5.37"/>
    <n v="5.6598305871270185"/>
    <n v="6.923825459159632"/>
    <n v="3.3039152588556018"/>
    <n v="2.8737906027487488"/>
    <n v="-2.4811757699999999E-2"/>
    <n v="5.52013539E-2"/>
    <n v="0.109330281"/>
    <n v="0.35960471500000002"/>
    <n v="-9.7786619800000002E-2"/>
  </r>
  <r>
    <x v="17"/>
    <x v="0"/>
    <x v="0"/>
    <n v="3.7939081647305577"/>
    <n v="7.9"/>
    <n v="4.0217738693872649"/>
    <n v="4.87"/>
    <n v="5.2490220748231593"/>
    <n v="3.0236392268069987"/>
    <n v="3.832005297442115"/>
    <n v="3.5911839316404826"/>
    <n v="-9.9544599999999997E-2"/>
    <n v="-4.1851662999999997"/>
    <n v="-3.5964328999999995"/>
    <m/>
    <m/>
    <m/>
    <m/>
    <m/>
    <m/>
    <m/>
    <n v="5.81"/>
    <n v="-7.4099999999999999E-2"/>
    <n v="-3.0510000000000002"/>
    <m/>
    <m/>
    <m/>
    <m/>
    <m/>
    <m/>
    <m/>
    <m/>
    <m/>
    <m/>
    <n v="4.84"/>
    <n v="5.6643484054107942"/>
    <n v="6.9340076501262029"/>
    <n v="3.3020766174609615"/>
    <n v="2.8649399833039673"/>
    <n v="-0.39313183099999999"/>
    <n v="-9.2271532500000003E-2"/>
    <n v="0.14912131300000001"/>
    <n v="0.20839602500000001"/>
    <n v="-0.29758789099999999"/>
  </r>
  <r>
    <x v="17"/>
    <x v="1"/>
    <x v="0"/>
    <n v="3.8036312334849272"/>
    <n v="7.7"/>
    <n v="4.0235643801610532"/>
    <n v="4.7699999999999996"/>
    <n v="5.2638811892269093"/>
    <n v="3.038935430854639"/>
    <n v="3.8274667938699793"/>
    <n v="3.5882300459640066"/>
    <n v="-0.46224710000000002"/>
    <n v="-4.6474133999999996"/>
    <n v="-4.0639905999999995"/>
    <m/>
    <m/>
    <m/>
    <m/>
    <m/>
    <m/>
    <m/>
    <n v="5.91"/>
    <n v="7.6E-3"/>
    <n v="-2.2450999999999999"/>
    <m/>
    <m/>
    <m/>
    <m/>
    <m/>
    <m/>
    <m/>
    <m/>
    <m/>
    <m/>
    <n v="4.8899999999999997"/>
    <n v="5.6726357456593641"/>
    <n v="6.9472644120768496"/>
    <n v="3.2772956649975948"/>
    <n v="2.8754837009578154"/>
    <n v="-0.51422394599999999"/>
    <n v="-0.22288117299999999"/>
    <n v="-0.238743074"/>
    <n v="0.50936124100000002"/>
    <n v="-0.18878073500000001"/>
  </r>
  <r>
    <x v="17"/>
    <x v="2"/>
    <x v="0"/>
    <n v="3.8045246506643204"/>
    <n v="7.6"/>
    <n v="4.0253516907351496"/>
    <n v="4.84"/>
    <n v="5.2783187200413471"/>
    <n v="3.0404666048941618"/>
    <n v="3.8327849739158917"/>
    <n v="3.5939092165227096"/>
    <n v="-0.26525880000000002"/>
    <n v="-4.9126721999999994"/>
    <n v="-4.3037371999999996"/>
    <m/>
    <m/>
    <m/>
    <m/>
    <m/>
    <m/>
    <m/>
    <n v="6.21"/>
    <n v="-2.35E-2"/>
    <n v="-0.66105000000000003"/>
    <m/>
    <m/>
    <m/>
    <m/>
    <m/>
    <m/>
    <m/>
    <m/>
    <m/>
    <m/>
    <n v="5.07"/>
    <n v="5.6791481936978405"/>
    <n v="6.956545443151569"/>
    <n v="3.2694928906647269"/>
    <n v="2.8805458637448735"/>
    <n v="-0.45593606800000003"/>
    <n v="-0.286754485"/>
    <n v="-5.4774716600000002E-2"/>
    <n v="0.17930154400000001"/>
    <n v="-3.2856145000000003E-2"/>
  </r>
  <r>
    <x v="17"/>
    <x v="3"/>
    <x v="1"/>
    <n v="3.8102493825056301"/>
    <n v="7.7"/>
    <n v="4.0271358125286509"/>
    <n v="4.82"/>
    <n v="5.3099000277911035"/>
    <n v="3.0531045534118615"/>
    <n v="3.8455626387278761"/>
    <n v="3.5958591505407149"/>
    <n v="0.13636960000000001"/>
    <n v="-4.7763025999999993"/>
    <n v="-4.1642786999999997"/>
    <m/>
    <m/>
    <m/>
    <m/>
    <m/>
    <m/>
    <m/>
    <n v="5.92"/>
    <n v="2.5399999999999999E-2"/>
    <n v="-2.3715999999999999"/>
    <m/>
    <m/>
    <m/>
    <m/>
    <m/>
    <m/>
    <m/>
    <m/>
    <m/>
    <m/>
    <n v="5.0999999999999996"/>
    <n v="5.6859578897436487"/>
    <n v="6.9667786194315982"/>
    <n v="3.279368673297022"/>
    <n v="2.8721512117826364"/>
    <n v="-0.158566759"/>
    <n v="-0.13998570799999999"/>
    <n v="6.6187374699999996E-2"/>
    <n v="-1.5879930600000002E-2"/>
    <n v="4.5944401099999997E-2"/>
  </r>
  <r>
    <x v="17"/>
    <x v="4"/>
    <x v="1"/>
    <n v="3.8148422772385064"/>
    <n v="7.4"/>
    <n v="4.0324691585040133"/>
    <n v="5.29"/>
    <n v="5.3120723317803726"/>
    <n v="3.0151917047102099"/>
    <n v="3.838634774198773"/>
    <n v="3.5971204613742347"/>
    <n v="-0.25743759999999999"/>
    <n v="-5.0337401999999996"/>
    <n v="-4.4614732999999998"/>
    <m/>
    <m/>
    <m/>
    <m/>
    <m/>
    <m/>
    <m/>
    <n v="6.4"/>
    <n v="-1.3100000000000001E-2"/>
    <n v="1.6072"/>
    <m/>
    <m/>
    <m/>
    <m/>
    <m/>
    <m/>
    <m/>
    <m/>
    <m/>
    <m/>
    <n v="5.67"/>
    <n v="5.6900215594061638"/>
    <n v="6.9773746208621938"/>
    <n v="3.2665224783355535"/>
    <n v="2.8806580657085257"/>
    <n v="-0.28301261999999999"/>
    <n v="-8.8126980800000004E-2"/>
    <n v="-9.02422004E-2"/>
    <n v="0.19798531599999999"/>
    <n v="8.1332720900000002E-2"/>
  </r>
  <r>
    <x v="17"/>
    <x v="5"/>
    <x v="1"/>
    <n v="3.8147519042736278"/>
    <n v="7.6"/>
    <n v="4.0377742107337067"/>
    <n v="5.48"/>
    <n v="5.3348421412304088"/>
    <n v="3.0478976875346704"/>
    <n v="3.8537156965668715"/>
    <n v="3.6002394789506655"/>
    <n v="-2.7014699999999999E-2"/>
    <n v="-5.0607548999999992"/>
    <n v="-4.5007158"/>
    <m/>
    <m/>
    <m/>
    <m/>
    <m/>
    <m/>
    <m/>
    <n v="6.52"/>
    <n v="6.3299999999999995E-2"/>
    <n v="-6.3838000000000006E-2"/>
    <m/>
    <m/>
    <m/>
    <m/>
    <m/>
    <m/>
    <m/>
    <m/>
    <m/>
    <m/>
    <n v="5.71"/>
    <n v="5.6910349018336985"/>
    <n v="6.982491625096154"/>
    <n v="3.2566339304708025"/>
    <n v="2.8803214220426634"/>
    <n v="-0.187539344"/>
    <n v="4.0239084799999998E-2"/>
    <n v="0.31062244300000003"/>
    <n v="-4.8849782500000001E-2"/>
    <n v="-9.9692486900000002E-2"/>
  </r>
  <r>
    <x v="17"/>
    <x v="6"/>
    <x v="2"/>
    <n v="3.8207910981536917"/>
    <n v="7.8"/>
    <n v="4.0430512678345503"/>
    <n v="5.31"/>
    <n v="5.3755098623779425"/>
    <n v="3.0531517644214774"/>
    <n v="3.8508707444346402"/>
    <n v="3.6060954926350148"/>
    <n v="-0.14407690000000001"/>
    <n v="-5.2048317999999991"/>
    <n v="-4.6408094999999996"/>
    <m/>
    <m/>
    <m/>
    <m/>
    <m/>
    <m/>
    <m/>
    <n v="6.2"/>
    <n v="5.7799999999999997E-2"/>
    <n v="-3.3182"/>
    <m/>
    <m/>
    <m/>
    <m/>
    <m/>
    <m/>
    <m/>
    <m/>
    <m/>
    <m/>
    <n v="5.32"/>
    <n v="5.6944053128436041"/>
    <n v="6.9905327054397048"/>
    <n v="3.267475494704263"/>
    <n v="2.8743552873873912"/>
    <n v="7.0782522699999999E-3"/>
    <n v="0.14212736300000001"/>
    <n v="0.217303723"/>
    <n v="1.41784901E-2"/>
    <n v="3.0513102100000002E-2"/>
  </r>
  <r>
    <x v="17"/>
    <x v="7"/>
    <x v="2"/>
    <n v="3.827747518838609"/>
    <n v="7.8"/>
    <n v="4.048300623720694"/>
    <n v="5.29"/>
    <n v="5.3321389150235472"/>
    <n v="3.0454267905778427"/>
    <n v="3.8545210031566874"/>
    <n v="3.6094032526121396"/>
    <n v="-5.0372599999999997E-2"/>
    <n v="-5.2552043999999993"/>
    <n v="-4.6842774999999994"/>
    <m/>
    <m/>
    <m/>
    <m/>
    <m/>
    <m/>
    <m/>
    <n v="6"/>
    <n v="-2.6800000000000001E-2"/>
    <n v="-1.6337999999999999"/>
    <m/>
    <m/>
    <m/>
    <m/>
    <m/>
    <m/>
    <m/>
    <m/>
    <m/>
    <m/>
    <n v="5.31"/>
    <n v="5.7004435733906869"/>
    <n v="7.0018829417068353"/>
    <n v="3.2605550518596895"/>
    <n v="2.8877572318886919"/>
    <n v="-0.206642034"/>
    <n v="9.3009232100000006E-2"/>
    <n v="-9.1235411999999998E-3"/>
    <n v="0.25890846299999998"/>
    <n v="-9.7112395899999995E-2"/>
  </r>
  <r>
    <x v="17"/>
    <x v="8"/>
    <x v="2"/>
    <n v="3.8305222352979849"/>
    <n v="7.6"/>
    <n v="4.0535225677018456"/>
    <n v="5.25"/>
    <n v="5.3135999900791937"/>
    <n v="3.0518762841720308"/>
    <n v="3.8554738177369612"/>
    <n v="3.6142097857769069"/>
    <n v="-7.7815999999999996E-3"/>
    <n v="-5.2629859999999997"/>
    <n v="-4.6672610999999993"/>
    <m/>
    <m/>
    <m/>
    <m/>
    <m/>
    <m/>
    <m/>
    <n v="5.84"/>
    <n v="-3.56E-2"/>
    <n v="-0.80476999999999999"/>
    <m/>
    <m/>
    <m/>
    <m/>
    <m/>
    <m/>
    <m/>
    <m/>
    <m/>
    <m/>
    <n v="5.31"/>
    <n v="5.7024482516430641"/>
    <n v="7.0128357554326444"/>
    <n v="3.2495989975110415"/>
    <n v="2.8874786881137369"/>
    <n v="-0.115335621"/>
    <n v="3.0051966900000001E-2"/>
    <n v="4.60370498E-4"/>
    <n v="0.17814624400000001"/>
    <n v="-0.127981551"/>
  </r>
  <r>
    <x v="17"/>
    <x v="9"/>
    <x v="3"/>
    <n v="3.8308715166172633"/>
    <n v="7.7"/>
    <n v="4.0587173845789497"/>
    <n v="5.0199999999999996"/>
    <n v="5.2806624313093158"/>
    <n v="3.0418999543989984"/>
    <n v="3.8622233318755401"/>
    <n v="3.6158247732080255"/>
    <n v="-8.2301700000000005E-2"/>
    <n v="-5.3452877000000001"/>
    <n v="-4.7086834999999994"/>
    <m/>
    <m/>
    <m/>
    <m/>
    <m/>
    <m/>
    <m/>
    <n v="5.5"/>
    <n v="7.7999999999999996E-3"/>
    <n v="-2.8957000000000002"/>
    <m/>
    <m/>
    <m/>
    <m/>
    <m/>
    <m/>
    <m/>
    <m/>
    <m/>
    <m/>
    <n v="5.0199999999999996"/>
    <n v="5.7104270173748697"/>
    <n v="7.0255383146385206"/>
    <n v="3.2699110859680256"/>
    <n v="2.8894268671830599"/>
    <n v="-0.14958311599999999"/>
    <n v="0.16833398199999999"/>
    <n v="-3.3949928599999998E-2"/>
    <n v="0.177605972"/>
    <n v="2.0428408499999998E-2"/>
  </r>
  <r>
    <x v="17"/>
    <x v="10"/>
    <x v="3"/>
    <n v="3.8452932853667057"/>
    <n v="7.8"/>
    <n v="4.0621656638578658"/>
    <n v="4.95"/>
    <n v="5.2841170171468956"/>
    <n v="3.0536237519697687"/>
    <n v="3.8604770475449151"/>
    <n v="3.6245809041809722"/>
    <n v="1.6443E-3"/>
    <n v="-5.3436434000000004"/>
    <n v="-4.6781172999999994"/>
    <m/>
    <m/>
    <m/>
    <m/>
    <m/>
    <m/>
    <m/>
    <n v="5.29"/>
    <n v="-0.17979999999999999"/>
    <n v="-0.32983000000000001"/>
    <m/>
    <m/>
    <m/>
    <m/>
    <m/>
    <m/>
    <m/>
    <m/>
    <m/>
    <m/>
    <n v="4.6900000000000004"/>
    <n v="5.7157110455214752"/>
    <n v="7.037203346169024"/>
    <n v="3.2774088490538551"/>
    <n v="2.9051508953227527"/>
    <n v="7.4825885199999997E-2"/>
    <n v="0.12261741900000001"/>
    <n v="-2.7009202499999999E-2"/>
    <n v="0.11859619"/>
    <n v="-8.7349546E-2"/>
  </r>
  <r>
    <x v="17"/>
    <x v="11"/>
    <x v="3"/>
    <n v="3.855693894680134"/>
    <n v="7.8"/>
    <n v="4.0673158898341812"/>
    <n v="4.6500000000000004"/>
    <n v="5.3014624156921091"/>
    <n v="3.1009027711595305"/>
    <n v="3.8695746891633069"/>
    <n v="3.6306145459819605"/>
    <n v="-0.1194494"/>
    <n v="-5.4630928000000001"/>
    <n v="-4.8075897999999997"/>
    <m/>
    <m/>
    <m/>
    <m/>
    <m/>
    <m/>
    <m/>
    <n v="4.8899999999999997"/>
    <n v="3.8300000000000001E-2"/>
    <n v="-2.0926999999999998"/>
    <m/>
    <m/>
    <m/>
    <m/>
    <m/>
    <m/>
    <m/>
    <m/>
    <m/>
    <m/>
    <n v="4.17"/>
    <n v="5.7242384832235835"/>
    <n v="7.0492548412558369"/>
    <n v="3.2842514954983333"/>
    <n v="2.9088118015232896"/>
    <n v="-0.38272790800000001"/>
    <n v="-3.2727533900000001E-2"/>
    <n v="-6.5840146899999993E-2"/>
    <n v="0.24897671800000001"/>
    <n v="-0.44847657899999999"/>
  </r>
  <r>
    <x v="18"/>
    <x v="0"/>
    <x v="0"/>
    <n v="3.8501582399513445"/>
    <n v="7.5"/>
    <n v="4.0724397268340509"/>
    <n v="4.6100000000000003"/>
    <n v="5.3340705362538543"/>
    <n v="3.0682389643407393"/>
    <n v="3.8680293197422557"/>
    <n v="3.6347400080132881"/>
    <n v="-0.12247810000000001"/>
    <n v="-5.5855709000000004"/>
    <n v="-4.9052015999999998"/>
    <m/>
    <m/>
    <m/>
    <m/>
    <m/>
    <m/>
    <m/>
    <n v="5.29"/>
    <n v="-0.18099999999999999"/>
    <n v="-0.34464"/>
    <m/>
    <m/>
    <m/>
    <m/>
    <m/>
    <m/>
    <m/>
    <m/>
    <m/>
    <m/>
    <n v="4.6500000000000004"/>
    <n v="5.7310733348921046"/>
    <n v="7.0606480250852792"/>
    <n v="3.301045499711714"/>
    <n v="2.9097930488763351"/>
    <n v="-0.30690094000000001"/>
    <n v="5.8290965700000003E-2"/>
    <n v="-0.15029832200000001"/>
    <n v="0.35359212600000001"/>
    <n v="-0.207412866"/>
  </r>
  <r>
    <x v="18"/>
    <x v="1"/>
    <x v="0"/>
    <n v="3.8653149721190379"/>
    <n v="7.6"/>
    <n v="4.0826093060036799"/>
    <n v="4.68"/>
    <n v="5.3610573963692225"/>
    <n v="3.1031506703212615"/>
    <n v="3.863525798342597"/>
    <n v="3.6381123370602833"/>
    <n v="-0.13953479999999999"/>
    <n v="-5.7251057000000003"/>
    <n v="-4.9932505000000003"/>
    <m/>
    <m/>
    <m/>
    <m/>
    <m/>
    <m/>
    <m/>
    <n v="5.47"/>
    <n v="-9.0700000000000003E-2"/>
    <n v="-0.51770000000000005"/>
    <m/>
    <m/>
    <m/>
    <m/>
    <m/>
    <m/>
    <m/>
    <m/>
    <m/>
    <m/>
    <n v="4.7300000000000004"/>
    <n v="5.7413993382275077"/>
    <n v="7.0712337479746115"/>
    <n v="3.2619736277709235"/>
    <n v="2.9029040112427964"/>
    <n v="-0.12773742799999999"/>
    <n v="0.23120497300000001"/>
    <n v="0.12334845"/>
    <n v="-5.6809303300000003E-2"/>
    <n v="9.2574784300000004E-2"/>
  </r>
  <r>
    <x v="18"/>
    <x v="2"/>
    <x v="0"/>
    <n v="3.8777441411997251"/>
    <n v="7.4"/>
    <n v="4.0876555740713041"/>
    <n v="4.6900000000000004"/>
    <n v="5.3864198147695825"/>
    <n v="3.1329692918590761"/>
    <n v="3.8587066133262025"/>
    <n v="3.633815903338883"/>
    <n v="-0.2478156"/>
    <n v="-5.9729213000000003"/>
    <n v="-5.2207578000000003"/>
    <m/>
    <m/>
    <m/>
    <m/>
    <m/>
    <m/>
    <m/>
    <n v="5.5"/>
    <n v="4.1000000000000002E-2"/>
    <n v="-1.3478000000000001"/>
    <m/>
    <m/>
    <m/>
    <m/>
    <m/>
    <m/>
    <m/>
    <m/>
    <m/>
    <m/>
    <n v="4.72"/>
    <n v="5.7490744638479079"/>
    <n v="7.0804472868002488"/>
    <n v="3.2560945353508091"/>
    <n v="2.906955703163145"/>
    <n v="-0.57804715500000003"/>
    <n v="0.248176492"/>
    <n v="0.13299805100000001"/>
    <n v="0.22883942099999999"/>
    <n v="-0.20156053400000001"/>
  </r>
  <r>
    <x v="18"/>
    <x v="3"/>
    <x v="1"/>
    <n v="3.8866149369602447"/>
    <n v="7.2"/>
    <n v="4.0943445622221004"/>
    <n v="4.7300000000000004"/>
    <n v="5.3972573144029399"/>
    <n v="3.1262779634006344"/>
    <n v="3.8646797939176256"/>
    <n v="3.6349247265160103"/>
    <n v="-8.5264999999999994E-2"/>
    <n v="-6.0581863"/>
    <n v="-5.2712219000000005"/>
    <m/>
    <m/>
    <m/>
    <m/>
    <m/>
    <m/>
    <m/>
    <n v="5.44"/>
    <n v="1.26E-2"/>
    <n v="-1.7361"/>
    <m/>
    <m/>
    <m/>
    <m/>
    <m/>
    <m/>
    <m/>
    <m/>
    <m/>
    <m/>
    <n v="5.12"/>
    <n v="5.7557422135869123"/>
    <n v="7.0897434468748539"/>
    <n v="3.2737427263090408"/>
    <n v="2.9126766984166652"/>
    <n v="-0.640681689"/>
    <n v="6.4043832800000006E-2"/>
    <n v="-2.2614201899999999E-2"/>
    <n v="0.18520684700000001"/>
    <n v="-0.10018458700000001"/>
  </r>
  <r>
    <x v="18"/>
    <x v="4"/>
    <x v="1"/>
    <n v="3.8952389376935557"/>
    <n v="7"/>
    <n v="4.0976723523147758"/>
    <n v="5.35"/>
    <n v="5.3875180120063391"/>
    <n v="3.1215275695982987"/>
    <n v="3.8655601310178049"/>
    <n v="3.6411324956162017"/>
    <n v="-8.4138500000000005E-2"/>
    <n v="-6.1423247999999999"/>
    <n v="-5.3211125000000008"/>
    <m/>
    <m/>
    <m/>
    <m/>
    <m/>
    <m/>
    <m/>
    <n v="5.84"/>
    <n v="-9.4600000000000004E-2"/>
    <n v="2.9163999999999999"/>
    <m/>
    <m/>
    <m/>
    <m/>
    <m/>
    <m/>
    <m/>
    <m/>
    <m/>
    <m/>
    <n v="5.47"/>
    <n v="5.7595324897606925"/>
    <n v="7.0975488506147926"/>
    <n v="3.2603248227807398"/>
    <n v="2.9112087084833371"/>
    <n v="-0.47991207600000002"/>
    <n v="0.15574444700000001"/>
    <n v="-8.3762262399999995E-2"/>
    <n v="0.22326858299999999"/>
    <n v="-4.7726359099999997E-2"/>
  </r>
  <r>
    <x v="18"/>
    <x v="5"/>
    <x v="1"/>
    <n v="3.9025886414411781"/>
    <n v="7.2"/>
    <n v="4.1026433650367959"/>
    <n v="5.39"/>
    <n v="5.3399390412388561"/>
    <n v="3.127593522264287"/>
    <n v="3.8598661804105814"/>
    <n v="3.6422332400401651"/>
    <n v="-0.1610702"/>
    <n v="-6.3033950000000001"/>
    <n v="-5.4659285000000004"/>
    <m/>
    <m/>
    <m/>
    <m/>
    <m/>
    <m/>
    <m/>
    <n v="5.8"/>
    <n v="-0.15809999999999999"/>
    <n v="-2.0710999999999999"/>
    <m/>
    <m/>
    <m/>
    <m/>
    <m/>
    <m/>
    <m/>
    <m/>
    <m/>
    <m/>
    <n v="5.64"/>
    <n v="5.7645639469160601"/>
    <n v="7.1048012311744735"/>
    <n v="3.2515753210312166"/>
    <n v="2.9018610579439201"/>
    <n v="-0.50069497500000004"/>
    <n v="7.7263503100000006E-2"/>
    <n v="1.586338E-2"/>
    <n v="-3.9193910499999998E-2"/>
    <n v="-3.11652566E-2"/>
  </r>
  <r>
    <x v="18"/>
    <x v="6"/>
    <x v="2"/>
    <n v="3.9043798709493145"/>
    <n v="6.9"/>
    <n v="4.1075897889721213"/>
    <n v="5.42"/>
    <n v="5.3183650618518143"/>
    <n v="3.1306127557478094"/>
    <n v="3.8704090307076817"/>
    <n v="3.6502685549862806"/>
    <n v="-0.2676827"/>
    <n v="-6.5710777"/>
    <n v="-5.7061043000000007"/>
    <m/>
    <m/>
    <m/>
    <m/>
    <m/>
    <m/>
    <m/>
    <n v="5.94"/>
    <n v="-8.14E-2"/>
    <n v="-0.69177999999999995"/>
    <m/>
    <m/>
    <m/>
    <m/>
    <m/>
    <m/>
    <m/>
    <m/>
    <m/>
    <m/>
    <n v="5.86"/>
    <n v="5.768945800562614"/>
    <n v="7.1120829160387062"/>
    <n v="3.2844388210519595"/>
    <n v="2.9137084380754001"/>
    <n v="-0.423329122"/>
    <n v="7.0364084600000001E-2"/>
    <n v="-0.17552193099999999"/>
    <n v="0.109831304"/>
    <n v="-0.119034811"/>
  </r>
  <r>
    <x v="18"/>
    <x v="7"/>
    <x v="2"/>
    <n v="3.9045531755870577"/>
    <n v="7"/>
    <n v="4.1125118661775497"/>
    <n v="5.9"/>
    <n v="5.3025085711665048"/>
    <n v="3.1402654242862895"/>
    <n v="3.8655391796145842"/>
    <n v="3.6494107102035698"/>
    <n v="2.4756000000000001E-3"/>
    <n v="-6.5686020999999997"/>
    <n v="-5.6756526000000003"/>
    <m/>
    <m/>
    <m/>
    <m/>
    <m/>
    <m/>
    <m/>
    <n v="6.37"/>
    <n v="-0.1449"/>
    <n v="2.0855999999999999"/>
    <m/>
    <m/>
    <m/>
    <m/>
    <m/>
    <m/>
    <m/>
    <m/>
    <m/>
    <m/>
    <n v="6.03"/>
    <n v="5.7754827888213924"/>
    <n v="7.1204443723924875"/>
    <n v="3.2761631192915792"/>
    <n v="2.8824515870950247"/>
    <n v="-0.29905831300000002"/>
    <n v="0.13635579"/>
    <n v="-0.12655447"/>
    <n v="-1.42815836E-2"/>
    <n v="2.3111816100000002E-2"/>
  </r>
  <r>
    <x v="18"/>
    <x v="8"/>
    <x v="2"/>
    <n v="3.9091749535760107"/>
    <n v="6.8"/>
    <n v="4.1157798429421657"/>
    <n v="6.14"/>
    <n v="5.3047963326457461"/>
    <n v="3.1482387452687601"/>
    <n v="3.8689902356107262"/>
    <n v="3.6509439147708993"/>
    <n v="4.4124900000000002E-2"/>
    <n v="-6.5244771999999998"/>
    <n v="-5.6049795000000007"/>
    <m/>
    <m/>
    <m/>
    <m/>
    <m/>
    <m/>
    <m/>
    <n v="6.53"/>
    <n v="-9.1399999999999995E-2"/>
    <n v="0.78471999999999997"/>
    <m/>
    <m/>
    <m/>
    <m/>
    <m/>
    <m/>
    <m/>
    <m/>
    <m/>
    <m/>
    <n v="6.46"/>
    <n v="5.782285536144145"/>
    <n v="7.1278542001101215"/>
    <n v="3.2689984342714116"/>
    <n v="2.9040006829543983"/>
    <n v="-0.23688332600000001"/>
    <n v="0.116296518"/>
    <n v="-4.4468975899999999E-2"/>
    <n v="-0.125833572"/>
    <n v="3.44573465E-2"/>
  </r>
  <r>
    <x v="18"/>
    <x v="9"/>
    <x v="3"/>
    <n v="3.911420824153391"/>
    <n v="6.8"/>
    <n v="4.1206618705394744"/>
    <n v="6.47"/>
    <n v="5.31483027492225"/>
    <n v="3.1480240838962494"/>
    <n v="3.8839732639813893"/>
    <n v="3.6576725444892255"/>
    <n v="-3.7270900000000003E-2"/>
    <n v="-6.5617481"/>
    <n v="-5.6301380000000005"/>
    <m/>
    <m/>
    <m/>
    <m/>
    <m/>
    <m/>
    <m/>
    <n v="6.97"/>
    <n v="-0.1111"/>
    <n v="1.4931000000000001"/>
    <m/>
    <m/>
    <m/>
    <m/>
    <m/>
    <m/>
    <m/>
    <m/>
    <m/>
    <m/>
    <n v="6.6"/>
    <n v="5.7881236230899518"/>
    <n v="7.1340937211928663"/>
    <n v="3.2925351249550912"/>
    <n v="2.8711889384793907"/>
    <n v="-0.30124789299999999"/>
    <n v="7.13543487E-2"/>
    <n v="-0.15953042100000001"/>
    <n v="-3.9698597600000003E-2"/>
    <n v="-2.1302203200000001E-2"/>
  </r>
  <r>
    <x v="18"/>
    <x v="10"/>
    <x v="3"/>
    <n v="3.9121250002264998"/>
    <n v="6.8"/>
    <n v="4.1271343850450917"/>
    <n v="6.51"/>
    <n v="5.3273906140337441"/>
    <n v="3.1623901258813385"/>
    <n v="3.8953446923753328"/>
    <n v="3.6582655954961001"/>
    <n v="-6.5982600000000002E-2"/>
    <n v="-6.6277306999999999"/>
    <n v="-5.6790066000000001"/>
    <m/>
    <m/>
    <m/>
    <m/>
    <m/>
    <m/>
    <m/>
    <n v="6.95"/>
    <n v="-9.4200000000000006E-2"/>
    <n v="8.5407999999999998E-2"/>
    <m/>
    <m/>
    <m/>
    <m/>
    <m/>
    <m/>
    <m/>
    <m/>
    <m/>
    <m/>
    <n v="6.56"/>
    <n v="5.7948412056031682"/>
    <n v="7.1407699500916095"/>
    <n v="3.2944655558177871"/>
    <n v="2.8986705607108596"/>
    <n v="-0.351045257"/>
    <n v="7.5054759099999993E-2"/>
    <n v="-2.5240041899999999E-2"/>
    <n v="-0.11548703"/>
    <n v="-3.6180100600000001E-2"/>
  </r>
  <r>
    <x v="18"/>
    <x v="11"/>
    <x v="3"/>
    <n v="3.9137115789850458"/>
    <n v="6.4"/>
    <n v="4.1319614257934072"/>
    <n v="6.56"/>
    <n v="5.3597886886361374"/>
    <n v="3.1710292154109814"/>
    <n v="3.8893069381844128"/>
    <n v="3.6632539064749636"/>
    <n v="-0.1152749"/>
    <n v="-6.7430056"/>
    <n v="-5.8010283999999999"/>
    <m/>
    <m/>
    <m/>
    <m/>
    <m/>
    <m/>
    <m/>
    <n v="6.96"/>
    <n v="-0.24729999999999999"/>
    <n v="-5.2167999999999999E-2"/>
    <m/>
    <m/>
    <m/>
    <m/>
    <m/>
    <m/>
    <m/>
    <m/>
    <m/>
    <m/>
    <n v="6.53"/>
    <n v="5.8018162149275661"/>
    <n v="7.1470083720294149"/>
    <n v="3.3007875540631169"/>
    <n v="2.9134370308271609"/>
    <n v="-0.34907299899999999"/>
    <n v="0.242248777"/>
    <n v="-0.13547858800000001"/>
    <n v="0.101436584"/>
    <n v="0.119772157"/>
  </r>
  <r>
    <x v="19"/>
    <x v="0"/>
    <x v="0"/>
    <n v="3.8999322054044336"/>
    <n v="6.4"/>
    <n v="4.138361447638875"/>
    <n v="6.7"/>
    <n v="5.3844950627890888"/>
    <n v="3.1015776716373313"/>
    <n v="3.8817287327945453"/>
    <n v="3.6670427595047621"/>
    <n v="-0.21650739999999999"/>
    <n v="-6.9595130000000003"/>
    <n v="-6.0054167999999999"/>
    <m/>
    <m/>
    <m/>
    <m/>
    <m/>
    <m/>
    <m/>
    <n v="7.28"/>
    <n v="-0.2437"/>
    <n v="-0.30430000000000001"/>
    <m/>
    <m/>
    <m/>
    <m/>
    <m/>
    <m/>
    <m/>
    <m/>
    <m/>
    <m/>
    <n v="6.79"/>
    <n v="5.8123378812105466"/>
    <n v="7.1543809544435506"/>
    <n v="3.3379025312898416"/>
    <n v="2.9341759678548853"/>
    <n v="-0.45442690499999999"/>
    <n v="4.2327240000000002E-2"/>
    <n v="-7.99032561E-2"/>
    <n v="6.3751879600000005E-2"/>
    <n v="7.5372858600000004E-3"/>
  </r>
  <r>
    <x v="19"/>
    <x v="1"/>
    <x v="0"/>
    <n v="3.9049097662217704"/>
    <n v="6.3"/>
    <n v="4.1431347263915326"/>
    <n v="6.78"/>
    <n v="5.3951264224760971"/>
    <n v="3.1364502804928702"/>
    <n v="3.8961171757443691"/>
    <n v="3.6761234410127357"/>
    <n v="5.7347200000000001E-2"/>
    <n v="-6.9021658000000006"/>
    <n v="-5.9000620000000001"/>
    <m/>
    <m/>
    <m/>
    <m/>
    <m/>
    <m/>
    <m/>
    <n v="7.34"/>
    <n v="-0.2429"/>
    <n v="-0.36897999999999997"/>
    <m/>
    <m/>
    <m/>
    <m/>
    <m/>
    <m/>
    <m/>
    <m/>
    <m/>
    <m/>
    <n v="6.83"/>
    <n v="5.8150256534721825"/>
    <n v="7.1589030267059446"/>
    <n v="3.315276319154516"/>
    <n v="2.9525637781526122"/>
    <n v="0.104312286"/>
    <n v="0.40214027200000002"/>
    <n v="8.4412754899999998E-2"/>
    <n v="-0.22793951300000001"/>
    <n v="0.43330330099999997"/>
  </r>
  <r>
    <x v="19"/>
    <x v="2"/>
    <x v="0"/>
    <n v="3.923753928303845"/>
    <n v="6.3"/>
    <n v="4.1494638614431798"/>
    <n v="6.79"/>
    <n v="5.4221708287150348"/>
    <n v="3.1620514728704396"/>
    <n v="3.9034866744058596"/>
    <n v="3.6832637153283008"/>
    <n v="-1.4195E-3"/>
    <n v="-6.9035853000000005"/>
    <n v="-5.8583221000000005"/>
    <m/>
    <m/>
    <m/>
    <m/>
    <m/>
    <m/>
    <m/>
    <n v="7.31"/>
    <n v="-0.2266"/>
    <n v="-1.2115"/>
    <m/>
    <m/>
    <m/>
    <m/>
    <m/>
    <m/>
    <m/>
    <m/>
    <m/>
    <m/>
    <n v="6.97"/>
    <n v="5.8200829303523616"/>
    <n v="7.1641014711240647"/>
    <n v="3.300713843083833"/>
    <n v="2.9422260060308498"/>
    <n v="-0.41811618699999997"/>
    <n v="0.116514114"/>
    <n v="-6.0181261299999997E-2"/>
    <n v="6.1956767400000001E-2"/>
    <n v="-0.114453341"/>
  </r>
  <r>
    <x v="19"/>
    <x v="3"/>
    <x v="1"/>
    <n v="3.9443081848110202"/>
    <n v="6.1"/>
    <n v="4.1573193613834887"/>
    <n v="6.89"/>
    <n v="5.4293456289544411"/>
    <n v="3.1988771783615109"/>
    <n v="3.8966047526997656"/>
    <n v="3.6881541911743412"/>
    <n v="-9.2141899999999999E-2"/>
    <n v="-6.9957272000000001"/>
    <n v="-5.924269100000001"/>
    <m/>
    <m/>
    <m/>
    <m/>
    <m/>
    <m/>
    <m/>
    <n v="7.45"/>
    <n v="-0.1779"/>
    <n v="-0.19105"/>
    <m/>
    <m/>
    <m/>
    <m/>
    <m/>
    <m/>
    <m/>
    <m/>
    <m/>
    <m/>
    <n v="7.25"/>
    <n v="5.8286514567020706"/>
    <n v="7.1704271884297501"/>
    <n v="3.3299161796571917"/>
    <n v="2.9365659628847749"/>
    <n v="-0.72789126100000001"/>
    <n v="9.9951214799999993E-2"/>
    <n v="-0.112278609"/>
    <n v="0.26589068500000002"/>
    <n v="-0.34542521500000001"/>
  </r>
  <r>
    <x v="19"/>
    <x v="4"/>
    <x v="1"/>
    <n v="3.9477472283622506"/>
    <n v="6"/>
    <n v="4.1666652238017265"/>
    <n v="7.36"/>
    <n v="5.4297841292903426"/>
    <n v="3.2092698347229658"/>
    <n v="3.9031638789948215"/>
    <n v="3.6887544463007851"/>
    <n v="-0.23910219999999999"/>
    <n v="-7.2348293999999997"/>
    <n v="-6.1394669000000013"/>
    <m/>
    <m/>
    <m/>
    <m/>
    <m/>
    <m/>
    <m/>
    <n v="7.82"/>
    <n v="-0.12180000000000001"/>
    <n v="0.91535"/>
    <m/>
    <m/>
    <m/>
    <m/>
    <m/>
    <m/>
    <m/>
    <m/>
    <m/>
    <m/>
    <n v="7.43"/>
    <n v="5.8432545199427954"/>
    <n v="7.1781640227634611"/>
    <n v="3.3297013799570854"/>
    <n v="2.9146848947006689"/>
    <n v="-0.87956489199999999"/>
    <n v="0.294133429"/>
    <n v="-0.11240731700000001"/>
    <n v="0.263751448"/>
    <n v="-0.17686274399999999"/>
  </r>
  <r>
    <x v="19"/>
    <x v="5"/>
    <x v="1"/>
    <n v="3.9546916139068737"/>
    <n v="5.9"/>
    <n v="4.1743872698956368"/>
    <n v="7.6"/>
    <n v="5.4365564107718027"/>
    <n v="3.2085426207284091"/>
    <n v="3.9046962300416852"/>
    <n v="3.6941654585431736"/>
    <n v="0.19889570000000001"/>
    <n v="-7.0359336999999993"/>
    <n v="-5.8972620000000013"/>
    <m/>
    <m/>
    <m/>
    <m/>
    <m/>
    <m/>
    <m/>
    <n v="8.09"/>
    <n v="-0.3669"/>
    <n v="-0.85551999999999995"/>
    <m/>
    <m/>
    <m/>
    <m/>
    <m/>
    <m/>
    <m/>
    <m/>
    <m/>
    <m/>
    <n v="8.01"/>
    <n v="5.8490365539757043"/>
    <n v="7.1842500057933414"/>
    <n v="3.3305603020627146"/>
    <n v="2.9324729339148004"/>
    <n v="-0.46087382199999999"/>
    <n v="0.41039906999999998"/>
    <n v="9.4635268700000007E-3"/>
    <n v="5.0515458800000001E-3"/>
    <n v="0.14933589"/>
  </r>
  <r>
    <x v="19"/>
    <x v="6"/>
    <x v="2"/>
    <n v="3.9544117719199328"/>
    <n v="6.2"/>
    <n v="4.1820501426412067"/>
    <n v="7.81"/>
    <n v="5.4331541567702475"/>
    <n v="3.1906820904974187"/>
    <n v="3.9020938743502613"/>
    <n v="3.6918500375587691"/>
    <n v="-0.15078800000000001"/>
    <n v="-7.1867216999999997"/>
    <n v="-6.0409553000000011"/>
    <m/>
    <m/>
    <m/>
    <m/>
    <m/>
    <m/>
    <m/>
    <n v="8.39"/>
    <n v="-0.25919999999999999"/>
    <n v="-1.6285000000000001"/>
    <m/>
    <m/>
    <m/>
    <m/>
    <m/>
    <m/>
    <m/>
    <m/>
    <m/>
    <m/>
    <n v="8"/>
    <n v="5.8510523933912371"/>
    <n v="7.1884882623457109"/>
    <n v="3.3568971227655755"/>
    <n v="2.933910059910648"/>
    <n v="-0.67976822999999997"/>
    <n v="0.345790023"/>
    <n v="-1.2853561600000001E-2"/>
    <n v="0.10524890000000001"/>
    <n v="4.4355131800000003E-2"/>
  </r>
  <r>
    <x v="19"/>
    <x v="7"/>
    <x v="2"/>
    <n v="3.9579538475343967"/>
    <n v="5.9"/>
    <n v="4.1881384415084613"/>
    <n v="8.0399999999999991"/>
    <n v="5.4650175424390346"/>
    <n v="3.2150284331393069"/>
    <n v="3.9068094383752587"/>
    <n v="3.6989287899669376"/>
    <n v="-9.5032900000000003E-2"/>
    <n v="-7.2817545999999993"/>
    <n v="-6.1042961000000009"/>
    <m/>
    <m/>
    <m/>
    <m/>
    <m/>
    <m/>
    <m/>
    <n v="8.31"/>
    <n v="-0.30659999999999998"/>
    <n v="-4.6899999999999997E-2"/>
    <m/>
    <m/>
    <m/>
    <m/>
    <m/>
    <m/>
    <m/>
    <m/>
    <m/>
    <m/>
    <n v="8.4"/>
    <n v="5.8567896437813802"/>
    <n v="7.1955623436220693"/>
    <n v="3.3339529807093209"/>
    <n v="2.9323663979321712"/>
    <n v="-0.271468135"/>
    <n v="0.33761848799999999"/>
    <n v="-5.7638060499999996E-3"/>
    <n v="-3.5178626400000003E-2"/>
    <n v="0.24728508699999999"/>
  </r>
  <r>
    <x v="19"/>
    <x v="8"/>
    <x v="2"/>
    <n v="3.9606112444501629"/>
    <n v="6"/>
    <n v="4.1972019476618083"/>
    <n v="8.4499999999999993"/>
    <n v="5.4932671834914641"/>
    <n v="3.1698116231539104"/>
    <n v="3.9187006601813867"/>
    <n v="3.7015735421728211"/>
    <n v="-0.17525379999999999"/>
    <n v="-7.4570083999999994"/>
    <n v="-6.2620704000000007"/>
    <m/>
    <m/>
    <m/>
    <m/>
    <m/>
    <m/>
    <m/>
    <n v="8.64"/>
    <n v="-0.23860000000000001"/>
    <n v="0.71423000000000003"/>
    <m/>
    <m/>
    <m/>
    <m/>
    <m/>
    <m/>
    <m/>
    <m/>
    <m/>
    <m/>
    <n v="8.9"/>
    <n v="5.8641991960621054"/>
    <n v="7.2041492920359396"/>
    <n v="3.3391446572591454"/>
    <n v="2.9409592477066995"/>
    <n v="-0.39092486399999998"/>
    <n v="0.15801028"/>
    <n v="-0.27654411699999998"/>
    <n v="0.23567711099999999"/>
    <n v="0.14129903599999999"/>
  </r>
  <r>
    <x v="19"/>
    <x v="9"/>
    <x v="3"/>
    <n v="3.9687095301681667"/>
    <n v="5.8"/>
    <n v="4.2061840439776361"/>
    <n v="8.9600000000000009"/>
    <n v="5.5256122889847221"/>
    <n v="3.1965075090061923"/>
    <n v="3.9115228803864639"/>
    <n v="3.7015735421728211"/>
    <n v="0.12440379999999999"/>
    <n v="-7.3326045999999998"/>
    <n v="-6.1306789000000004"/>
    <m/>
    <m/>
    <m/>
    <m/>
    <m/>
    <m/>
    <m/>
    <n v="9.14"/>
    <n v="-0.45710000000000001"/>
    <n v="2.7242000000000002"/>
    <m/>
    <m/>
    <m/>
    <m/>
    <m/>
    <m/>
    <m/>
    <m/>
    <m/>
    <m/>
    <n v="9.35"/>
    <n v="5.8673175543650995"/>
    <n v="7.2095621254793141"/>
    <n v="3.357663379638427"/>
    <n v="2.9355575505179208"/>
    <n v="-0.40727645299999998"/>
    <n v="0.35656565400000001"/>
    <n v="0.101486011"/>
    <n v="1.9604896300000001E-2"/>
    <n v="3.8991245699999998E-3"/>
  </r>
  <r>
    <x v="19"/>
    <x v="10"/>
    <x v="3"/>
    <n v="3.9759963668930709"/>
    <n v="5.9"/>
    <n v="4.2121275978784842"/>
    <n v="9.76"/>
    <n v="5.5302224235308195"/>
    <n v="3.1997337793398342"/>
    <n v="3.9220129394574941"/>
    <n v="3.7012032038027685"/>
    <n v="0.14845059999999999"/>
    <n v="-7.1841539999999995"/>
    <n v="-5.9638349000000002"/>
    <m/>
    <m/>
    <m/>
    <m/>
    <m/>
    <m/>
    <m/>
    <n v="10.01"/>
    <n v="-0.21579999999999999"/>
    <n v="2.9266999999999999"/>
    <m/>
    <m/>
    <m/>
    <m/>
    <m/>
    <m/>
    <m/>
    <m/>
    <m/>
    <m/>
    <n v="9.94"/>
    <n v="5.8732439157205505"/>
    <n v="7.2145779949613011"/>
    <n v="3.396184839838611"/>
    <n v="2.9532943908560232"/>
    <n v="-0.62414447900000003"/>
    <n v="0.43564778100000001"/>
    <n v="6.1709659299999997E-2"/>
    <n v="-3.2553591E-2"/>
    <n v="3.1771298000000003E-2"/>
  </r>
  <r>
    <x v="19"/>
    <x v="11"/>
    <x v="3"/>
    <n v="3.9815807839917117"/>
    <n v="6"/>
    <n v="4.2180360345646504"/>
    <n v="10.029999999999999"/>
    <n v="5.5244564268420451"/>
    <n v="3.2033966380197407"/>
    <n v="3.9324528869396542"/>
    <n v="3.705121829659801"/>
    <n v="-6.0163700000000001E-2"/>
    <n v="-7.2443176999999999"/>
    <n v="-6.0068871000000001"/>
    <m/>
    <m/>
    <m/>
    <m/>
    <m/>
    <m/>
    <m/>
    <n v="10.3"/>
    <n v="-0.36830000000000002"/>
    <n v="-0.14616000000000001"/>
    <m/>
    <m/>
    <m/>
    <m/>
    <m/>
    <m/>
    <m/>
    <m/>
    <m/>
    <m/>
    <n v="10.84"/>
    <n v="5.878575765029364"/>
    <n v="7.2196420401307355"/>
    <n v="3.4451185687200834"/>
    <n v="2.9383679561644205"/>
    <n v="-0.70464647199999997"/>
    <n v="0.31147018500000001"/>
    <n v="7.5460735500000001E-2"/>
    <n v="-0.27352486500000001"/>
    <n v="2.7805197300000001E-2"/>
  </r>
  <r>
    <x v="20"/>
    <x v="0"/>
    <x v="0"/>
    <n v="3.9750353625696708"/>
    <n v="5.9"/>
    <n v="4.2268337452681797"/>
    <n v="10.07"/>
    <n v="5.5425959903922051"/>
    <n v="3.18333154534331"/>
    <n v="3.9245047829302018"/>
    <n v="3.7085840373882717"/>
    <n v="0"/>
    <n v="-7.2443176999999999"/>
    <n v="-6.0068871000000001"/>
    <m/>
    <m/>
    <m/>
    <m/>
    <m/>
    <m/>
    <m/>
    <n v="10.41"/>
    <n v="-0.23680000000000001"/>
    <n v="-0.65246999999999999"/>
    <m/>
    <m/>
    <m/>
    <m/>
    <m/>
    <m/>
    <m/>
    <m/>
    <m/>
    <m/>
    <n v="10.57"/>
    <n v="5.8822075611710325"/>
    <n v="7.2237332205887652"/>
    <n v="3.4654233539614268"/>
    <n v="2.9348138585845738"/>
    <n v="-0.43949440499999998"/>
    <n v="0.224523163"/>
    <n v="2.2260551900000002E-2"/>
    <n v="-5.0078007100000002E-2"/>
    <n v="8.1082120300000005E-2"/>
  </r>
  <r>
    <x v="20"/>
    <x v="1"/>
    <x v="0"/>
    <n v="3.9803786072352354"/>
    <n v="5.9"/>
    <n v="4.2370008626236242"/>
    <n v="10.06"/>
    <n v="5.5911735302735464"/>
    <n v="3.1901470780353289"/>
    <n v="3.9267145541711357"/>
    <n v="3.7144009913440139"/>
    <n v="-0.18177650000000001"/>
    <n v="-7.4260941999999996"/>
    <n v="-6.1581399000000001"/>
    <m/>
    <m/>
    <m/>
    <m/>
    <m/>
    <m/>
    <m/>
    <n v="10.24"/>
    <n v="-0.30199999999999999"/>
    <n v="-0.53742000000000001"/>
    <m/>
    <m/>
    <m/>
    <m/>
    <m/>
    <m/>
    <m/>
    <m/>
    <m/>
    <m/>
    <n v="10.24"/>
    <n v="5.8858262150849852"/>
    <n v="7.2282433031590951"/>
    <n v="3.4218493213930161"/>
    <n v="2.9135998840153716"/>
    <n v="-0.15996834900000001"/>
    <n v="0.47195920899999999"/>
    <n v="9.5471431900000001E-2"/>
    <n v="-9.2764866399999996E-3"/>
    <n v="0.22641591899999999"/>
  </r>
  <r>
    <x v="20"/>
    <x v="2"/>
    <x v="0"/>
    <n v="3.9837276633629908"/>
    <n v="5.8"/>
    <n v="4.2470656492397643"/>
    <n v="10.09"/>
    <n v="5.6252802465012435"/>
    <n v="3.1904351972363507"/>
    <n v="3.9280931856056407"/>
    <n v="3.7153266241287848"/>
    <n v="7.3706199999999999E-2"/>
    <n v="-7.3523879999999995"/>
    <n v="-6.0261852999999999"/>
    <m/>
    <m/>
    <m/>
    <m/>
    <m/>
    <m/>
    <m/>
    <n v="10.25"/>
    <n v="-0.10199999999999999"/>
    <n v="-0.44729999999999998"/>
    <m/>
    <m/>
    <m/>
    <m/>
    <m/>
    <m/>
    <m/>
    <m/>
    <m/>
    <m/>
    <n v="10.07"/>
    <n v="5.8930244742947293"/>
    <n v="7.2354750384654487"/>
    <n v="3.4157246809426929"/>
    <n v="2.9144679867230274"/>
    <n v="-0.32245275099999998"/>
    <n v="0.45359757899999997"/>
    <n v="5.5551110299999998E-2"/>
    <n v="0.194243206"/>
    <n v="0.110539944"/>
  </r>
  <r>
    <x v="20"/>
    <x v="3"/>
    <x v="1"/>
    <n v="3.972805732392362"/>
    <n v="5.8"/>
    <n v="4.257030144499196"/>
    <n v="10.01"/>
    <n v="5.6214872319293709"/>
    <n v="3.170735449540266"/>
    <n v="3.9143802250018243"/>
    <n v="3.7183897114878772"/>
    <n v="-0.1019559"/>
    <n v="-7.4543438999999996"/>
    <n v="-6.0899901999999999"/>
    <m/>
    <m/>
    <m/>
    <m/>
    <m/>
    <m/>
    <m/>
    <n v="10.119999999999999"/>
    <n v="-0.1779"/>
    <n v="-1.2083999999999999"/>
    <m/>
    <m/>
    <m/>
    <m/>
    <m/>
    <m/>
    <m/>
    <m/>
    <m/>
    <m/>
    <n v="10.43"/>
    <n v="5.9080829381689313"/>
    <n v="7.2457263917270858"/>
    <n v="3.4334386669691734"/>
    <n v="2.9224624116262157"/>
    <n v="-0.47858974999999998"/>
    <n v="0.47847832000000001"/>
    <n v="2.6104563899999999E-2"/>
    <n v="0.20220525"/>
    <n v="5.8925814100000001E-2"/>
  </r>
  <r>
    <x v="20"/>
    <x v="4"/>
    <x v="1"/>
    <n v="3.9805336273181173"/>
    <n v="5.6"/>
    <n v="4.2682978693455391"/>
    <n v="10.24"/>
    <n v="5.6244506253740703"/>
    <n v="3.1750911124971788"/>
    <n v="3.9230420719105794"/>
    <n v="3.7173940220121375"/>
    <n v="6.8625500000000006E-2"/>
    <n v="-7.3857184"/>
    <n v="-5.9840089000000001"/>
    <m/>
    <m/>
    <m/>
    <m/>
    <m/>
    <m/>
    <m/>
    <n v="10.119999999999999"/>
    <n v="-0.26929999999999998"/>
    <n v="1.7432000000000001"/>
    <m/>
    <m/>
    <m/>
    <m/>
    <m/>
    <m/>
    <m/>
    <m/>
    <m/>
    <m/>
    <n v="10.31"/>
    <n v="5.9124213397675289"/>
    <n v="7.25148681728494"/>
    <n v="3.4074776196193057"/>
    <n v="2.87852407264845"/>
    <n v="0.26959620299999998"/>
    <n v="0.83064516200000005"/>
    <n v="9.1320564300000004E-2"/>
    <n v="3.9432895099999997E-3"/>
    <n v="0.45688668599999999"/>
  </r>
  <r>
    <x v="20"/>
    <x v="5"/>
    <x v="1"/>
    <n v="3.9802814739739283"/>
    <n v="5.7"/>
    <n v="4.2794400458987809"/>
    <n v="10.29"/>
    <n v="5.6278009536335727"/>
    <n v="3.1493542422095553"/>
    <n v="3.9359738795839325"/>
    <n v="3.7212014255760608"/>
    <n v="0"/>
    <n v="-7.3857184"/>
    <n v="-5.9840089000000001"/>
    <m/>
    <m/>
    <m/>
    <m/>
    <m/>
    <m/>
    <m/>
    <n v="9.57"/>
    <n v="-0.161"/>
    <n v="-1.6524000000000001"/>
    <m/>
    <m/>
    <m/>
    <m/>
    <m/>
    <m/>
    <m/>
    <m/>
    <m/>
    <m/>
    <n v="10.54"/>
    <n v="5.9226502311076219"/>
    <n v="7.2605225980898522"/>
    <n v="3.3995293245614584"/>
    <n v="2.9118070386162298"/>
    <n v="-0.58402094199999999"/>
    <n v="0.54524724099999999"/>
    <n v="0.168325154"/>
    <n v="0.219641904"/>
    <n v="-0.285417115"/>
  </r>
  <r>
    <x v="20"/>
    <x v="6"/>
    <x v="2"/>
    <n v="3.9788794630740392"/>
    <n v="5.7"/>
    <n v="4.290459441148391"/>
    <n v="10.47"/>
    <n v="5.639208397330961"/>
    <n v="3.175508928162988"/>
    <n v="3.9237736948608077"/>
    <n v="3.7199419795657542"/>
    <n v="0.69753030000000005"/>
    <n v="-6.6881880999999996"/>
    <n v="-5.2198102000000004"/>
    <m/>
    <m/>
    <m/>
    <m/>
    <m/>
    <m/>
    <m/>
    <n v="9.64"/>
    <n v="-0.22189999999999999"/>
    <n v="0.68654000000000004"/>
    <m/>
    <m/>
    <m/>
    <m/>
    <m/>
    <m/>
    <m/>
    <m/>
    <m/>
    <m/>
    <n v="10.81"/>
    <n v="5.9327755507593025"/>
    <n v="7.2687807456581277"/>
    <n v="3.412928304537854"/>
    <n v="2.9350263984365959"/>
    <n v="-0.193445439"/>
    <n v="0.58272096299999998"/>
    <n v="-0.26114176700000002"/>
    <n v="0.33099526099999999"/>
    <n v="0.13658376699999999"/>
  </r>
  <r>
    <x v="20"/>
    <x v="7"/>
    <x v="2"/>
    <n v="3.9720978290744382"/>
    <n v="6"/>
    <n v="4.3000027991952914"/>
    <n v="10.94"/>
    <n v="5.6328233857157075"/>
    <n v="3.1947060755609957"/>
    <n v="3.9409796846824499"/>
    <n v="3.724584378734713"/>
    <n v="0.35981590000000002"/>
    <n v="-6.3283721999999996"/>
    <n v="-4.8993259"/>
    <m/>
    <m/>
    <m/>
    <m/>
    <m/>
    <m/>
    <m/>
    <n v="9.98"/>
    <n v="-0.31509999999999999"/>
    <n v="2.5123000000000002"/>
    <m/>
    <m/>
    <m/>
    <m/>
    <m/>
    <m/>
    <m/>
    <m/>
    <m/>
    <m/>
    <n v="11.29"/>
    <n v="5.9370083613119231"/>
    <n v="7.2769712544151801"/>
    <n v="3.4075107437187473"/>
    <n v="2.9403781134219131"/>
    <n v="-8.3788032900000003E-2"/>
    <n v="0.69011031300000003"/>
    <n v="1.1105490000000001E-2"/>
    <n v="0.169891131"/>
    <n v="0.12250549500000001"/>
  </r>
  <r>
    <x v="20"/>
    <x v="8"/>
    <x v="2"/>
    <n v="3.9731632589895631"/>
    <n v="5.9"/>
    <n v="4.3094559418390466"/>
    <n v="11.43"/>
    <n v="5.6387816244387867"/>
    <n v="3.2073294209678287"/>
    <n v="3.9435798103323636"/>
    <n v="3.7243913751152959"/>
    <n v="-0.1433239"/>
    <n v="-6.4716961"/>
    <n v="-5.1222611999999996"/>
    <m/>
    <m/>
    <m/>
    <m/>
    <m/>
    <m/>
    <m/>
    <n v="10.84"/>
    <n v="-8.6900000000000005E-2"/>
    <n v="3.4112"/>
    <m/>
    <m/>
    <m/>
    <m/>
    <m/>
    <m/>
    <m/>
    <m/>
    <m/>
    <m/>
    <n v="12.16"/>
    <n v="5.938327448694853"/>
    <n v="7.2821424315194401"/>
    <n v="3.4120384048400303"/>
    <n v="2.92675725905046"/>
    <n v="0.14842829699999999"/>
    <n v="0.76034794800000005"/>
    <n v="4.2741974600000003E-2"/>
    <n v="-5.9532882099999997E-2"/>
    <n v="6.9161404499999996E-2"/>
  </r>
  <r>
    <x v="20"/>
    <x v="9"/>
    <x v="3"/>
    <n v="3.9784378900941237"/>
    <n v="6"/>
    <n v="4.3201512309557941"/>
    <n v="13.77"/>
    <n v="5.6484106991212144"/>
    <n v="3.1701896552911437"/>
    <n v="3.939774349958971"/>
    <n v="3.7303332490062968"/>
    <n v="0"/>
    <n v="-6.4716961"/>
    <n v="-5.1222611999999996"/>
    <m/>
    <m/>
    <m/>
    <m/>
    <m/>
    <m/>
    <m/>
    <n v="12.44"/>
    <n v="-0.91290000000000004"/>
    <n v="15.856999999999999"/>
    <m/>
    <m/>
    <m/>
    <m/>
    <m/>
    <m/>
    <m/>
    <m/>
    <m/>
    <m/>
    <n v="14.82"/>
    <n v="5.9422743029172107"/>
    <n v="7.2864656497814817"/>
    <n v="3.4530938274506573"/>
    <n v="2.9097930488763351"/>
    <n v="-0.29488833599999997"/>
    <n v="0.62501056300000002"/>
    <n v="0.38268072199999997"/>
    <n v="-2.6734829599999999E-2"/>
    <n v="-0.13645946"/>
  </r>
  <r>
    <x v="20"/>
    <x v="10"/>
    <x v="3"/>
    <n v="3.9776759054148965"/>
    <n v="5.9"/>
    <n v="4.3307333402863311"/>
    <n v="13.18"/>
    <n v="5.6384614252009717"/>
    <n v="3.1660234209639726"/>
    <n v="3.9450321590350916"/>
    <n v="3.7330159496020214"/>
    <n v="0.1038529"/>
    <n v="-6.3678432000000003"/>
    <n v="-5.0760777999999993"/>
    <m/>
    <m/>
    <m/>
    <m/>
    <m/>
    <m/>
    <m/>
    <n v="12.39"/>
    <n v="-0.16270000000000001"/>
    <n v="-6.4656000000000002"/>
    <m/>
    <m/>
    <m/>
    <m/>
    <m/>
    <m/>
    <m/>
    <m/>
    <m/>
    <m/>
    <n v="13.96"/>
    <n v="5.9422743029172107"/>
    <n v="7.2902246672959858"/>
    <n v="3.4738280726970627"/>
    <n v="2.9173382061259789"/>
    <n v="-0.33763698399999997"/>
    <n v="0.76749622500000003"/>
    <n v="0.49880353599999999"/>
    <n v="-0.58680623499999995"/>
    <n v="-0.188850769"/>
  </r>
  <r>
    <x v="20"/>
    <x v="11"/>
    <x v="3"/>
    <n v="3.9785426877692087"/>
    <n v="6"/>
    <n v="4.3425058765115985"/>
    <n v="13.78"/>
    <n v="5.6555371620282067"/>
    <n v="3.1633208307458811"/>
    <n v="3.9394436010041383"/>
    <n v="3.7315317725689137"/>
    <n v="0"/>
    <n v="-6.3678432000000003"/>
    <n v="-5.0760777999999993"/>
    <m/>
    <m/>
    <m/>
    <m/>
    <m/>
    <m/>
    <m/>
    <n v="11.98"/>
    <n v="0.1323"/>
    <n v="3.2317"/>
    <m/>
    <m/>
    <m/>
    <m/>
    <m/>
    <m/>
    <m/>
    <m/>
    <m/>
    <m/>
    <n v="14.77"/>
    <n v="5.9448969112916474"/>
    <n v="7.2955315242192169"/>
    <n v="3.4866408634796229"/>
    <n v="2.9574071592323232"/>
    <n v="-6.0167493000000002E-2"/>
    <n v="0.66852635800000004"/>
    <n v="0.24866798800000001"/>
    <n v="-0.12148637800000001"/>
    <n v="-9.5769307999999997E-2"/>
  </r>
  <r>
    <x v="21"/>
    <x v="0"/>
    <x v="0"/>
    <n v="3.9831373583145697"/>
    <n v="6.3"/>
    <n v="4.3567088266895917"/>
    <n v="13.82"/>
    <n v="5.6582270729966986"/>
    <n v="3.1939271795042359"/>
    <n v="3.9432503178447185"/>
    <n v="3.7360492585903264"/>
    <n v="8.47353E-2"/>
    <n v="-6.2831079000000001"/>
    <n v="-5.0889508999999995"/>
    <m/>
    <m/>
    <m/>
    <m/>
    <m/>
    <m/>
    <m/>
    <n v="12.06"/>
    <n v="-9.9500000000000005E-2"/>
    <n v="-0.15351000000000001"/>
    <m/>
    <m/>
    <m/>
    <m/>
    <m/>
    <m/>
    <m/>
    <m/>
    <m/>
    <m/>
    <n v="13.4"/>
    <n v="5.9553191004716286"/>
    <n v="7.3016200290239803"/>
    <n v="3.4937157893066839"/>
    <n v="2.9679498925415393"/>
    <n v="4.5158446499999998E-2"/>
    <n v="0.68767937700000004"/>
    <n v="-3.47188301E-2"/>
    <n v="0.35537296699999998"/>
    <n v="-0.20155118899999999"/>
  </r>
  <r>
    <x v="21"/>
    <x v="1"/>
    <x v="0"/>
    <n v="3.9833683077786386"/>
    <n v="6.3"/>
    <n v="4.3694478524670215"/>
    <n v="14.13"/>
    <n v="5.6839878473280212"/>
    <n v="3.153504957426533"/>
    <n v="3.9436573222014073"/>
    <n v="3.7305251093325684"/>
    <n v="0.2826824"/>
    <n v="-6.0004255000000004"/>
    <n v="-4.8941266999999993"/>
    <m/>
    <m/>
    <m/>
    <m/>
    <m/>
    <m/>
    <m/>
    <n v="13.92"/>
    <n v="-0.58579999999999999"/>
    <n v="2.2262"/>
    <m/>
    <m/>
    <m/>
    <m/>
    <m/>
    <m/>
    <m/>
    <m/>
    <m/>
    <m/>
    <n v="16.329999999999998"/>
    <n v="5.9664031165126108"/>
    <n v="7.3096138914961895"/>
    <n v="3.4697590490828838"/>
    <n v="2.9458590230582637"/>
    <n v="-0.152108875"/>
    <n v="0.96208473500000002"/>
    <n v="0.22306422300000001"/>
    <n v="0.27717208700000001"/>
    <n v="-0.19339883399999999"/>
  </r>
  <r>
    <x v="21"/>
    <x v="2"/>
    <x v="0"/>
    <n v="3.9802123541771506"/>
    <n v="6.3"/>
    <n v="4.3832758540743137"/>
    <n v="17.190000000000001"/>
    <n v="5.6537865838905113"/>
    <n v="3.1024768309839788"/>
    <n v="3.9358371835274011"/>
    <n v="3.7327767151511195"/>
    <n v="1.4334549999999999"/>
    <n v="-4.5669705"/>
    <n v="-3.4715006999999991"/>
    <m/>
    <m/>
    <m/>
    <m/>
    <m/>
    <m/>
    <m/>
    <n v="15.82"/>
    <n v="0.2606"/>
    <n v="21.341000000000001"/>
    <m/>
    <m/>
    <m/>
    <m/>
    <m/>
    <m/>
    <m/>
    <m/>
    <m/>
    <m/>
    <n v="19.850000000000001"/>
    <n v="5.9620357364171701"/>
    <n v="7.3130870448672889"/>
    <n v="3.4779732204642051"/>
    <n v="2.8891487881512075"/>
    <n v="-0.27274537399999998"/>
    <n v="0.90069792800000004"/>
    <n v="0.91352046899999995"/>
    <n v="-0.37739968000000002"/>
    <n v="-0.15627988100000001"/>
  </r>
  <r>
    <x v="21"/>
    <x v="3"/>
    <x v="1"/>
    <n v="3.9597764419048982"/>
    <n v="6.9"/>
    <n v="4.3932138240644463"/>
    <n v="17.61"/>
    <n v="5.6077853923216745"/>
    <n v="3.0442366826136058"/>
    <n v="3.9309625152475407"/>
    <n v="3.725886179743032"/>
    <n v="-3.2502490000000002"/>
    <n v="-7.8172195000000002"/>
    <n v="-6.6908516999999996"/>
    <m/>
    <m/>
    <m/>
    <m/>
    <m/>
    <m/>
    <m/>
    <n v="13.3"/>
    <n v="-0.73319999999999996"/>
    <n v="0.99917999999999996"/>
    <m/>
    <m/>
    <m/>
    <m/>
    <m/>
    <m/>
    <m/>
    <m/>
    <m/>
    <m/>
    <n v="14.64"/>
    <n v="5.9501215835735994"/>
    <n v="7.3146859792519114"/>
    <n v="3.5265957910564891"/>
    <n v="2.9299129325166975"/>
    <n v="-1.0342996300000001E-2"/>
    <n v="1.0302123400000001"/>
    <n v="0.90779629900000003"/>
    <n v="-0.69434645399999995"/>
    <n v="-0.28672013099999999"/>
  </r>
  <r>
    <x v="21"/>
    <x v="4"/>
    <x v="1"/>
    <n v="3.9352140033544463"/>
    <n v="7.5"/>
    <n v="4.4030540018659572"/>
    <n v="10.98"/>
    <n v="5.5753807598516767"/>
    <n v="3.0209125720842893"/>
    <n v="3.927856983730674"/>
    <n v="3.7241017998236972"/>
    <n v="-0.79619989999999996"/>
    <n v="-8.6134193999999997"/>
    <n v="-7.4568898999999993"/>
    <m/>
    <m/>
    <m/>
    <m/>
    <m/>
    <m/>
    <m/>
    <n v="9.39"/>
    <n v="2.3900000000000001E-2"/>
    <n v="-45.37"/>
    <m/>
    <m/>
    <m/>
    <m/>
    <m/>
    <m/>
    <m/>
    <m/>
    <m/>
    <m/>
    <n v="11.06"/>
    <n v="5.9527237187915514"/>
    <n v="7.321386949756695"/>
    <n v="3.4959619581065784"/>
    <n v="3.0038988362203844"/>
    <n v="1.3001317999999999"/>
    <n v="0.90755745300000001"/>
    <n v="-0.68068083800000001"/>
    <n v="0.44152897099999999"/>
    <n v="4.6483838200000002E-2"/>
  </r>
  <r>
    <x v="21"/>
    <x v="5"/>
    <x v="1"/>
    <n v="3.9228758991459132"/>
    <n v="7.6"/>
    <n v="4.4127982933406349"/>
    <n v="9.4700000000000006"/>
    <n v="5.5618348120005194"/>
    <n v="3.0442366826136058"/>
    <n v="3.9230618525433623"/>
    <n v="3.7302373050375008"/>
    <n v="0"/>
    <n v="-8.6134193999999997"/>
    <n v="-7.4568898999999993"/>
    <m/>
    <m/>
    <m/>
    <m/>
    <m/>
    <m/>
    <m/>
    <n v="8.16"/>
    <n v="-8.2199999999999995E-2"/>
    <n v="-1.4354"/>
    <m/>
    <m/>
    <m/>
    <m/>
    <m/>
    <m/>
    <m/>
    <m/>
    <m/>
    <m/>
    <n v="10.44"/>
    <n v="5.9638363799905081"/>
    <n v="7.3325000018222575"/>
    <n v="3.4766449323702284"/>
    <n v="3.0205712169009096"/>
    <n v="1.7817468999999999"/>
    <n v="0.67467509000000003"/>
    <n v="-1.11073888"/>
    <n v="1.5131875299999999"/>
    <n v="0.20114093199999999"/>
  </r>
  <r>
    <x v="21"/>
    <x v="6"/>
    <x v="2"/>
    <n v="3.9150005680853948"/>
    <n v="7.8"/>
    <n v="4.4140096805269327"/>
    <n v="9.0299999999999994"/>
    <n v="5.6153154933338705"/>
    <n v="3.0951250174320259"/>
    <n v="3.9225870093316226"/>
    <n v="3.7342590469866463"/>
    <n v="0.4034276"/>
    <n v="-8.2099917999999992"/>
    <n v="-7.0527244999999992"/>
    <m/>
    <m/>
    <m/>
    <m/>
    <m/>
    <m/>
    <m/>
    <n v="8.65"/>
    <n v="9.6699999999999994E-2"/>
    <n v="5.1973000000000003"/>
    <m/>
    <m/>
    <m/>
    <m/>
    <m/>
    <m/>
    <m/>
    <m/>
    <m/>
    <m/>
    <n v="9.93"/>
    <n v="5.9763509092979339"/>
    <n v="7.3431027615721707"/>
    <n v="3.4527773016353347"/>
    <n v="3.0279090052492124"/>
    <n v="1.0024173000000001"/>
    <n v="0.60289187200000005"/>
    <n v="-0.30614453899999999"/>
    <n v="0.65359853599999995"/>
    <n v="-0.274434809"/>
  </r>
  <r>
    <x v="21"/>
    <x v="7"/>
    <x v="2"/>
    <n v="3.9189191721159875"/>
    <n v="7.7"/>
    <n v="4.4212473478271628"/>
    <n v="9.61"/>
    <n v="5.665388086668889"/>
    <n v="3.0734337812178429"/>
    <n v="3.9293126739651068"/>
    <n v="3.7373362293821306"/>
    <n v="-8.7841799999999998E-2"/>
    <n v="-8.2978335999999988"/>
    <n v="-7.2524307999999991"/>
    <m/>
    <m/>
    <m/>
    <m/>
    <m/>
    <m/>
    <m/>
    <n v="10.24"/>
    <n v="-3.7900000000000003E-2"/>
    <n v="9.2972000000000001"/>
    <m/>
    <m/>
    <m/>
    <m/>
    <m/>
    <m/>
    <m/>
    <m/>
    <m/>
    <m/>
    <n v="10.74"/>
    <n v="5.9894625444373091"/>
    <n v="7.353402176723133"/>
    <n v="3.3715282400001079"/>
    <n v="3.0249512122232112"/>
    <n v="0.56921381900000001"/>
    <n v="0.28196012500000001"/>
    <n v="0.47604039399999998"/>
    <n v="-2.3170115799999998E-2"/>
    <n v="-0.28934322200000001"/>
  </r>
  <r>
    <x v="21"/>
    <x v="8"/>
    <x v="2"/>
    <n v="3.9349892506547581"/>
    <n v="7.5"/>
    <n v="4.4296256134731609"/>
    <n v="10.87"/>
    <n v="5.6794214737432656"/>
    <n v="3.0710252575894224"/>
    <n v="3.9225870093316226"/>
    <n v="3.7420172962767886"/>
    <n v="0.86276059999999999"/>
    <n v="-7.4350729999999992"/>
    <n v="-6.4809054999999987"/>
    <m/>
    <m/>
    <m/>
    <m/>
    <m/>
    <m/>
    <m/>
    <n v="11.52"/>
    <n v="-7.1999999999999995E-2"/>
    <n v="9.9337"/>
    <m/>
    <m/>
    <m/>
    <m/>
    <m/>
    <m/>
    <m/>
    <m/>
    <m/>
    <m/>
    <n v="13.19"/>
    <n v="6.003393117973256"/>
    <n v="7.3613754289773485"/>
    <n v="3.3798034889744826"/>
    <n v="2.9963320936259588"/>
    <n v="-0.35067231999999998"/>
    <n v="0.28144720699999998"/>
    <n v="0.75548451100000003"/>
    <n v="-0.18251347300000001"/>
    <n v="-0.33342691099999999"/>
  </r>
  <r>
    <x v="21"/>
    <x v="9"/>
    <x v="3"/>
    <n v="3.9473631218731735"/>
    <n v="7.5"/>
    <n v="4.4391156016580089"/>
    <n v="12.81"/>
    <n v="5.6923844297038322"/>
    <n v="3.1156463702193284"/>
    <n v="3.9301772160081883"/>
    <n v="3.749339356482515"/>
    <n v="1.2827059999999999"/>
    <n v="-6.152366999999999"/>
    <n v="-5.2645944999999985"/>
    <m/>
    <m/>
    <m/>
    <m/>
    <m/>
    <m/>
    <m/>
    <n v="12.49"/>
    <n v="-0.29770000000000002"/>
    <n v="11.499000000000001"/>
    <m/>
    <m/>
    <m/>
    <m/>
    <m/>
    <m/>
    <m/>
    <m/>
    <m/>
    <m/>
    <n v="13.77"/>
    <n v="6.0137151560428022"/>
    <n v="7.3682134953843414"/>
    <n v="3.4024299550647008"/>
    <n v="2.9875488807459716"/>
    <n v="-0.45327979400000001"/>
    <n v="0.28206073999999998"/>
    <n v="0.63123225400000005"/>
    <n v="-3.8762094900000002E-2"/>
    <n v="-0.49416437800000002"/>
  </r>
  <r>
    <x v="21"/>
    <x v="10"/>
    <x v="3"/>
    <n v="3.9644807216134228"/>
    <n v="7.5"/>
    <n v="4.4496852831476961"/>
    <n v="15.85"/>
    <n v="5.6986024146146592"/>
    <n v="3.1105330890311684"/>
    <n v="3.924445525426703"/>
    <n v="3.7488685799279073"/>
    <n v="1.875421"/>
    <n v="-4.2769459999999988"/>
    <n v="-3.3897514999999983"/>
    <m/>
    <m/>
    <m/>
    <m/>
    <m/>
    <m/>
    <m/>
    <n v="14.15"/>
    <n v="0.26729999999999998"/>
    <n v="16.483000000000001"/>
    <m/>
    <m/>
    <m/>
    <m/>
    <m/>
    <m/>
    <m/>
    <m/>
    <m/>
    <m/>
    <n v="18.559999999999999"/>
    <n v="6.0178630209625128"/>
    <n v="7.3751304568741807"/>
    <n v="3.3648445521963568"/>
    <n v="3.0002719535960227"/>
    <n v="-0.60778249500000003"/>
    <n v="0.31520868600000002"/>
    <n v="0.42460916100000001"/>
    <n v="8.9594821600000006E-3"/>
    <n v="-0.41958451600000002"/>
  </r>
  <r>
    <x v="21"/>
    <x v="11"/>
    <x v="3"/>
    <n v="3.970331535408675"/>
    <n v="7.2"/>
    <n v="4.4589876758100102"/>
    <n v="18.899999999999999"/>
    <n v="5.661501082399595"/>
    <n v="3.1035996444229981"/>
    <n v="3.931570698270515"/>
    <n v="3.7595009985927077"/>
    <n v="-0.64430989999999999"/>
    <n v="-4.9212558999999985"/>
    <n v="-4.0234319999999979"/>
    <m/>
    <m/>
    <m/>
    <m/>
    <m/>
    <m/>
    <m/>
    <n v="14.88"/>
    <n v="-9.9299999999999999E-2"/>
    <n v="16.678000000000001"/>
    <m/>
    <m/>
    <m/>
    <m/>
    <m/>
    <m/>
    <m/>
    <m/>
    <m/>
    <m/>
    <n v="22"/>
    <n v="6.0124919143000577"/>
    <n v="7.3776339004147218"/>
    <n v="3.3088627704593594"/>
    <n v="3.0119992460178628"/>
    <n v="-0.710632229"/>
    <n v="0.44299776800000001"/>
    <n v="0.69390232500000004"/>
    <n v="-0.36234864100000003"/>
    <n v="-0.44052307800000001"/>
  </r>
  <r>
    <x v="22"/>
    <x v="0"/>
    <x v="0"/>
    <n v="3.9647881161624365"/>
    <n v="7.5"/>
    <n v="4.4682043309149337"/>
    <n v="19.079999999999998"/>
    <n v="5.640842674882327"/>
    <n v="3.116577283246194"/>
    <n v="3.9433860043702857"/>
    <n v="3.7528631338554841"/>
    <n v="0"/>
    <n v="-4.9212558999999985"/>
    <n v="-4.0234319999999979"/>
    <m/>
    <m/>
    <m/>
    <m/>
    <m/>
    <m/>
    <m/>
    <n v="14.08"/>
    <n v="0.32869999999999999"/>
    <n v="-3.6705000000000001"/>
    <m/>
    <m/>
    <m/>
    <m/>
    <m/>
    <m/>
    <m/>
    <m/>
    <m/>
    <m/>
    <n v="17.25"/>
    <n v="6.0193228752363783"/>
    <n v="7.3820621360477077"/>
    <n v="3.30395199722332"/>
    <n v="3.0129826269605187"/>
    <n v="-0.31503743099999998"/>
    <n v="0.56208700199999995"/>
    <n v="0.30403382400000001"/>
    <n v="-0.41033062799999998"/>
    <n v="-0.21408102800000001"/>
  </r>
  <r>
    <x v="22"/>
    <x v="1"/>
    <x v="0"/>
    <n v="3.9599175305373926"/>
    <n v="7.4"/>
    <n v="4.4773368144782069"/>
    <n v="15.93"/>
    <n v="5.6111187897927817"/>
    <n v="3.1421675517835368"/>
    <n v="3.9360129321682424"/>
    <n v="3.7470304307559665"/>
    <n v="-0.74530169999999996"/>
    <n v="-5.6665575999999982"/>
    <n v="-4.8022977999999981"/>
    <m/>
    <m/>
    <m/>
    <m/>
    <m/>
    <m/>
    <m/>
    <n v="14.57"/>
    <n v="0.1061"/>
    <n v="-21.706"/>
    <m/>
    <m/>
    <m/>
    <m/>
    <m/>
    <m/>
    <m/>
    <m/>
    <m/>
    <m/>
    <n v="15.53"/>
    <n v="6.0277964763553724"/>
    <n v="7.3893786369399148"/>
    <n v="3.2836518178071117"/>
    <n v="3.0232015155435361"/>
    <n v="0.196486045"/>
    <n v="0.81724402500000004"/>
    <n v="-0.38156834499999998"/>
    <n v="0.432322716"/>
    <n v="-8.5799543699999994E-2"/>
  </r>
  <r>
    <x v="22"/>
    <x v="2"/>
    <x v="0"/>
    <n v="3.9651561063332847"/>
    <n v="7.4"/>
    <n v="4.4841318576110352"/>
    <n v="14.7"/>
    <n v="5.6172073661240107"/>
    <n v="3.1546572525415497"/>
    <n v="3.9331972406595526"/>
    <n v="3.751102797294068"/>
    <n v="0.30915510000000002"/>
    <n v="-5.3574024999999983"/>
    <n v="-4.4970117999999983"/>
    <m/>
    <m/>
    <m/>
    <m/>
    <m/>
    <m/>
    <m/>
    <n v="13.71"/>
    <n v="-3.6799999999999999E-2"/>
    <n v="-4.2336999999999998"/>
    <m/>
    <m/>
    <m/>
    <m/>
    <m/>
    <m/>
    <m/>
    <m/>
    <m/>
    <m/>
    <n v="14.63"/>
    <n v="6.0378709199221374"/>
    <n v="7.400376198093281"/>
    <n v="3.2856742904066163"/>
    <n v="3.048656736861878"/>
    <n v="0.13377699200000001"/>
    <n v="0.57057021600000002"/>
    <n v="0.35497253000000001"/>
    <n v="3.1637473499999999E-2"/>
    <n v="-5.3166996900000001E-3"/>
  </r>
  <r>
    <x v="22"/>
    <x v="3"/>
    <x v="1"/>
    <n v="3.960735071309891"/>
    <n v="7.2"/>
    <n v="4.4897593344767639"/>
    <n v="15.72"/>
    <n v="5.6204008657171496"/>
    <n v="3.1085251010291133"/>
    <n v="3.9393657618198534"/>
    <n v="3.7514785958704562"/>
    <n v="0"/>
    <n v="-5.3574024999999983"/>
    <n v="-4.4970117999999983"/>
    <m/>
    <m/>
    <m/>
    <m/>
    <m/>
    <m/>
    <m/>
    <n v="14.32"/>
    <n v="0.50270000000000004"/>
    <n v="11.648999999999999"/>
    <m/>
    <m/>
    <m/>
    <m/>
    <m/>
    <m/>
    <m/>
    <m/>
    <m/>
    <m/>
    <n v="18.920000000000002"/>
    <n v="6.0577203428850472"/>
    <n v="7.4140908374752632"/>
    <n v="3.3076922384652954"/>
    <n v="3.0376896233144981"/>
    <n v="4.18998706E-2"/>
    <n v="0.21162694200000001"/>
    <n v="-5.9131327900000002E-2"/>
    <n v="0.57420748799999999"/>
    <n v="-6.9829685799999999E-2"/>
  </r>
  <r>
    <x v="22"/>
    <x v="4"/>
    <x v="1"/>
    <n v="3.9668425751922527"/>
    <n v="7.5"/>
    <n v="4.4964707690647501"/>
    <n v="18.52"/>
    <n v="5.5995324532824018"/>
    <n v="3.0921781718222432"/>
    <n v="3.9389375379690277"/>
    <n v="3.7559771976464305"/>
    <n v="1.508348"/>
    <n v="-3.8490544999999985"/>
    <n v="-2.9839347999999983"/>
    <m/>
    <m/>
    <m/>
    <m/>
    <m/>
    <m/>
    <m/>
    <n v="16.2"/>
    <n v="0.26550000000000001"/>
    <n v="22.766999999999999"/>
    <m/>
    <m/>
    <m/>
    <m/>
    <m/>
    <m/>
    <m/>
    <m/>
    <m/>
    <m/>
    <n v="17.559999999999999"/>
    <n v="6.0513830373192254"/>
    <n v="7.4170998064663296"/>
    <n v="3.2952440977593493"/>
    <n v="3.0069194629445555"/>
    <n v="-0.120624224"/>
    <n v="0.25325624699999999"/>
    <n v="0.26874995499999998"/>
    <n v="-0.136618974"/>
    <n v="-0.14470923899999999"/>
  </r>
  <r>
    <x v="22"/>
    <x v="5"/>
    <x v="1"/>
    <n v="3.9713630378068721"/>
    <n v="7.5"/>
    <n v="4.5053498507058807"/>
    <n v="19.100000000000001"/>
    <n v="5.5899416582324415"/>
    <n v="3.0939473210509458"/>
    <n v="3.947583180826697"/>
    <n v="3.7624319148569043"/>
    <n v="0"/>
    <n v="-3.8490544999999985"/>
    <n v="-2.9839347999999983"/>
    <m/>
    <m/>
    <m/>
    <m/>
    <m/>
    <m/>
    <m/>
    <n v="14.86"/>
    <n v="0.42580000000000001"/>
    <n v="3.9731000000000001"/>
    <m/>
    <m/>
    <m/>
    <m/>
    <m/>
    <m/>
    <m/>
    <m/>
    <m/>
    <m/>
    <n v="18.64"/>
    <n v="6.0525596464677927"/>
    <n v="7.4207585299959016"/>
    <n v="3.2819257385793126"/>
    <n v="3.010423822296981"/>
    <n v="-0.29060105800000002"/>
    <n v="0.35940750100000002"/>
    <n v="0.72609348100000004"/>
    <n v="-0.63700121200000004"/>
    <n v="-0.39385716199999998"/>
  </r>
  <r>
    <x v="22"/>
    <x v="6"/>
    <x v="2"/>
    <n v="3.9779118644490086"/>
    <n v="7.2"/>
    <n v="4.516338972281476"/>
    <n v="19.04"/>
    <n v="5.6147690949958982"/>
    <n v="3.105348719877314"/>
    <n v="3.9438898217665179"/>
    <n v="3.757868992261999"/>
    <n v="-0.66479129999999997"/>
    <n v="-4.5138457999999986"/>
    <n v="-3.5974531999999986"/>
    <m/>
    <m/>
    <m/>
    <m/>
    <m/>
    <m/>
    <m/>
    <n v="15.72"/>
    <n v="0.41220000000000001"/>
    <n v="-0.24623999999999999"/>
    <m/>
    <m/>
    <m/>
    <m/>
    <m/>
    <m/>
    <m/>
    <m/>
    <m/>
    <m/>
    <n v="17.46"/>
    <n v="6.0565497937639163"/>
    <n v="7.4276793857333869"/>
    <n v="3.2997551055938241"/>
    <n v="3.0278605873055127"/>
    <n v="0.33603403999999998"/>
    <n v="0.52381388799999995"/>
    <n v="-0.44977903800000002"/>
    <n v="0.483741323"/>
    <n v="-0.118204854"/>
  </r>
  <r>
    <x v="22"/>
    <x v="7"/>
    <x v="2"/>
    <n v="3.9775260612525445"/>
    <n v="7.4"/>
    <n v="4.5239601305625481"/>
    <n v="17.82"/>
    <n v="5.6074184063731174"/>
    <n v="3.16145855399825"/>
    <n v="3.9453417206209713"/>
    <n v="3.7549714554760247"/>
    <n v="-8.0223600000000006E-2"/>
    <n v="-4.5940693999999986"/>
    <n v="-3.6415115999999985"/>
    <m/>
    <m/>
    <m/>
    <m/>
    <m/>
    <m/>
    <m/>
    <n v="16.72"/>
    <n v="0.2397"/>
    <n v="-8.1491000000000007"/>
    <m/>
    <m/>
    <m/>
    <m/>
    <m/>
    <m/>
    <m/>
    <m/>
    <m/>
    <m/>
    <n v="16.829999999999998"/>
    <n v="6.0565497937639163"/>
    <n v="7.4350249551640601"/>
    <n v="3.2951329145849551"/>
    <n v="3.0452840523832387"/>
    <n v="-0.10168152900000001"/>
    <n v="0.62009840900000002"/>
    <n v="0.22644956199999999"/>
    <n v="-0.18317766999999999"/>
    <n v="-0.47257672299999998"/>
  </r>
  <r>
    <x v="22"/>
    <x v="8"/>
    <x v="2"/>
    <n v="3.9712801043759813"/>
    <n v="7.6"/>
    <n v="4.5336741842830213"/>
    <n v="15.87"/>
    <n v="5.5848863197123455"/>
    <n v="3.1169316889558356"/>
    <n v="3.9433278552565585"/>
    <n v="3.7543160093981105"/>
    <n v="0"/>
    <n v="-4.5940693999999986"/>
    <n v="-3.6415115999999985"/>
    <m/>
    <m/>
    <m/>
    <m/>
    <m/>
    <m/>
    <m/>
    <n v="16.52"/>
    <n v="0.39439999999999997"/>
    <n v="-11.651999999999999"/>
    <m/>
    <m/>
    <m/>
    <m/>
    <m/>
    <m/>
    <m/>
    <m/>
    <m/>
    <m/>
    <n v="16.579999999999998"/>
    <n v="6.0567840132286248"/>
    <n v="7.4419067280516247"/>
    <n v="3.238560798184599"/>
    <n v="3.0602082927383556"/>
    <n v="0.11023319400000001"/>
    <n v="0.311142382"/>
    <n v="0.48756501899999999"/>
    <n v="-0.176330608"/>
    <n v="-0.25974640599999999"/>
  </r>
  <r>
    <x v="22"/>
    <x v="9"/>
    <x v="3"/>
    <n v="3.9644067051077081"/>
    <n v="7.9"/>
    <n v="4.536891345234797"/>
    <n v="15.08"/>
    <n v="5.561488997315319"/>
    <n v="3.0589417869518751"/>
    <n v="3.9457672113923068"/>
    <n v="3.7559070624022728"/>
    <n v="-0.54621699999999995"/>
    <n v="-5.140286399999999"/>
    <n v="-4.2146972999999983"/>
    <m/>
    <m/>
    <m/>
    <m/>
    <m/>
    <m/>
    <m/>
    <n v="15.38"/>
    <n v="0.56989999999999996"/>
    <n v="-2.3218000000000001"/>
    <m/>
    <m/>
    <m/>
    <m/>
    <m/>
    <m/>
    <m/>
    <m/>
    <m/>
    <m/>
    <n v="14.44"/>
    <n v="6.0600573385735936"/>
    <n v="7.4511255342238538"/>
    <n v="3.2460628847121646"/>
    <n v="3.0705150179976766"/>
    <n v="0.51651883499999995"/>
    <n v="0.33607778999999999"/>
    <n v="0.39827370000000001"/>
    <n v="0.16221893100000001"/>
    <n v="-1.3417862799999999E-2"/>
  </r>
  <r>
    <x v="22"/>
    <x v="10"/>
    <x v="3"/>
    <n v="3.9529192371927486"/>
    <n v="8.3000000000000007"/>
    <n v="4.5411648560121787"/>
    <n v="13.31"/>
    <n v="5.5413027600757854"/>
    <n v="3.0536709384744372"/>
    <n v="3.94495475366312"/>
    <n v="3.7536367013292149"/>
    <n v="-0.40944390000000003"/>
    <n v="-5.5497302999999993"/>
    <n v="-4.5691349999999984"/>
    <m/>
    <m/>
    <m/>
    <m/>
    <m/>
    <m/>
    <m/>
    <n v="12.41"/>
    <n v="0.155"/>
    <n v="-8.2824000000000009"/>
    <m/>
    <m/>
    <m/>
    <m/>
    <m/>
    <m/>
    <m/>
    <m/>
    <m/>
    <m/>
    <n v="12.44"/>
    <n v="6.0668039036537973"/>
    <n v="7.4593964972479023"/>
    <n v="3.2538567937634464"/>
    <n v="3.0837431508767041"/>
    <n v="0.71332262400000002"/>
    <n v="1.0679601900000001E-3"/>
    <n v="1.99850019E-2"/>
    <n v="0.39767306200000002"/>
    <n v="-0.102662564"/>
  </r>
  <r>
    <x v="22"/>
    <x v="11"/>
    <x v="3"/>
    <n v="3.9417720808287409"/>
    <n v="8.5"/>
    <n v="4.5443580465913342"/>
    <n v="12.37"/>
    <n v="5.5179748485774143"/>
    <n v="3.0483721608781704"/>
    <n v="3.9532801052763475"/>
    <n v="3.7603625557358007"/>
    <n v="0.1070532"/>
    <n v="-5.4426770999999992"/>
    <n v="-4.4681484999999981"/>
    <m/>
    <m/>
    <m/>
    <m/>
    <m/>
    <m/>
    <m/>
    <n v="12.85"/>
    <n v="0.54110000000000003"/>
    <n v="-1.256"/>
    <m/>
    <m/>
    <m/>
    <m/>
    <m/>
    <m/>
    <m/>
    <m/>
    <m/>
    <m/>
    <n v="13.13"/>
    <n v="6.0792464604915155"/>
    <n v="7.4705089956084869"/>
    <n v="3.2644990748926177"/>
    <n v="3.0889949040136808"/>
    <n v="1.20379776"/>
    <n v="0.114113114"/>
    <n v="-0.67203933199999999"/>
    <n v="1.1478011699999999"/>
    <n v="-2.75686565E-2"/>
  </r>
  <r>
    <x v="23"/>
    <x v="0"/>
    <x v="0"/>
    <n v="3.9218763018706575"/>
    <n v="8.6"/>
    <n v="4.5475410731514554"/>
    <n v="13.22"/>
    <n v="5.5300638066695145"/>
    <n v="3.0643250650196028"/>
    <n v="3.9465017238443885"/>
    <n v="3.7569585749245307"/>
    <n v="0"/>
    <n v="-5.4426770999999992"/>
    <n v="-4.4681484999999981"/>
    <m/>
    <m/>
    <m/>
    <m/>
    <m/>
    <m/>
    <m/>
    <n v="14.32"/>
    <n v="0.75570000000000004"/>
    <n v="10.657999999999999"/>
    <m/>
    <m/>
    <m/>
    <m/>
    <m/>
    <m/>
    <m/>
    <m/>
    <m/>
    <m/>
    <n v="14.21"/>
    <n v="6.0928923397380954"/>
    <n v="7.4789607887368401"/>
    <n v="3.2851129026413535"/>
    <n v="3.0610049001701869"/>
    <n v="0.91443017299999996"/>
    <n v="4.0547093399999998E-2"/>
    <n v="0.360542947"/>
    <n v="-4.0903373799999997E-2"/>
    <n v="-4.67263594E-2"/>
  </r>
  <r>
    <x v="23"/>
    <x v="1"/>
    <x v="0"/>
    <n v="3.9416439416616642"/>
    <n v="8.9"/>
    <n v="4.5507140001920323"/>
    <n v="14.78"/>
    <n v="5.5326382184523712"/>
    <n v="3.0963917566531682"/>
    <n v="3.9539324085053558"/>
    <n v="3.7617348564151851"/>
    <n v="1.0144770000000001"/>
    <n v="-4.4282000999999989"/>
    <n v="-3.4483414999999979"/>
    <m/>
    <m/>
    <m/>
    <m/>
    <m/>
    <m/>
    <m/>
    <n v="14.73"/>
    <n v="0.45229999999999998"/>
    <n v="14.804"/>
    <m/>
    <m/>
    <m/>
    <m/>
    <m/>
    <m/>
    <m/>
    <m/>
    <m/>
    <m/>
    <n v="13.74"/>
    <n v="6.0910836121366945"/>
    <n v="7.4812739720865515"/>
    <n v="3.2568650107722354"/>
    <n v="3.0442366826136058"/>
    <n v="0.87235154599999998"/>
    <n v="0.251289655"/>
    <n v="0.96812606800000001"/>
    <n v="-0.55867206800000002"/>
    <n v="-0.105290645"/>
  </r>
  <r>
    <x v="23"/>
    <x v="2"/>
    <x v="0"/>
    <n v="3.9340819089470922"/>
    <n v="9"/>
    <n v="4.5507140001920323"/>
    <n v="14.68"/>
    <n v="5.51128936254075"/>
    <n v="3.0945816375961601"/>
    <n v="3.9491068216580083"/>
    <n v="3.7630820646464485"/>
    <n v="-0.41202620000000001"/>
    <n v="-4.8402262999999985"/>
    <n v="-3.8885501999999978"/>
    <m/>
    <m/>
    <m/>
    <m/>
    <m/>
    <m/>
    <m/>
    <n v="13.95"/>
    <n v="0.90749999999999997"/>
    <n v="-5.0542999999999998E-2"/>
    <m/>
    <m/>
    <m/>
    <m/>
    <m/>
    <m/>
    <m/>
    <m/>
    <m/>
    <m/>
    <n v="16.8"/>
    <n v="6.0928923397380954"/>
    <n v="7.4880136774634645"/>
    <n v="3.1884578536466681"/>
    <n v="3.0542841605036064"/>
    <n v="-4.14001435E-2"/>
    <n v="-0.30206221599999999"/>
    <n v="0.56407269800000004"/>
    <n v="4.3222784299999997E-2"/>
    <n v="-0.83570495"/>
  </r>
  <r>
    <x v="23"/>
    <x v="3"/>
    <x v="1"/>
    <n v="3.9251682271778332"/>
    <n v="9.3000000000000007"/>
    <n v="4.5538768916005408"/>
    <n v="14.94"/>
    <n v="5.5045181971319348"/>
    <n v="3.0752363746665901"/>
    <n v="3.9537789636684733"/>
    <n v="3.7661645168234785"/>
    <n v="0"/>
    <n v="-4.8402262999999985"/>
    <n v="-3.8885501999999978"/>
    <m/>
    <m/>
    <m/>
    <m/>
    <m/>
    <m/>
    <m/>
    <n v="13.98"/>
    <n v="0.69550000000000001"/>
    <n v="3.8805000000000001"/>
    <m/>
    <m/>
    <m/>
    <m/>
    <m/>
    <m/>
    <m/>
    <m/>
    <m/>
    <m/>
    <n v="15.28"/>
    <n v="6.102782283239935"/>
    <n v="7.4977062667136325"/>
    <n v="3.2012819564671529"/>
    <n v="3.0451888822665834"/>
    <n v="0.93605775099999999"/>
    <n v="-0.17935008499999999"/>
    <n v="-0.15076782399999999"/>
    <n v="0.30086330500000003"/>
    <n v="-0.21873904899999999"/>
  </r>
  <r>
    <x v="23"/>
    <x v="4"/>
    <x v="1"/>
    <n v="3.9189390344698758"/>
    <n v="9.4"/>
    <n v="4.5633059818893926"/>
    <n v="14.45"/>
    <n v="5.5153623594003767"/>
    <n v="3.1180383979379589"/>
    <n v="3.9499351704980072"/>
    <n v="3.7648909705200317"/>
    <n v="-9.7880999999999996E-2"/>
    <n v="-4.9381072999999986"/>
    <n v="-3.9476841999999976"/>
    <m/>
    <m/>
    <m/>
    <m/>
    <m/>
    <m/>
    <m/>
    <n v="13.34"/>
    <n v="0.7107"/>
    <n v="-0.70987"/>
    <m/>
    <m/>
    <m/>
    <m/>
    <m/>
    <m/>
    <m/>
    <m/>
    <m/>
    <m/>
    <n v="13.38"/>
    <n v="6.1018872283580734"/>
    <n v="7.504061108092527"/>
    <n v="3.186517908760075"/>
    <n v="3.0662373344393448"/>
    <n v="0.80592905699999995"/>
    <n v="1.1943146700000001E-2"/>
    <n v="0.186923706"/>
    <n v="5.0161070100000003E-2"/>
    <n v="-0.35846896700000003"/>
  </r>
  <r>
    <x v="23"/>
    <x v="5"/>
    <x v="1"/>
    <n v="3.9156563966605669"/>
    <n v="9.6"/>
    <n v="4.5747109785033828"/>
    <n v="14.15"/>
    <n v="5.4785116623258174"/>
    <n v="3.0726470173221165"/>
    <n v="3.9406104622800586"/>
    <n v="3.7708741016665637"/>
    <n v="0"/>
    <n v="-4.9381072999999986"/>
    <n v="-3.9476841999999976"/>
    <m/>
    <m/>
    <m/>
    <m/>
    <m/>
    <m/>
    <m/>
    <n v="14.07"/>
    <n v="0.64090000000000003"/>
    <n v="1.2423999999999999"/>
    <m/>
    <m/>
    <m/>
    <m/>
    <m/>
    <m/>
    <m/>
    <m/>
    <m/>
    <m/>
    <n v="14.58"/>
    <n v="6.10367653771491"/>
    <n v="7.5098830611549134"/>
    <n v="3.1793030497483774"/>
    <n v="3.057203595642092"/>
    <n v="0.58941548499999996"/>
    <n v="0.35895091400000001"/>
    <n v="0.100038972"/>
    <n v="0.46413700299999999"/>
    <n v="-0.39491137700000001"/>
  </r>
  <r>
    <x v="23"/>
    <x v="6"/>
    <x v="2"/>
    <n v="3.9126707955668012"/>
    <n v="9.8000000000000007"/>
    <n v="4.5798523780038014"/>
    <n v="12.59"/>
    <n v="5.4855020790079791"/>
    <n v="3.0778190445521001"/>
    <n v="3.9555230108739972"/>
    <n v="3.7724160510417284"/>
    <n v="-0.1981146"/>
    <n v="-5.1362218999999989"/>
    <n v="-4.1449481999999973"/>
    <m/>
    <m/>
    <m/>
    <m/>
    <m/>
    <m/>
    <m/>
    <n v="13.24"/>
    <n v="0.60860000000000003"/>
    <n v="-6.9039999999999999"/>
    <m/>
    <m/>
    <m/>
    <m/>
    <m/>
    <m/>
    <m/>
    <m/>
    <m/>
    <m/>
    <n v="11.41"/>
    <n v="6.1047932324149849"/>
    <n v="7.5130543689688869"/>
    <n v="3.1892822220211223"/>
    <n v="3.0699116717282426"/>
    <n v="0.56091492700000001"/>
    <n v="0.47641707"/>
    <n v="0.84924630800000001"/>
    <n v="-8.7320245599999999E-2"/>
    <n v="-0.47442589600000001"/>
  </r>
  <r>
    <x v="23"/>
    <x v="7"/>
    <x v="2"/>
    <n v="3.9041077623783322"/>
    <n v="9.8000000000000007"/>
    <n v="4.5819015590487373"/>
    <n v="10.119999999999999"/>
    <n v="5.473656267914107"/>
    <n v="3.0840178384213512"/>
    <n v="3.948663469523138"/>
    <n v="3.7767300621839626"/>
    <n v="-0.2438593"/>
    <n v="-5.3800811999999993"/>
    <n v="-4.3545790999999969"/>
    <m/>
    <m/>
    <m/>
    <m/>
    <m/>
    <m/>
    <m/>
    <n v="11.43"/>
    <n v="-0.12859999999999999"/>
    <n v="-12.595000000000001"/>
    <m/>
    <m/>
    <m/>
    <m/>
    <m/>
    <m/>
    <m/>
    <m/>
    <m/>
    <m/>
    <n v="10.63"/>
    <n v="6.1123538643834356"/>
    <n v="7.5205597068595438"/>
    <n v="3.1975296068486023"/>
    <n v="3.0877187541663642"/>
    <n v="0.70426107299999996"/>
    <n v="2.0414029300000001E-2"/>
    <n v="0.26948007000000002"/>
    <n v="0.50563244600000001"/>
    <n v="-0.35249978700000001"/>
  </r>
  <r>
    <x v="23"/>
    <x v="8"/>
    <x v="2"/>
    <n v="3.9009398131296966"/>
    <n v="10.1"/>
    <n v="4.5819015590487373"/>
    <n v="10.31"/>
    <n v="5.4723547037542941"/>
    <n v="3.1281192615973166"/>
    <n v="3.9529537940301105"/>
    <n v="3.7812535095387987"/>
    <n v="0"/>
    <n v="-5.3800811999999993"/>
    <n v="-4.3545790999999969"/>
    <m/>
    <m/>
    <m/>
    <m/>
    <m/>
    <m/>
    <m/>
    <n v="10.85"/>
    <n v="0.47039999999999998"/>
    <n v="6.9499000000000004"/>
    <m/>
    <m/>
    <m/>
    <m/>
    <m/>
    <m/>
    <m/>
    <m/>
    <m/>
    <m/>
    <n v="12.17"/>
    <n v="6.1244645485692262"/>
    <n v="7.5276863972108234"/>
    <n v="3.1519664955846274"/>
    <n v="3.0851615583804151"/>
    <n v="1.0468048999999999"/>
    <n v="-0.19800010600000001"/>
    <n v="-0.33813933499999999"/>
    <n v="0.86465462699999995"/>
    <n v="-7.4675573100000003E-2"/>
  </r>
  <r>
    <x v="23"/>
    <x v="9"/>
    <x v="3"/>
    <n v="3.8920712870184389"/>
    <n v="10.4"/>
    <n v="4.5859873665713176"/>
    <n v="9.7100000000000009"/>
    <n v="5.450566239085699"/>
    <n v="3.1012627747634549"/>
    <n v="3.9615938171938909"/>
    <n v="3.7904427695233776"/>
    <n v="-0.25935229999999998"/>
    <n v="-5.6394334999999991"/>
    <n v="-4.5950620999999972"/>
    <m/>
    <m/>
    <m/>
    <m/>
    <m/>
    <m/>
    <m/>
    <n v="9.32"/>
    <n v="0.1178"/>
    <n v="-0.33051000000000003"/>
    <m/>
    <m/>
    <m/>
    <m/>
    <m/>
    <m/>
    <m/>
    <m/>
    <m/>
    <m/>
    <n v="9.41"/>
    <n v="6.1409615582538928"/>
    <n v="7.5337471843546746"/>
    <n v="3.1884990882094844"/>
    <n v="3.1158680947939712"/>
    <n v="0.74938046400000002"/>
    <n v="-0.239198509"/>
    <n v="-1.8338724899999999E-2"/>
    <n v="0.50491392800000001"/>
    <n v="-0.25180915100000001"/>
  </r>
  <r>
    <x v="23"/>
    <x v="10"/>
    <x v="3"/>
    <n v="3.8881277748442273"/>
    <n v="10.8"/>
    <n v="4.5849674786705723"/>
    <n v="9.1999999999999993"/>
    <n v="5.4303977069052447"/>
    <n v="3.1564044989428894"/>
    <n v="3.9589256751143655"/>
    <n v="3.7943649619599138"/>
    <n v="8.9975399999999997E-2"/>
    <n v="-5.549458099999999"/>
    <n v="-4.4683188999999972"/>
    <m/>
    <m/>
    <m/>
    <m/>
    <m/>
    <m/>
    <m/>
    <n v="9.16"/>
    <n v="0.49709999999999999"/>
    <n v="-0.39853"/>
    <m/>
    <m/>
    <m/>
    <m/>
    <m/>
    <m/>
    <m/>
    <m/>
    <m/>
    <m/>
    <n v="8.93"/>
    <n v="6.1559191020735122"/>
    <n v="7.5412055322839553"/>
    <n v="3.2029903156379773"/>
    <n v="3.1320535209122293"/>
    <n v="1.01469012"/>
    <n v="0.10048716100000001"/>
    <n v="-0.231650944"/>
    <n v="0.69003899000000002"/>
    <n v="-0.25791641399999998"/>
  </r>
  <r>
    <x v="23"/>
    <x v="11"/>
    <x v="3"/>
    <n v="3.8809945637954684"/>
    <n v="10.8"/>
    <n v="4.5819015590487373"/>
    <n v="8.9499999999999993"/>
    <n v="5.4239362879721948"/>
    <n v="3.1657703631810952"/>
    <n v="3.9672495544182684"/>
    <n v="3.7954217711693148"/>
    <n v="0.63151409999999997"/>
    <n v="-4.9179439999999985"/>
    <n v="-3.8163025999999971"/>
    <m/>
    <m/>
    <m/>
    <m/>
    <m/>
    <m/>
    <m/>
    <n v="8.91"/>
    <n v="0.69979999999999998"/>
    <n v="1.0843"/>
    <m/>
    <m/>
    <m/>
    <m/>
    <m/>
    <m/>
    <m/>
    <m/>
    <m/>
    <m/>
    <n v="11.2"/>
    <n v="6.1628936627355131"/>
    <n v="7.552971925784532"/>
    <n v="3.2110855593931378"/>
    <n v="3.1420811698891282"/>
    <n v="0.68213455000000001"/>
    <n v="-0.16138429700000001"/>
    <n v="5.3547864100000002E-2"/>
    <n v="0.235743758"/>
    <n v="-0.30752137299999999"/>
  </r>
  <r>
    <x v="24"/>
    <x v="0"/>
    <x v="0"/>
    <n v="3.899903864405533"/>
    <n v="10.4"/>
    <n v="4.5839465495364644"/>
    <n v="8.68"/>
    <n v="5.4402942454435861"/>
    <n v="3.1517954091855787"/>
    <n v="3.9611940494345954"/>
    <n v="3.8032120995699663"/>
    <n v="0"/>
    <n v="-4.9179439999999985"/>
    <n v="-3.8163025999999971"/>
    <m/>
    <m/>
    <m/>
    <m/>
    <m/>
    <m/>
    <m/>
    <n v="8.6199999999999992"/>
    <n v="0.33100000000000002"/>
    <n v="0.65471000000000001"/>
    <n v="0"/>
    <n v="0"/>
    <n v="0"/>
    <m/>
    <m/>
    <m/>
    <m/>
    <m/>
    <m/>
    <m/>
    <n v="8.56"/>
    <n v="6.1679356902237608"/>
    <n v="7.5805977062017185"/>
    <n v="3.1958937484762764"/>
    <n v="3.1291261567245221"/>
    <n v="0.52271267300000002"/>
    <n v="-0.3574851"/>
    <n v="2.2449246700000001E-2"/>
    <n v="0.18929000500000001"/>
    <n v="-0.107004446"/>
  </r>
  <r>
    <x v="24"/>
    <x v="1"/>
    <x v="0"/>
    <n v="3.8937347908299667"/>
    <n v="10.4"/>
    <n v="4.5849674786705723"/>
    <n v="8.51"/>
    <n v="5.4765053920603846"/>
    <n v="3.1435486482482098"/>
    <n v="3.960927448781749"/>
    <n v="3.8043932503262767"/>
    <n v="0.2108304"/>
    <n v="-4.7071135999999987"/>
    <n v="-3.6282944999999973"/>
    <m/>
    <m/>
    <m/>
    <m/>
    <m/>
    <m/>
    <m/>
    <n v="8.92"/>
    <n v="0.27089999999999997"/>
    <n v="-0.59033999999999998"/>
    <n v="0.19391949999999999"/>
    <n v="0.19391949999999999"/>
    <n v="0.19391949999999999"/>
    <m/>
    <m/>
    <m/>
    <m/>
    <m/>
    <m/>
    <m/>
    <n v="8.5299999999999994"/>
    <n v="6.1827045494091832"/>
    <n v="7.5995014786264541"/>
    <n v="3.1583611970022094"/>
    <n v="3.1611619626777276"/>
    <n v="-0.11394478299999999"/>
    <n v="-0.35380738"/>
    <n v="-0.16673162799999999"/>
    <n v="0.52756241999999998"/>
    <n v="-0.61093978900000001"/>
  </r>
  <r>
    <x v="24"/>
    <x v="2"/>
    <x v="0"/>
    <n v="3.9017888142904593"/>
    <n v="10.3"/>
    <n v="4.5859873665713176"/>
    <n v="8.77"/>
    <n v="5.4940897210661142"/>
    <n v="3.1592107425464655"/>
    <n v="3.9752982289411873"/>
    <n v="3.8113846561056488"/>
    <n v="0.13741929999999999"/>
    <n v="-4.5696942999999983"/>
    <n v="-3.4827363999999972"/>
    <m/>
    <m/>
    <m/>
    <m/>
    <m/>
    <m/>
    <m/>
    <n v="9.0399999999999991"/>
    <n v="0.219"/>
    <n v="2.3761000000000001"/>
    <n v="0.18949759999999999"/>
    <n v="0.38341709999999996"/>
    <n v="0.18949759999999999"/>
    <m/>
    <m/>
    <m/>
    <m/>
    <m/>
    <m/>
    <m/>
    <n v="10.81"/>
    <n v="6.195629131824389"/>
    <n v="7.6086225825572207"/>
    <n v="3.0984242317775368"/>
    <n v="3.1754671544511788"/>
    <n v="0.248784069"/>
    <n v="-0.20840322"/>
    <n v="0.30058855899999998"/>
    <n v="-0.201369565"/>
    <n v="-2.5473217100000001E-2"/>
  </r>
  <r>
    <x v="24"/>
    <x v="3"/>
    <x v="1"/>
    <n v="3.913815398132185"/>
    <n v="10.199999999999999"/>
    <n v="4.5930976047538223"/>
    <n v="8.8000000000000007"/>
    <n v="5.5184965283982308"/>
    <n v="3.1946650961531424"/>
    <n v="3.9708955049390902"/>
    <n v="3.8162387132503097"/>
    <n v="0"/>
    <n v="-4.5696942999999983"/>
    <n v="-3.4827363999999972"/>
    <m/>
    <m/>
    <m/>
    <m/>
    <m/>
    <m/>
    <m/>
    <n v="8.98"/>
    <n v="0.12139999999999999"/>
    <n v="-0.20285"/>
    <n v="0"/>
    <n v="0.38341709999999996"/>
    <n v="0"/>
    <m/>
    <m/>
    <m/>
    <m/>
    <m/>
    <m/>
    <m/>
    <n v="8.84"/>
    <n v="6.2009147712901891"/>
    <n v="7.6152490532490038"/>
    <n v="3.1164443487162541"/>
    <n v="3.1902705678578664"/>
    <n v="-8.1825699700000004E-2"/>
    <n v="-0.37774677499999998"/>
    <n v="0.17340236000000001"/>
    <n v="0.10394677400000001"/>
    <n v="-0.19746359199999999"/>
  </r>
  <r>
    <x v="24"/>
    <x v="4"/>
    <x v="1"/>
    <n v="3.9207726157047951"/>
    <n v="10.1"/>
    <n v="4.5971380142908274"/>
    <n v="8.6300000000000008"/>
    <n v="5.5165287748166838"/>
    <n v="3.2200751054436827"/>
    <n v="3.9755985630651556"/>
    <n v="3.8181298212112136"/>
    <n v="-3.8653100000000003E-2"/>
    <n v="-4.6083473999999987"/>
    <n v="-3.5029108999999972"/>
    <m/>
    <m/>
    <m/>
    <m/>
    <m/>
    <m/>
    <m/>
    <n v="8.9"/>
    <n v="-7.8899999999999998E-2"/>
    <n v="-1.7293000000000001"/>
    <n v="0.13404540000000001"/>
    <n v="0.51746249999999994"/>
    <n v="0.13404540000000001"/>
    <m/>
    <m/>
    <m/>
    <m/>
    <m/>
    <m/>
    <m/>
    <n v="8.94"/>
    <n v="6.2146080984221914"/>
    <n v="7.6223703661573232"/>
    <n v="3.0914968955383704"/>
    <n v="3.1954024686825586"/>
    <n v="-0.324828177"/>
    <n v="-2.9394255000000001E-2"/>
    <n v="0.15967399800000001"/>
    <n v="0.40605865499999999"/>
    <n v="-0.258054913"/>
  </r>
  <r>
    <x v="24"/>
    <x v="5"/>
    <x v="1"/>
    <n v="3.9264287427357472"/>
    <n v="10.1"/>
    <n v="4.5991521136625284"/>
    <n v="8.98"/>
    <n v="5.5130254390411446"/>
    <n v="3.2502194411481309"/>
    <n v="3.9860538317490617"/>
    <n v="3.8223608454884173"/>
    <n v="0"/>
    <n v="-4.6083473999999987"/>
    <n v="-3.5029108999999972"/>
    <m/>
    <m/>
    <m/>
    <m/>
    <m/>
    <m/>
    <m/>
    <n v="9.66"/>
    <n v="8.9300000000000004E-2"/>
    <n v="2.0724"/>
    <n v="0"/>
    <n v="0.51746249999999994"/>
    <n v="0"/>
    <m/>
    <m/>
    <m/>
    <m/>
    <m/>
    <m/>
    <m/>
    <n v="10.06"/>
    <n v="6.2225762680713688"/>
    <n v="7.6274470147641944"/>
    <n v="3.0822310191706079"/>
    <n v="3.2027057917055628"/>
    <n v="-0.27711844499999999"/>
    <n v="-0.161254961"/>
    <n v="0.102346728"/>
    <n v="0.35690628800000002"/>
    <n v="-9.0451626300000004E-2"/>
  </r>
  <r>
    <x v="24"/>
    <x v="6"/>
    <x v="2"/>
    <n v="3.941665299329796"/>
    <n v="9.4"/>
    <n v="4.6031681833174183"/>
    <n v="9.3699999999999992"/>
    <n v="5.5274032273178761"/>
    <n v="3.2645755041191911"/>
    <n v="3.990334985487082"/>
    <n v="3.8284457251727986"/>
    <n v="3.1968799999999999E-2"/>
    <n v="-4.5763785999999991"/>
    <n v="-3.5096286999999973"/>
    <m/>
    <m/>
    <m/>
    <m/>
    <m/>
    <m/>
    <m/>
    <n v="10.199999999999999"/>
    <n v="-7.8899999999999998E-2"/>
    <n v="2.0339"/>
    <n v="0.22899549999999999"/>
    <n v="0.74645799999999995"/>
    <n v="0.22899549999999999"/>
    <m/>
    <m/>
    <m/>
    <m/>
    <m/>
    <m/>
    <m/>
    <n v="9.52"/>
    <n v="6.2300876692705778"/>
    <n v="7.6329339303727464"/>
    <n v="3.0973407591420878"/>
    <n v="3.1978973064830027"/>
    <n v="-0.475049526"/>
    <n v="-0.124346951"/>
    <n v="0.35445773800000002"/>
    <n v="-8.0985835199999995E-2"/>
    <n v="-8.3887883299999993E-2"/>
  </r>
  <r>
    <x v="24"/>
    <x v="7"/>
    <x v="2"/>
    <n v="3.9525275095536592"/>
    <n v="9.5"/>
    <n v="4.6061696863211745"/>
    <n v="9.56"/>
    <n v="5.5884464426428693"/>
    <n v="3.2560945353508091"/>
    <n v="3.9916841018358262"/>
    <n v="3.8341479467051802"/>
    <n v="-0.23930290000000001"/>
    <n v="-4.8156814999999993"/>
    <n v="-3.7430944999999971"/>
    <m/>
    <m/>
    <m/>
    <m/>
    <m/>
    <m/>
    <m/>
    <n v="10.53"/>
    <n v="-0.18099999999999999"/>
    <n v="-0.17377000000000001"/>
    <n v="-0.25873449999999998"/>
    <n v="0.48772349999999998"/>
    <n v="-0.25873449999999998"/>
    <m/>
    <m/>
    <m/>
    <m/>
    <m/>
    <m/>
    <m/>
    <n v="9.59"/>
    <n v="6.2353906376047199"/>
    <n v="7.6373790263521002"/>
    <n v="3.0894502774277428"/>
    <n v="3.1913401746736798"/>
    <n v="-0.69904860700000004"/>
    <n v="-0.17025987400000001"/>
    <n v="0.30067070400000001"/>
    <n v="5.96284433E-2"/>
    <n v="-0.18599478799999999"/>
  </r>
  <r>
    <x v="24"/>
    <x v="8"/>
    <x v="2"/>
    <n v="3.9677358193362684"/>
    <n v="9.1999999999999993"/>
    <n v="4.6091622072576293"/>
    <n v="9.4499999999999993"/>
    <n v="5.5945998492189881"/>
    <n v="3.2581734581399768"/>
    <n v="3.9958493154730013"/>
    <n v="3.8360918337943231"/>
    <n v="0"/>
    <n v="-4.8156814999999993"/>
    <n v="-3.7430944999999971"/>
    <m/>
    <m/>
    <m/>
    <m/>
    <m/>
    <m/>
    <m/>
    <n v="10.16"/>
    <n v="-5.0099999999999999E-2"/>
    <n v="-1.7002999999999999"/>
    <n v="0"/>
    <n v="0.48772349999999998"/>
    <n v="0"/>
    <m/>
    <m/>
    <m/>
    <m/>
    <m/>
    <m/>
    <m/>
    <n v="10.59"/>
    <n v="6.2398859056064602"/>
    <n v="7.6418044508625078"/>
    <n v="3.0245626552218678"/>
    <n v="3.1990403970340893"/>
    <n v="-0.32070025400000002"/>
    <n v="-0.14302082799999999"/>
    <n v="0.38478886400000001"/>
    <n v="-4.1307874699999997E-2"/>
    <n v="-1.93128516E-2"/>
  </r>
  <r>
    <x v="24"/>
    <x v="9"/>
    <x v="3"/>
    <n v="3.9757092885140115"/>
    <n v="8.8000000000000007"/>
    <n v="4.6131383556372683"/>
    <n v="9.48"/>
    <n v="5.5823678527657679"/>
    <n v="3.2927209053260715"/>
    <n v="4.0001254536496917"/>
    <n v="3.8397748412205219"/>
    <n v="0.22521540000000001"/>
    <n v="-4.5904660999999995"/>
    <n v="-3.4612180999999973"/>
    <m/>
    <m/>
    <m/>
    <m/>
    <m/>
    <m/>
    <m/>
    <n v="9.81"/>
    <n v="-6.8400000000000002E-2"/>
    <n v="-1.2749999999999999"/>
    <n v="-5.1345000000000002E-2"/>
    <n v="0.4363785"/>
    <n v="-5.1345000000000002E-2"/>
    <m/>
    <m/>
    <m/>
    <m/>
    <m/>
    <m/>
    <m/>
    <n v="9.43"/>
    <n v="6.2484296468977023"/>
    <n v="7.6494545001242482"/>
    <n v="3.0473280221976413"/>
    <n v="3.2135014085307456"/>
    <n v="-0.81730277799999995"/>
    <n v="-0.29986347299999999"/>
    <n v="-0.13244340600000001"/>
    <n v="0.44627857199999998"/>
    <n v="-8.1579953199999999E-2"/>
  </r>
  <r>
    <x v="24"/>
    <x v="10"/>
    <x v="3"/>
    <n v="3.9790571598807341"/>
    <n v="8.5"/>
    <n v="4.6161101260264257"/>
    <n v="9.34"/>
    <n v="5.591621107767871"/>
    <n v="3.2960960916617141"/>
    <n v="4.0052400871392795"/>
    <n v="3.8402691831647555"/>
    <n v="-0.14890619999999999"/>
    <n v="-4.7393722999999994"/>
    <n v="-3.6317903999999972"/>
    <m/>
    <m/>
    <m/>
    <m/>
    <m/>
    <m/>
    <m/>
    <n v="9.94"/>
    <n v="4.4900000000000002E-2"/>
    <n v="-1.5542"/>
    <n v="-0.2007999"/>
    <n v="0.2355786"/>
    <n v="-0.2007999"/>
    <m/>
    <m/>
    <m/>
    <m/>
    <m/>
    <m/>
    <m/>
    <n v="9.34"/>
    <n v="6.2519038831658884"/>
    <n v="7.6556746953890622"/>
    <n v="3.041804461656374"/>
    <n v="3.1985506610736012"/>
    <n v="-0.37224954199999999"/>
    <n v="-0.25730191499999999"/>
    <n v="-5.5246517199999998E-2"/>
    <n v="0.31693405099999999"/>
    <n v="0.171138081"/>
  </r>
  <r>
    <x v="24"/>
    <x v="11"/>
    <x v="3"/>
    <n v="3.9841036382031634"/>
    <n v="8.3000000000000007"/>
    <n v="4.619073091157083"/>
    <n v="9.4700000000000006"/>
    <n v="5.6098380284796594"/>
    <n v="3.3339886319687055"/>
    <n v="4.0088411386081599"/>
    <n v="3.8486571298063263"/>
    <n v="0.18640909999999999"/>
    <n v="-4.5529631999999998"/>
    <n v="-3.4147150999999973"/>
    <m/>
    <m/>
    <m/>
    <m/>
    <m/>
    <m/>
    <m/>
    <n v="10.11"/>
    <n v="0.12740000000000001"/>
    <n v="-0.60167000000000004"/>
    <n v="-2.4641E-2"/>
    <n v="0.2109376"/>
    <n v="-2.4641E-2"/>
    <m/>
    <m/>
    <m/>
    <m/>
    <m/>
    <m/>
    <m/>
    <n v="9.92"/>
    <n v="6.2565175014994017"/>
    <n v="7.6609622159697457"/>
    <n v="3.0438555487357193"/>
    <n v="3.2025431702473033"/>
    <n v="-0.43850302000000002"/>
    <n v="-0.21970519999999999"/>
    <n v="7.4611838599999994E-2"/>
    <n v="-4.1681829699999999E-2"/>
    <n v="0.14224231900000001"/>
  </r>
  <r>
    <x v="25"/>
    <x v="0"/>
    <x v="0"/>
    <n v="4.0040897491576537"/>
    <n v="8"/>
    <n v="4.6259527251706194"/>
    <n v="9.56"/>
    <n v="5.6337176002079143"/>
    <n v="3.3609654907742765"/>
    <n v="4.0168153597128633"/>
    <n v="3.8493174700120214"/>
    <n v="0.21665870000000001"/>
    <n v="-4.3363044999999998"/>
    <n v="-3.1564572999999974"/>
    <m/>
    <m/>
    <m/>
    <m/>
    <n v="0"/>
    <n v="0"/>
    <n v="0"/>
    <n v="9.9"/>
    <n v="5.5100000000000003E-2"/>
    <n v="-0.84536"/>
    <n v="-5.0992200000000001E-2"/>
    <n v="0.15994540000000002"/>
    <n v="-5.0992200000000001E-2"/>
    <m/>
    <m/>
    <m/>
    <m/>
    <m/>
    <m/>
    <n v="-5.1142999999999996E-3"/>
    <n v="9.35"/>
    <n v="6.2635887206438134"/>
    <n v="7.6678599276669637"/>
    <n v="3.0598800933777426"/>
    <n v="3.208421366964342"/>
    <n v="-0.47982971499999999"/>
    <n v="-0.31202637599999999"/>
    <n v="0.14428049800000001"/>
    <n v="-1.20703071E-2"/>
    <n v="0.21683470499999999"/>
  </r>
  <r>
    <x v="25"/>
    <x v="1"/>
    <x v="0"/>
    <n v="4.0086468674285856"/>
    <n v="7.8"/>
    <n v="4.6308379327366689"/>
    <n v="9.59"/>
    <n v="5.6271173897207154"/>
    <n v="3.3370854361949109"/>
    <n v="3.998622630993125"/>
    <n v="3.8413429972404054"/>
    <n v="0"/>
    <n v="-4.3363044999999998"/>
    <n v="-3.1564572999999974"/>
    <m/>
    <m/>
    <m/>
    <m/>
    <n v="0.01"/>
    <n v="0"/>
    <n v="-0.01"/>
    <n v="10.039999999999999"/>
    <n v="-5.3600000000000002E-2"/>
    <n v="-1.1105"/>
    <n v="0"/>
    <n v="0.15994540000000002"/>
    <n v="0"/>
    <m/>
    <m/>
    <m/>
    <n v="0.01"/>
    <m/>
    <m/>
    <n v="0"/>
    <n v="9.4499999999999993"/>
    <n v="6.2681488653502218"/>
    <n v="7.6772151423912458"/>
    <n v="2.9114263245007348"/>
    <n v="3.2294991965053317"/>
    <n v="-0.67537657200000001"/>
    <n v="-0.173377425"/>
    <n v="-1.81736264E-2"/>
    <n v="0.435840434"/>
    <n v="-0.15085923100000001"/>
  </r>
  <r>
    <x v="25"/>
    <x v="2"/>
    <x v="0"/>
    <n v="4.0133369447283336"/>
    <n v="7.8"/>
    <n v="4.6337576428400036"/>
    <n v="9.91"/>
    <n v="5.6545572158468227"/>
    <n v="3.3361609588143195"/>
    <n v="4.0063144847150651"/>
    <n v="3.8522730010223722"/>
    <n v="-7.8293100000000004E-2"/>
    <n v="-4.4145975999999996"/>
    <n v="-3.2584422999999973"/>
    <m/>
    <m/>
    <m/>
    <m/>
    <n v="0"/>
    <n v="0"/>
    <n v="-1.2903000000000001E-3"/>
    <n v="10.59"/>
    <n v="2.7199999999999998E-2"/>
    <n v="1.1422000000000001"/>
    <n v="-0.11856999999999999"/>
    <n v="4.137540000000002E-2"/>
    <n v="-0.11856999999999999"/>
    <m/>
    <m/>
    <m/>
    <n v="0"/>
    <m/>
    <m/>
    <n v="-6.7559099999999997E-2"/>
    <n v="10.24"/>
    <n v="6.2755150333257133"/>
    <n v="7.6850138021607348"/>
    <n v="2.967538539183209"/>
    <n v="3.212414998605964"/>
    <n v="-0.55824708099999998"/>
    <n v="-4.2297000799999998E-2"/>
    <n v="-1.73880971E-2"/>
    <n v="0.12068325000000001"/>
    <n v="0.198212043"/>
  </r>
  <r>
    <x v="25"/>
    <x v="3"/>
    <x v="1"/>
    <n v="4.019814962734527"/>
    <n v="7.7"/>
    <n v="4.6376373761255927"/>
    <n v="10.29"/>
    <n v="5.6594822157596214"/>
    <n v="3.3527071725017215"/>
    <n v="4.0193336184095863"/>
    <n v="3.8537792969866556"/>
    <n v="0"/>
    <n v="-4.4145975999999996"/>
    <n v="-3.2584422999999973"/>
    <m/>
    <m/>
    <m/>
    <m/>
    <n v="0"/>
    <n v="0"/>
    <n v="-8.7097000000000008E-3"/>
    <n v="10.9"/>
    <n v="0.14430000000000001"/>
    <n v="1.4258"/>
    <n v="0"/>
    <n v="4.137540000000002E-2"/>
    <n v="0"/>
    <m/>
    <m/>
    <m/>
    <n v="0"/>
    <m/>
    <m/>
    <n v="0"/>
    <n v="10.9"/>
    <n v="6.2822667468960063"/>
    <n v="7.6926152674652819"/>
    <n v="3.0127860281198187"/>
    <n v="3.1987139330442482"/>
    <n v="-0.39985894300000002"/>
    <n v="-0.146785469"/>
    <n v="0.296851637"/>
    <n v="-9.2252000000000001E-2"/>
    <n v="0.116068556"/>
  </r>
  <r>
    <x v="25"/>
    <x v="4"/>
    <x v="1"/>
    <n v="4.0244191131626881"/>
    <n v="7.4"/>
    <n v="4.6395716127054234"/>
    <n v="10.32"/>
    <n v="5.6756915944896758"/>
    <n v="3.3691561674506918"/>
    <n v="4.0259408028887895"/>
    <n v="3.8564468685392943"/>
    <n v="0.12631110000000001"/>
    <n v="-4.2882864999999999"/>
    <n v="-3.0872997999999972"/>
    <m/>
    <m/>
    <m/>
    <m/>
    <n v="8.7097000000000008E-3"/>
    <n v="1.1612900000000001E-2"/>
    <n v="8.7097000000000008E-3"/>
    <n v="11.66"/>
    <n v="-0.29239999999999999"/>
    <n v="-0.92998999999999998"/>
    <n v="-6.9210300000000002E-2"/>
    <n v="-2.7834899999999982E-2"/>
    <n v="-6.9210300000000002E-2"/>
    <m/>
    <m/>
    <m/>
    <n v="0.03"/>
    <m/>
    <m/>
    <n v="1.21867E-2"/>
    <n v="10.81"/>
    <n v="6.2854392791827829"/>
    <n v="7.698256004797992"/>
    <n v="2.9727706619166439"/>
    <n v="3.1324897069088506"/>
    <n v="-0.395279506"/>
    <n v="-0.105483575"/>
    <n v="0.15547897899999999"/>
    <n v="-6.83631024E-2"/>
    <n v="4.6657396199999999E-2"/>
  </r>
  <r>
    <x v="25"/>
    <x v="5"/>
    <x v="1"/>
    <n v="4.0278895391005856"/>
    <n v="7.2"/>
    <n v="4.6415021152354816"/>
    <n v="11.06"/>
    <n v="5.6594822157596214"/>
    <n v="3.3811647279119192"/>
    <n v="4.0412953411322849"/>
    <n v="3.8576301755976008"/>
    <n v="0"/>
    <n v="-4.2882864999999999"/>
    <n v="-3.0872997999999972"/>
    <m/>
    <m/>
    <m/>
    <m/>
    <n v="2.1290300000000002E-2"/>
    <n v="2.8387099999999998E-2"/>
    <n v="2.1290300000000002E-2"/>
    <n v="12.08"/>
    <n v="-9.9000000000000008E-3"/>
    <n v="3.7252999999999998"/>
    <n v="0"/>
    <n v="-2.7834899999999982E-2"/>
    <n v="0"/>
    <m/>
    <m/>
    <m/>
    <n v="0"/>
    <m/>
    <m/>
    <n v="0"/>
    <n v="10.85"/>
    <n v="6.2919394413585152"/>
    <n v="7.7031882530828328"/>
    <n v="3.0054845649966695"/>
    <n v="3.2054663179582668"/>
    <n v="-0.31207770899999998"/>
    <n v="-0.25447855899999999"/>
    <n v="0.36229509100000001"/>
    <n v="-0.29107592399999999"/>
    <n v="9.2357632699999997E-2"/>
  </r>
  <r>
    <x v="25"/>
    <x v="6"/>
    <x v="2"/>
    <n v="4.0313834629668683"/>
    <n v="7.5"/>
    <n v="4.6453519756209234"/>
    <n v="11.23"/>
    <n v="5.6311759388851081"/>
    <n v="3.3680886190944022"/>
    <n v="4.0255123921077063"/>
    <n v="3.8619920718225811"/>
    <n v="0.33500839999999998"/>
    <n v="-3.9532780999999999"/>
    <n v="-2.761834699999997"/>
    <m/>
    <m/>
    <m/>
    <m/>
    <n v="9.0323000000000001E-3"/>
    <n v="4.5161000000000003E-3"/>
    <n v="0"/>
    <n v="12.03"/>
    <n v="-0.124"/>
    <n v="0.15554000000000001"/>
    <n v="0.25348480000000001"/>
    <n v="0.22564990000000001"/>
    <n v="0.25348480000000001"/>
    <m/>
    <m/>
    <m/>
    <n v="0.02"/>
    <m/>
    <m/>
    <n v="-6.5338999999999996E-3"/>
    <n v="11.83"/>
    <n v="6.2932344188773817"/>
    <n v="7.7070176903307841"/>
    <n v="2.9898147997899533"/>
    <n v="3.2214724507154666"/>
    <n v="-0.34093904800000002"/>
    <n v="-0.28492385599999998"/>
    <n v="0.100872093"/>
    <n v="-7.9330010500000006E-2"/>
    <n v="0.14465314200000001"/>
  </r>
  <r>
    <x v="25"/>
    <x v="7"/>
    <x v="2"/>
    <n v="4.0317916240648444"/>
    <n v="7.5"/>
    <n v="4.6482296754485386"/>
    <n v="11.64"/>
    <n v="5.6131281063880705"/>
    <n v="3.3614511971396399"/>
    <n v="4.0253874043831237"/>
    <n v="3.8706591974868383"/>
    <n v="-6.5374699999999994E-2"/>
    <n v="-4.0186527999999999"/>
    <n v="-2.8271977999999969"/>
    <m/>
    <m/>
    <m/>
    <m/>
    <n v="4.5161000000000003E-3"/>
    <n v="2.2580999999999999E-3"/>
    <n v="0"/>
    <n v="11.82"/>
    <n v="0.22009999999999999"/>
    <n v="2.9607000000000001"/>
    <n v="-5.59978E-2"/>
    <n v="0.16965210000000003"/>
    <n v="-5.59978E-2"/>
    <m/>
    <m/>
    <m/>
    <n v="-0.02"/>
    <m/>
    <m/>
    <n v="-3.1963699999999998E-2"/>
    <n v="11.64"/>
    <n v="6.2934192788464811"/>
    <n v="7.7100707165427362"/>
    <n v="2.958549482426275"/>
    <n v="3.2215123461893307"/>
    <n v="-0.17887655799999999"/>
    <n v="-0.16223911799999999"/>
    <n v="6.2769871300000002E-2"/>
    <n v="-1.87972535E-2"/>
    <n v="3.9710858199999997E-2"/>
  </r>
  <r>
    <x v="25"/>
    <x v="8"/>
    <x v="2"/>
    <n v="4.0301455390041445"/>
    <n v="7.3"/>
    <n v="4.6510991178764911"/>
    <n v="11.3"/>
    <n v="5.6053607924784377"/>
    <n v="3.3745795837578632"/>
    <n v="4.0380387260110062"/>
    <n v="3.8739056833150181"/>
    <n v="0"/>
    <n v="-4.0186527999999999"/>
    <n v="-2.8271977999999969"/>
    <m/>
    <m/>
    <m/>
    <m/>
    <n v="-1.35484E-2"/>
    <n v="-6.7742000000000002E-3"/>
    <n v="0"/>
    <n v="11.58"/>
    <n v="-2.1000000000000001E-2"/>
    <n v="-1.7503"/>
    <n v="0"/>
    <n v="0.16965210000000003"/>
    <n v="0"/>
    <m/>
    <m/>
    <m/>
    <n v="0"/>
    <m/>
    <m/>
    <n v="0"/>
    <n v="11.23"/>
    <n v="6.2972934650407995"/>
    <n v="7.7163717093481967"/>
    <n v="3.0019628233046269"/>
    <n v="3.2310810373065628"/>
    <n v="5.3690153900000002E-2"/>
    <n v="-0.16918714400000001"/>
    <n v="-0.14419747699999999"/>
    <n v="0.28627407199999999"/>
    <n v="0.121543518"/>
  </r>
  <r>
    <x v="25"/>
    <x v="9"/>
    <x v="3"/>
    <n v="4.0287334660815572"/>
    <n v="7.4"/>
    <n v="4.6549122778829055"/>
    <n v="9.99"/>
    <n v="5.5876231201159152"/>
    <n v="3.3699130916223892"/>
    <n v="4.0312982605044656"/>
    <n v="3.8728454913417716"/>
    <n v="-1.0341100000000001E-2"/>
    <n v="-4.0289938999999997"/>
    <n v="-2.794636299999997"/>
    <m/>
    <m/>
    <m/>
    <m/>
    <n v="9.3547999999999999E-3"/>
    <n v="0"/>
    <n v="9.3547999999999999E-3"/>
    <n v="10.9"/>
    <n v="-0.23830000000000001"/>
    <n v="-7.7378"/>
    <n v="-0.1253264"/>
    <n v="4.4325700000000023E-2"/>
    <n v="-0.1253264"/>
    <m/>
    <m/>
    <m/>
    <n v="0.01"/>
    <m/>
    <m/>
    <n v="4.2115399999999997E-2"/>
    <n v="9.99"/>
    <n v="6.2983976241518747"/>
    <n v="7.722766047298923"/>
    <n v="2.9984784992220161"/>
    <n v="3.2307648692606143"/>
    <n v="4.21424065E-2"/>
    <n v="-0.17730537699999999"/>
    <n v="-0.124464855"/>
    <n v="8.7628092000000005E-2"/>
    <n v="5.4421091900000003E-2"/>
  </r>
  <r>
    <x v="25"/>
    <x v="10"/>
    <x v="3"/>
    <n v="4.0326163107971507"/>
    <n v="7.2"/>
    <n v="4.6568134191399295"/>
    <n v="9.43"/>
    <n v="5.5993474565193173"/>
    <n v="3.4118735216593898"/>
    <n v="4.0431740673119299"/>
    <n v="3.8818730284772629"/>
    <n v="-0.5609847"/>
    <n v="-4.5899785999999994"/>
    <n v="-3.342735599999997"/>
    <m/>
    <m/>
    <m/>
    <m/>
    <n v="3.1311800000000001E-2"/>
    <n v="1.5333299999999999E-2"/>
    <n v="1.59785E-2"/>
    <n v="9.82"/>
    <n v="-7.0900000000000005E-2"/>
    <n v="-1.4894000000000001"/>
    <n v="-0.68257489999999998"/>
    <n v="-0.63824919999999996"/>
    <n v="-0.68257489999999998"/>
    <m/>
    <m/>
    <m/>
    <n v="0.04"/>
    <m/>
    <m/>
    <n v="3.6464400000000001E-2"/>
    <n v="8.92"/>
    <n v="6.3053624616906561"/>
    <n v="7.7326760581515241"/>
    <n v="3.0347606605214694"/>
    <n v="3.2479684990714732"/>
    <n v="6.5937884299999999E-2"/>
    <n v="-0.23814743799999999"/>
    <n v="-0.118847339"/>
    <n v="0.313447425"/>
    <n v="8.5774801999999994E-3"/>
  </r>
  <r>
    <x v="25"/>
    <x v="11"/>
    <x v="3"/>
    <n v="4.033557218833896"/>
    <n v="7.3"/>
    <n v="4.6587109529161213"/>
    <n v="8.3800000000000008"/>
    <n v="5.5664342835049778"/>
    <n v="3.4175299429497152"/>
    <n v="4.0374743421444581"/>
    <n v="3.8860485716559103"/>
    <n v="-0.17080100000000001"/>
    <n v="-4.7607795999999993"/>
    <n v="-3.4867567999999971"/>
    <m/>
    <m/>
    <m/>
    <m/>
    <n v="-0.25131179999999997"/>
    <n v="-0.23468820000000001"/>
    <n v="-0.21404300000000001"/>
    <n v="9.33"/>
    <n v="-1.6999999999999999E-3"/>
    <n v="-5.1501999999999999"/>
    <n v="-0.3126466"/>
    <n v="-0.95089579999999996"/>
    <n v="-0.3126466"/>
    <m/>
    <m/>
    <m/>
    <n v="-0.72"/>
    <m/>
    <m/>
    <n v="-4.6988000000000002E-2"/>
    <n v="8.74"/>
    <n v="6.3128231459191468"/>
    <n v="7.7436165617412573"/>
    <n v="3.0788778546406599"/>
    <n v="3.2707469522780901"/>
    <n v="-2.2686993400000001E-2"/>
    <n v="-0.30350844599999999"/>
    <n v="-0.39957609999999999"/>
    <n v="0.53954574600000005"/>
    <n v="-3.11736759E-3"/>
  </r>
  <r>
    <x v="26"/>
    <x v="0"/>
    <x v="0"/>
    <n v="4.0313071360996853"/>
    <n v="7.3"/>
    <n v="4.6606048928761918"/>
    <n v="8.35"/>
    <n v="5.5442395047515856"/>
    <n v="3.4316295887823571"/>
    <n v="4.040416220196545"/>
    <n v="3.8966047526997656"/>
    <n v="0"/>
    <n v="-4.7607795999999993"/>
    <n v="-3.4867567999999971"/>
    <m/>
    <m/>
    <m/>
    <m/>
    <n v="-0.45935480000000001"/>
    <n v="-0.42064509999999999"/>
    <n v="-0.38129030000000003"/>
    <n v="9.02"/>
    <n v="-7.6300000000000007E-2"/>
    <n v="2.4403000000000001"/>
    <n v="0"/>
    <n v="-0.95089579999999996"/>
    <n v="0"/>
    <m/>
    <m/>
    <m/>
    <n v="0"/>
    <m/>
    <m/>
    <n v="0"/>
    <n v="8.73"/>
    <n v="6.3225652399272843"/>
    <n v="7.7547816739545103"/>
    <n v="3.0689362658124071"/>
    <n v="3.2858987572986926"/>
    <n v="0.115909047"/>
    <n v="-0.34277543799999999"/>
    <n v="-6.0029807599999999E-2"/>
    <n v="0.138036301"/>
    <n v="-5.9417163299999999E-2"/>
  </r>
  <r>
    <x v="26"/>
    <x v="1"/>
    <x v="0"/>
    <n v="4.0353992587276775"/>
    <n v="7.2"/>
    <n v="4.6662652853479019"/>
    <n v="8.5"/>
    <n v="5.5383966945684486"/>
    <n v="3.4242300807727282"/>
    <n v="4.0478642283395594"/>
    <n v="3.9011036051788688"/>
    <n v="-0.1213873"/>
    <n v="-4.8821668999999996"/>
    <n v="-3.6431112999999971"/>
    <m/>
    <m/>
    <m/>
    <m/>
    <n v="-1.28571E-2"/>
    <n v="-1.28571E-2"/>
    <n v="-1.28571E-2"/>
    <n v="9.2899999999999991"/>
    <n v="-9.7699999999999995E-2"/>
    <n v="2.0150999999999999"/>
    <n v="-7.2862399999999994E-2"/>
    <n v="-1.0237582000000001"/>
    <n v="-7.2862399999999994E-2"/>
    <m/>
    <m/>
    <m/>
    <n v="-0.01"/>
    <m/>
    <m/>
    <n v="-4.6198099999999999E-2"/>
    <n v="8.74"/>
    <n v="6.3343447800245256"/>
    <n v="7.7640411969192629"/>
    <n v="3.0129826269605187"/>
    <n v="3.2999026635105739"/>
    <n v="0.117354167"/>
    <n v="-0.14118726100000001"/>
    <n v="-7.0904158100000003E-2"/>
    <n v="0.10795768"/>
    <n v="5.18259836E-2"/>
  </r>
  <r>
    <x v="26"/>
    <x v="2"/>
    <x v="0"/>
    <n v="4.0369343519782159"/>
    <n v="7.2"/>
    <n v="4.6709579265260945"/>
    <n v="8.58"/>
    <n v="5.5341401950193196"/>
    <n v="3.4464575130670201"/>
    <n v="4.0419805193493419"/>
    <n v="3.8970108853076426"/>
    <n v="0.20776069999999999"/>
    <n v="-4.6744062"/>
    <n v="-3.4431188999999969"/>
    <m/>
    <m/>
    <m/>
    <m/>
    <n v="1.2442E-3"/>
    <n v="-3.6870000000000002E-4"/>
    <n v="-6.8202999999999996E-3"/>
    <n v="9.86"/>
    <n v="0.13619999999999999"/>
    <n v="1.1688000000000001"/>
    <n v="0.14267050000000001"/>
    <n v="-0.88108770000000003"/>
    <n v="0.14267050000000001"/>
    <m/>
    <m/>
    <m/>
    <n v="-0.01"/>
    <m/>
    <m/>
    <n v="-1.06807E-2"/>
    <n v="8.58"/>
    <n v="6.3396535873964162"/>
    <n v="7.7692096049504586"/>
    <n v="3.0894047494166261"/>
    <n v="3.2979457518516808"/>
    <n v="5.0859341400000001E-2"/>
    <n v="-1.88029667E-2"/>
    <n v="0.292792261"/>
    <n v="-4.9404077099999999E-2"/>
    <n v="-0.202973496"/>
  </r>
  <r>
    <x v="26"/>
    <x v="3"/>
    <x v="1"/>
    <n v="4.0343061227338968"/>
    <n v="7.3"/>
    <n v="4.6728288344619058"/>
    <n v="8.27"/>
    <n v="5.54588032240299"/>
    <n v="3.4235131881455705"/>
    <n v="4.0532100188635454"/>
    <n v="3.9019726695746448"/>
    <n v="0"/>
    <n v="-4.6744062"/>
    <n v="-3.4431188999999969"/>
    <m/>
    <m/>
    <m/>
    <m/>
    <n v="-2.1387099999999999E-2"/>
    <n v="-2.9774200000000001E-2"/>
    <n v="-4.5989299999999997E-2"/>
    <n v="9.14"/>
    <n v="-3.27E-2"/>
    <n v="-2.6669"/>
    <n v="0"/>
    <n v="-0.88108770000000003"/>
    <n v="0"/>
    <m/>
    <m/>
    <m/>
    <n v="-0.03"/>
    <m/>
    <m/>
    <n v="0"/>
    <n v="8.58"/>
    <n v="6.3463378691000862"/>
    <n v="7.7730474098844766"/>
    <n v="3.1439367382037071"/>
    <n v="3.3111267845723078"/>
    <n v="-0.20426991899999999"/>
    <n v="-0.10157278"/>
    <n v="0.29347599899999999"/>
    <n v="-0.10353683700000001"/>
    <n v="-7.2724059600000002E-2"/>
  </r>
  <r>
    <x v="26"/>
    <x v="4"/>
    <x v="1"/>
    <n v="4.0355654239528596"/>
    <n v="7.2"/>
    <n v="4.6746962486367014"/>
    <n v="7.97"/>
    <n v="5.5238580424619679"/>
    <n v="3.4760265222828046"/>
    <n v="4.0538697296563821"/>
    <n v="3.9087978100724512"/>
    <n v="-0.14646149999999999"/>
    <n v="-4.8208677"/>
    <n v="-3.5493487999999971"/>
    <m/>
    <m/>
    <m/>
    <m/>
    <n v="-0.17667740000000001"/>
    <n v="-0.19119349999999999"/>
    <n v="-0.18465590000000001"/>
    <n v="8.4600000000000009"/>
    <n v="-0.1961"/>
    <n v="-2.1739000000000002"/>
    <n v="-0.15496460000000001"/>
    <n v="-1.0360523000000001"/>
    <n v="-0.15496460000000001"/>
    <m/>
    <m/>
    <m/>
    <n v="-0.33"/>
    <m/>
    <m/>
    <n v="2.2904899999999999E-2"/>
    <n v="7.64"/>
    <n v="6.3545439387197087"/>
    <n v="7.7790068030460127"/>
    <n v="3.1057519185925404"/>
    <n v="3.3089358832358498"/>
    <n v="0.29185433500000002"/>
    <n v="-0.12890927999999999"/>
    <n v="-0.135038782"/>
    <n v="0.41168648600000002"/>
    <n v="0.26576424100000001"/>
  </r>
  <r>
    <x v="26"/>
    <x v="5"/>
    <x v="1"/>
    <n v="4.0363057609548445"/>
    <n v="7.4"/>
    <n v="4.677490847567717"/>
    <n v="7.53"/>
    <n v="5.500073835980599"/>
    <n v="3.4376257382757069"/>
    <n v="4.0464839658706007"/>
    <n v="3.91248289966058"/>
    <n v="0"/>
    <n v="-4.8208677"/>
    <n v="-3.5493487999999971"/>
    <m/>
    <m/>
    <m/>
    <m/>
    <n v="-0.17032259999999999"/>
    <n v="-0.18580650000000001"/>
    <n v="-0.1996774"/>
    <n v="7.8"/>
    <n v="0.21429999999999999"/>
    <n v="-2.6265000000000001"/>
    <n v="0"/>
    <n v="-1.0360523000000001"/>
    <n v="0"/>
    <m/>
    <m/>
    <m/>
    <n v="0"/>
    <m/>
    <m/>
    <n v="0"/>
    <n v="7.95"/>
    <n v="6.3669857788430742"/>
    <n v="7.7886260656250315"/>
    <n v="3.1519664955846274"/>
    <n v="3.3431797752925818"/>
    <n v="0.14451787899999999"/>
    <n v="-0.26132230099999998"/>
    <n v="-0.26214920000000003"/>
    <n v="0.35294266299999999"/>
    <n v="-2.9385006000000002E-2"/>
  </r>
  <r>
    <x v="26"/>
    <x v="6"/>
    <x v="2"/>
    <n v="4.0295731250728117"/>
    <n v="7.4"/>
    <n v="4.6793495841623427"/>
    <n v="7.88"/>
    <n v="5.4829695386802735"/>
    <n v="3.4565059374210358"/>
    <n v="4.0523413147416427"/>
    <n v="3.9177863653172507"/>
    <n v="6.4075999999999994E-2"/>
    <n v="-4.7567917"/>
    <n v="-3.4890198999999971"/>
    <m/>
    <m/>
    <m/>
    <m/>
    <n v="0"/>
    <n v="0"/>
    <n v="0"/>
    <n v="7.86"/>
    <n v="0.13589999999999999"/>
    <n v="4.1197999999999997"/>
    <n v="6.2107500000000003E-2"/>
    <n v="-0.97394480000000017"/>
    <n v="6.2107500000000003E-2"/>
    <m/>
    <m/>
    <m/>
    <n v="0"/>
    <m/>
    <m/>
    <n v="8.6411999999999999E-3"/>
    <n v="8.61"/>
    <n v="6.378595948527642"/>
    <n v="7.7956053832244416"/>
    <n v="3.1563193382019397"/>
    <n v="3.3513766866781993"/>
    <n v="0.25372198400000001"/>
    <n v="-0.242971146"/>
    <n v="-0.325540575"/>
    <n v="0.452298531"/>
    <n v="-4.2172431099999998E-2"/>
  </r>
  <r>
    <x v="26"/>
    <x v="7"/>
    <x v="2"/>
    <n v="4.03366879326434"/>
    <n v="7.1"/>
    <n v="4.6812048722640887"/>
    <n v="7.9"/>
    <n v="5.4597131655708369"/>
    <n v="3.4918604165593976"/>
    <n v="4.0608739521605006"/>
    <n v="3.9225276380732317"/>
    <n v="0.1866845"/>
    <n v="-4.5701071999999998"/>
    <n v="-3.303477499999997"/>
    <m/>
    <m/>
    <m/>
    <m/>
    <n v="1.9354799999999998E-2"/>
    <n v="-4.4193499999999997E-2"/>
    <n v="-4.1935000000000002E-3"/>
    <n v="8.0500000000000007"/>
    <n v="0.1477"/>
    <n v="1.0654999999999999"/>
    <n v="0.12681539999999999"/>
    <n v="-0.84712940000000014"/>
    <n v="0.12681539999999999"/>
    <m/>
    <m/>
    <m/>
    <n v="0"/>
    <m/>
    <m/>
    <n v="-2.4252300000000001E-2"/>
    <n v="7.8"/>
    <n v="6.3905761812439712"/>
    <n v="7.8015549730207603"/>
    <n v="3.1529923997525744"/>
    <n v="3.3724549127965013"/>
    <n v="0.22624461300000001"/>
    <n v="-9.4417653099999999E-2"/>
    <n v="5.1778578700000001E-3"/>
    <n v="2.45583205E-3"/>
    <n v="0.113713703"/>
  </r>
  <r>
    <x v="26"/>
    <x v="8"/>
    <x v="2"/>
    <n v="4.0381586165581327"/>
    <n v="7.1"/>
    <n v="4.6830567246451622"/>
    <n v="7.92"/>
    <n v="5.438774719243292"/>
    <n v="3.5721489893104437"/>
    <n v="4.0648814220714593"/>
    <n v="3.9241887023270174"/>
    <n v="0"/>
    <n v="-4.5701071999999998"/>
    <n v="-3.303477499999997"/>
    <m/>
    <m/>
    <m/>
    <m/>
    <n v="-2.6882E-3"/>
    <n v="7.5269000000000004E-3"/>
    <n v="-8.0650000000000003E-4"/>
    <n v="8.07"/>
    <n v="0.25190000000000001"/>
    <n v="0.75995999999999997"/>
    <n v="0"/>
    <n v="-0.84712940000000014"/>
    <n v="0"/>
    <m/>
    <m/>
    <m/>
    <n v="0.02"/>
    <m/>
    <m/>
    <n v="0"/>
    <n v="8.84"/>
    <n v="6.4024145854467163"/>
    <n v="7.8066149691266125"/>
    <n v="3.2190358120695661"/>
    <n v="3.3809266448197959"/>
    <n v="-1.16356412E-2"/>
    <n v="-0.20235447100000001"/>
    <n v="-2.0714863E-2"/>
    <n v="-4.16051437E-3"/>
    <n v="-0.134078117"/>
  </r>
  <r>
    <x v="26"/>
    <x v="9"/>
    <x v="3"/>
    <n v="4.0340282262140459"/>
    <n v="7.1"/>
    <n v="4.6867501729805143"/>
    <n v="7.99"/>
    <n v="5.4363822175039322"/>
    <n v="3.4614768458793432"/>
    <n v="4.0633009915906388"/>
    <n v="3.9257878340038594"/>
    <n v="0.10639609999999999"/>
    <n v="-4.4637110999999994"/>
    <n v="-3.199549299999997"/>
    <m/>
    <m/>
    <m/>
    <m/>
    <n v="-6.3441000000000001E-3"/>
    <n v="6.6667000000000002E-3"/>
    <n v="1.46774E-2"/>
    <n v="8.01"/>
    <n v="0.2964"/>
    <n v="0.50536999999999999"/>
    <n v="0.1694735"/>
    <n v="-0.6776559000000002"/>
    <n v="0.1694735"/>
    <m/>
    <m/>
    <m/>
    <n v="-0.01"/>
    <m/>
    <m/>
    <n v="4.1059E-3"/>
    <n v="8.08"/>
    <n v="6.4098458804826928"/>
    <n v="7.8113659576989178"/>
    <n v="3.2354969258844366"/>
    <n v="3.3989281422181121"/>
    <n v="-9.5997057899999995E-3"/>
    <n v="-0.22277722"/>
    <n v="-1.8198740200000001E-2"/>
    <n v="-3.0656112999999999E-2"/>
    <n v="-0.13950833100000001"/>
  </r>
  <r>
    <x v="26"/>
    <x v="10"/>
    <x v="3"/>
    <n v="4.0374937481273232"/>
    <n v="7"/>
    <n v="4.6913478822291435"/>
    <n v="8.0500000000000007"/>
    <n v="5.4510384535657002"/>
    <n v="3.4648917966423425"/>
    <n v="4.0706323022623492"/>
    <n v="3.9262020066014158"/>
    <n v="1.9512700000000001E-2"/>
    <n v="-4.4441983999999994"/>
    <n v="-3.177981999999997"/>
    <m/>
    <m/>
    <m/>
    <m/>
    <n v="8.0107000000000008E-3"/>
    <n v="8.3333000000000001E-3"/>
    <n v="3.2259999999999998E-4"/>
    <n v="7.88"/>
    <n v="0.29049999999999998"/>
    <n v="0.74314999999999998"/>
    <n v="0.1150684"/>
    <n v="-0.56258750000000024"/>
    <n v="0.1150684"/>
    <m/>
    <m/>
    <m/>
    <n v="0.01"/>
    <m/>
    <m/>
    <n v="3.9033499999999999E-2"/>
    <n v="8.5399999999999991"/>
    <n v="6.4170590265113123"/>
    <n v="7.8152877691823921"/>
    <n v="3.2722270003651954"/>
    <n v="3.391349045607341"/>
    <n v="0.121461667"/>
    <n v="1.4912860599999999E-2"/>
    <n v="-3.69497108E-2"/>
    <n v="0.166388959"/>
    <n v="0.168298908"/>
  </r>
  <r>
    <x v="26"/>
    <x v="11"/>
    <x v="3"/>
    <n v="4.0477420034980813"/>
    <n v="7"/>
    <n v="4.6959245492565556"/>
    <n v="8.27"/>
    <n v="5.4549791765614133"/>
    <n v="3.4922561126091218"/>
    <n v="4.0708200171751434"/>
    <n v="3.938353300674176"/>
    <n v="-5.26709E-2"/>
    <n v="-4.4968692999999993"/>
    <n v="-3.2453457999999968"/>
    <m/>
    <m/>
    <m/>
    <m/>
    <n v="-2.8495E-3"/>
    <n v="1.6666999999999999E-3"/>
    <n v="0"/>
    <n v="7.67"/>
    <n v="3.3000000000000002E-2"/>
    <n v="1.1774"/>
    <n v="-6.6897899999999996E-2"/>
    <n v="-0.62948540000000019"/>
    <n v="-6.6897899999999996E-2"/>
    <m/>
    <m/>
    <m/>
    <n v="-0.01"/>
    <m/>
    <m/>
    <n v="8.6619999999999996E-3"/>
    <n v="13.46"/>
    <n v="6.4293968453536481"/>
    <n v="7.8210816213922767"/>
    <n v="3.3171633860521461"/>
    <n v="3.4258899942525267"/>
    <n v="-4.72648284E-2"/>
    <n v="-4.1660972300000002E-2"/>
    <n v="-7.13059848E-2"/>
    <n v="0.36935870700000001"/>
    <n v="-6.3925233600000006E-2"/>
  </r>
  <r>
    <x v="27"/>
    <x v="0"/>
    <x v="0"/>
    <n v="4.0525672504204548"/>
    <n v="6.7"/>
    <n v="4.6995708614095761"/>
    <n v="8.14"/>
    <n v="5.4506521128513157"/>
    <n v="3.5171416908596269"/>
    <n v="4.0755354412350462"/>
    <n v="3.9315510852356912"/>
    <n v="0"/>
    <n v="-4.4968692999999993"/>
    <n v="-3.2453457999999968"/>
    <m/>
    <m/>
    <m/>
    <m/>
    <n v="-5.4838999999999999E-3"/>
    <n v="0"/>
    <n v="0"/>
    <n v="7.73"/>
    <n v="0.33939999999999998"/>
    <n v="-0.48620999999999998"/>
    <n v="0"/>
    <n v="-0.62948540000000019"/>
    <n v="0"/>
    <m/>
    <m/>
    <m/>
    <n v="0"/>
    <m/>
    <m/>
    <n v="0"/>
    <n v="8.09"/>
    <n v="6.4319749969589468"/>
    <n v="7.8251254280758564"/>
    <n v="3.2709747946121812"/>
    <n v="3.4433305162624714"/>
    <n v="-7.8384736400000002E-2"/>
    <n v="-9.2025576100000006E-2"/>
    <n v="-0.21933096799999999"/>
    <n v="0.298699504"/>
    <n v="-0.18727122099999999"/>
  </r>
  <r>
    <x v="27"/>
    <x v="1"/>
    <x v="0"/>
    <n v="4.0456531431772085"/>
    <n v="7.2"/>
    <n v="4.697749367281185"/>
    <n v="7.86"/>
    <n v="5.427941134341542"/>
    <n v="3.4880781945731112"/>
    <n v="4.0746519288763645"/>
    <n v="3.9345474155068181"/>
    <n v="-9.4936999999999994E-2"/>
    <n v="-4.5918062999999991"/>
    <n v="-3.352993799999997"/>
    <m/>
    <m/>
    <m/>
    <m/>
    <n v="5.7143000000000003E-3"/>
    <n v="5.7143000000000003E-3"/>
    <n v="-5.7143000000000003E-3"/>
    <n v="7.61"/>
    <n v="-0.28549999999999998"/>
    <n v="-2.0589"/>
    <n v="-6.7623799999999998E-2"/>
    <n v="-0.69710920000000021"/>
    <n v="-6.7623799999999998E-2"/>
    <m/>
    <m/>
    <m/>
    <n v="0.01"/>
    <m/>
    <m/>
    <n v="1.4806700000000001E-2"/>
    <n v="7.95"/>
    <n v="6.4380715985473218"/>
    <n v="7.8293916971810447"/>
    <n v="3.2052635974483388"/>
    <n v="3.4425632282680518"/>
    <n v="-9.3599387800000003E-2"/>
    <n v="-9.3102861100000003E-2"/>
    <n v="-0.12489800700000001"/>
    <n v="4.5350416900000003E-2"/>
    <n v="-0.20683885900000001"/>
  </r>
  <r>
    <x v="27"/>
    <x v="2"/>
    <x v="0"/>
    <n v="4.0390168246125828"/>
    <n v="7.2"/>
    <n v="4.6922648928390247"/>
    <n v="7.48"/>
    <n v="5.3818309667758539"/>
    <n v="3.4738590703567422"/>
    <n v="4.0922757570529891"/>
    <n v="3.9354465203717344"/>
    <n v="0"/>
    <n v="-4.5918062999999991"/>
    <n v="-3.352993799999997"/>
    <m/>
    <m/>
    <m/>
    <m/>
    <n v="2.0414700000000001E-2"/>
    <n v="2.0414700000000001E-2"/>
    <n v="3.6036899999999997E-2"/>
    <n v="7.03"/>
    <n v="0.58740000000000003"/>
    <n v="-1.7481"/>
    <n v="0"/>
    <n v="-0.69710920000000021"/>
    <n v="0"/>
    <m/>
    <m/>
    <m/>
    <n v="0.02"/>
    <m/>
    <m/>
    <n v="0"/>
    <n v="8.06"/>
    <n v="6.4512599997611941"/>
    <n v="7.8374359639750519"/>
    <n v="3.2998657760725871"/>
    <n v="3.4609745856980161"/>
    <n v="0.45559239200000001"/>
    <n v="-0.44478177099999999"/>
    <n v="-0.47902254300000002"/>
    <n v="-0.135792888"/>
    <n v="3.3263151599999999E-2"/>
  </r>
  <r>
    <x v="27"/>
    <x v="3"/>
    <x v="1"/>
    <n v="4.0396313916307349"/>
    <n v="7.1"/>
    <n v="4.6885917941271638"/>
    <n v="6.99"/>
    <n v="5.3650877701818889"/>
    <n v="3.5234740096962947"/>
    <n v="4.0843447301437674"/>
    <n v="3.9380805397474359"/>
    <n v="0.1915616"/>
    <n v="-4.4002446999999991"/>
    <n v="-3.1458882999999971"/>
    <m/>
    <m/>
    <m/>
    <m/>
    <n v="-2.4623000000000002E-3"/>
    <n v="2.1204299999999999E-2"/>
    <n v="2.7010699999999999E-2"/>
    <n v="6.44"/>
    <n v="0.54610000000000003"/>
    <n v="-1.4565999999999999"/>
    <n v="9.0848700000000004E-2"/>
    <n v="-0.6062605000000002"/>
    <n v="9.0848700000000004E-2"/>
    <m/>
    <m/>
    <m/>
    <n v="0.01"/>
    <m/>
    <m/>
    <n v="-9.7906E-3"/>
    <n v="7.05"/>
    <n v="6.4630294569206699"/>
    <n v="7.8471373420796899"/>
    <n v="3.3633916669262565"/>
    <n v="3.473797074076499"/>
    <n v="0.39520799400000001"/>
    <n v="-0.64902673200000005"/>
    <n v="-0.80134647299999995"/>
    <n v="1.9507542700000002E-2"/>
    <n v="-1.53148387E-2"/>
  </r>
  <r>
    <x v="27"/>
    <x v="4"/>
    <x v="1"/>
    <n v="4.0413779387754873"/>
    <n v="7.2"/>
    <n v="4.6913478822291435"/>
    <n v="6.85"/>
    <n v="5.3732392930652964"/>
    <n v="3.5447781101396796"/>
    <n v="4.0917077555675965"/>
    <n v="3.9400077539629095"/>
    <n v="8.5461599999999999E-2"/>
    <n v="-4.3147830999999988"/>
    <n v="-3.0706766999999973"/>
    <m/>
    <m/>
    <m/>
    <m/>
    <n v="9.2365999999999993E-3"/>
    <n v="2.2666700000000001E-2"/>
    <n v="2.6214999999999999E-2"/>
    <n v="6.65"/>
    <n v="2.8500000000000001E-2"/>
    <n v="0.67913000000000001"/>
    <n v="0.1492964"/>
    <n v="-0.45696410000000021"/>
    <n v="0.1492964"/>
    <m/>
    <m/>
    <m/>
    <n v="-0.02"/>
    <m/>
    <m/>
    <n v="1.1227600000000001E-2"/>
    <n v="6.84"/>
    <n v="6.4800445619266531"/>
    <n v="7.857674191836276"/>
    <n v="3.3440272030471196"/>
    <n v="3.495719372138987"/>
    <n v="0.21710765300000001"/>
    <n v="-0.50261609699999998"/>
    <n v="-0.57196795099999997"/>
    <n v="3.9243670900000003E-3"/>
    <n v="-0.10138707399999999"/>
  </r>
  <r>
    <x v="27"/>
    <x v="5"/>
    <x v="1"/>
    <n v="4.0383965919702263"/>
    <n v="7.2"/>
    <n v="4.6950108899878806"/>
    <n v="6.92"/>
    <n v="5.3792519840440356"/>
    <n v="3.5152103565991211"/>
    <n v="4.0930770926551352"/>
    <n v="3.9430370589573154"/>
    <n v="0"/>
    <n v="-4.3147830999999988"/>
    <n v="-3.0706766999999973"/>
    <m/>
    <m/>
    <m/>
    <m/>
    <n v="-2.1569899999999999E-2"/>
    <n v="-8.6666999999999994E-3"/>
    <n v="-1.0881699999999999E-2"/>
    <n v="6.73"/>
    <n v="2.0199999999999999E-2"/>
    <n v="2.0727000000000002"/>
    <n v="0"/>
    <n v="-0.45696410000000021"/>
    <n v="0"/>
    <m/>
    <m/>
    <m/>
    <n v="-0.01"/>
    <m/>
    <m/>
    <n v="0"/>
    <n v="7.72"/>
    <n v="6.4931485129566893"/>
    <n v="7.8654950087688311"/>
    <n v="3.3835424464234345"/>
    <n v="3.5167557222964274"/>
    <n v="-4.3824367900000001E-2"/>
    <n v="-1.41079611E-2"/>
    <n v="7.0477697899999997E-2"/>
    <n v="-2.85341372E-2"/>
    <n v="-4.1067299799999998E-2"/>
  </r>
  <r>
    <x v="27"/>
    <x v="6"/>
    <x v="2"/>
    <n v="4.0435423752917146"/>
    <n v="7"/>
    <n v="4.6959245492565556"/>
    <n v="6.56"/>
    <n v="5.3963511068194023"/>
    <n v="3.5427258787024258"/>
    <n v="4.0937610586836843"/>
    <n v="3.9474866697037152"/>
    <n v="-0.18628359999999999"/>
    <n v="-4.5010666999999991"/>
    <n v="-3.2408856999999971"/>
    <m/>
    <m/>
    <m/>
    <m/>
    <n v="1.9956999999999999E-2"/>
    <n v="1.9956999999999999E-2"/>
    <n v="1.15269E-2"/>
    <n v="6.27"/>
    <n v="0.77549999999999997"/>
    <n v="-1.9399"/>
    <n v="-0.23301759999999999"/>
    <n v="-0.68998170000000014"/>
    <n v="-0.23301759999999999"/>
    <m/>
    <m/>
    <m/>
    <n v="0.03"/>
    <m/>
    <m/>
    <n v="4.7847399999999998E-2"/>
    <n v="6.35"/>
    <n v="6.507725373363912"/>
    <n v="7.8737881027511065"/>
    <n v="3.4097606123226432"/>
    <n v="3.5349995709512849"/>
    <n v="0.209006303"/>
    <n v="8.4311530499999995E-2"/>
    <n v="7.40229201E-2"/>
    <n v="-6.6903820500000002E-2"/>
    <n v="-0.102795835"/>
  </r>
  <r>
    <x v="27"/>
    <x v="7"/>
    <x v="2"/>
    <n v="4.0424967281409199"/>
    <n v="6.9"/>
    <n v="4.6968373745139154"/>
    <n v="6.17"/>
    <n v="5.3461070303838847"/>
    <n v="3.5838244473390741"/>
    <n v="4.0893320203985564"/>
    <n v="3.9475638793472378"/>
    <n v="-0.2269864"/>
    <n v="-4.7280530999999995"/>
    <n v="-3.474029099999997"/>
    <m/>
    <m/>
    <m/>
    <m/>
    <n v="-6.7742000000000002E-3"/>
    <n v="-6.7742000000000002E-3"/>
    <n v="-1.35484E-2"/>
    <n v="5.93"/>
    <n v="0.71040000000000003"/>
    <n v="-2.3090000000000002"/>
    <n v="-0.1747003"/>
    <n v="-0.86468200000000017"/>
    <n v="-0.1747003"/>
    <m/>
    <m/>
    <m/>
    <n v="-0.05"/>
    <m/>
    <m/>
    <n v="-4.7230500000000002E-2"/>
    <n v="5.77"/>
    <n v="6.5201792037097128"/>
    <n v="7.8813333052796706"/>
    <n v="3.4061849231731944"/>
    <n v="3.5491575109387989"/>
    <n v="1.2919035800000001E-2"/>
    <n v="-0.32780416499999998"/>
    <n v="-0.44598315900000002"/>
    <n v="0.11464769499999999"/>
    <n v="-0.12905850699999999"/>
  </r>
  <r>
    <x v="27"/>
    <x v="8"/>
    <x v="2"/>
    <n v="4.044304867714688"/>
    <n v="7"/>
    <n v="4.7004803657924166"/>
    <n v="5.89"/>
    <n v="5.3623244965223291"/>
    <n v="3.6963514689526371"/>
    <n v="4.0922924580959696"/>
    <n v="3.9533760589116249"/>
    <n v="2.29667E-2"/>
    <n v="-4.7050863999999999"/>
    <n v="-3.4738813999999971"/>
    <m/>
    <m/>
    <m/>
    <m/>
    <n v="-3.9182799999999997E-2"/>
    <n v="-4.15161E-2"/>
    <n v="-4.2978500000000003E-2"/>
    <n v="5.77"/>
    <n v="0.3145"/>
    <n v="-1.1860999999999999"/>
    <n v="6.6095399999999999E-2"/>
    <n v="-0.79858660000000015"/>
    <n v="6.6095399999999999E-2"/>
    <m/>
    <m/>
    <m/>
    <n v="-0.02"/>
    <m/>
    <m/>
    <n v="-1.8180499999999999E-2"/>
    <n v="6.9"/>
    <n v="6.5329163644157333"/>
    <n v="7.8894216814864251"/>
    <n v="3.4630447849882358"/>
    <n v="3.5605630113984876"/>
    <n v="8.6840858000000007E-2"/>
    <n v="-0.10280249299999999"/>
    <n v="-0.179671628"/>
    <n v="9.8606809300000001E-2"/>
    <n v="3.19180123E-2"/>
  </r>
  <r>
    <x v="27"/>
    <x v="9"/>
    <x v="3"/>
    <n v="4.0488781183696201"/>
    <n v="7"/>
    <n v="4.7022968967188143"/>
    <n v="5.85"/>
    <n v="5.4051517954618635"/>
    <n v="3.5824350178930726"/>
    <n v="4.1008069691497555"/>
    <n v="3.9543542604415842"/>
    <n v="0"/>
    <n v="-4.7050863999999999"/>
    <n v="-3.4738813999999971"/>
    <m/>
    <m/>
    <m/>
    <m/>
    <n v="-1.5333299999999999E-2"/>
    <n v="-2.3E-2"/>
    <n v="-7.6666E-3"/>
    <n v="5.72"/>
    <n v="0.54730000000000001"/>
    <n v="-0.28173999999999999"/>
    <n v="0"/>
    <n v="-0.79858660000000015"/>
    <n v="0"/>
    <m/>
    <m/>
    <m/>
    <n v="0"/>
    <m/>
    <m/>
    <n v="0"/>
    <n v="5.93"/>
    <n v="6.5437679503202819"/>
    <n v="7.8968130844071727"/>
    <n v="3.4942626192258301"/>
    <n v="3.5812385625965448"/>
    <n v="-0.10244466200000001"/>
    <n v="4.7285162700000001E-2"/>
    <n v="-5.7182776599999999E-2"/>
    <n v="4.6404843000000001E-2"/>
    <n v="-7.16677966E-2"/>
  </r>
  <r>
    <x v="27"/>
    <x v="10"/>
    <x v="3"/>
    <n v="4.0533784600966216"/>
    <n v="6.9"/>
    <n v="4.7041101338429954"/>
    <n v="6.04"/>
    <n v="5.4259627203837066"/>
    <n v="3.5446914813008847"/>
    <n v="4.0960264803378443"/>
    <n v="3.9603940341535409"/>
    <n v="3.2433400000000001E-2"/>
    <n v="-4.6726529999999995"/>
    <n v="-3.4553678999999971"/>
    <m/>
    <m/>
    <m/>
    <m/>
    <n v="0"/>
    <n v="0"/>
    <n v="0"/>
    <n v="5.8"/>
    <n v="0.67249999999999999"/>
    <n v="1.1773"/>
    <n v="0.11308849999999999"/>
    <n v="-0.68549810000000011"/>
    <n v="0.11308849999999999"/>
    <m/>
    <m/>
    <m/>
    <n v="0"/>
    <m/>
    <m/>
    <n v="1.8570699999999999E-2"/>
    <n v="6.03"/>
    <n v="6.5587650178019512"/>
    <n v="7.9019325495133632"/>
    <n v="3.5476038667559826"/>
    <n v="3.6092137586956805"/>
    <n v="3.7845869599999998E-2"/>
    <n v="-0.107519858"/>
    <n v="-5.40852972E-2"/>
    <n v="-5.3148315299999999E-2"/>
    <n v="-5.8601284400000002E-2"/>
  </r>
  <r>
    <x v="27"/>
    <x v="11"/>
    <x v="3"/>
    <n v="4.0619350004240546"/>
    <n v="6.6"/>
    <n v="4.7077267743131834"/>
    <n v="6.91"/>
    <n v="5.4290824364275894"/>
    <n v="3.651281423698618"/>
    <n v="4.102858217987305"/>
    <n v="3.967646909176143"/>
    <n v="-4.7249399999999997E-2"/>
    <n v="-4.7199023999999996"/>
    <n v="-3.5365834999999972"/>
    <m/>
    <m/>
    <m/>
    <m/>
    <n v="0"/>
    <n v="-4.8386999999999996E-3"/>
    <n v="0"/>
    <n v="5.87"/>
    <n v="0.70330000000000004"/>
    <n v="4.0769000000000002"/>
    <n v="0.15536730000000001"/>
    <n v="-0.53013080000000012"/>
    <n v="0.15536730000000001"/>
    <m/>
    <m/>
    <m/>
    <n v="0"/>
    <m/>
    <m/>
    <n v="2.8067600000000002E-2"/>
    <n v="14.35"/>
    <n v="6.5857577761152362"/>
    <n v="7.9117638049412689"/>
    <n v="3.6153674581772566"/>
    <n v="3.645893661937778"/>
    <n v="-1.63426292E-2"/>
    <n v="-9.9413462699999997E-2"/>
    <n v="-3.5395552499999997E-2"/>
    <n v="4.40227711E-3"/>
    <n v="-0.16113174899999999"/>
  </r>
  <r>
    <x v="28"/>
    <x v="0"/>
    <x v="0"/>
    <n v="4.0588227330883226"/>
    <n v="6.6"/>
    <n v="4.7131273274931837"/>
    <n v="6.43"/>
    <n v="5.4379053807550903"/>
    <n v="3.4884753897692158"/>
    <n v="4.0900855053017171"/>
    <n v="3.9686868525456878"/>
    <n v="0"/>
    <n v="-4.7199023999999996"/>
    <n v="-3.5365834999999972"/>
    <m/>
    <m/>
    <m/>
    <m/>
    <n v="5.4838999999999999E-3"/>
    <n v="-5.1612999999999997E-3"/>
    <n v="-5.4838999999999999E-3"/>
    <n v="5.78"/>
    <n v="0.55820000000000003"/>
    <n v="-4.6746999999999996"/>
    <n v="0"/>
    <n v="-0.53013080000000012"/>
    <n v="0"/>
    <m/>
    <m/>
    <m/>
    <n v="0.01"/>
    <m/>
    <m/>
    <n v="0"/>
    <n v="6.28"/>
    <n v="6.5933184692215363"/>
    <n v="7.917536353943631"/>
    <n v="3.5992829203021803"/>
    <n v="3.6607114342860156"/>
    <n v="-0.19875742699999999"/>
    <n v="-7.0126001899999998E-2"/>
    <n v="-0.16595191500000001"/>
    <n v="0.13749446500000001"/>
    <n v="-0.2365131"/>
  </r>
  <r>
    <x v="28"/>
    <x v="1"/>
    <x v="0"/>
    <n v="4.0715176664325714"/>
    <n v="6.6"/>
    <n v="4.7167115607209986"/>
    <n v="6.1"/>
    <n v="5.4212427133853351"/>
    <n v="3.5531742719485613"/>
    <n v="4.109610771725829"/>
    <n v="3.9765552765461858"/>
    <n v="0.19712769999999999"/>
    <n v="-4.5227746999999994"/>
    <n v="-3.3598811999999971"/>
    <m/>
    <m/>
    <m/>
    <m/>
    <n v="-1.5552999999999999E-3"/>
    <n v="0"/>
    <n v="1.5552999999999999E-3"/>
    <n v="5.96"/>
    <n v="0.63429999999999997"/>
    <n v="-2.9270999999999998"/>
    <n v="9.8405900000000004E-2"/>
    <n v="-0.43172490000000013"/>
    <n v="9.8405900000000004E-2"/>
    <m/>
    <m/>
    <m/>
    <n v="-0.01"/>
    <m/>
    <m/>
    <n v="4.6150999999999996E-3"/>
    <n v="6.02"/>
    <n v="6.5940029787971719"/>
    <n v="7.9188469701207511"/>
    <n v="3.5144367772686662"/>
    <n v="3.6566919498606913"/>
    <n v="0.10230919500000001"/>
    <n v="0.331689858"/>
    <n v="-6.4495483300000002E-4"/>
    <n v="0.194019622"/>
    <n v="0.31942318400000003"/>
  </r>
  <r>
    <x v="28"/>
    <x v="2"/>
    <x v="0"/>
    <n v="4.0732928551504797"/>
    <n v="6.6"/>
    <n v="4.7202829930885963"/>
    <n v="6.13"/>
    <n v="5.4240685718535975"/>
    <n v="3.5548622292063055"/>
    <n v="4.1037997209928561"/>
    <n v="3.9808958697145216"/>
    <n v="0.24030889999999999"/>
    <n v="-4.2824657999999998"/>
    <n v="-3.1667833999999973"/>
    <m/>
    <m/>
    <m/>
    <m/>
    <n v="-3.9284999999999997E-3"/>
    <n v="0"/>
    <n v="3.9284999999999997E-3"/>
    <n v="6.03"/>
    <n v="0.52200000000000002"/>
    <n v="-0.69940999999999998"/>
    <n v="0.2379125"/>
    <n v="-0.19381240000000013"/>
    <n v="0.2379125"/>
    <m/>
    <m/>
    <m/>
    <n v="0"/>
    <m/>
    <m/>
    <n v="1.9833799999999999E-2"/>
    <n v="6.23"/>
    <n v="6.5982365119211819"/>
    <n v="7.921136423287586"/>
    <n v="3.5641378889501913"/>
    <n v="3.6523451293859628"/>
    <n v="-0.40179356900000002"/>
    <n v="-4.1565398099999998E-2"/>
    <n v="4.9158169199999997E-2"/>
    <n v="0.207310458"/>
    <n v="-0.17855257699999999"/>
  </r>
  <r>
    <x v="28"/>
    <x v="3"/>
    <x v="1"/>
    <n v="4.0795049985254384"/>
    <n v="6.3"/>
    <n v="4.7247294210457307"/>
    <n v="6.37"/>
    <n v="5.4504803579451444"/>
    <n v="3.5716712532083954"/>
    <n v="4.1077378043330963"/>
    <n v="3.9832267644344781"/>
    <n v="0"/>
    <n v="-4.2824657999999998"/>
    <n v="-3.1667833999999973"/>
    <m/>
    <m/>
    <m/>
    <m/>
    <n v="1.76667E-2"/>
    <n v="1.7333299999999999E-2"/>
    <n v="-2.3333E-3"/>
    <n v="6.5"/>
    <n v="-0.38969999999999999"/>
    <n v="1.2041999999999999"/>
    <n v="0"/>
    <n v="-0.19381240000000013"/>
    <n v="0"/>
    <m/>
    <m/>
    <m/>
    <n v="-0.05"/>
    <m/>
    <m/>
    <n v="0"/>
    <n v="7.63"/>
    <n v="6.6119066171972953"/>
    <n v="7.926277636639484"/>
    <n v="3.6326794044257373"/>
    <n v="3.6587037116038745"/>
    <n v="-0.13588752000000001"/>
    <n v="6.6037012000000001E-3"/>
    <n v="-5.5833896399999999E-2"/>
    <n v="8.4337246199999993E-2"/>
    <n v="7.6859302300000001E-2"/>
  </r>
  <r>
    <x v="28"/>
    <x v="4"/>
    <x v="1"/>
    <n v="4.0859107641848498"/>
    <n v="6.3"/>
    <n v="4.7273878187123408"/>
    <n v="6.85"/>
    <n v="5.5127026761883471"/>
    <n v="3.5614437308042524"/>
    <n v="4.1098241330704868"/>
    <n v="3.9859052378188506"/>
    <n v="0.26128970000000001"/>
    <n v="-4.0211760999999999"/>
    <n v="-2.9264690999999972"/>
    <m/>
    <m/>
    <m/>
    <m/>
    <n v="-6.37958E-2"/>
    <n v="-7.3462399999999997E-2"/>
    <n v="-8.3150399999999999E-2"/>
    <n v="7"/>
    <n v="0.2571"/>
    <n v="2.1032999999999999"/>
    <n v="0.31301639999999997"/>
    <n v="0.11920399999999984"/>
    <n v="0.31301639999999997"/>
    <m/>
    <m/>
    <m/>
    <n v="0.01"/>
    <m/>
    <m/>
    <n v="3.1304800000000001E-2"/>
    <n v="6.63"/>
    <n v="6.6144574677447201"/>
    <n v="7.9281897865862225"/>
    <n v="3.5950631579096517"/>
    <n v="3.6652269254487075"/>
    <n v="-0.31343288400000002"/>
    <n v="0.152057104"/>
    <n v="0.15191791099999999"/>
    <n v="-0.11323955199999999"/>
    <n v="3.54012119E-2"/>
  </r>
  <r>
    <x v="28"/>
    <x v="5"/>
    <x v="1"/>
    <n v="4.0906293359746195"/>
    <n v="6.2"/>
    <n v="4.7318028369214575"/>
    <n v="6.73"/>
    <n v="5.5225403350818105"/>
    <n v="3.5852396793541765"/>
    <n v="4.1088718615026378"/>
    <n v="3.9877981584917048"/>
    <n v="0"/>
    <n v="-4.0211760999999999"/>
    <n v="-2.9264690999999972"/>
    <m/>
    <m/>
    <m/>
    <m/>
    <n v="6.1289999999999999E-3"/>
    <n v="6.1289999999999999E-3"/>
    <n v="-2.4516199999999998E-2"/>
    <n v="6.8"/>
    <n v="0.24229999999999999"/>
    <n v="-2.3033999999999999"/>
    <n v="0"/>
    <n v="0.11920399999999984"/>
    <n v="0"/>
    <m/>
    <m/>
    <m/>
    <n v="0"/>
    <m/>
    <m/>
    <n v="0"/>
    <n v="6.56"/>
    <n v="6.6109651874996285"/>
    <n v="7.9288023440326354"/>
    <n v="3.591872836171786"/>
    <n v="3.662509811093793"/>
    <n v="-0.35305052799999997"/>
    <n v="-3.0146022099999999E-2"/>
    <n v="0.22898267"/>
    <n v="-0.16882283100000001"/>
    <n v="-6.92290297E-2"/>
  </r>
  <r>
    <x v="28"/>
    <x v="6"/>
    <x v="2"/>
    <n v="4.0975344690551632"/>
    <n v="6.1"/>
    <n v="4.7344425216922303"/>
    <n v="6.58"/>
    <n v="5.535521601510581"/>
    <n v="3.5978874376081786"/>
    <n v="4.1093973648483928"/>
    <n v="3.9927178081338024"/>
    <n v="-3.2252999999999997E-2"/>
    <n v="-4.0534290999999998"/>
    <n v="-2.9667387999999972"/>
    <m/>
    <m/>
    <m/>
    <m/>
    <n v="-2.3225800000000001E-2"/>
    <n v="-1.54839E-2"/>
    <n v="7.7419000000000003E-3"/>
    <n v="6.68"/>
    <n v="0.48430000000000001"/>
    <n v="-2.5198"/>
    <n v="-1.29093E-2"/>
    <n v="0.10629469999999984"/>
    <n v="-1.29093E-2"/>
    <m/>
    <m/>
    <m/>
    <n v="-0.03"/>
    <m/>
    <m/>
    <n v="-1.6035500000000001E-2"/>
    <n v="6.75"/>
    <n v="6.6106960447177592"/>
    <n v="7.9304220107354428"/>
    <n v="3.5876216220397095"/>
    <n v="3.6533299936579802"/>
    <n v="-0.12745230299999999"/>
    <n v="5.88053511E-2"/>
    <n v="3.9701489499999999E-2"/>
    <n v="9.3040262999999998E-2"/>
    <n v="5.93786075E-2"/>
  </r>
  <r>
    <x v="28"/>
    <x v="7"/>
    <x v="2"/>
    <n v="4.1058135413252508"/>
    <n v="6"/>
    <n v="4.7388265708007653"/>
    <n v="6.73"/>
    <n v="5.5334290136381004"/>
    <n v="3.6315680874008227"/>
    <n v="4.1108410767505639"/>
    <n v="3.9966949814853447"/>
    <n v="-9.3600999999999997E-3"/>
    <n v="-4.0627892000000001"/>
    <n v="-2.9867621999999971"/>
    <m/>
    <m/>
    <m/>
    <m/>
    <n v="-6.7742000000000002E-3"/>
    <n v="2.06451E-2"/>
    <n v="2.7419300000000001E-2"/>
    <n v="7.03"/>
    <n v="0.46870000000000001"/>
    <n v="0.19939000000000001"/>
    <n v="-5.3935999999999998E-2"/>
    <n v="5.2358699999999841E-2"/>
    <n v="-5.3935999999999998E-2"/>
    <m/>
    <m/>
    <m/>
    <n v="0"/>
    <m/>
    <m/>
    <n v="6.9830000000000001E-4"/>
    <n v="6.95"/>
    <n v="6.6132499811822303"/>
    <n v="7.9337251876581352"/>
    <n v="3.5719523020846444"/>
    <n v="3.655684549256295"/>
    <n v="-0.34283563"/>
    <n v="-0.106291236"/>
    <n v="-3.6961137900000003E-2"/>
    <n v="9.9585174100000007E-2"/>
    <n v="4.10958846E-2"/>
  </r>
  <r>
    <x v="28"/>
    <x v="8"/>
    <x v="2"/>
    <n v="4.1081554184472884"/>
    <n v="5.9"/>
    <n v="4.7423200241353252"/>
    <n v="7.22"/>
    <n v="5.5441613033830226"/>
    <n v="3.6102420085968636"/>
    <n v="4.1086090062358052"/>
    <n v="3.995094966431223"/>
    <n v="-0.1332063"/>
    <n v="-4.1959955000000004"/>
    <n v="-3.1339328999999969"/>
    <m/>
    <m/>
    <m/>
    <m/>
    <n v="0.15933330000000001"/>
    <n v="0.17883879999999999"/>
    <n v="0.14183879999999999"/>
    <n v="7.67"/>
    <n v="0.4904"/>
    <n v="1.9813000000000001"/>
    <n v="-0.14601729999999999"/>
    <n v="-9.3658600000000147E-2"/>
    <n v="-0.14601729999999999"/>
    <m/>
    <m/>
    <m/>
    <n v="0.19"/>
    <m/>
    <m/>
    <n v="8.8965999999999993E-3"/>
    <n v="8.3800000000000008"/>
    <n v="6.616868075581408"/>
    <n v="7.9378031757813625"/>
    <n v="3.6015771257111395"/>
    <n v="3.6529154321803499"/>
    <n v="-0.33945157199999998"/>
    <n v="8.7233767499999993E-3"/>
    <n v="0.14854247600000001"/>
    <n v="3.01239651E-2"/>
    <n v="-2.8467840099999999E-2"/>
  </r>
  <r>
    <x v="28"/>
    <x v="9"/>
    <x v="3"/>
    <n v="4.1226274699501539"/>
    <n v="6"/>
    <n v="4.7449321283632502"/>
    <n v="7.29"/>
    <n v="5.5448258201669791"/>
    <n v="3.5702085243962576"/>
    <n v="4.1088554350725115"/>
    <n v="4.0035259468895168"/>
    <n v="0"/>
    <n v="-4.1959955000000004"/>
    <n v="-3.1339328999999969"/>
    <m/>
    <m/>
    <m/>
    <m/>
    <n v="3.8408600000000001E-2"/>
    <n v="0.1127741"/>
    <n v="0.13170970000000001"/>
    <n v="7.59"/>
    <n v="-0.8548"/>
    <n v="-1.6221000000000001"/>
    <n v="0"/>
    <n v="-9.3658600000000147E-2"/>
    <n v="0"/>
    <m/>
    <m/>
    <m/>
    <n v="0.01"/>
    <m/>
    <m/>
    <n v="0"/>
    <n v="6.62"/>
    <n v="6.6283058914568329"/>
    <n v="7.943356767840843"/>
    <n v="3.6164431608492245"/>
    <n v="3.6720638611853742"/>
    <n v="-0.29807921900000001"/>
    <n v="3.0071156200000001E-2"/>
    <n v="0.29169704400000002"/>
    <n v="-0.21632037600000001"/>
    <n v="0.17300931999999999"/>
  </r>
  <r>
    <x v="28"/>
    <x v="10"/>
    <x v="3"/>
    <n v="4.1277841738865888"/>
    <n v="5.8"/>
    <n v="4.7484043540739993"/>
    <n v="6.69"/>
    <n v="5.5353243745213998"/>
    <n v="3.579399353495115"/>
    <n v="4.1098077222754661"/>
    <n v="4.0028686887277223"/>
    <n v="-5.9647699999999998E-2"/>
    <n v="-4.2556432000000006"/>
    <n v="-3.2182885999999971"/>
    <m/>
    <m/>
    <m/>
    <m/>
    <n v="-6.7419000000000003E-3"/>
    <n v="0.1272258"/>
    <n v="0.18429029999999999"/>
    <n v="6.96"/>
    <n v="0.26290000000000002"/>
    <n v="-5.4028999999999998"/>
    <n v="-8.4083099999999994E-2"/>
    <n v="-0.17774170000000014"/>
    <n v="-8.4083099999999994E-2"/>
    <m/>
    <m/>
    <m/>
    <n v="-0.01"/>
    <m/>
    <m/>
    <n v="1.6279499999999999E-2"/>
    <n v="7.19"/>
    <n v="6.6243307967829974"/>
    <n v="7.9449884946404019"/>
    <n v="3.6240742307478206"/>
    <n v="3.6662247635491303"/>
    <n v="-0.57243592600000004"/>
    <n v="-0.16165886300000001"/>
    <n v="3.4799916E-2"/>
    <n v="-4.1553376000000003E-2"/>
    <n v="-0.105482479"/>
  </r>
  <r>
    <x v="28"/>
    <x v="11"/>
    <x v="3"/>
    <n v="4.1326578124733908"/>
    <n v="5.7"/>
    <n v="4.7501359562382772"/>
    <n v="6.77"/>
    <n v="5.5431049859201176"/>
    <n v="3.6078320752606143"/>
    <n v="4.1138693731531095"/>
    <n v="4.0070967936578201"/>
    <n v="-0.1259441"/>
    <n v="-4.3815873000000005"/>
    <n v="-3.3979257999999972"/>
    <m/>
    <m/>
    <m/>
    <m/>
    <n v="3.8387E-3"/>
    <n v="-4.3226000000000002E-3"/>
    <n v="1.60322E-2"/>
    <n v="7.17"/>
    <n v="3.5000000000000001E-3"/>
    <n v="-0.37053999999999998"/>
    <n v="-3.8429999999999999E-2"/>
    <n v="-0.21617170000000013"/>
    <n v="-3.8429999999999999E-2"/>
    <m/>
    <m/>
    <m/>
    <n v="0.01"/>
    <m/>
    <m/>
    <n v="6.2871000000000003E-3"/>
    <n v="6.89"/>
    <n v="6.6203398376477871"/>
    <n v="7.9476078724433243"/>
    <n v="3.6294478703445097"/>
    <n v="3.6537443833456069"/>
    <n v="-0.114401236"/>
    <n v="-0.122464516"/>
    <n v="-0.23553818000000001"/>
    <n v="0.29687495699999999"/>
    <n v="0.17098395299999999"/>
  </r>
  <r>
    <x v="29"/>
    <x v="0"/>
    <x v="0"/>
    <n v="4.1331789828253029"/>
    <n v="5.7"/>
    <n v="4.7535901911063645"/>
    <n v="6.83"/>
    <n v="5.5635620938808819"/>
    <n v="3.6327058493079929"/>
    <n v="4.1130845335961537"/>
    <n v="4.0158603616674"/>
    <n v="0"/>
    <n v="-4.3815873000000005"/>
    <n v="-3.3979257999999972"/>
    <m/>
    <m/>
    <m/>
    <m/>
    <n v="2.5807E-3"/>
    <n v="9.0322000000000006E-3"/>
    <n v="3.0967700000000001E-2"/>
    <n v="6.99"/>
    <n v="-0.18629999999999999"/>
    <n v="-0.55825000000000002"/>
    <n v="0"/>
    <n v="-0.21617170000000013"/>
    <n v="0"/>
    <m/>
    <m/>
    <m/>
    <n v="-0.02"/>
    <m/>
    <m/>
    <n v="0"/>
    <n v="6.79"/>
    <n v="6.6283058914568329"/>
    <n v="7.9550040953616881"/>
    <n v="3.6226060956826487"/>
    <n v="3.6572597797334749"/>
    <n v="-0.28984385099999999"/>
    <n v="-0.26055779299999998"/>
    <n v="-8.3135406499999998E-5"/>
    <n v="-1.8115282E-2"/>
    <n v="0.16571816"/>
  </r>
  <r>
    <x v="29"/>
    <x v="1"/>
    <x v="0"/>
    <n v="4.1375557004642607"/>
    <n v="5.7"/>
    <n v="4.7553128444178112"/>
    <n v="6.58"/>
    <n v="5.5565963746305016"/>
    <n v="3.629686619301117"/>
    <n v="4.11622020273954"/>
    <n v="4.0169234152535163"/>
    <n v="-0.17396619999999999"/>
    <n v="-4.5555535000000003"/>
    <n v="-3.6214115999999974"/>
    <m/>
    <m/>
    <m/>
    <m/>
    <n v="-1.7419400000000002E-2"/>
    <n v="-8.7097000000000008E-3"/>
    <n v="-6.5516999999999997E-3"/>
    <n v="6.64"/>
    <n v="0.2273"/>
    <n v="-1.8211999999999999"/>
    <n v="-0.109303"/>
    <n v="-0.32547470000000012"/>
    <n v="-0.109303"/>
    <m/>
    <m/>
    <m/>
    <n v="0"/>
    <m/>
    <m/>
    <n v="1.20252E-2"/>
    <n v="6.67"/>
    <n v="6.6302875289373278"/>
    <n v="7.9630076330606814"/>
    <n v="3.5312602659603236"/>
    <n v="3.6690593266646299"/>
    <n v="0.10506149400000001"/>
    <n v="-4.47679208E-2"/>
    <n v="-8.8243563400000002E-2"/>
    <n v="0.17657535999999999"/>
    <n v="0.12771356"/>
  </r>
  <r>
    <x v="29"/>
    <x v="2"/>
    <x v="0"/>
    <n v="4.1397846767918578"/>
    <n v="5.7"/>
    <n v="4.7578912730057557"/>
    <n v="6.58"/>
    <n v="5.5545087719084467"/>
    <n v="3.6341328354388343"/>
    <n v="4.1352465535425269"/>
    <n v="4.0220426504666955"/>
    <n v="8.6341899999999999E-2"/>
    <n v="-4.4692116000000004"/>
    <n v="-3.6026672999999976"/>
    <m/>
    <m/>
    <m/>
    <m/>
    <n v="-6.4519999999999996E-4"/>
    <n v="6.4519999999999996E-4"/>
    <n v="-2.8031000000000002E-3"/>
    <n v="6.71"/>
    <n v="-5.0999999999999997E-2"/>
    <n v="0.72406999999999999"/>
    <n v="0.1186012"/>
    <n v="-0.2068735000000001"/>
    <n v="0.1186012"/>
    <m/>
    <m/>
    <m/>
    <n v="-0.01"/>
    <m/>
    <m/>
    <n v="-2.60833E-2"/>
    <n v="6.83"/>
    <n v="6.6356840540445035"/>
    <n v="7.9700493049761354"/>
    <n v="3.5813777588774447"/>
    <n v="3.6633821428404079"/>
    <n v="-0.15658915100000001"/>
    <n v="-0.2306909"/>
    <n v="-0.31531589199999999"/>
    <n v="0.177126169"/>
    <n v="7.1165210600000001E-2"/>
  </r>
  <r>
    <x v="29"/>
    <x v="3"/>
    <x v="1"/>
    <n v="4.1451248083562335"/>
    <n v="5.4"/>
    <n v="4.7638818771429126"/>
    <n v="6.87"/>
    <n v="5.5690694317769722"/>
    <n v="3.6226862313791375"/>
    <n v="4.1265697095168372"/>
    <n v="4.0217380264510085"/>
    <n v="0"/>
    <n v="-4.4692116000000004"/>
    <n v="-3.6026672999999976"/>
    <m/>
    <m/>
    <m/>
    <m/>
    <n v="-9.3547999999999999E-3"/>
    <n v="9.3547999999999999E-3"/>
    <n v="9.3547999999999999E-3"/>
    <n v="7.01"/>
    <n v="-1.1999999999999999E-3"/>
    <n v="2.0941000000000001"/>
    <n v="0"/>
    <n v="-0.2068735000000001"/>
    <n v="0"/>
    <m/>
    <m/>
    <m/>
    <n v="0"/>
    <m/>
    <m/>
    <n v="0"/>
    <n v="6.98"/>
    <n v="6.6439199330046366"/>
    <n v="7.9769730852407923"/>
    <n v="3.6469891808537507"/>
    <n v="3.6700278744285746"/>
    <n v="-0.13838568000000001"/>
    <n v="-6.34078388E-3"/>
    <n v="-1.2168188300000001E-3"/>
    <n v="8.3656625900000003E-2"/>
    <n v="6.0662313400000001E-2"/>
  </r>
  <r>
    <x v="29"/>
    <x v="4"/>
    <x v="1"/>
    <n v="4.1440200486638066"/>
    <n v="5.6"/>
    <n v="4.7664383335842135"/>
    <n v="7.09"/>
    <n v="5.5924411465792936"/>
    <n v="3.6360059645068681"/>
    <n v="4.1309175424529405"/>
    <n v="4.0273318717391602"/>
    <n v="0.2279987"/>
    <n v="-4.2412129000000007"/>
    <n v="-3.4118375999999975"/>
    <m/>
    <m/>
    <m/>
    <m/>
    <n v="2.5483800000000001E-2"/>
    <n v="3.1290400000000003E-2"/>
    <n v="2.3871E-2"/>
    <n v="7.4"/>
    <n v="4.7600000000000003E-2"/>
    <n v="0.32400000000000001"/>
    <n v="0.13969670000000001"/>
    <n v="-6.7176800000000092E-2"/>
    <n v="0.13969670000000001"/>
    <m/>
    <m/>
    <m/>
    <n v="7.0000000000000007E-2"/>
    <m/>
    <m/>
    <n v="6.4777000000000003E-3"/>
    <n v="7.48"/>
    <n v="6.6485958734635577"/>
    <n v="7.9822456255298366"/>
    <n v="3.5960786232583937"/>
    <n v="3.6759968282829227"/>
    <n v="-0.39762062500000001"/>
    <n v="0.15737519"/>
    <n v="0.20102752400000001"/>
    <n v="3.4041760900000002E-2"/>
    <n v="5.3349065100000002E-2"/>
  </r>
  <r>
    <x v="29"/>
    <x v="5"/>
    <x v="1"/>
    <n v="4.1466270338791293"/>
    <n v="5.4"/>
    <n v="4.7706846244656651"/>
    <n v="7.51"/>
    <n v="5.6381055279803309"/>
    <n v="3.6388222375725658"/>
    <n v="4.130965745677746"/>
    <n v="4.031937102093484"/>
    <n v="0.3521378"/>
    <n v="-3.8890751000000008"/>
    <n v="-3.1017034999999975"/>
    <m/>
    <m/>
    <m/>
    <m/>
    <n v="4.7516200000000001E-2"/>
    <n v="3.7709699999999999E-2"/>
    <n v="2.6128999999999999E-2"/>
    <n v="7.49"/>
    <n v="9.2600000000000002E-2"/>
    <n v="1.4650000000000001"/>
    <n v="0.18000260000000001"/>
    <n v="0.11282579999999992"/>
    <n v="0.18000260000000001"/>
    <m/>
    <m/>
    <m/>
    <n v="0.01"/>
    <m/>
    <m/>
    <n v="-2.1004399999999999E-2"/>
    <n v="8.27"/>
    <n v="6.6571120539653421"/>
    <n v="7.9864029272306496"/>
    <n v="3.6356368927182166"/>
    <n v="3.682584683551188"/>
    <n v="-6.6350631399999999E-2"/>
    <n v="1.5016835900000001E-2"/>
    <n v="0.197504226"/>
    <n v="-0.186708925"/>
    <n v="0.13358735899999999"/>
  </r>
  <r>
    <x v="29"/>
    <x v="6"/>
    <x v="2"/>
    <n v="4.14725005631702"/>
    <n v="5.4"/>
    <n v="4.7749129605751861"/>
    <n v="7.75"/>
    <n v="5.6404876242838871"/>
    <n v="3.6266316406344092"/>
    <n v="4.1315761188274278"/>
    <n v="4.038250287867192"/>
    <n v="0"/>
    <n v="-3.8890751000000008"/>
    <n v="-3.1017034999999975"/>
    <m/>
    <m/>
    <m/>
    <m/>
    <n v="1.95806E-2"/>
    <n v="5.3580599999999999E-2"/>
    <n v="1.83871E-2"/>
    <n v="7.75"/>
    <n v="-0.23380000000000001"/>
    <n v="-0.48309999999999997"/>
    <n v="0"/>
    <n v="0.11282579999999992"/>
    <n v="0"/>
    <m/>
    <m/>
    <m/>
    <n v="0.03"/>
    <m/>
    <m/>
    <n v="0"/>
    <n v="7.84"/>
    <n v="6.6610871826209701"/>
    <n v="7.9893909434431301"/>
    <n v="3.6345552553833365"/>
    <n v="3.6791573472157002"/>
    <n v="-0.29777145100000002"/>
    <n v="3.2607152700000003E-2"/>
    <n v="-2.1305465499999999E-2"/>
    <n v="3.9550958400000003E-2"/>
    <n v="0.134056696"/>
  </r>
  <r>
    <x v="29"/>
    <x v="7"/>
    <x v="2"/>
    <n v="4.1517058258570083"/>
    <n v="5.6"/>
    <n v="4.7791234931115296"/>
    <n v="8.01"/>
    <n v="5.6327876004985766"/>
    <n v="3.6198776540156965"/>
    <n v="4.1388238606457035"/>
    <n v="4.0441383959947821"/>
    <n v="-0.16206129999999999"/>
    <n v="-4.0511364000000007"/>
    <n v="-3.2810511999999976"/>
    <m/>
    <m/>
    <m/>
    <m/>
    <n v="0.10870970000000001"/>
    <n v="0.1209677"/>
    <n v="0.11516129999999999"/>
    <n v="8.17"/>
    <n v="-1.49E-2"/>
    <n v="0.74409999999999998"/>
    <n v="-0.17244619999999999"/>
    <n v="-5.9620400000000073E-2"/>
    <n v="-0.17244619999999999"/>
    <m/>
    <m/>
    <m/>
    <n v="0.13"/>
    <m/>
    <m/>
    <n v="2.6085799999999999E-2"/>
    <n v="8.14"/>
    <n v="6.6635157643731926"/>
    <n v="7.9910847107857297"/>
    <n v="3.6076422833533135"/>
    <n v="3.6859501679413591"/>
    <n v="-0.12843579099999999"/>
    <n v="0.14336848999999999"/>
    <n v="0.162917064"/>
    <n v="-0.146814154"/>
    <n v="0.12767358200000001"/>
  </r>
  <r>
    <x v="29"/>
    <x v="8"/>
    <x v="2"/>
    <n v="4.1488785166607673"/>
    <n v="5.4"/>
    <n v="4.7833163713715656"/>
    <n v="8.19"/>
    <n v="5.6178977354990316"/>
    <n v="3.6116473762506724"/>
    <n v="4.1386644320374968"/>
    <n v="4.0414710726150327"/>
    <n v="-4.8395100000000003E-2"/>
    <n v="-4.0995315000000003"/>
    <n v="-3.3481918999999976"/>
    <m/>
    <m/>
    <m/>
    <m/>
    <n v="3.5376400000000002E-2"/>
    <n v="4.3118299999999998E-2"/>
    <n v="4.3118299999999998E-2"/>
    <n v="8.09"/>
    <n v="0.1479"/>
    <n v="0.82703000000000004"/>
    <n v="-4.0696200000000002E-2"/>
    <n v="-0.10031660000000008"/>
    <n v="-4.0696200000000002E-2"/>
    <m/>
    <m/>
    <m/>
    <n v="-0.01"/>
    <m/>
    <m/>
    <n v="-2.5397000000000002E-3"/>
    <n v="8.5399999999999991"/>
    <n v="6.6640262940588189"/>
    <n v="7.9927418240684336"/>
    <n v="3.6169805785700726"/>
    <n v="3.677894338055181"/>
    <n v="-0.12119872700000001"/>
    <n v="-1.9068938099999998E-2"/>
    <n v="0.17189718900000001"/>
    <n v="-0.15999839399999999"/>
    <n v="1.26434068E-3"/>
  </r>
  <r>
    <x v="29"/>
    <x v="9"/>
    <x v="3"/>
    <n v="4.1537103528272041"/>
    <n v="5.4"/>
    <n v="4.7866580620334682"/>
    <n v="8.3000000000000007"/>
    <n v="5.6138577671282137"/>
    <n v="3.628784379562596"/>
    <n v="4.1457503502820003"/>
    <n v="4.0481435433213866"/>
    <n v="0"/>
    <n v="-4.0995315000000003"/>
    <n v="-3.3481918999999976"/>
    <m/>
    <m/>
    <m/>
    <m/>
    <n v="-6.6667000000000002E-3"/>
    <n v="-6.6667000000000002E-3"/>
    <n v="-6.6667000000000002E-3"/>
    <n v="8.11"/>
    <n v="0.23899999999999999"/>
    <n v="0.85633000000000004"/>
    <n v="0"/>
    <n v="-0.10031660000000008"/>
    <n v="0"/>
    <m/>
    <m/>
    <m/>
    <n v="0"/>
    <m/>
    <m/>
    <n v="0"/>
    <n v="8.39"/>
    <n v="6.6635157643731926"/>
    <n v="7.9955762165720259"/>
    <n v="3.593771753809254"/>
    <n v="3.6865016293279722"/>
    <n v="-8.0126614499999999E-2"/>
    <n v="0.109803092"/>
    <n v="-4.8387874900000002E-2"/>
    <n v="0.143602962"/>
    <n v="0.11418985500000001"/>
  </r>
  <r>
    <x v="29"/>
    <x v="10"/>
    <x v="3"/>
    <n v="4.1553330394037706"/>
    <n v="5.3"/>
    <n v="4.7899886229806334"/>
    <n v="8.35"/>
    <n v="5.6112650581222923"/>
    <n v="3.6359005293230497"/>
    <n v="4.1494480884481248"/>
    <n v="4.049137969384021"/>
    <n v="-3.0347900000000001E-2"/>
    <n v="-4.1298794000000001"/>
    <n v="-3.3586228999999976"/>
    <m/>
    <m/>
    <n v="4.2318700000000001E-2"/>
    <m/>
    <n v="-9.6667000000000003E-3"/>
    <n v="1.9666699999999999E-2"/>
    <n v="1.26666E-2"/>
    <n v="8.48"/>
    <n v="0.1022"/>
    <n v="8.1956000000000001E-2"/>
    <n v="-9.9535299999999993E-2"/>
    <n v="-0.19985190000000008"/>
    <n v="-9.9535299999999993E-2"/>
    <n v="6.9639999999999994E-2"/>
    <m/>
    <m/>
    <n v="-0.01"/>
    <m/>
    <m/>
    <n v="-5.9477999999999996E-3"/>
    <n v="8.5"/>
    <n v="6.665556321132768"/>
    <n v="8.000584209561179"/>
    <n v="3.6106746398125451"/>
    <n v="3.6891044288052326"/>
    <n v="-0.20484403000000001"/>
    <n v="-5.14754012E-2"/>
    <n v="-0.12968707600000001"/>
    <n v="0.226285446"/>
    <n v="-2.4820101300000001E-2"/>
  </r>
  <r>
    <x v="29"/>
    <x v="11"/>
    <x v="3"/>
    <n v="4.1600152547117464"/>
    <n v="5.3"/>
    <n v="4.7933081281034857"/>
    <n v="8.76"/>
    <n v="5.6372864833678369"/>
    <n v="3.6697730843741998"/>
    <n v="4.1449901468909927"/>
    <n v="4.0521153280043638"/>
    <n v="0.44168629999999998"/>
    <n v="-3.6881931000000003"/>
    <n v="-2.9168138999999975"/>
    <n v="2.9336769999999999"/>
    <n v="2.9336769999999999"/>
    <n v="3.7943600000000001E-2"/>
    <m/>
    <n v="3.8053799999999999E-2"/>
    <n v="3.22688E-2"/>
    <n v="2.3785000000000001E-2"/>
    <n v="8.99"/>
    <n v="0.23050000000000001"/>
    <n v="2.9056999999999999"/>
    <n v="0.354271"/>
    <n v="0.15441909999999992"/>
    <n v="0.354271"/>
    <n v="1.9369999999999998E-2"/>
    <m/>
    <m/>
    <n v="7.0000000000000007E-2"/>
    <m/>
    <m/>
    <n v="4.2916700000000002E-2"/>
    <n v="9.0399999999999991"/>
    <n v="6.667846981335197"/>
    <n v="8.0032293151497438"/>
    <n v="3.6313827477654113"/>
    <n v="3.688429352833551"/>
    <n v="-0.193699133"/>
    <n v="-3.6710366000000001E-2"/>
    <n v="1.63806549E-2"/>
    <n v="-7.0980463899999999E-2"/>
    <n v="0.179320918"/>
  </r>
  <r>
    <x v="30"/>
    <x v="0"/>
    <x v="0"/>
    <n v="4.1631116304396345"/>
    <n v="5.4"/>
    <n v="4.7974420736352137"/>
    <n v="9.1199999999999992"/>
    <n v="5.6472473959143228"/>
    <n v="3.6598367686612057"/>
    <n v="4.1561919655481807"/>
    <n v="4.0525672504204548"/>
    <n v="0"/>
    <n v="-3.6881931000000003"/>
    <n v="-2.9168138999999975"/>
    <n v="0"/>
    <n v="2.9336769999999999"/>
    <n v="-1.20248E-2"/>
    <m/>
    <n v="1.41935E-2"/>
    <n v="1.8064500000000001E-2"/>
    <n v="1.35484E-2"/>
    <n v="9.0500000000000007"/>
    <n v="0.13850000000000001"/>
    <n v="1.8520000000000001"/>
    <n v="0"/>
    <n v="0.15441909999999992"/>
    <n v="0"/>
    <n v="-2.385E-2"/>
    <m/>
    <m/>
    <n v="-0.02"/>
    <m/>
    <m/>
    <n v="0"/>
    <n v="9.14"/>
    <n v="6.666575040181776"/>
    <n v="8.0043655649795742"/>
    <n v="3.5943489702677032"/>
    <n v="3.6841432560134955"/>
    <n v="-0.28327959600000002"/>
    <n v="6.9433811599999996E-3"/>
    <n v="0.16576488"/>
    <n v="-4.6510510300000002E-2"/>
    <n v="6.5896979300000005E-2"/>
  </r>
  <r>
    <x v="30"/>
    <x v="1"/>
    <x v="0"/>
    <n v="4.1584533035175451"/>
    <n v="5.2"/>
    <n v="4.8007369695320667"/>
    <n v="9.36"/>
    <n v="5.6548723032861927"/>
    <n v="3.6283329542459026"/>
    <n v="4.1497161955348547"/>
    <n v="4.0591663338724882"/>
    <n v="0.27000659999999999"/>
    <n v="-3.4181865000000005"/>
    <n v="-2.6195515999999976"/>
    <n v="0.3894842"/>
    <n v="3.3231609999999998"/>
    <n v="3.2636900000000003E-2"/>
    <m/>
    <n v="2.7764999999999999E-3"/>
    <n v="7.1428000000000004E-3"/>
    <n v="2.6785699999999999E-2"/>
    <n v="9.25"/>
    <n v="-4.7999999999999996E-3"/>
    <n v="0.93918000000000001"/>
    <n v="8.4336099999999997E-2"/>
    <n v="0.23875519999999992"/>
    <n v="8.4336099999999997E-2"/>
    <n v="0.16"/>
    <m/>
    <m/>
    <n v="0.05"/>
    <m/>
    <m/>
    <n v="-4.57942E-2"/>
    <n v="9.8699999999999992"/>
    <n v="6.6641538857655309"/>
    <n v="8.004499156590219"/>
    <n v="3.48936087249146"/>
    <n v="3.6864264479528694"/>
    <n v="-0.28117905900000001"/>
    <n v="0.160532491"/>
    <n v="8.4611119299999996E-2"/>
    <n v="7.1253794199999998E-2"/>
    <n v="3.8968879599999999E-2"/>
  </r>
  <r>
    <x v="30"/>
    <x v="2"/>
    <x v="0"/>
    <n v="4.160952814986687"/>
    <n v="5"/>
    <n v="4.8056590467374951"/>
    <n v="9.85"/>
    <n v="5.661466308862253"/>
    <n v="3.6331024386449378"/>
    <n v="4.1478221360002472"/>
    <n v="4.0578188808726505"/>
    <n v="5.2209800000000001E-2"/>
    <n v="-3.3659767000000005"/>
    <n v="-2.5605745999999976"/>
    <n v="-1.3811789999999999"/>
    <n v="1.9419820000000001"/>
    <n v="0.1175115"/>
    <m/>
    <n v="4.3675100000000001E-2"/>
    <n v="6.0921700000000002E-2"/>
    <n v="6.1278800000000001E-2"/>
    <n v="9.57"/>
    <n v="0.28139999999999998"/>
    <n v="1.9714"/>
    <n v="-0.1092558"/>
    <n v="0.12949939999999993"/>
    <n v="-0.1092558"/>
    <n v="-7.0000000000000007E-2"/>
    <m/>
    <m/>
    <n v="-0.01"/>
    <m/>
    <m/>
    <n v="-4.7010700000000002E-2"/>
    <n v="9.7899999999999991"/>
    <n v="6.6631326959908028"/>
    <n v="8.0070673227645202"/>
    <n v="3.542378606234748"/>
    <n v="3.6729024995907955"/>
    <n v="-1.3513897699999999E-2"/>
    <n v="5.7255188300000003E-2"/>
    <n v="1.6753786699999999E-2"/>
    <n v="-0.11912842"/>
    <n v="0.287495583"/>
  </r>
  <r>
    <x v="30"/>
    <x v="3"/>
    <x v="1"/>
    <n v="4.1620499385761134"/>
    <n v="5.2"/>
    <n v="4.8129970331904079"/>
    <n v="9.84"/>
    <n v="5.6510495480039973"/>
    <n v="3.6685747007735721"/>
    <n v="4.149243016869538"/>
    <n v="4.058838275371536"/>
    <n v="0"/>
    <n v="-3.3659767000000005"/>
    <n v="-2.5605745999999976"/>
    <n v="0"/>
    <n v="1.9419820000000001"/>
    <n v="-6.3225799999999999E-2"/>
    <m/>
    <n v="-9.0322000000000006E-3"/>
    <n v="-1.8064500000000001E-2"/>
    <n v="-1.8064500000000001E-2"/>
    <n v="9.36"/>
    <n v="0.50729999999999997"/>
    <n v="-0.85955000000000004"/>
    <n v="0"/>
    <n v="0.12949939999999993"/>
    <n v="0"/>
    <n v="0"/>
    <m/>
    <m/>
    <n v="0"/>
    <m/>
    <m/>
    <n v="0"/>
    <n v="9.82"/>
    <n v="6.6582677523283254"/>
    <n v="8.0091304141391753"/>
    <n v="3.5778920259243083"/>
    <n v="3.6623044459281373"/>
    <n v="-9.5486248199999998E-2"/>
    <n v="0.13261563700000001"/>
    <n v="0.12524518900000001"/>
    <n v="-0.12881615499999999"/>
    <n v="3.94058464E-2"/>
  </r>
  <r>
    <x v="30"/>
    <x v="4"/>
    <x v="1"/>
    <n v="4.1545879349017305"/>
    <n v="5.2"/>
    <n v="4.8178592793984425"/>
    <n v="9.81"/>
    <n v="5.6458355147013517"/>
    <n v="3.6423642003724677"/>
    <n v="4.1534307463479374"/>
    <n v="4.0612013436288468"/>
    <n v="0.14027519999999999"/>
    <n v="-3.2257015000000004"/>
    <n v="-2.4081094999999975"/>
    <n v="-0.2211234"/>
    <n v="1.7208589999999999"/>
    <n v="-1.0712899999999999E-2"/>
    <m/>
    <n v="-4.8386999999999996E-3"/>
    <n v="0"/>
    <n v="-4.8386999999999996E-3"/>
    <n v="8.98"/>
    <n v="0.22889999999999999"/>
    <n v="-0.25680999999999998"/>
    <n v="2.06159E-2"/>
    <n v="0.15011529999999992"/>
    <n v="2.06159E-2"/>
    <n v="-2.214E-2"/>
    <m/>
    <m/>
    <n v="-0.01"/>
    <m/>
    <m/>
    <n v="-8.7033000000000006E-3"/>
    <n v="10.48"/>
    <n v="6.6528630293533473"/>
    <n v="8.0109902001356907"/>
    <n v="3.5010427166318716"/>
    <n v="3.6578530755088137"/>
    <n v="-2.9409793699999999E-2"/>
    <n v="0.32584015"/>
    <n v="0.12882683"/>
    <n v="0.26863212600000003"/>
    <n v="6.8836288300000006E-2"/>
  </r>
  <r>
    <x v="30"/>
    <x v="5"/>
    <x v="1"/>
    <n v="4.1552060187360826"/>
    <n v="5.3"/>
    <n v="4.8210876922105612"/>
    <n v="9.5299999999999994"/>
    <n v="5.6386749027510596"/>
    <n v="3.6502425704990182"/>
    <n v="4.155612114569303"/>
    <n v="4.0618213705165402"/>
    <n v="0"/>
    <n v="-3.2257015000000004"/>
    <n v="-2.4081094999999975"/>
    <n v="0"/>
    <n v="1.7208589999999999"/>
    <n v="-2.18438E-2"/>
    <m/>
    <n v="-5.5161300000000003E-2"/>
    <n v="-0.05"/>
    <n v="-3.8494599999999997E-2"/>
    <n v="8.44"/>
    <n v="0.40970000000000001"/>
    <n v="-1.4923"/>
    <n v="0"/>
    <n v="0.15011529999999992"/>
    <n v="0"/>
    <n v="-1.2500000000000001E-2"/>
    <m/>
    <m/>
    <n v="-0.06"/>
    <m/>
    <m/>
    <n v="0"/>
    <n v="9.6300000000000008"/>
    <n v="6.6509256700131205"/>
    <n v="8.0163839029257353"/>
    <n v="3.5214071001701877"/>
    <n v="3.6509698810407163"/>
    <n v="0.33777662400000003"/>
    <n v="0.221533327"/>
    <n v="-0.102337553"/>
    <n v="2.8733084900000001E-2"/>
    <n v="0.21573441700000001"/>
  </r>
  <r>
    <x v="30"/>
    <x v="6"/>
    <x v="2"/>
    <n v="4.1458754117245338"/>
    <n v="5.2"/>
    <n v="4.824305715904762"/>
    <n v="9.24"/>
    <n v="5.6347896031692493"/>
    <n v="3.6597080768136565"/>
    <n v="4.1550162417548329"/>
    <n v="4.0650358953607606"/>
    <n v="5.9045500000000001E-2"/>
    <n v="-3.1666560000000006"/>
    <n v="-2.3326723999999976"/>
    <n v="-0.55277469999999995"/>
    <n v="1.1680839999999999"/>
    <n v="-2.48495E-2"/>
    <m/>
    <n v="-3.6129099999999997E-2"/>
    <n v="-3.8064500000000001E-2"/>
    <n v="-4.8924700000000002E-2"/>
    <n v="7.89"/>
    <n v="0.64470000000000005"/>
    <n v="-1.1592"/>
    <n v="-0.12549879999999999"/>
    <n v="2.461649999999993E-2"/>
    <n v="-0.12549879999999999"/>
    <n v="-3.5830000000000001E-2"/>
    <m/>
    <m/>
    <n v="-0.04"/>
    <m/>
    <m/>
    <n v="-2.1723300000000001E-2"/>
    <n v="8.94"/>
    <n v="6.6564694217216465"/>
    <n v="8.0244366671111251"/>
    <n v="3.5240048109237025"/>
    <n v="3.6597080768136565"/>
    <n v="0.22102196499999999"/>
    <n v="-5.1474477800000001E-2"/>
    <n v="-0.38979753099999997"/>
    <n v="0.163512248"/>
    <n v="-0.107025524"/>
  </r>
  <r>
    <x v="30"/>
    <x v="7"/>
    <x v="2"/>
    <n v="4.1546459945635412"/>
    <n v="5.2"/>
    <n v="4.824305715904762"/>
    <n v="8.99"/>
    <n v="5.6222831510770641"/>
    <n v="3.7019930932593192"/>
    <n v="4.1635907349589152"/>
    <n v="4.0674871080522177"/>
    <n v="-0.1225097"/>
    <n v="-3.2891657000000007"/>
    <n v="-2.4722291999999975"/>
    <n v="-0.61311510000000002"/>
    <n v="0.55496880000000004"/>
    <n v="-1.30639E-2"/>
    <m/>
    <n v="-1.9677400000000001E-2"/>
    <n v="-2.4838699999999998E-2"/>
    <n v="-2.06451E-2"/>
    <n v="8.18"/>
    <n v="0.35289999999999999"/>
    <n v="-1.8890999999999999E-3"/>
    <n v="-8.3044699999999999E-2"/>
    <n v="-5.8428200000000069E-2"/>
    <n v="-8.3044699999999999E-2"/>
    <n v="0"/>
    <m/>
    <m/>
    <n v="-0.02"/>
    <m/>
    <m/>
    <n v="-2.04364E-2"/>
    <n v="8.92"/>
    <n v="6.6585243929046092"/>
    <n v="8.031612873006285"/>
    <n v="3.4923474048508663"/>
    <n v="3.6574919808723036"/>
    <n v="0.51490200799999997"/>
    <n v="8.0224278199999999E-2"/>
    <n v="-0.32438503800000001"/>
    <n v="4.3109561499999997E-2"/>
    <n v="0.19744302899999999"/>
  </r>
  <r>
    <x v="30"/>
    <x v="8"/>
    <x v="2"/>
    <n v="4.1515610299324459"/>
    <n v="5.3"/>
    <n v="4.8267124559353274"/>
    <n v="9.02"/>
    <n v="5.6165528920432743"/>
    <n v="3.6661991903907158"/>
    <n v="4.169575712898415"/>
    <n v="4.070256766693011"/>
    <n v="0"/>
    <n v="-3.2891657000000007"/>
    <n v="-2.4722291999999975"/>
    <n v="0"/>
    <n v="0.55496880000000004"/>
    <n v="0"/>
    <m/>
    <n v="-1.41935E-2"/>
    <n v="-7.0968000000000003E-3"/>
    <n v="-7.0968000000000003E-3"/>
    <n v="8.2200000000000006"/>
    <n v="0.37459999999999999"/>
    <n v="1.8306"/>
    <n v="0"/>
    <n v="-5.8428200000000069E-2"/>
    <n v="0"/>
    <n v="0"/>
    <m/>
    <m/>
    <n v="0"/>
    <m/>
    <m/>
    <n v="0"/>
    <n v="9.24"/>
    <n v="6.6605751498396861"/>
    <n v="8.0374785626753003"/>
    <n v="3.5129176312725634"/>
    <n v="3.6636385662481414"/>
    <n v="1.4020121700000001E-2"/>
    <n v="-0.310829833"/>
    <n v="-0.13136769000000001"/>
    <n v="-0.104197915"/>
    <n v="-0.28829222199999999"/>
  </r>
  <r>
    <x v="30"/>
    <x v="9"/>
    <x v="3"/>
    <n v="4.1505705044084191"/>
    <n v="5.3"/>
    <n v="4.8315086281988204"/>
    <n v="8.84"/>
    <n v="5.6143317612668531"/>
    <n v="3.6503465043971524"/>
    <n v="4.1658897293851966"/>
    <n v="4.074294904416397"/>
    <n v="-6.2634999999999996E-2"/>
    <n v="-3.351800700000001"/>
    <n v="-2.5601526999999975"/>
    <n v="0.22217400000000001"/>
    <n v="0.77714280000000002"/>
    <n v="-7.5561299999999998E-2"/>
    <m/>
    <n v="1.29032E-2"/>
    <n v="9.0323000000000001E-3"/>
    <n v="6.4516E-3"/>
    <n v="7.99"/>
    <n v="0.27629999999999999"/>
    <n v="-0.44220999999999999"/>
    <n v="-3.5728999999999999E-3"/>
    <n v="-6.2001100000000066E-2"/>
    <n v="-3.5728999999999999E-3"/>
    <n v="-0.17222999999999999"/>
    <m/>
    <m/>
    <n v="0.01"/>
    <m/>
    <m/>
    <n v="1.60311E-2"/>
    <n v="8.89"/>
    <n v="6.6677198599977094"/>
    <n v="8.0444337684567024"/>
    <n v="3.4992009008664127"/>
    <n v="3.679561173474942"/>
    <n v="0.279867123"/>
    <n v="9.7093400499999996E-2"/>
    <n v="3.0466719900000001E-2"/>
    <n v="-0.112713269"/>
    <n v="-5.9903949800000002E-2"/>
  </r>
  <r>
    <x v="30"/>
    <x v="10"/>
    <x v="3"/>
    <n v="4.1539569071532441"/>
    <n v="5.4"/>
    <n v="4.8354879410503013"/>
    <n v="8.5500000000000007"/>
    <n v="5.5954174499780764"/>
    <n v="3.6401092897445069"/>
    <n v="4.1718455810008477"/>
    <n v="4.074872880157506"/>
    <n v="0.1344756"/>
    <n v="-3.2173251000000009"/>
    <n v="-2.4534743999999975"/>
    <n v="-0.20887510000000001"/>
    <n v="0.56826770000000004"/>
    <n v="-0.1908154"/>
    <m/>
    <n v="-4.5569900000000003E-2"/>
    <n v="-4.1698899999999997E-2"/>
    <n v="-2.11183E-2"/>
    <n v="7.77"/>
    <n v="0.46610000000000001"/>
    <n v="-1.4962"/>
    <n v="6.5522800000000006E-2"/>
    <n v="3.5216999999999402E-3"/>
    <n v="6.5522800000000006E-2"/>
    <n v="-0.12435"/>
    <m/>
    <m/>
    <n v="-0.05"/>
    <m/>
    <m/>
    <n v="5.4618999999999996E-3"/>
    <n v="8.6"/>
    <n v="6.6693711782516427"/>
    <n v="8.050480142268567"/>
    <n v="3.5228543852868737"/>
    <n v="3.6849216322595924"/>
    <n v="0.25403040500000001"/>
    <n v="0.20113515400000001"/>
    <n v="-6.8332786500000006E-2"/>
    <n v="0.109588321"/>
    <n v="-3.5956061599999999E-2"/>
  </r>
  <r>
    <x v="30"/>
    <x v="11"/>
    <x v="3"/>
    <n v="4.1598810227524758"/>
    <n v="5.4"/>
    <n v="4.8386600293564452"/>
    <n v="8.4499999999999993"/>
    <n v="5.5676572447519526"/>
    <n v="3.6453715641370019"/>
    <n v="4.1842157349837947"/>
    <n v="4.0820189125314634"/>
    <n v="-5.1164599999999998E-2"/>
    <n v="-3.2684897000000008"/>
    <n v="-2.5209247999999973"/>
    <n v="-0.87765470000000001"/>
    <n v="-0.30938700000000002"/>
    <n v="-9.5657500000000006E-2"/>
    <m/>
    <n v="-1.89462E-2"/>
    <n v="-1.50753E-2"/>
    <n v="-1.30753E-2"/>
    <n v="7.72"/>
    <n v="0.40799999999999997"/>
    <n v="-0.14693000000000001"/>
    <n v="-9.3640500000000002E-2"/>
    <n v="-9.0118800000000054E-2"/>
    <n v="-9.3640500000000002E-2"/>
    <n v="-0.16908999999999999"/>
    <m/>
    <m/>
    <n v="-0.03"/>
    <m/>
    <m/>
    <n v="-1.4626200000000001E-2"/>
    <n v="7.97"/>
    <n v="6.6756971102783531"/>
    <n v="8.0565535825634171"/>
    <n v="3.5657791819781002"/>
    <n v="3.6949112263456554"/>
    <n v="8.0486164999999998E-2"/>
    <n v="1.6710598399999999E-2"/>
    <n v="-0.106172559"/>
    <n v="7.0762774299999998E-3"/>
    <n v="-0.20875808400000001"/>
  </r>
  <r>
    <x v="31"/>
    <x v="0"/>
    <x v="0"/>
    <n v="4.1536475267204231"/>
    <n v="5.4"/>
    <n v="4.8481163645984813"/>
    <n v="8.23"/>
    <n v="5.5620652887041864"/>
    <n v="3.7294214094268727"/>
    <n v="4.1686941718458046"/>
    <n v="4.0778933127802697"/>
    <n v="0"/>
    <n v="-3.2684897000000008"/>
    <n v="-2.5209247999999973"/>
    <n v="0"/>
    <n v="-0.30938700000000002"/>
    <n v="-0.1036358"/>
    <n v="0"/>
    <n v="-1.83871E-2"/>
    <n v="-1.2258099999999999E-2"/>
    <n v="-1.2258099999999999E-2"/>
    <n v="7.92"/>
    <n v="0.12230000000000001"/>
    <n v="-0.45007000000000003"/>
    <n v="0"/>
    <n v="-9.0118800000000054E-2"/>
    <n v="0"/>
    <n v="0"/>
    <m/>
    <m/>
    <n v="0"/>
    <n v="0"/>
    <n v="0"/>
    <n v="0"/>
    <n v="8.26"/>
    <n v="6.6788451327735903"/>
    <n v="8.0610135687635722"/>
    <n v="3.5285933241805942"/>
    <n v="3.6967980193582322"/>
    <n v="0.125473056"/>
    <n v="-1.9471617799999999E-4"/>
    <n v="4.76803552E-3"/>
    <n v="0.104272727"/>
    <n v="-0.22509261"/>
  </r>
  <r>
    <x v="31"/>
    <x v="1"/>
    <x v="0"/>
    <n v="4.1630042671041112"/>
    <n v="5.3"/>
    <n v="4.8520302639196169"/>
    <n v="8.24"/>
    <n v="5.5664342835049778"/>
    <n v="3.6661480421118444"/>
    <n v="4.1727089392093557"/>
    <n v="4.0824912551911003"/>
    <n v="0.31750050000000002"/>
    <n v="-2.9509892000000009"/>
    <n v="-2.2091208999999972"/>
    <n v="-8.0684800000000001E-2"/>
    <n v="-0.39007170000000002"/>
    <n v="-1.0500000000000001E-2"/>
    <n v="-1.4999999999999999E-2"/>
    <n v="1.4999999999999999E-2"/>
    <n v="7.4999999999999997E-3"/>
    <n v="7.4999999999999997E-3"/>
    <n v="8.11"/>
    <n v="0.2427"/>
    <n v="1.2819"/>
    <n v="9.8187800000000006E-2"/>
    <n v="8.0689999999999512E-3"/>
    <n v="9.8187800000000006E-2"/>
    <n v="-1.4E-2"/>
    <n v="-0.01"/>
    <n v="-0.02"/>
    <n v="0.02"/>
    <n v="4.9313999999999998E-3"/>
    <n v="-1.5574599999999999E-2"/>
    <n v="4.841E-4"/>
    <n v="8.2899999999999991"/>
    <n v="6.6822339028819631"/>
    <n v="8.0649194545998615"/>
    <n v="3.4302058706968621"/>
    <n v="3.6846455035818746"/>
    <n v="-8.0193586999999997E-2"/>
    <n v="0.62554266199999997"/>
    <n v="0.18401404499999999"/>
    <n v="0.120594945"/>
    <n v="0.29702732599999998"/>
  </r>
  <r>
    <x v="31"/>
    <x v="2"/>
    <x v="0"/>
    <n v="4.1684357485206549"/>
    <n v="5.2"/>
    <n v="4.8567068118035186"/>
    <n v="8.2799999999999994"/>
    <n v="5.5852991938854242"/>
    <n v="3.6629717285727512"/>
    <n v="4.1767230014880026"/>
    <n v="4.0871688784730047"/>
    <n v="-7.0355000000000001E-2"/>
    <n v="-3.021344200000001"/>
    <n v="-2.3010945999999972"/>
    <n v="-3.8194199999999998E-2"/>
    <n v="-0.42826599999999998"/>
    <n v="-3.5000000000000001E-3"/>
    <n v="-7.5805999999999998E-3"/>
    <n v="2.4193999999999999E-3"/>
    <n v="-8.0599999999999994E-5"/>
    <n v="-1.371E-3"/>
    <n v="8.35"/>
    <n v="0.35"/>
    <n v="1.0507"/>
    <n v="-9.2356800000000003E-2"/>
    <n v="-8.4287800000000052E-2"/>
    <n v="-9.2356800000000003E-2"/>
    <n v="0"/>
    <n v="0"/>
    <n v="-0.02"/>
    <n v="-0.02"/>
    <n v="-1.23064E-2"/>
    <n v="-1.7689E-2"/>
    <n v="-2.6172399999999998E-2"/>
    <n v="8.3000000000000007"/>
    <n v="6.686484972049608"/>
    <n v="8.0683089691904293"/>
    <n v="3.5081366504331966"/>
    <n v="3.7007339115609419"/>
    <n v="-0.18091639000000001"/>
    <n v="-4.7868994300000002E-2"/>
    <n v="0.14179148899999999"/>
    <n v="-8.9814333800000007E-3"/>
    <n v="-0.35612115700000002"/>
  </r>
  <r>
    <x v="31"/>
    <x v="3"/>
    <x v="1"/>
    <n v="4.1673889928254777"/>
    <n v="5.4"/>
    <n v="4.859036909945142"/>
    <n v="8.26"/>
    <n v="5.6099112590461306"/>
    <n v="3.6669661008020453"/>
    <n v="4.1716141977134011"/>
    <n v="4.0915239212853285"/>
    <n v="0"/>
    <n v="-3.021344200000001"/>
    <n v="-2.3010945999999972"/>
    <n v="0"/>
    <n v="-0.42826599999999998"/>
    <n v="0"/>
    <n v="-1.7419400000000002E-2"/>
    <n v="-1.7419299999999999E-2"/>
    <n v="-1.7419400000000002E-2"/>
    <n v="-2.6128999999999999E-2"/>
    <n v="8.4"/>
    <n v="-3.0200000000000001E-2"/>
    <n v="-0.58345000000000002"/>
    <n v="0"/>
    <n v="-8.4287800000000052E-2"/>
    <n v="0"/>
    <n v="0"/>
    <n v="0"/>
    <n v="0"/>
    <n v="0"/>
    <n v="0"/>
    <n v="0"/>
    <n v="0"/>
    <n v="8.23"/>
    <n v="6.6922078042895556"/>
    <n v="8.0719055891209006"/>
    <n v="3.5658640032173894"/>
    <n v="3.7042851742637848"/>
    <n v="-3.7734590300000002E-2"/>
    <n v="-1.2680164799999999E-2"/>
    <n v="0.12486191200000001"/>
    <n v="-6.8822193599999998E-2"/>
    <n v="-0.220266512"/>
  </r>
  <r>
    <x v="31"/>
    <x v="4"/>
    <x v="1"/>
    <n v="4.1690283209598604"/>
    <n v="5.4"/>
    <n v="4.8605872978525966"/>
    <n v="8.18"/>
    <n v="5.623295223743515"/>
    <n v="3.6457370612170945"/>
    <n v="4.1723390198167376"/>
    <n v="4.0947944610024658"/>
    <n v="4.1160299999999997E-2"/>
    <n v="-2.980183900000001"/>
    <n v="-2.2567099999999973"/>
    <n v="0.18592410000000001"/>
    <n v="-0.2423418"/>
    <n v="0"/>
    <n v="0"/>
    <n v="-1.0322599999999999E-2"/>
    <n v="-1.0322599999999999E-2"/>
    <n v="-1.0322599999999999E-2"/>
    <n v="8.32"/>
    <n v="-7.17E-2"/>
    <n v="-0.57635999999999998"/>
    <n v="-1.5857900000000001E-2"/>
    <n v="-0.10014570000000006"/>
    <n v="-1.5857900000000001E-2"/>
    <n v="0"/>
    <n v="0"/>
    <n v="0"/>
    <n v="-0.02"/>
    <n v="3.9582999999999997E-3"/>
    <n v="2.2113899999999999E-2"/>
    <n v="-2.4646499999999998E-2"/>
    <n v="8.23"/>
    <n v="6.6898479944631735"/>
    <n v="8.0715621235499473"/>
    <n v="3.489543977960722"/>
    <n v="3.6961281189498476"/>
    <n v="0.26170965499999999"/>
    <n v="-3.6604278400000002E-2"/>
    <n v="3.8870753700000003E-2"/>
    <n v="-0.13065201200000001"/>
    <n v="5.00589034E-2"/>
  </r>
  <r>
    <x v="31"/>
    <x v="5"/>
    <x v="1"/>
    <n v="4.1723868087684037"/>
    <n v="5.2"/>
    <n v="4.8667649236765538"/>
    <n v="8.2899999999999991"/>
    <n v="5.6240175061873385"/>
    <n v="3.6462589682772961"/>
    <n v="4.1774748062383029"/>
    <n v="4.0976723523147758"/>
    <n v="0"/>
    <n v="-2.980183900000001"/>
    <n v="-2.2567099999999973"/>
    <n v="0"/>
    <n v="-0.2423418"/>
    <n v="0"/>
    <n v="0"/>
    <n v="-9.6773999999999992E-3"/>
    <n v="-9.6773999999999992E-3"/>
    <n v="-9.6773999999999992E-3"/>
    <n v="8.1"/>
    <n v="3.6999999999999998E-2"/>
    <n v="-0.21339"/>
    <n v="0"/>
    <n v="-0.10014570000000006"/>
    <n v="0"/>
    <n v="0"/>
    <n v="0"/>
    <n v="0"/>
    <n v="0"/>
    <n v="0"/>
    <n v="0"/>
    <n v="0"/>
    <n v="8.32"/>
    <n v="6.6955516677062619"/>
    <n v="8.0755826366717205"/>
    <n v="3.5229724385880763"/>
    <n v="3.6921740210633662"/>
    <n v="0.18226167600000001"/>
    <n v="-0.102326637"/>
    <n v="7.04882862E-2"/>
    <n v="2.98537179E-2"/>
    <n v="-8.0825651700000001E-2"/>
  </r>
  <r>
    <x v="31"/>
    <x v="6"/>
    <x v="2"/>
    <n v="4.1713472691568638"/>
    <n v="5.5"/>
    <n v="4.8713732267627483"/>
    <n v="8.15"/>
    <n v="5.6243423631628895"/>
    <n v="3.6488904458975733"/>
    <n v="4.1763392097747278"/>
    <n v="4.101088437755446"/>
    <n v="-9.7354300000000005E-2"/>
    <n v="-3.0775382000000011"/>
    <n v="-2.3229148999999971"/>
    <n v="0.15653529999999999"/>
    <n v="-8.5806499999999994E-2"/>
    <n v="-8.4439700000000006E-2"/>
    <n v="-6.64516E-2"/>
    <n v="-1.5806500000000001E-2"/>
    <n v="-9.6773999999999992E-3"/>
    <n v="-1.83871E-2"/>
    <n v="7.94"/>
    <n v="7.6E-3"/>
    <n v="-1.1358999999999999"/>
    <n v="-0.19834689999999999"/>
    <n v="-0.29849260000000005"/>
    <n v="-0.19834689999999999"/>
    <n v="-0.13777"/>
    <n v="-7.9990000000000006E-2"/>
    <n v="-0.1"/>
    <n v="-0.03"/>
    <n v="1.08383E-2"/>
    <n v="5.4267999999999999E-3"/>
    <n v="2.5906499999999999E-2"/>
    <n v="8.0500000000000007"/>
    <n v="6.6971576968364452"/>
    <n v="8.0788742584369952"/>
    <n v="3.4944751945770003"/>
    <n v="3.691326457756988"/>
    <n v="0.16875489199999999"/>
    <n v="9.9315731800000001E-3"/>
    <n v="-1.9255274900000001E-2"/>
    <n v="0.21725567800000001"/>
    <n v="-0.15148788199999999"/>
  </r>
  <r>
    <x v="31"/>
    <x v="7"/>
    <x v="2"/>
    <n v="4.1740810691748269"/>
    <n v="5.7"/>
    <n v="4.8797670188912168"/>
    <n v="8.1300000000000008"/>
    <n v="5.6095816792573743"/>
    <n v="3.634502462647605"/>
    <n v="4.1772293811147421"/>
    <n v="4.1041298629568974"/>
    <n v="0.1683711"/>
    <n v="-2.9091671000000012"/>
    <n v="-2.1720875999999971"/>
    <n v="0.87763769999999997"/>
    <n v="0.79183110000000001"/>
    <n v="-5.3330299999999997E-2"/>
    <n v="-3.3548399999999999E-2"/>
    <n v="-1.41935E-2"/>
    <n v="-1.0322599999999999E-2"/>
    <n v="-1.1612900000000001E-2"/>
    <n v="7.78"/>
    <n v="-0.27010000000000001"/>
    <n v="-0.10383000000000001"/>
    <n v="0.11820410000000001"/>
    <n v="-0.18028850000000005"/>
    <n v="0.11820410000000001"/>
    <n v="0"/>
    <n v="0"/>
    <n v="0"/>
    <n v="0"/>
    <n v="2.1928999999999998E-3"/>
    <n v="2.8663999999999999E-2"/>
    <n v="1.41595E-2"/>
    <n v="8.06"/>
    <n v="6.7040466403065349"/>
    <n v="8.0843157756977355"/>
    <n v="3.4789605701278776"/>
    <n v="3.6907277449715541"/>
    <n v="0.34710980499999999"/>
    <n v="0.103641988"/>
    <n v="6.4851155199999996E-2"/>
    <n v="0.11236415299999999"/>
    <n v="1.6938865800000001E-2"/>
  </r>
  <r>
    <x v="31"/>
    <x v="8"/>
    <x v="2"/>
    <n v="4.1759276214064247"/>
    <n v="5.9"/>
    <n v="4.8865826454262766"/>
    <n v="8.1999999999999993"/>
    <n v="5.6049193238523287"/>
    <n v="3.6450581745650865"/>
    <n v="4.172739759649474"/>
    <n v="4.1029573653203233"/>
    <n v="0"/>
    <n v="-2.9091671000000012"/>
    <n v="-2.1720875999999971"/>
    <n v="0"/>
    <n v="0.79183110000000001"/>
    <n v="0"/>
    <n v="0"/>
    <n v="0"/>
    <n v="0"/>
    <n v="0"/>
    <n v="7.76"/>
    <n v="-5.0500000000000003E-2"/>
    <n v="1.6060000000000001"/>
    <n v="0"/>
    <n v="-0.18028850000000005"/>
    <n v="0"/>
    <n v="0"/>
    <n v="0"/>
    <n v="0"/>
    <n v="0"/>
    <n v="0"/>
    <n v="0"/>
    <n v="0"/>
    <n v="8.0299999999999994"/>
    <n v="6.7095482129579587"/>
    <n v="8.0881933001744102"/>
    <n v="3.5043554737647815"/>
    <n v="3.7006103769896348"/>
    <n v="0.21731710000000001"/>
    <n v="0.50167624300000002"/>
    <n v="0.401191252"/>
    <n v="0.30269867299999997"/>
    <n v="8.50613733E-3"/>
  </r>
  <r>
    <x v="31"/>
    <x v="9"/>
    <x v="3"/>
    <n v="4.1682763283762672"/>
    <n v="5.9"/>
    <n v="4.8933521334815238"/>
    <n v="8.11"/>
    <n v="5.5930743526717794"/>
    <n v="3.6239141752615773"/>
    <n v="4.1637773369374376"/>
    <n v="4.1020646852372389"/>
    <n v="-9.4208299999999995E-2"/>
    <n v="-3.0033754000000012"/>
    <n v="-2.2914647999999973"/>
    <n v="-0.1096345"/>
    <n v="0.68219660000000004"/>
    <n v="7.4526000000000002E-3"/>
    <n v="-1.1280999999999999E-2"/>
    <n v="-1.67742E-2"/>
    <n v="0"/>
    <n v="-1.0322599999999999E-2"/>
    <n v="7.55"/>
    <n v="0.1004"/>
    <n v="0.59769000000000005"/>
    <n v="-0.182533"/>
    <n v="-0.36282150000000002"/>
    <n v="-0.182533"/>
    <n v="-1.8929999999999999E-2"/>
    <n v="-0.01"/>
    <n v="-2.9989999999999999E-2"/>
    <n v="0"/>
    <n v="-1.2526600000000001E-2"/>
    <n v="-6.5119000000000002E-3"/>
    <n v="-1.3107199999999999E-2"/>
    <n v="9.52"/>
    <n v="6.7091823816021323"/>
    <n v="8.0896051662203021"/>
    <n v="3.4682639545823002"/>
    <n v="3.6992257461680809"/>
    <n v="0.18636245800000001"/>
    <n v="0.43568546800000002"/>
    <n v="0.41921945599999999"/>
    <n v="0.219574982"/>
    <n v="-0.111961142"/>
  </r>
  <r>
    <x v="31"/>
    <x v="10"/>
    <x v="3"/>
    <n v="4.156509957221985"/>
    <n v="6.2"/>
    <n v="4.8955984841078974"/>
    <n v="7.81"/>
    <n v="5.5662048116716383"/>
    <n v="3.6178935263806498"/>
    <n v="4.1706418028444947"/>
    <n v="4.0989340145559083"/>
    <n v="5.3754999999999997E-2"/>
    <n v="-2.9496204000000015"/>
    <n v="-2.3074552999999973"/>
    <n v="0.2390524"/>
    <n v="0.92124899999999998"/>
    <n v="-1.57576E-2"/>
    <n v="-1.3042399999999999E-2"/>
    <n v="2.24409E-2"/>
    <n v="0"/>
    <n v="-4.0106999999999999E-3"/>
    <n v="7.31"/>
    <n v="0.26"/>
    <n v="-0.95043"/>
    <n v="0.1195102"/>
    <n v="-0.24331130000000001"/>
    <n v="0.1195102"/>
    <n v="1.8749999999999999E-2"/>
    <n v="0.01"/>
    <n v="0.01"/>
    <n v="0.01"/>
    <n v="1.85799E-2"/>
    <n v="7.8486899999999998E-2"/>
    <n v="5.4432399999999999E-2"/>
    <n v="7.61"/>
    <n v="6.7118620421580877"/>
    <n v="8.0905861595546451"/>
    <n v="3.5078970003212113"/>
    <n v="3.7078484006615384"/>
    <n v="0.48355981300000001"/>
    <n v="0.51999251899999999"/>
    <n v="0.26957357999999998"/>
    <n v="0.22247129700000001"/>
    <n v="0.224663434"/>
  </r>
  <r>
    <x v="31"/>
    <x v="11"/>
    <x v="3"/>
    <n v="4.1496610028928087"/>
    <n v="6.3"/>
    <n v="4.8993312245375815"/>
    <n v="7.31"/>
    <n v="5.5587181662179539"/>
    <n v="3.6028584955888863"/>
    <n v="4.1615981442439001"/>
    <n v="4.1000780940698611"/>
    <n v="-8.2722699999999996E-2"/>
    <n v="-3.0323431000000016"/>
    <n v="-2.4631735999999975"/>
    <n v="-2.4163060000000001"/>
    <n v="-1.4950570000000001"/>
    <n v="-0.16171949999999999"/>
    <n v="-9.5666699999999993E-2"/>
    <n v="-6.5989300000000001E-2"/>
    <n v="-5.2258100000000002E-2"/>
    <n v="-1.0828000000000001E-2"/>
    <n v="7.05"/>
    <n v="0.19309999999999999"/>
    <n v="-1.2614000000000001"/>
    <n v="7.8517100000000006E-2"/>
    <n v="-0.1647942"/>
    <n v="7.8517100000000006E-2"/>
    <n v="-0.30503999999999998"/>
    <n v="-0.16"/>
    <n v="-0.19"/>
    <n v="-0.14000000000000001"/>
    <n v="-4.8190700000000003E-2"/>
    <n v="-6.4406199999999997E-2"/>
    <n v="-6.2454200000000001E-2"/>
    <n v="5.53"/>
    <n v="6.7150196838393095"/>
    <n v="8.0933706112718209"/>
    <n v="3.4087355647004438"/>
    <n v="3.7248255808874058"/>
    <n v="0.81415105099999996"/>
    <n v="0.10909822399999999"/>
    <n v="-2.1615956499999998E-2"/>
    <n v="-4.8706710600000001E-2"/>
    <n v="8.2494051799999996E-2"/>
  </r>
  <r>
    <x v="32"/>
    <x v="0"/>
    <x v="0"/>
    <n v="4.1453924931771731"/>
    <n v="6.4"/>
    <n v="4.9030500834163186"/>
    <n v="6.91"/>
    <n v="5.5504370260987637"/>
    <n v="3.5492437537699169"/>
    <n v="4.1594766571598827"/>
    <n v="4.0969245644854881"/>
    <n v="0"/>
    <n v="-3.0323431000000016"/>
    <n v="-2.4631735999999975"/>
    <n v="0"/>
    <n v="-1.4950570000000001"/>
    <n v="-0.23954130000000001"/>
    <n v="-0.16741929999999999"/>
    <n v="-0.17806449999999999"/>
    <n v="-0.1251613"/>
    <n v="-7.2258100000000006E-2"/>
    <n v="6.64"/>
    <n v="0.2213"/>
    <n v="0.18525"/>
    <n v="0"/>
    <n v="-0.1647942"/>
    <n v="0"/>
    <n v="-0.13478000000000001"/>
    <n v="-0.1"/>
    <n v="-0.1"/>
    <n v="-0.14000000000000001"/>
    <n v="0"/>
    <n v="0"/>
    <n v="0"/>
    <n v="8.18"/>
    <n v="6.7180465037541648"/>
    <n v="8.0981564032779776"/>
    <n v="3.0892226166413299"/>
    <n v="3.7325852863740039"/>
    <n v="0.60477404999999995"/>
    <n v="-0.12233416799999999"/>
    <n v="-5.6859021500000002E-2"/>
    <n v="3.9836459099999999E-3"/>
    <n v="-8.2978340900000003E-2"/>
  </r>
  <r>
    <x v="32"/>
    <x v="1"/>
    <x v="0"/>
    <n v="4.1385687626707544"/>
    <n v="6.6"/>
    <n v="4.9037921984782065"/>
    <n v="6.25"/>
    <n v="5.542282633554545"/>
    <n v="3.5751786995977688"/>
    <n v="4.1631551948823438"/>
    <n v="4.1005585486885687"/>
    <n v="-0.22677410000000001"/>
    <n v="-3.2591172000000017"/>
    <n v="-2.7140225999999976"/>
    <n v="-0.12728800000000001"/>
    <n v="-1.6223449999999999"/>
    <n v="-0.10302409999999999"/>
    <n v="-0.2304378"/>
    <n v="-8.9469999999999994E-2"/>
    <n v="-9.0437799999999999E-2"/>
    <n v="-6.0437699999999997E-2"/>
    <n v="6.27"/>
    <n v="0.14050000000000001"/>
    <n v="-1.9876"/>
    <n v="-0.34696640000000001"/>
    <n v="-0.51176060000000001"/>
    <n v="-0.34696640000000001"/>
    <n v="-7.2590000000000002E-2"/>
    <n v="-7.0000000000000007E-2"/>
    <n v="-0.21"/>
    <n v="-0.06"/>
    <n v="-2.9595099999999999E-2"/>
    <n v="1.00581E-2"/>
    <n v="1.9822300000000001E-2"/>
    <n v="6.99"/>
    <n v="6.7245533347608752"/>
    <n v="8.1031312360825556"/>
    <n v="2.9851262277667665"/>
    <n v="3.7341873718184777"/>
    <n v="0.69424029600000003"/>
    <n v="0.12371705700000001"/>
    <n v="0.12238919700000001"/>
    <n v="9.9742982999999993E-2"/>
    <n v="-0.24176287799999999"/>
  </r>
  <r>
    <x v="32"/>
    <x v="2"/>
    <x v="0"/>
    <n v="4.133042702960763"/>
    <n v="6.8"/>
    <n v="4.9037921984782065"/>
    <n v="6.12"/>
    <n v="5.5452555664279632"/>
    <n v="3.6346344392615406"/>
    <n v="4.1747410534606972"/>
    <n v="4.1028251666916917"/>
    <n v="0.25943080000000002"/>
    <n v="-2.9996864000000016"/>
    <n v="-2.4853876999999978"/>
    <n v="-0.55667529999999998"/>
    <n v="-2.17902"/>
    <n v="-2.4090299999999999E-2"/>
    <n v="-3.6336399999999998E-2"/>
    <n v="-6.5691200000000005E-2"/>
    <n v="-4.4078399999999997E-2"/>
    <n v="-4.7626700000000001E-2"/>
    <n v="6.4"/>
    <n v="9.5200000000000007E-2"/>
    <n v="1.5826"/>
    <n v="0.27251429999999999"/>
    <n v="-0.23924630000000002"/>
    <n v="0.27251429999999999"/>
    <n v="-4.6949999999999999E-2"/>
    <n v="-0.02"/>
    <n v="-0.06"/>
    <n v="-0.09"/>
    <n v="1.9455E-2"/>
    <n v="4.9919999999999999E-3"/>
    <n v="-2.54681E-2"/>
    <n v="5.53"/>
    <n v="6.7318530739903659"/>
    <n v="8.1083824930569772"/>
    <n v="3.0778651030925133"/>
    <n v="3.7285087376371298"/>
    <n v="0.85458666500000002"/>
    <n v="-0.23065434500000001"/>
    <n v="-0.108958016"/>
    <n v="4.9339028299999997E-2"/>
    <n v="-0.167083185"/>
  </r>
  <r>
    <x v="32"/>
    <x v="3"/>
    <x v="1"/>
    <n v="4.1353233444505211"/>
    <n v="6.7"/>
    <n v="4.9060152449661532"/>
    <n v="5.91"/>
    <n v="5.5457632103852115"/>
    <n v="3.589390555613194"/>
    <n v="4.1701938745055385"/>
    <n v="4.1085268497934617"/>
    <n v="0"/>
    <n v="-2.9996864000000016"/>
    <n v="-2.4853876999999978"/>
    <n v="0"/>
    <n v="-2.17902"/>
    <n v="-2.8859900000000001E-2"/>
    <n v="-3.2139800000000003E-2"/>
    <n v="-3.3451599999999998E-2"/>
    <n v="-3.4397799999999999E-2"/>
    <n v="-8.9516200000000004E-2"/>
    <n v="6.24"/>
    <n v="9.2600000000000002E-2"/>
    <n v="0.64966999999999997"/>
    <n v="0"/>
    <n v="-0.23924630000000002"/>
    <n v="0"/>
    <n v="-0.18"/>
    <n v="0"/>
    <n v="-0.19"/>
    <n v="-0.21"/>
    <n v="0"/>
    <n v="0"/>
    <n v="0"/>
    <n v="5.98"/>
    <n v="6.7370855749286296"/>
    <n v="8.1114780520528633"/>
    <n v="3.1569153111453807"/>
    <n v="3.7309087195892565"/>
    <n v="0.651534748"/>
    <n v="-0.27189470700000001"/>
    <n v="0.177364783"/>
    <n v="-0.289276439"/>
    <n v="-0.28975977400000003"/>
  </r>
  <r>
    <x v="32"/>
    <x v="4"/>
    <x v="1"/>
    <n v="4.1450250021860704"/>
    <n v="6.9"/>
    <n v="4.9097093755062948"/>
    <n v="5.78"/>
    <n v="5.5260901862459084"/>
    <n v="3.5870958669464525"/>
    <n v="4.1756787432770723"/>
    <n v="4.1107099163083651"/>
    <n v="0.2320168"/>
    <n v="-2.7676696000000018"/>
    <n v="-2.2265709999999976"/>
    <n v="6.0473600000000002E-2"/>
    <n v="-2.118547"/>
    <n v="-0.1633722"/>
    <n v="-0.19463440000000001"/>
    <n v="-0.20300009999999999"/>
    <n v="-0.1781828"/>
    <n v="-0.13403219999999999"/>
    <n v="6.13"/>
    <n v="0.107"/>
    <n v="0.14788999999999999"/>
    <n v="0.1427833"/>
    <n v="-9.6463000000000021E-2"/>
    <n v="0.1427833"/>
    <n v="1.9380000000000001E-2"/>
    <n v="0.01"/>
    <n v="-0.02"/>
    <n v="0"/>
    <n v="3.73227E-2"/>
    <n v="-1.5692E-3"/>
    <n v="1.9448E-2"/>
    <n v="5.92"/>
    <n v="6.7438235872997732"/>
    <n v="8.1146537992242767"/>
    <n v="3.1037791776371249"/>
    <n v="3.7423254298195623"/>
    <n v="0.45361998199999998"/>
    <n v="-0.16411242300000001"/>
    <n v="0.22335333499999999"/>
    <n v="0.13402224400000001"/>
    <n v="-0.25724400400000003"/>
  </r>
  <r>
    <x v="32"/>
    <x v="5"/>
    <x v="1"/>
    <n v="4.1543619408801931"/>
    <n v="6.9"/>
    <n v="4.9126548857360524"/>
    <n v="5.9"/>
    <n v="5.5099145139618741"/>
    <n v="3.5994743052462375"/>
    <n v="4.1691427722972874"/>
    <n v="4.1112344548903685"/>
    <n v="0"/>
    <n v="-2.7676696000000018"/>
    <n v="-2.2265709999999976"/>
    <n v="0"/>
    <n v="-2.118547"/>
    <n v="8.7521999999999999E-3"/>
    <n v="-9.0322000000000006E-3"/>
    <n v="0"/>
    <n v="4.5161000000000003E-3"/>
    <n v="9.0322000000000006E-3"/>
    <n v="6.36"/>
    <n v="3.32E-2"/>
    <n v="2.1915"/>
    <n v="0"/>
    <n v="-9.6463000000000021E-2"/>
    <n v="0"/>
    <n v="0"/>
    <n v="0"/>
    <n v="0"/>
    <n v="0"/>
    <n v="0"/>
    <n v="0"/>
    <n v="0"/>
    <n v="6.74"/>
    <n v="6.7530877989699984"/>
    <n v="8.1173124616019745"/>
    <n v="3.1642506702042539"/>
    <n v="3.7466765528401531"/>
    <n v="0.258109013"/>
    <n v="-9.3813032800000001E-2"/>
    <n v="0.26991148100000001"/>
    <n v="0.18794023100000001"/>
    <n v="-0.44768322500000002"/>
  </r>
  <r>
    <x v="32"/>
    <x v="6"/>
    <x v="2"/>
    <n v="4.1548327041373421"/>
    <n v="6.8"/>
    <n v="4.9141243937154115"/>
    <n v="5.82"/>
    <n v="5.4943363504655887"/>
    <n v="3.6089971502416889"/>
    <n v="4.1766769542588866"/>
    <n v="4.1139347486536639"/>
    <n v="-5.9438199999999997E-2"/>
    <n v="-2.8271078000000021"/>
    <n v="-2.3037941999999978"/>
    <n v="0.15653529999999999"/>
    <n v="-1.9620109999999999"/>
    <n v="0"/>
    <n v="8.7097000000000008E-3"/>
    <n v="1.7419299999999999E-2"/>
    <n v="1.7419299999999999E-2"/>
    <n v="8.7097000000000008E-3"/>
    <n v="6.31"/>
    <n v="0.11600000000000001"/>
    <n v="0.36653999999999998"/>
    <n v="3.7841899999999998E-2"/>
    <n v="-5.8621100000000023E-2"/>
    <n v="3.7841899999999998E-2"/>
    <n v="0"/>
    <n v="0"/>
    <n v="0.01"/>
    <n v="0.02"/>
    <n v="1.35981E-2"/>
    <n v="2.7278400000000001E-2"/>
    <n v="4.1107900000000003E-2"/>
    <n v="5.85"/>
    <n v="6.7587911258421789"/>
    <n v="8.118475269765316"/>
    <n v="3.1467781384277704"/>
    <n v="3.7477142398348287"/>
    <n v="6.8468989600000002E-2"/>
    <n v="-0.27096882799999999"/>
    <n v="0.28835164699999999"/>
    <n v="-4.46217717E-2"/>
    <n v="-0.43251687500000002"/>
  </r>
  <r>
    <x v="32"/>
    <x v="7"/>
    <x v="2"/>
    <n v="4.1557014648750741"/>
    <n v="6.9"/>
    <n v="4.9170569471366896"/>
    <n v="5.66"/>
    <n v="5.4971272408467939"/>
    <n v="3.5992008869692564"/>
    <n v="4.1747718113347156"/>
    <n v="4.1141635292540668"/>
    <n v="0.1195838"/>
    <n v="-2.707524000000002"/>
    <n v="-2.1669939999999976"/>
    <n v="0.83135840000000005"/>
    <n v="-1.1306529999999999"/>
    <n v="-0.112"/>
    <n v="-8.0322599999999994E-2"/>
    <n v="-9.9354899999999996E-2"/>
    <n v="-7.90323E-2"/>
    <n v="-6.7096799999999998E-2"/>
    <n v="5.78"/>
    <n v="7.5200000000000003E-2"/>
    <n v="-3.7040999999999998E-2"/>
    <n v="-4.5363399999999998E-2"/>
    <n v="-0.10398450000000002"/>
    <n v="-4.5363399999999998E-2"/>
    <n v="-6.2E-2"/>
    <n v="-0.11"/>
    <n v="-0.08"/>
    <n v="-0.11"/>
    <n v="3.8296999999999998E-2"/>
    <n v="2.7603699999999998E-2"/>
    <n v="1.6163299999999999E-2"/>
    <n v="5.5"/>
    <n v="6.7648082696622041"/>
    <n v="8.1181176266297417"/>
    <n v="3.1261901979099687"/>
    <n v="3.7595475882311802"/>
    <n v="0.21630344900000001"/>
    <n v="-0.18714499600000001"/>
    <n v="0.169999341"/>
    <n v="5.1548300999999998E-2"/>
    <n v="-8.5345203800000005E-2"/>
  </r>
  <r>
    <x v="32"/>
    <x v="8"/>
    <x v="2"/>
    <n v="4.1646539001200971"/>
    <n v="6.9"/>
    <n v="4.9199809258281251"/>
    <n v="5.45"/>
    <n v="5.4946650950750833"/>
    <n v="3.6135091470891596"/>
    <n v="4.1685858588210571"/>
    <n v="4.1147679118629794"/>
    <n v="0"/>
    <n v="-2.707524000000002"/>
    <n v="-2.1669939999999976"/>
    <n v="0"/>
    <n v="-1.1306529999999999"/>
    <n v="1.8235899999999999E-2"/>
    <n v="1.6129E-3"/>
    <n v="-8.0645000000000005E-3"/>
    <n v="1.3613E-2"/>
    <n v="-1.6129E-3"/>
    <n v="5.57"/>
    <n v="8.9300000000000004E-2"/>
    <n v="-0.17047999999999999"/>
    <n v="0"/>
    <n v="-0.10398450000000002"/>
    <n v="0"/>
    <n v="-5.2940000000000001E-2"/>
    <n v="-0.03"/>
    <n v="0"/>
    <n v="0"/>
    <n v="0"/>
    <n v="0"/>
    <n v="0"/>
    <n v="5.6"/>
    <n v="6.7681483245957192"/>
    <n v="8.1180878172606548"/>
    <n v="3.1545719428673809"/>
    <n v="3.7661876572046014"/>
    <n v="0.27563537999999999"/>
    <n v="-0.101241331"/>
    <n v="3.7705829099999998E-2"/>
    <n v="0.275076441"/>
    <n v="2.2018573600000001E-2"/>
  </r>
  <r>
    <x v="32"/>
    <x v="9"/>
    <x v="3"/>
    <n v="4.1626307396151487"/>
    <n v="7"/>
    <n v="4.9214397152917844"/>
    <n v="5.21"/>
    <n v="5.4983969782636946"/>
    <n v="3.5831021849597677"/>
    <n v="4.1663085710614123"/>
    <n v="4.1152740054031307"/>
    <n v="-7.2306999999999996E-3"/>
    <n v="-2.7147547000000021"/>
    <n v="-2.2033548999999977"/>
    <n v="0.1815766"/>
    <n v="-0.94907640000000004"/>
    <n v="-3.3457300000000002E-2"/>
    <n v="-2.5806000000000002E-3"/>
    <n v="-1.09677E-2"/>
    <n v="1.7677399999999999E-2"/>
    <n v="9.6773999999999992E-3"/>
    <n v="5.33"/>
    <n v="8.6300000000000002E-2"/>
    <n v="-0.26748"/>
    <n v="5.99371E-2"/>
    <n v="-4.4047400000000021E-2"/>
    <n v="5.99371E-2"/>
    <n v="-4.07E-2"/>
    <n v="-0.03"/>
    <n v="-0.04"/>
    <n v="-0.03"/>
    <n v="-1.31395E-2"/>
    <n v="2.1007499999999998E-2"/>
    <n v="-1.2390399999999999E-2"/>
    <n v="5.23"/>
    <n v="6.7776465936351169"/>
    <n v="8.1195771982514717"/>
    <n v="3.1430309605748707"/>
    <n v="3.7786744532301513"/>
    <n v="7.3927391299999996E-4"/>
    <n v="-0.13966584200000001"/>
    <n v="0.131416491"/>
    <n v="0.29700064100000001"/>
    <n v="-0.222500159"/>
  </r>
  <r>
    <x v="32"/>
    <x v="10"/>
    <x v="3"/>
    <n v="4.1616838450623952"/>
    <n v="7"/>
    <n v="4.9258033585795582"/>
    <n v="4.8099999999999996"/>
    <n v="5.4884830773650402"/>
    <n v="3.588534119165061"/>
    <n v="4.1657966296287405"/>
    <n v="4.1221056330074912"/>
    <n v="0"/>
    <n v="-2.7147547000000021"/>
    <n v="-2.2033548999999977"/>
    <n v="-2.0316890000000001"/>
    <n v="-2.980766"/>
    <n v="-0.111752"/>
    <n v="-0.13741929999999999"/>
    <n v="-9.4032299999999999E-2"/>
    <n v="-7.4677499999999994E-2"/>
    <n v="-7.4677400000000005E-2"/>
    <n v="4.8899999999999997"/>
    <n v="9.64E-2"/>
    <n v="-1.4971000000000001"/>
    <n v="0"/>
    <n v="-4.4047400000000021E-2"/>
    <n v="0"/>
    <n v="-0.1"/>
    <n v="-0.08"/>
    <n v="-0.12"/>
    <n v="-0.09"/>
    <n v="-3.7527199999999997E-2"/>
    <n v="-7.2987300000000005E-2"/>
    <n v="-5.0375099999999999E-2"/>
    <n v="4.8600000000000003"/>
    <n v="6.7885211910584387"/>
    <n v="8.1211832420788284"/>
    <n v="3.2188358240681794"/>
    <n v="3.7956689482954538"/>
    <n v="0.34549959699999999"/>
    <n v="-9.4987217099999993E-2"/>
    <n v="8.4963122000000002E-2"/>
    <n v="0.114046542"/>
    <n v="5.2453964899999997E-2"/>
  </r>
  <r>
    <x v="32"/>
    <x v="11"/>
    <x v="3"/>
    <n v="4.1575118311229113"/>
    <n v="7.3"/>
    <n v="4.9287019113335697"/>
    <n v="4.43"/>
    <n v="5.4834682503521508"/>
    <n v="3.6006764583376545"/>
    <n v="4.1620655140509708"/>
    <n v="4.1241784075419785"/>
    <n v="0"/>
    <n v="-2.7147547000000021"/>
    <n v="-2.2033548999999977"/>
    <n v="1.2794810000000001"/>
    <n v="-1.7012849999999999"/>
    <n v="-0.13694210000000001"/>
    <n v="-0.12064519999999999"/>
    <n v="-0.1227419"/>
    <n v="-0.11435480000000001"/>
    <n v="-6.4032199999999997E-2"/>
    <n v="4.38"/>
    <n v="2.8299999999999999E-2"/>
    <n v="-1.5442"/>
    <n v="0"/>
    <n v="-4.4047400000000021E-2"/>
    <n v="0"/>
    <n v="-0.31866"/>
    <n v="-0.11"/>
    <n v="-0.25"/>
    <n v="-0.28000000000000003"/>
    <n v="7.2592400000000001E-2"/>
    <n v="7.6980199999999999E-2"/>
    <n v="7.6642000000000002E-2"/>
    <n v="4.09"/>
    <n v="6.799055862058796"/>
    <n v="8.1231426881233268"/>
    <n v="3.2835393381939229"/>
    <n v="3.8138587566409146"/>
    <n v="0.335665555"/>
    <n v="1.08943748E-2"/>
    <n v="8.7198827100000001E-2"/>
    <n v="0.20890046400000001"/>
    <n v="-5.1210834599999998E-2"/>
  </r>
  <r>
    <x v="33"/>
    <x v="0"/>
    <x v="0"/>
    <n v="4.1514587158233205"/>
    <n v="7.3"/>
    <n v="4.9294252386707127"/>
    <n v="4.03"/>
    <n v="5.4741177063517261"/>
    <n v="3.6291294497081621"/>
    <n v="4.1834232453056446"/>
    <n v="4.1331645540716826"/>
    <n v="0"/>
    <n v="-2.7147547000000021"/>
    <n v="-2.2033548999999977"/>
    <n v="0"/>
    <n v="-1.7012849999999999"/>
    <n v="-0.19838439999999999"/>
    <n v="-0.14935480000000001"/>
    <n v="-0.17225799999999999"/>
    <n v="-0.17064509999999999"/>
    <n v="-0.1009678"/>
    <n v="4.1500000000000004"/>
    <n v="-3.9399999999999998E-2"/>
    <n v="-1.3434999999999999"/>
    <n v="0"/>
    <n v="-4.4047400000000021E-2"/>
    <n v="0"/>
    <n v="0"/>
    <n v="0"/>
    <n v="0"/>
    <n v="0"/>
    <n v="0"/>
    <n v="0"/>
    <n v="0"/>
    <n v="4.4000000000000004"/>
    <n v="6.8138840633720665"/>
    <n v="8.1257197419348088"/>
    <n v="3.2348672772862463"/>
    <n v="3.8317235981434168"/>
    <n v="0.48983126100000002"/>
    <n v="-0.10073583899999999"/>
    <n v="-9.0927300200000005E-2"/>
    <n v="0.16025980100000001"/>
    <n v="2.41567359E-2"/>
  </r>
  <r>
    <x v="33"/>
    <x v="1"/>
    <x v="0"/>
    <n v="4.1587268211513688"/>
    <n v="7.4"/>
    <n v="4.9315920867558027"/>
    <n v="4.0599999999999996"/>
    <n v="5.4699991882376464"/>
    <n v="3.6386645254494336"/>
    <n v="4.1808433078387175"/>
    <n v="4.134174064384716"/>
    <n v="4.9705399999999997E-2"/>
    <n v="-2.665049300000002"/>
    <n v="-2.2031348999999976"/>
    <n v="5.19576E-2"/>
    <n v="-1.649327"/>
    <n v="1.04358E-2"/>
    <n v="0"/>
    <n v="-8.2758999999999992E-3"/>
    <n v="8.2758999999999992E-3"/>
    <n v="-8.2758999999999992E-3"/>
    <n v="4.29"/>
    <n v="-1.2699999999999999E-2"/>
    <n v="0.87444"/>
    <n v="5.2373500000000003E-2"/>
    <n v="8.3260999999999821E-3"/>
    <n v="5.2373500000000003E-2"/>
    <n v="1.261E-2"/>
    <n v="0.01"/>
    <n v="0"/>
    <n v="-0.01"/>
    <n v="1.4918499999999999E-2"/>
    <n v="2.15657E-2"/>
    <n v="1.92687E-2"/>
    <n v="4.13"/>
    <n v="6.8300099303572841"/>
    <n v="8.1312365496961156"/>
    <n v="3.2135818364070912"/>
    <n v="3.8612979706031738"/>
    <n v="0.48597515099999999"/>
    <n v="-0.18558027699999999"/>
    <n v="-8.0659576600000005E-2"/>
    <n v="1.7233109699999999E-2"/>
    <n v="-1.6308447899999998E-2"/>
  </r>
  <r>
    <x v="33"/>
    <x v="2"/>
    <x v="0"/>
    <n v="4.1674292729271123"/>
    <n v="7.4"/>
    <n v="4.9351930989293971"/>
    <n v="3.98"/>
    <n v="5.4794715755899848"/>
    <n v="3.6200383568229846"/>
    <n v="4.1742180248052643"/>
    <n v="4.1432934439539642"/>
    <n v="-6.0960199999999999E-2"/>
    <n v="-2.7260095000000018"/>
    <n v="-2.3280932999999977"/>
    <n v="-0.32216939999999999"/>
    <n v="-1.9714970000000001"/>
    <n v="2.1741E-3"/>
    <n v="0"/>
    <n v="-1.7240999999999999E-3"/>
    <n v="1.7240999999999999E-3"/>
    <n v="-1.7240999999999999E-3"/>
    <n v="4.63"/>
    <n v="-3.7600000000000001E-2"/>
    <n v="0.25556000000000001"/>
    <n v="-7.2095699999999999E-2"/>
    <n v="-6.376960000000001E-2"/>
    <n v="-7.2095699999999999E-2"/>
    <n v="0"/>
    <n v="0"/>
    <n v="0"/>
    <n v="0"/>
    <n v="-1.1016099999999999E-2"/>
    <n v="-1.5946499999999999E-2"/>
    <n v="-9.3732999999999993E-3"/>
    <n v="4.07"/>
    <n v="6.8423630602150851"/>
    <n v="8.1323832882331057"/>
    <n v="3.3337033862989398"/>
    <n v="3.8750477693032508"/>
    <n v="2.9226678499999999E-2"/>
    <n v="-0.16231546099999999"/>
    <n v="0.25322361700000001"/>
    <n v="1.88457937E-3"/>
    <n v="-0.28637453099999999"/>
  </r>
  <r>
    <x v="33"/>
    <x v="3"/>
    <x v="1"/>
    <n v="4.1746749208278331"/>
    <n v="7.4"/>
    <n v="4.9373474983264236"/>
    <n v="3.73"/>
    <n v="5.4948705055887155"/>
    <n v="3.6146137772177829"/>
    <n v="4.1824012260423835"/>
    <n v="4.1424201854536635"/>
    <n v="0"/>
    <n v="-2.7260095000000018"/>
    <n v="-2.3280932999999977"/>
    <n v="0"/>
    <n v="-1.9714970000000001"/>
    <n v="-0.14679600000000001"/>
    <n v="-0.14933340000000001"/>
    <n v="-0.18333340000000001"/>
    <n v="-0.15866669999999999"/>
    <n v="-0.1733333"/>
    <n v="4.3"/>
    <n v="-1.4800000000000001E-2"/>
    <n v="-1.81"/>
    <n v="0"/>
    <n v="-6.376960000000001E-2"/>
    <n v="0"/>
    <n v="-0.20394000000000001"/>
    <n v="-0.14000000000000001"/>
    <n v="-0.2"/>
    <n v="-0.25"/>
    <n v="0"/>
    <n v="0"/>
    <n v="0"/>
    <n v="3.85"/>
    <n v="6.8499142792922871"/>
    <n v="8.1311482845475531"/>
    <n v="3.1199832358918478"/>
    <n v="3.8908810816747184"/>
    <n v="-0.111340432"/>
    <n v="-0.163660783"/>
    <n v="0.33563331899999999"/>
    <n v="-4.3897439900000002E-2"/>
    <n v="-0.23756079699999999"/>
  </r>
  <r>
    <x v="33"/>
    <x v="4"/>
    <x v="1"/>
    <n v="4.1781264243824765"/>
    <n v="7.6"/>
    <n v="4.939497266262916"/>
    <n v="3.82"/>
    <n v="5.504640240131903"/>
    <n v="3.6367436996934077"/>
    <n v="4.1859205057093103"/>
    <n v="4.1450218335730833"/>
    <n v="0.15652759999999999"/>
    <n v="-2.5694819000000018"/>
    <n v="-2.1787346999999979"/>
    <n v="1.0783499999999999"/>
    <n v="-0.89314640000000001"/>
    <n v="-5.7143899999999997E-2"/>
    <n v="-4.67997E-2"/>
    <n v="-5.8924700000000003E-2"/>
    <n v="-5.7462300000000001E-2"/>
    <n v="-6.2795799999999999E-2"/>
    <n v="4.1900000000000004"/>
    <n v="-9.6199999999999994E-2"/>
    <n v="0.52329000000000003"/>
    <n v="2.49249E-2"/>
    <n v="-3.884470000000001E-2"/>
    <n v="2.49249E-2"/>
    <n v="0"/>
    <n v="0"/>
    <n v="9.9900000000000006E-3"/>
    <n v="0.02"/>
    <n v="5.5148000000000003E-3"/>
    <n v="2.52772E-2"/>
    <n v="2.8896600000000001E-2"/>
    <n v="3.8"/>
    <n v="6.8570933641799092"/>
    <n v="8.1307951460252994"/>
    <n v="3.0485618871985234"/>
    <n v="3.8955277028989488"/>
    <n v="-2.17144053E-2"/>
    <n v="-0.19948514000000001"/>
    <n v="0.13692531399999999"/>
    <n v="0.229708834"/>
    <n v="-0.13592897300000001"/>
  </r>
  <r>
    <x v="33"/>
    <x v="5"/>
    <x v="1"/>
    <n v="4.1782383066640412"/>
    <n v="7.8"/>
    <n v="4.9423564533429616"/>
    <n v="3.76"/>
    <n v="5.5121375904013625"/>
    <n v="3.65687265797885"/>
    <n v="4.1827826986839778"/>
    <n v="4.1467788720705219"/>
    <n v="0"/>
    <n v="-2.5694819000000018"/>
    <n v="-2.1787346999999979"/>
    <n v="0"/>
    <n v="-0.89314640000000001"/>
    <n v="0"/>
    <n v="6.1228999999999997E-3"/>
    <n v="1.2258099999999999E-2"/>
    <n v="6.1289999999999999E-3"/>
    <n v="6.1289999999999999E-3"/>
    <n v="4.17"/>
    <n v="-0.14829999999999999"/>
    <n v="-0.51383999999999996"/>
    <n v="0"/>
    <n v="-3.884470000000001E-2"/>
    <n v="0"/>
    <n v="0"/>
    <n v="0"/>
    <n v="0"/>
    <n v="0"/>
    <n v="0"/>
    <n v="0"/>
    <n v="0"/>
    <n v="4.53"/>
    <n v="6.8609780874232085"/>
    <n v="8.1292634363971334"/>
    <n v="3.0557449434601618"/>
    <n v="3.8926566829371807"/>
    <n v="4.6254155999999998E-2"/>
    <n v="-0.13721160700000001"/>
    <n v="0.11631041"/>
    <n v="0.20882500400000001"/>
    <n v="-4.90841479E-2"/>
  </r>
  <r>
    <x v="33"/>
    <x v="6"/>
    <x v="2"/>
    <n v="4.1869981862015759"/>
    <n v="7.7"/>
    <n v="4.9452074887738009"/>
    <n v="3.25"/>
    <n v="5.5093883366279774"/>
    <n v="3.6480314175879243"/>
    <n v="4.1865286487632947"/>
    <n v="4.152346139018757"/>
    <n v="-4.5701600000000002E-2"/>
    <n v="-2.6151835000000019"/>
    <n v="-2.2604483999999978"/>
    <n v="-5.5399240000000001"/>
    <n v="-6.4330699999999998"/>
    <n v="-8.2761299999999996E-2"/>
    <n v="-0.29032249999999998"/>
    <n v="0"/>
    <n v="3.8709599999999997E-2"/>
    <n v="3.8709599999999997E-2"/>
    <n v="3.6"/>
    <n v="-0.23319999999999999"/>
    <n v="-3.1631"/>
    <n v="-6.1490499999999997E-2"/>
    <n v="-0.10033520000000001"/>
    <n v="-6.1490499999999997E-2"/>
    <n v="-8.5519999999999999E-2"/>
    <n v="-0.08"/>
    <n v="-0.3"/>
    <n v="0"/>
    <n v="-7.2843400000000003E-2"/>
    <n v="-0.26432030000000001"/>
    <n v="1.46065E-2"/>
    <n v="3.37"/>
    <n v="6.8703648897635778"/>
    <n v="8.1293518680616224"/>
    <n v="3.0543784689867244"/>
    <n v="3.9013866393065872"/>
    <n v="0.18391010499999999"/>
    <n v="-4.6680166500000002E-2"/>
    <n v="0.18051621100000001"/>
    <n v="0.15552100899999999"/>
    <n v="0.10781331700000001"/>
  </r>
  <r>
    <x v="33"/>
    <x v="7"/>
    <x v="2"/>
    <n v="4.1821539540465089"/>
    <n v="7.6"/>
    <n v="4.9473404437239425"/>
    <n v="3.3"/>
    <n v="5.5002781385943393"/>
    <n v="3.6564079139669734"/>
    <n v="4.1894274434687926"/>
    <n v="4.1536035460970222"/>
    <n v="1.1607299999999999E-2"/>
    <n v="-2.6035762000000018"/>
    <n v="-2.2627619999999977"/>
    <n v="0.3809592"/>
    <n v="-6.052111"/>
    <n v="8.0730999999999997E-3"/>
    <n v="-5.4838999999999999E-3"/>
    <n v="4.1935000000000002E-3"/>
    <n v="-2.9031999999999999E-3"/>
    <n v="5.4838999999999999E-3"/>
    <n v="3.47"/>
    <n v="-6.3E-2"/>
    <n v="0.81420999999999999"/>
    <n v="-7.1626899999999993E-2"/>
    <n v="-0.17196210000000001"/>
    <n v="-7.1626899999999993E-2"/>
    <n v="2.5829999999999999E-2"/>
    <n v="0.01"/>
    <n v="0.01"/>
    <n v="0.01"/>
    <n v="1.6199000000000001E-3"/>
    <n v="2.9634600000000001E-2"/>
    <n v="2.53724E-2"/>
    <n v="3.51"/>
    <n v="6.8811032479847105"/>
    <n v="8.1307951460252994"/>
    <n v="3.0572506135324078"/>
    <n v="3.916592549142516"/>
    <n v="0.10127937300000001"/>
    <n v="-0.18357215800000001"/>
    <n v="-3.2584049300000001E-2"/>
    <n v="0.41246054599999998"/>
    <n v="-0.115532837"/>
  </r>
  <r>
    <x v="33"/>
    <x v="8"/>
    <x v="2"/>
    <n v="4.1843101822464934"/>
    <n v="7.6"/>
    <n v="4.9494688588587685"/>
    <n v="3.22"/>
    <n v="5.5057379573970104"/>
    <n v="3.6675025883543508"/>
    <n v="4.1929523293072162"/>
    <n v="4.1603663577640981"/>
    <n v="0"/>
    <n v="-2.6035762000000018"/>
    <n v="-2.2627619999999977"/>
    <n v="0"/>
    <n v="-6.052111"/>
    <n v="1.49982E-2"/>
    <n v="1.4806400000000001E-2"/>
    <n v="-3.1936E-3"/>
    <n v="-1.4806400000000001E-2"/>
    <n v="-1.2193600000000001E-2"/>
    <n v="3.18"/>
    <n v="1.09E-2"/>
    <n v="0.13372000000000001"/>
    <n v="0"/>
    <n v="-0.17196210000000001"/>
    <n v="0"/>
    <n v="0"/>
    <n v="0"/>
    <n v="0.01"/>
    <n v="-0.01"/>
    <n v="0"/>
    <n v="0"/>
    <n v="0"/>
    <n v="4.47"/>
    <n v="6.8956826977478682"/>
    <n v="8.1341742721379031"/>
    <n v="3.1197624219708411"/>
    <n v="3.9339214741292619"/>
    <n v="0.243793497"/>
    <n v="-0.13793793100000001"/>
    <n v="4.8390280100000004E-3"/>
    <n v="0.105157124"/>
    <n v="0.101422022"/>
  </r>
  <r>
    <x v="33"/>
    <x v="9"/>
    <x v="3"/>
    <n v="4.1918825616227799"/>
    <n v="7.3"/>
    <n v="4.9537121466966347"/>
    <n v="3.1"/>
    <n v="5.4869108801028403"/>
    <n v="3.6762247196556883"/>
    <n v="4.1999050578825932"/>
    <n v="4.1612552675047274"/>
    <n v="-0.1153874"/>
    <n v="-2.7189636000000017"/>
    <n v="-2.4349904999999978"/>
    <n v="1.4744699999999999"/>
    <n v="-4.5776409999999998"/>
    <n v="0"/>
    <n v="9.0646000000000008E-3"/>
    <n v="7.0645999999999999E-3"/>
    <n v="-1E-3"/>
    <n v="-2E-3"/>
    <n v="3.3"/>
    <n v="8.0000000000000004E-4"/>
    <n v="6.5620999999999999E-2"/>
    <n v="-4.8997600000000002E-2"/>
    <n v="-0.22095970000000001"/>
    <n v="-4.8997600000000002E-2"/>
    <n v="0"/>
    <n v="0"/>
    <n v="0.01"/>
    <n v="0.01"/>
    <n v="9.2724999999999995E-3"/>
    <n v="6.2201100000000002E-2"/>
    <n v="2.6454999999999999E-2"/>
    <n v="3.04"/>
    <n v="6.9114484508197549"/>
    <n v="8.1380973383281408"/>
    <n v="3.1626863532168237"/>
    <n v="3.9631912920025454"/>
    <n v="0.26595628700000001"/>
    <n v="-0.109107868"/>
    <n v="5.5971710700000003E-2"/>
    <n v="9.1465233800000004E-2"/>
    <n v="-1.9479248599999999E-2"/>
  </r>
  <r>
    <x v="33"/>
    <x v="10"/>
    <x v="3"/>
    <n v="4.1962180051024394"/>
    <n v="7.4"/>
    <n v="4.9565310351030547"/>
    <n v="3.09"/>
    <n v="5.4735303841046967"/>
    <n v="3.6578788629941483"/>
    <n v="4.1971267568651269"/>
    <n v="4.1685239603963522"/>
    <n v="3.2760900000000003E-2"/>
    <n v="-2.6862027000000017"/>
    <n v="-2.4600973999999978"/>
    <n v="-0.95156399999999997"/>
    <n v="-5.5292050000000001"/>
    <n v="-2.1662500000000001E-2"/>
    <n v="1.9354999999999999E-3"/>
    <n v="1.9354999999999999E-3"/>
    <n v="4.3334000000000003E-3"/>
    <n v="4.3334000000000003E-3"/>
    <n v="3.68"/>
    <n v="5.0799999999999998E-2"/>
    <n v="-0.21359"/>
    <n v="4.8800400000000001E-2"/>
    <n v="-0.17215930000000002"/>
    <n v="4.8800400000000001E-2"/>
    <n v="-4.999E-2"/>
    <n v="-0.02"/>
    <n v="0"/>
    <n v="0"/>
    <n v="-2.1085300000000001E-2"/>
    <n v="2.7207599999999998E-2"/>
    <n v="1.16822E-2"/>
    <n v="3.45"/>
    <n v="6.9233333089454554"/>
    <n v="8.13882755318979"/>
    <n v="3.237972320559189"/>
    <n v="3.9824069089812362"/>
    <n v="-5.0941421399999999E-2"/>
    <n v="-5.86453501E-2"/>
    <n v="0.248049731"/>
    <n v="-1.0409223299999999E-2"/>
    <n v="-0.385338299"/>
  </r>
  <r>
    <x v="33"/>
    <x v="11"/>
    <x v="3"/>
    <n v="4.197080135731758"/>
    <n v="7.4"/>
    <n v="4.9579375050958063"/>
    <n v="2.92"/>
    <n v="5.4704623168904307"/>
    <n v="3.6965499604181562"/>
    <n v="4.2017928968682741"/>
    <n v="4.1696993757935212"/>
    <n v="-0.17899329999999999"/>
    <n v="-2.8651960000000019"/>
    <n v="-2.6926532999999977"/>
    <n v="-0.1870231"/>
    <n v="-5.7162280000000001"/>
    <n v="-1.7083399999999999E-2"/>
    <n v="-2.9031999999999999E-3"/>
    <n v="-2.9031999999999999E-3"/>
    <n v="2.7634000000000001E-3"/>
    <n v="-5.9462999999999998E-3"/>
    <n v="3.71"/>
    <n v="8.2500000000000004E-2"/>
    <n v="-0.87824000000000002"/>
    <n v="-0.18583930000000001"/>
    <n v="-0.35799860000000006"/>
    <n v="-0.18583930000000001"/>
    <n v="3.8730000000000001E-2"/>
    <n v="9.9900000000000006E-3"/>
    <n v="-0.01"/>
    <n v="-0.01"/>
    <n v="-1.3778500000000001E-2"/>
    <n v="-4.7101000000000001E-3"/>
    <n v="-1.48007E-2"/>
    <n v="2.66"/>
    <n v="6.9323503258375174"/>
    <n v="8.1383018522431048"/>
    <n v="3.2347885433282499"/>
    <n v="3.9945058105640476"/>
    <n v="7.2247621400000001E-4"/>
    <n v="-0.18362372699999999"/>
    <n v="0.284887995"/>
    <n v="-0.20197737099999999"/>
    <n v="-0.20316909999999999"/>
  </r>
  <r>
    <x v="34"/>
    <x v="0"/>
    <x v="0"/>
    <n v="4.2014231012322902"/>
    <n v="7.3"/>
    <n v="4.9614450499054845"/>
    <n v="3.02"/>
    <n v="5.4745789319621156"/>
    <n v="3.7051464265778082"/>
    <n v="4.2015982846325386"/>
    <n v="4.1657811121599497"/>
    <n v="0"/>
    <n v="-2.8651960000000019"/>
    <n v="-2.6926532999999977"/>
    <n v="0"/>
    <n v="-5.7162280000000001"/>
    <n v="2.7485800000000001E-2"/>
    <n v="-7.0968000000000003E-3"/>
    <n v="-7.0968000000000003E-3"/>
    <n v="-7.0968000000000003E-3"/>
    <n v="-2.8387099999999998E-2"/>
    <n v="3.5"/>
    <n v="3.4500000000000003E-2"/>
    <n v="0.57986000000000004"/>
    <n v="0"/>
    <n v="-0.35799860000000006"/>
    <n v="0"/>
    <n v="0"/>
    <n v="0"/>
    <n v="0"/>
    <n v="0"/>
    <n v="0"/>
    <n v="0"/>
    <n v="0"/>
    <n v="3.02"/>
    <n v="6.9377023553500896"/>
    <n v="8.136606044573977"/>
    <n v="3.1631516760958389"/>
    <n v="4.0037996770115756"/>
    <n v="-2.24900047E-3"/>
    <n v="-0.32781993500000001"/>
    <n v="2.1675078600000001E-2"/>
    <n v="5.1263338300000003E-2"/>
    <n v="-4.3895179800000003E-2"/>
  </r>
  <r>
    <x v="34"/>
    <x v="1"/>
    <x v="0"/>
    <n v="4.2054222039257008"/>
    <n v="7.1"/>
    <n v="4.9635436865624047"/>
    <n v="3.03"/>
    <n v="5.4747465976371537"/>
    <n v="3.6799900602680191"/>
    <n v="4.2013587098765823"/>
    <n v="4.1736023465392673"/>
    <n v="3.5227000000000001E-2"/>
    <n v="-2.829969000000002"/>
    <n v="-2.6626845999999977"/>
    <n v="-0.35615010000000002"/>
    <n v="-6.0723779999999996"/>
    <n v="0"/>
    <n v="-1.7857100000000001E-2"/>
    <n v="0"/>
    <n v="8.9285000000000007E-3"/>
    <n v="0"/>
    <n v="3.39"/>
    <n v="-1.11E-2"/>
    <n v="0.81493000000000004"/>
    <n v="-9.0570899999999996E-2"/>
    <n v="-0.44856950000000007"/>
    <n v="-9.0570899999999996E-2"/>
    <n v="0"/>
    <n v="0"/>
    <n v="-0.02"/>
    <n v="0"/>
    <n v="-1.33489E-2"/>
    <n v="-1.0101000000000001E-2"/>
    <n v="-2.2956000000000001E-3"/>
    <n v="3.18"/>
    <n v="6.9407063791218233"/>
    <n v="8.1352004394932145"/>
    <n v="3.1578511230304263"/>
    <n v="4.000784516705604"/>
    <n v="-3.7349033900000002E-2"/>
    <n v="-0.11407682500000001"/>
    <n v="0.117391895"/>
    <n v="0.19601681500000001"/>
    <n v="2.01194211E-2"/>
  </r>
  <r>
    <x v="34"/>
    <x v="2"/>
    <x v="0"/>
    <n v="4.2047284396449358"/>
    <n v="7"/>
    <n v="4.9649403348341261"/>
    <n v="3.07"/>
    <n v="5.4737401816508351"/>
    <n v="3.6746030291951275"/>
    <n v="4.1988847414960242"/>
    <n v="4.1713210353379209"/>
    <n v="-3.8532299999999998E-2"/>
    <n v="-2.8685013000000019"/>
    <n v="-2.7226140999999977"/>
    <n v="0.28128760000000003"/>
    <n v="-5.7910899999999996"/>
    <n v="0"/>
    <n v="-2.1429000000000001E-3"/>
    <n v="0"/>
    <n v="1.0715E-3"/>
    <n v="1.0322599999999999E-2"/>
    <n v="3.33"/>
    <n v="1.1999999999999999E-3"/>
    <n v="0.38141999999999998"/>
    <n v="-0.13369030000000001"/>
    <n v="-0.58225980000000011"/>
    <n v="-0.13369030000000001"/>
    <n v="0"/>
    <n v="-0.01"/>
    <n v="0"/>
    <n v="0"/>
    <n v="-2.8858499999999999E-2"/>
    <n v="1.01242E-2"/>
    <n v="1.2738999999999999E-3"/>
    <n v="3.83"/>
    <n v="6.9454363459498261"/>
    <n v="8.1344089175311307"/>
    <n v="3.1940502034325449"/>
    <n v="4.0051307616772709"/>
    <n v="-2.2356288299999999E-2"/>
    <n v="-0.17081411799999999"/>
    <n v="6.7201529899999996E-3"/>
    <n v="0.18307412200000001"/>
    <n v="3.5330191400000002E-2"/>
  </r>
  <r>
    <x v="34"/>
    <x v="3"/>
    <x v="1"/>
    <n v="4.2077223534662451"/>
    <n v="7.1"/>
    <n v="4.9684234452869465"/>
    <n v="2.96"/>
    <n v="5.4681023343378126"/>
    <n v="3.7102494798501287"/>
    <n v="4.2034978761186235"/>
    <n v="4.1731865493191185"/>
    <n v="0"/>
    <n v="-2.8685013000000019"/>
    <n v="-2.7226140999999977"/>
    <n v="0"/>
    <n v="-5.7910899999999996"/>
    <n v="0"/>
    <n v="0"/>
    <n v="0"/>
    <n v="0"/>
    <n v="2.96774E-2"/>
    <n v="3.24"/>
    <n v="5.8999999999999999E-3"/>
    <n v="-0.49020999999999998"/>
    <n v="0"/>
    <n v="-0.58225980000000011"/>
    <n v="0"/>
    <n v="0"/>
    <n v="0"/>
    <n v="0"/>
    <n v="0"/>
    <n v="0"/>
    <n v="0"/>
    <n v="0"/>
    <n v="3.01"/>
    <n v="6.9542571126335568"/>
    <n v="8.134291601716825"/>
    <n v="3.2945397287891902"/>
    <n v="4.0125016239943649"/>
    <n v="0.27210077500000002"/>
    <n v="-9.5477803900000005E-2"/>
    <n v="6.3067595300000001E-2"/>
    <n v="0.100065664"/>
    <n v="0.106141476"/>
  </r>
  <r>
    <x v="34"/>
    <x v="4"/>
    <x v="1"/>
    <n v="4.2042805942217454"/>
    <n v="7.1"/>
    <n v="4.9712012248508488"/>
    <n v="3"/>
    <n v="5.460053489732883"/>
    <n v="3.7267531065420179"/>
    <n v="4.2123497954130054"/>
    <n v="4.171938119327204"/>
    <n v="0.33065349999999999"/>
    <n v="-2.537847800000002"/>
    <n v="-2.3865858999999978"/>
    <n v="-0.51487110000000003"/>
    <n v="-6.3059620000000001"/>
    <n v="-1.0831800000000001E-2"/>
    <n v="-8.3870999999999998E-3"/>
    <n v="-8.3870999999999998E-3"/>
    <n v="-8.3870999999999998E-3"/>
    <n v="-1.2580600000000001E-2"/>
    <n v="3.36"/>
    <n v="-9.4000000000000004E-3"/>
    <n v="-0.16542000000000001"/>
    <n v="0.1540541"/>
    <n v="-0.42820570000000013"/>
    <n v="0.1540541"/>
    <n v="-2.5829999999999999E-2"/>
    <n v="-0.01"/>
    <n v="-0.02"/>
    <n v="-0.02"/>
    <n v="-7.5846999999999998E-3"/>
    <n v="-8.9273000000000009E-3"/>
    <n v="-7.4855E-3"/>
    <n v="3.02"/>
    <n v="6.9715747916950912"/>
    <n v="8.1417722046564496"/>
    <n v="3.2564798472655672"/>
    <n v="4.0348422270729927"/>
    <n v="-4.83995641E-2"/>
    <n v="-3.8490974400000003E-2"/>
    <n v="3.39017479E-3"/>
    <n v="0.16513594200000001"/>
    <n v="-4.0937910899999999E-2"/>
  </r>
  <r>
    <x v="34"/>
    <x v="5"/>
    <x v="1"/>
    <n v="4.2061438047179731"/>
    <n v="7"/>
    <n v="4.9718944657798252"/>
    <n v="3.04"/>
    <n v="5.4525394723958245"/>
    <n v="3.7187780044597996"/>
    <n v="4.2097247132621733"/>
    <n v="4.180185810433553"/>
    <n v="0"/>
    <n v="-2.537847800000002"/>
    <n v="-2.3865858999999978"/>
    <n v="0"/>
    <n v="-6.3059620000000001"/>
    <n v="-1.49982E-2"/>
    <n v="-1.1612900000000001E-2"/>
    <n v="-1.1612900000000001E-2"/>
    <n v="-1.1612900000000001E-2"/>
    <n v="-1.7419299999999999E-2"/>
    <n v="3.54"/>
    <n v="-9.1300000000000006E-2"/>
    <n v="1.1287"/>
    <n v="0"/>
    <n v="-0.42820570000000013"/>
    <n v="0"/>
    <n v="0"/>
    <n v="0"/>
    <n v="0"/>
    <n v="0"/>
    <n v="0"/>
    <n v="0"/>
    <n v="0"/>
    <n v="3.92"/>
    <n v="6.9801689594911824"/>
    <n v="8.1433720886425345"/>
    <n v="3.2751049181346312"/>
    <n v="4.0413832107338532"/>
    <n v="0.122501922"/>
    <n v="-7.1141923400000001E-2"/>
    <n v="-4.0580755000000003E-2"/>
    <n v="1.18267531E-2"/>
    <n v="7.3835896400000003E-2"/>
  </r>
  <r>
    <x v="34"/>
    <x v="6"/>
    <x v="2"/>
    <n v="4.2092835574267493"/>
    <n v="6.9"/>
    <n v="4.9732795075524869"/>
    <n v="3.06"/>
    <n v="5.4615410476500506"/>
    <n v="3.7351903569771867"/>
    <n v="4.2168423916757805"/>
    <n v="4.1819585353919555"/>
    <n v="3.5270599999999999E-2"/>
    <n v="-2.5025772000000019"/>
    <n v="-2.3738806999999977"/>
    <n v="9.6494999999999997E-2"/>
    <n v="-6.2094659999999999"/>
    <n v="2.0872100000000001E-2"/>
    <n v="0"/>
    <n v="-7.7419000000000003E-3"/>
    <n v="0"/>
    <n v="0"/>
    <n v="3.47"/>
    <n v="-9.8100000000000007E-2"/>
    <n v="0.11726"/>
    <n v="-4.4038599999999997E-2"/>
    <n v="-0.47224430000000012"/>
    <n v="-4.4038599999999997E-2"/>
    <n v="2.6960000000000001E-2"/>
    <n v="0.02"/>
    <n v="0"/>
    <n v="-0.01"/>
    <n v="7.2310999999999999E-3"/>
    <n v="3.4573999999999998E-3"/>
    <n v="-2.6689999999999999E-3"/>
    <n v="3.07"/>
    <n v="6.98896653440696"/>
    <n v="8.1432267503674449"/>
    <n v="3.2780499835066212"/>
    <n v="4.0515414398967913"/>
    <n v="0.16833350999999999"/>
    <n v="-0.23919369300000001"/>
    <n v="2.8475193400000001E-2"/>
    <n v="-0.14869117800000001"/>
    <n v="-6.4095454299999993E-2"/>
  </r>
  <r>
    <x v="34"/>
    <x v="7"/>
    <x v="2"/>
    <n v="4.2083099495532492"/>
    <n v="6.8"/>
    <n v="4.9753534799516164"/>
    <n v="3.03"/>
    <n v="5.4636199181723963"/>
    <n v="3.7211288083294329"/>
    <n v="4.2145986164699192"/>
    <n v="4.1871212323691092"/>
    <n v="6.8245700000000006E-2"/>
    <n v="-2.4343315000000021"/>
    <n v="-2.3267187999999979"/>
    <n v="0.17742050000000001"/>
    <n v="-6.0320460000000002"/>
    <n v="6.0878E-3"/>
    <n v="4.5161000000000003E-3"/>
    <n v="6.7742000000000002E-3"/>
    <n v="0"/>
    <n v="9.0322000000000006E-3"/>
    <n v="3.44"/>
    <n v="-0.12590000000000001"/>
    <n v="0.1158"/>
    <n v="-3.3746900000000003E-2"/>
    <n v="-0.50599120000000009"/>
    <n v="-3.3746900000000003E-2"/>
    <n v="0"/>
    <n v="0"/>
    <n v="0.01"/>
    <n v="0.02"/>
    <n v="-4.9109999999999996E-3"/>
    <n v="1.79817E-2"/>
    <n v="2.70637E-2"/>
    <n v="3.19"/>
    <n v="6.9977787816297257"/>
    <n v="8.1442727147837992"/>
    <n v="3.2795192700368867"/>
    <n v="4.0575422556979959"/>
    <n v="5.9288706400000002E-3"/>
    <n v="-0.218395372"/>
    <n v="-8.4752065599999996E-2"/>
    <n v="-4.9405762800000001E-3"/>
    <n v="-8.05471304E-2"/>
  </r>
  <r>
    <x v="34"/>
    <x v="8"/>
    <x v="2"/>
    <n v="4.2131285782119523"/>
    <n v="6.7"/>
    <n v="4.9767337424205742"/>
    <n v="3.09"/>
    <n v="5.4618382938782739"/>
    <n v="3.7327767151511195"/>
    <n v="4.2236754785185067"/>
    <n v="4.1903817504190428"/>
    <n v="0.1846016"/>
    <n v="-2.2497299000000019"/>
    <n v="-2.1681071999999979"/>
    <n v="9.4637100000000002E-2"/>
    <n v="-5.9374089999999997"/>
    <n v="0"/>
    <n v="8.4839000000000008E-3"/>
    <n v="1.09677E-2"/>
    <n v="-3.0000000000000001E-3"/>
    <n v="4.9677000000000002E-3"/>
    <n v="3.36"/>
    <n v="-3.7600000000000001E-2"/>
    <n v="0.72563999999999995"/>
    <n v="4.4135199999999999E-2"/>
    <n v="-0.4618560000000001"/>
    <n v="4.4135199999999999E-2"/>
    <n v="0"/>
    <n v="0"/>
    <n v="0.01"/>
    <n v="0"/>
    <n v="8.4072000000000001E-3"/>
    <n v="2.5862199999999998E-2"/>
    <n v="-1.06391E-2"/>
    <n v="3.99"/>
    <n v="7.0068763698499446"/>
    <n v="8.1461584951125801"/>
    <n v="3.3060438562535568"/>
    <n v="4.0680690308098377"/>
    <n v="0.15071779900000001"/>
    <n v="-0.16026216600000001"/>
    <n v="-6.5813925400000001E-2"/>
    <n v="3.3553179400000001E-2"/>
    <n v="3.03937316E-3"/>
  </r>
  <r>
    <x v="34"/>
    <x v="9"/>
    <x v="3"/>
    <n v="4.2206658577877993"/>
    <n v="6.8"/>
    <n v="4.9808631357625854"/>
    <n v="2.99"/>
    <n v="5.4705885874884901"/>
    <n v="3.7451416331220693"/>
    <n v="4.2214176447855767"/>
    <n v="4.1913502734971733"/>
    <n v="0"/>
    <n v="-2.2497299000000019"/>
    <n v="-2.1681071999999979"/>
    <n v="0"/>
    <n v="-5.9374089999999997"/>
    <n v="0"/>
    <n v="7.0000000000000001E-3"/>
    <n v="0"/>
    <n v="-7.0000000000000001E-3"/>
    <n v="-1.3999899999999999E-2"/>
    <n v="3.39"/>
    <n v="-0.1111"/>
    <n v="-0.26668999999999998"/>
    <n v="0"/>
    <n v="-0.4618560000000001"/>
    <n v="0"/>
    <n v="0"/>
    <n v="0"/>
    <n v="0"/>
    <n v="0"/>
    <n v="0"/>
    <n v="0"/>
    <n v="0"/>
    <n v="3.03"/>
    <n v="7.0149041944991799"/>
    <n v="8.1474330079288499"/>
    <n v="3.3420487533644998"/>
    <n v="4.0827610651453519"/>
    <n v="-2.7066441200000002E-3"/>
    <n v="-0.203141932"/>
    <n v="-0.11218196800000001"/>
    <n v="0.13050109600000001"/>
    <n v="-6.8716561900000001E-2"/>
  </r>
  <r>
    <x v="34"/>
    <x v="10"/>
    <x v="3"/>
    <n v="4.2248083378504377"/>
    <n v="6.6"/>
    <n v="4.9836066217083363"/>
    <n v="3.02"/>
    <n v="5.4872006811771321"/>
    <n v="3.7527458744423501"/>
    <n v="4.2263080596744613"/>
    <n v="4.1924840690365848"/>
    <n v="-4.5006299999999999E-2"/>
    <n v="-2.2947362000000018"/>
    <n v="-2.2521793999999979"/>
    <n v="4.4044100000000003E-2"/>
    <n v="-5.8933650000000002"/>
    <n v="1.0770800000000001E-2"/>
    <n v="0"/>
    <n v="0"/>
    <n v="0"/>
    <n v="0"/>
    <n v="3.58"/>
    <n v="-0.16930000000000001"/>
    <n v="-0.41716999999999999"/>
    <n v="-0.15888450000000001"/>
    <n v="-0.62074050000000014"/>
    <n v="-0.15888450000000001"/>
    <n v="2.308E-2"/>
    <n v="0.01"/>
    <n v="0"/>
    <n v="0"/>
    <n v="-5.9419E-3"/>
    <n v="-9.7023999999999999E-3"/>
    <n v="-1.36355E-2"/>
    <n v="3.16"/>
    <n v="7.0247379944677517"/>
    <n v="8.1513333379004322"/>
    <n v="3.3679163270934933"/>
    <n v="4.0979214907124435"/>
    <n v="-0.16933448800000001"/>
    <n v="7.9529934499999993E-3"/>
    <n v="9.27001977E-2"/>
    <n v="9.8014957200000002E-2"/>
    <n v="-8.4958834900000002E-2"/>
  </r>
  <r>
    <x v="34"/>
    <x v="11"/>
    <x v="3"/>
    <n v="4.2300999382944076"/>
    <n v="6.5"/>
    <n v="4.9856593080260785"/>
    <n v="2.96"/>
    <n v="5.5032154775208966"/>
    <n v="3.7624783681481286"/>
    <n v="4.2282050673498279"/>
    <n v="4.1954108709569038"/>
    <n v="-0.13331119999999999"/>
    <n v="-2.4280474000000019"/>
    <n v="-2.4145505999999979"/>
    <n v="0.1056618"/>
    <n v="-5.7877029999999996"/>
    <n v="1.23093E-2"/>
    <n v="-3.2258E-3"/>
    <n v="0"/>
    <n v="0"/>
    <n v="-2.58064E-2"/>
    <n v="3.61"/>
    <n v="-0.19989999999999999"/>
    <n v="-0.93964999999999999"/>
    <n v="-0.3139902"/>
    <n v="-0.93473070000000014"/>
    <n v="-0.3139902"/>
    <n v="0"/>
    <n v="0"/>
    <n v="-0.01"/>
    <n v="0"/>
    <n v="-4.60531E-2"/>
    <n v="-5.2294300000000002E-2"/>
    <n v="-4.7501099999999997E-2"/>
    <n v="2.85"/>
    <n v="7.0296188667389776"/>
    <n v="8.1526012765176521"/>
    <n v="3.3796332037463146"/>
    <n v="4.1023954004118117"/>
    <n v="-0.12681039899999999"/>
    <n v="-0.13591931099999999"/>
    <n v="0.144535574"/>
    <n v="-0.14134775999999999"/>
    <n v="-7.2311946500000002E-2"/>
  </r>
  <r>
    <x v="35"/>
    <x v="0"/>
    <x v="0"/>
    <n v="4.2337673166447463"/>
    <n v="6.6"/>
    <n v="4.9856593080260785"/>
    <n v="3.05"/>
    <n v="5.5127430272425233"/>
    <n v="3.7635461986966918"/>
    <n v="4.2322351895615435"/>
    <n v="4.1980136482189483"/>
    <n v="0"/>
    <n v="-2.4280474000000019"/>
    <n v="-2.4145505999999979"/>
    <n v="0"/>
    <n v="-5.7877029999999996"/>
    <n v="0"/>
    <n v="-6.7742000000000002E-3"/>
    <n v="0"/>
    <n v="0"/>
    <n v="-5.4193600000000001E-2"/>
    <n v="3.54"/>
    <n v="-0.26939999999999997"/>
    <n v="-0.12523000000000001"/>
    <n v="0"/>
    <n v="-0.93473070000000014"/>
    <n v="0"/>
    <n v="0"/>
    <n v="0"/>
    <n v="0"/>
    <n v="0"/>
    <n v="0"/>
    <n v="0"/>
    <n v="0"/>
    <n v="3.68"/>
    <n v="7.0313878394274116"/>
    <n v="8.1526012765176521"/>
    <n v="3.3247122272739644"/>
    <n v="4.1079515656283174"/>
    <n v="-0.21503791999999999"/>
    <n v="-0.34283886600000002"/>
    <n v="-0.114454204"/>
    <n v="-5.8005160200000003E-2"/>
    <n v="-5.0489823000000003E-2"/>
  </r>
  <r>
    <x v="35"/>
    <x v="1"/>
    <x v="0"/>
    <n v="4.234034038203518"/>
    <n v="6.6"/>
    <n v="4.9883896851489355"/>
    <n v="3.25"/>
    <n v="5.5261698135899806"/>
    <n v="3.7849847722574226"/>
    <n v="4.2394977428222109"/>
    <n v="4.2035576471954172"/>
    <n v="0.26184449999999998"/>
    <n v="-2.1662029000000018"/>
    <n v="-2.1872476999999977"/>
    <n v="1.650469"/>
    <n v="-4.1372340000000003"/>
    <n v="0.1458303"/>
    <n v="0"/>
    <n v="0.13392850000000001"/>
    <n v="0.125"/>
    <n v="0.14285709999999999"/>
    <n v="3.87"/>
    <n v="-0.46"/>
    <n v="0.92871000000000004"/>
    <n v="8.6272299999999996E-2"/>
    <n v="-0.84845840000000017"/>
    <n v="8.6272299999999996E-2"/>
    <n v="0.16333"/>
    <n v="0.14000000000000001"/>
    <n v="0"/>
    <n v="0.15"/>
    <n v="0.11365749999999999"/>
    <n v="1.3753999999999999E-3"/>
    <n v="0.1185914"/>
    <n v="3.49"/>
    <n v="7.0355326489239634"/>
    <n v="8.1528316381864894"/>
    <n v="3.292609441245256"/>
    <n v="4.1017504044826936"/>
    <n v="3.3960233400000001E-3"/>
    <n v="-0.173167771"/>
    <n v="6.5985244299999996E-2"/>
    <n v="1.8764136399999999E-2"/>
    <n v="0.1173877"/>
  </r>
  <r>
    <x v="35"/>
    <x v="2"/>
    <x v="0"/>
    <n v="4.2443193924558589"/>
    <n v="6.5"/>
    <n v="4.991112627607392"/>
    <n v="3.34"/>
    <n v="5.5362312967656964"/>
    <n v="3.7823925656123825"/>
    <n v="4.2440568354504276"/>
    <n v="4.2024363445729414"/>
    <n v="0.33554929999999999"/>
    <n v="-1.8306536000000018"/>
    <n v="-1.8726574999999976"/>
    <n v="-0.44397809999999999"/>
    <n v="-4.581213"/>
    <n v="1.7496500000000002E-2"/>
    <n v="0"/>
    <n v="-5.7500000000000002E-5"/>
    <n v="-1.129E-3"/>
    <n v="1.0139000000000001E-3"/>
    <n v="4.32"/>
    <n v="-0.35199999999999998"/>
    <n v="3.7052000000000001E-3"/>
    <n v="0.15797919999999999"/>
    <n v="-0.69047920000000018"/>
    <n v="0.15797919999999999"/>
    <n v="-1.0000000000000001E-5"/>
    <n v="0"/>
    <n v="0"/>
    <n v="-0.05"/>
    <n v="1.1647000000000001E-3"/>
    <n v="2.2178300000000001E-2"/>
    <n v="-4.7771000000000001E-2"/>
    <n v="4.18"/>
    <n v="7.0388712568396743"/>
    <n v="8.1540976796745817"/>
    <n v="3.310360514990379"/>
    <n v="4.0984029823496018"/>
    <n v="-6.7428505400000005E-2"/>
    <n v="-5.9459337000000001E-2"/>
    <n v="0.15164122799999999"/>
    <n v="-0.11630720899999999"/>
    <n v="5.1642948899999999E-2"/>
  </r>
  <r>
    <x v="35"/>
    <x v="3"/>
    <x v="1"/>
    <n v="4.2495732322376689"/>
    <n v="6.4"/>
    <n v="4.9917922062947762"/>
    <n v="3.56"/>
    <n v="5.5335080587729131"/>
    <n v="3.8044377947482086"/>
    <n v="4.2456053560626845"/>
    <n v="4.2040655571568895"/>
    <n v="0"/>
    <n v="-1.8306536000000018"/>
    <n v="-1.8726574999999976"/>
    <n v="0"/>
    <n v="-4.581213"/>
    <n v="6.4997600000000003E-2"/>
    <n v="5.1999999999999998E-2"/>
    <n v="7.9560000000000004E-4"/>
    <n v="5.1291000000000002E-3"/>
    <n v="5.1291000000000002E-3"/>
    <n v="4.82"/>
    <n v="-0.3216"/>
    <n v="0.52159"/>
    <n v="0"/>
    <n v="-0.69047920000000018"/>
    <n v="0"/>
    <n v="0.15001"/>
    <n v="6.0010000000000001E-2"/>
    <n v="0.12"/>
    <n v="0.08"/>
    <n v="0"/>
    <n v="0"/>
    <n v="0"/>
    <n v="3.73"/>
    <n v="7.0397479884406335"/>
    <n v="8.15444268571561"/>
    <n v="3.3878419266149971"/>
    <n v="4.1006579242786927"/>
    <n v="-0.46616437900000002"/>
    <n v="-0.16407287200000001"/>
    <n v="0.21450878500000001"/>
    <n v="-9.5196166999999998E-2"/>
    <n v="-5.1509975600000001E-2"/>
  </r>
  <r>
    <x v="35"/>
    <x v="4"/>
    <x v="1"/>
    <n v="4.254996917420117"/>
    <n v="6.1"/>
    <n v="4.9938281757798748"/>
    <n v="4.01"/>
    <n v="5.5477912131082761"/>
    <n v="3.7707589354239652"/>
    <n v="4.2441142308473321"/>
    <n v="4.2085954412253743"/>
    <n v="0.32162099999999999"/>
    <n v="-1.5090326000000018"/>
    <n v="-1.5839440999999976"/>
    <n v="-1.0938509999999999"/>
    <n v="-5.6750639999999999"/>
    <n v="0.1385798"/>
    <n v="9.2193499999999998E-2"/>
    <n v="1.14625E-2"/>
    <n v="1.7129100000000001E-2"/>
    <n v="1.7129100000000001E-2"/>
    <n v="5.31"/>
    <n v="-0.32150000000000001"/>
    <n v="1.1674"/>
    <n v="0.30976330000000002"/>
    <n v="-0.38071590000000016"/>
    <n v="0.30976330000000002"/>
    <n v="0.11072"/>
    <n v="0.05"/>
    <n v="0.05"/>
    <n v="-7.0000000000000007E-2"/>
    <n v="2.0826600000000001E-2"/>
    <n v="3.7891500000000002E-2"/>
    <n v="-8.1692500000000001E-2"/>
    <n v="4.5999999999999996"/>
    <n v="7.0416740965479239"/>
    <n v="8.1571411228345685"/>
    <n v="3.2880286835565173"/>
    <n v="4.0905373238791469"/>
    <n v="-0.31368693800000003"/>
    <n v="-0.26406881500000001"/>
    <n v="0.228670979"/>
    <n v="-0.20496800000000001"/>
    <n v="8.7446957500000005E-2"/>
  </r>
  <r>
    <x v="35"/>
    <x v="5"/>
    <x v="1"/>
    <n v="4.2614805666066777"/>
    <n v="6.1"/>
    <n v="4.996536369716754"/>
    <n v="4.25"/>
    <n v="5.5479080878770946"/>
    <n v="3.7876835231725172"/>
    <n v="4.2497515953640628"/>
    <n v="4.2125571352437294"/>
    <n v="0"/>
    <n v="-1.5090326000000018"/>
    <n v="-1.5839440999999976"/>
    <n v="0"/>
    <n v="-5.6750639999999999"/>
    <n v="5.7145799999999997E-2"/>
    <n v="2.58064E-2"/>
    <n v="-3.6129000000000001E-2"/>
    <n v="-3.6129099999999997E-2"/>
    <n v="-3.6129099999999997E-2"/>
    <n v="5.27"/>
    <n v="-0.36609999999999998"/>
    <n v="0.29731999999999997"/>
    <n v="0"/>
    <n v="-0.38071590000000016"/>
    <n v="0"/>
    <n v="0"/>
    <n v="0"/>
    <n v="0"/>
    <n v="0"/>
    <n v="0"/>
    <n v="0"/>
    <n v="0"/>
    <n v="5.96"/>
    <n v="7.0433345732239596"/>
    <n v="8.1538388470084548"/>
    <n v="3.2773333944397693"/>
    <n v="4.08958324512039"/>
    <n v="-0.29370923399999999"/>
    <n v="-0.23271966899999999"/>
    <n v="0.167778911"/>
    <n v="-0.102397549"/>
    <n v="0.13091433"/>
  </r>
  <r>
    <x v="35"/>
    <x v="6"/>
    <x v="2"/>
    <n v="4.263267028577773"/>
    <n v="6.1"/>
    <n v="4.9999113307332799"/>
    <n v="4.26"/>
    <n v="5.5604893048297246"/>
    <n v="3.7867771923903959"/>
    <n v="4.249066507417651"/>
    <n v="4.2120238887971793"/>
    <n v="7.9991199999999998E-2"/>
    <n v="-1.4290414000000018"/>
    <n v="-1.5122119999999977"/>
    <n v="2.6715599999999999E-2"/>
    <n v="-5.6483480000000004"/>
    <n v="-4.1599999999999998E-2"/>
    <n v="0"/>
    <n v="0"/>
    <n v="8.3870999999999998E-3"/>
    <n v="8.3870999999999998E-3"/>
    <n v="5.48"/>
    <n v="-0.32519999999999999"/>
    <n v="-2.032"/>
    <n v="-3.8329700000000001E-2"/>
    <n v="-0.41904560000000018"/>
    <n v="-3.8329700000000001E-2"/>
    <n v="-4.9599999999999998E-2"/>
    <n v="-0.04"/>
    <n v="0"/>
    <n v="0"/>
    <n v="-3.6586300000000002E-2"/>
    <n v="1.07008E-2"/>
    <n v="-7.1253999999999996E-3"/>
    <n v="4.29"/>
    <n v="7.0481257318294128"/>
    <n v="8.156280710357132"/>
    <n v="3.2579042118356791"/>
    <n v="4.0920586181082665"/>
    <n v="-0.26478272800000002"/>
    <n v="-0.101859094"/>
    <n v="0.13544757199999999"/>
    <n v="0.125452589"/>
    <n v="0.146434008"/>
  </r>
  <r>
    <x v="35"/>
    <x v="7"/>
    <x v="2"/>
    <n v="4.2688005441038586"/>
    <n v="6"/>
    <n v="5.0039463059454592"/>
    <n v="4.47"/>
    <n v="5.5764414061877101"/>
    <n v="3.8025429048093251"/>
    <n v="4.2583607036718156"/>
    <n v="4.2158096995032768"/>
    <n v="0.43144569999999999"/>
    <n v="-0.99759570000000175"/>
    <n v="-1.0959364999999976"/>
    <n v="0.52684330000000001"/>
    <n v="-5.121505"/>
    <n v="5.59949E-2"/>
    <n v="0"/>
    <n v="1.54839E-2"/>
    <n v="6.7742000000000002E-3"/>
    <n v="1.6129E-3"/>
    <n v="5.56"/>
    <n v="-0.29770000000000002"/>
    <n v="0.60216000000000003"/>
    <n v="0.44434259999999998"/>
    <n v="2.5296999999999792E-2"/>
    <n v="0.44434259999999998"/>
    <n v="0.12399"/>
    <n v="0.06"/>
    <n v="0"/>
    <n v="0.03"/>
    <n v="4.6937E-2"/>
    <n v="1.9189000000000001E-2"/>
    <n v="3.86752E-2"/>
    <n v="4.7"/>
    <n v="7.0480388244291934"/>
    <n v="8.1555057056539599"/>
    <n v="3.2304881401963668"/>
    <n v="4.085825040606359"/>
    <n v="-0.19969756399999999"/>
    <n v="-8.9834809200000004E-2"/>
    <n v="0.15741365099999999"/>
    <n v="4.1444653099999999E-2"/>
    <n v="0.27734341899999998"/>
  </r>
  <r>
    <x v="35"/>
    <x v="8"/>
    <x v="2"/>
    <n v="4.2725590855773161"/>
    <n v="5.9"/>
    <n v="5.0059577045451444"/>
    <n v="4.7300000000000004"/>
    <n v="5.5898295945801699"/>
    <n v="3.805150235779323"/>
    <n v="4.2577522633120353"/>
    <n v="4.2178887483135554"/>
    <n v="6.9489999999999996E-2"/>
    <n v="-0.9281057000000017"/>
    <n v="-1.0538581999999976"/>
    <n v="-0.18210499999999999"/>
    <n v="-5.3036099999999999"/>
    <n v="4.7995200000000002E-2"/>
    <n v="-3.9998999999999998E-3"/>
    <n v="1.18494E-2"/>
    <n v="3.5052999999999998E-3"/>
    <n v="0"/>
    <n v="5.76"/>
    <n v="-0.43070000000000003"/>
    <n v="0.41399000000000002"/>
    <n v="5.73064E-2"/>
    <n v="8.2603399999999799E-2"/>
    <n v="5.73064E-2"/>
    <n v="-0.09"/>
    <n v="-0.02"/>
    <n v="-0.03"/>
    <n v="-0.02"/>
    <n v="-2.4353099999999999E-2"/>
    <n v="-1.44244E-2"/>
    <n v="-1.6677999999999998E-2"/>
    <n v="5.44"/>
    <n v="7.049168031932461"/>
    <n v="8.1555631340121"/>
    <n v="3.2256130785208659"/>
    <n v="4.0828285062608529"/>
    <n v="-0.303451148"/>
    <n v="-0.121369377"/>
    <n v="0.135628001"/>
    <n v="0.13324042899999999"/>
    <n v="0.110059885"/>
  </r>
  <r>
    <x v="35"/>
    <x v="9"/>
    <x v="3"/>
    <n v="4.2812293029490194"/>
    <n v="5.8"/>
    <n v="5.0066272726987169"/>
    <n v="4.76"/>
    <n v="5.594488306395724"/>
    <n v="3.8302053902043713"/>
    <n v="4.2647200479976544"/>
    <n v="4.219845883281562"/>
    <n v="0"/>
    <n v="-0.9281057000000017"/>
    <n v="-1.0538581999999976"/>
    <n v="0"/>
    <n v="-5.3036099999999999"/>
    <n v="-7.8000100000000003E-2"/>
    <n v="-2.5999999999999999E-2"/>
    <n v="-1.7333299999999999E-2"/>
    <n v="-8.6666E-3"/>
    <n v="0"/>
    <n v="6.11"/>
    <n v="-0.32800000000000001"/>
    <n v="-0.85070000000000001"/>
    <n v="0"/>
    <n v="8.2603399999999799E-2"/>
    <n v="0"/>
    <n v="0"/>
    <n v="0"/>
    <n v="0"/>
    <n v="0"/>
    <n v="0"/>
    <n v="0"/>
    <n v="0"/>
    <n v="4.9000000000000004"/>
    <n v="7.0476911192796541"/>
    <n v="8.1550174314064705"/>
    <n v="3.2083405229528181"/>
    <n v="4.0774357438191871"/>
    <n v="-0.230201244"/>
    <n v="-0.20760315700000001"/>
    <n v="9.8831158099999997E-2"/>
    <n v="-5.7270341099999997E-2"/>
    <n v="0.23518983399999999"/>
  </r>
  <r>
    <x v="35"/>
    <x v="10"/>
    <x v="3"/>
    <n v="4.2874604280528645"/>
    <n v="5.6"/>
    <n v="5.0093010710831196"/>
    <n v="5.29"/>
    <n v="5.6168074606417937"/>
    <n v="3.8369114529330175"/>
    <n v="4.2621163380013236"/>
    <n v="4.2205365874598604"/>
    <n v="0.60612829999999995"/>
    <n v="-0.32197740000000175"/>
    <n v="-0.50438389999999766"/>
    <n v="1.2590380000000001"/>
    <n v="-4.0445719999999996"/>
    <n v="6.4000000000000001E-2"/>
    <n v="4.2666700000000002E-2"/>
    <n v="2.13332E-2"/>
    <n v="1.6E-2"/>
    <n v="1.6E-2"/>
    <n v="6.54"/>
    <n v="-0.3049"/>
    <n v="2.5708000000000002"/>
    <n v="0.51236000000000004"/>
    <n v="0.59496339999999981"/>
    <n v="0.51236000000000004"/>
    <n v="0.12"/>
    <n v="0.06"/>
    <n v="0.08"/>
    <n v="0.04"/>
    <n v="3.8143099999999999E-2"/>
    <n v="5.0638000000000002E-2"/>
    <n v="8.5892E-3"/>
    <n v="5.66"/>
    <n v="7.0482995239744453"/>
    <n v="8.1558502263429649"/>
    <n v="3.2072484886272212"/>
    <n v="4.0802963464960413"/>
    <n v="-0.34035433399999998"/>
    <n v="-0.30657965500000001"/>
    <n v="0.23795572500000001"/>
    <n v="-8.0094560699999998E-2"/>
    <n v="1.5325171E-2"/>
  </r>
  <r>
    <x v="35"/>
    <x v="11"/>
    <x v="3"/>
    <n v="4.2979872007197395"/>
    <n v="5.5"/>
    <n v="5.0113017386394159"/>
    <n v="5.45"/>
    <n v="5.6439616963376613"/>
    <n v="3.8310949059109047"/>
    <n v="4.2700470389361742"/>
    <n v="4.2230015944303627"/>
    <n v="-0.21635309999999999"/>
    <n v="-0.53833050000000171"/>
    <n v="-0.75275459999999761"/>
    <n v="-0.79857920000000004"/>
    <n v="-4.8431509999999998"/>
    <n v="-3.1274900000000001E-2"/>
    <n v="1.7978399999999999E-2"/>
    <n v="2.2537700000000001E-2"/>
    <n v="1.7870899999999999E-2"/>
    <n v="2.1742000000000001E-2"/>
    <n v="7.14"/>
    <n v="-0.25409999999999999"/>
    <n v="-0.15071999999999999"/>
    <n v="-0.2378768"/>
    <n v="0.35708659999999981"/>
    <n v="-0.2378768"/>
    <n v="-0.22545999999999999"/>
    <n v="-0.08"/>
    <n v="-0.05"/>
    <n v="0.01"/>
    <n v="-0.1016249"/>
    <n v="-6.3660300000000003E-2"/>
    <n v="-1.6436599999999999E-2"/>
    <n v="4.9400000000000004"/>
    <n v="7.0481257318294128"/>
    <n v="8.1555631340121"/>
    <n v="3.205628464782571"/>
    <n v="4.0818839164967669"/>
    <n v="-0.39956497000000002"/>
    <n v="-0.148442725"/>
    <n v="0.176676365"/>
    <n v="-6.1843497300000001E-2"/>
    <n v="0.22637133800000001"/>
  </r>
  <r>
    <x v="36"/>
    <x v="0"/>
    <x v="0"/>
    <n v="4.3000747097711285"/>
    <n v="5.6"/>
    <n v="5.01396308418893"/>
    <n v="5.53"/>
    <n v="5.6638281591491682"/>
    <n v="3.8161506676426282"/>
    <n v="4.2742743721796517"/>
    <n v="4.2244513475673164"/>
    <n v="0"/>
    <n v="-0.53833050000000171"/>
    <n v="-0.75275459999999761"/>
    <n v="0"/>
    <n v="-4.8431509999999998"/>
    <n v="-0.13818510000000001"/>
    <n v="-3.0645100000000002E-2"/>
    <n v="6.1289999999999999E-3"/>
    <n v="6.1289999999999999E-3"/>
    <n v="1.2258099999999999E-2"/>
    <n v="7.05"/>
    <n v="-0.27360000000000001"/>
    <n v="-1.1105"/>
    <n v="0"/>
    <n v="0.35708659999999981"/>
    <n v="0"/>
    <n v="0"/>
    <n v="0"/>
    <n v="0"/>
    <n v="0"/>
    <n v="0"/>
    <n v="0"/>
    <n v="0"/>
    <n v="5.86"/>
    <n v="7.0487338722417094"/>
    <n v="8.1571411228345685"/>
    <n v="3.1030608513065157"/>
    <n v="4.0821370191143558"/>
    <n v="-0.322074519"/>
    <n v="-0.32515508500000001"/>
    <n v="0.18455439800000001"/>
    <n v="-1.49750643E-2"/>
    <n v="8.0602975600000001E-2"/>
  </r>
  <r>
    <x v="36"/>
    <x v="1"/>
    <x v="0"/>
    <n v="4.2988895610510243"/>
    <n v="5.4"/>
    <n v="5.0166173657738033"/>
    <n v="5.92"/>
    <n v="5.6546972669657096"/>
    <n v="3.7991678080080593"/>
    <n v="4.2638763440876613"/>
    <n v="4.2290502650743917"/>
    <n v="0.51598120000000003"/>
    <n v="-2.2349300000001682E-2"/>
    <n v="-0.2506210999999976"/>
    <n v="0.73424330000000004"/>
    <n v="-4.1089079999999996"/>
    <n v="6.2230000000000001E-2"/>
    <n v="0"/>
    <n v="0.05"/>
    <n v="6.0000100000000001E-2"/>
    <n v="5.9999900000000002E-2"/>
    <n v="6.7"/>
    <n v="-0.32700000000000001"/>
    <n v="1.8563000000000001"/>
    <n v="0.41366530000000001"/>
    <n v="0.77075189999999982"/>
    <n v="0.41366530000000001"/>
    <n v="6.2230000000000001E-2"/>
    <n v="6.0010000000000001E-2"/>
    <n v="0"/>
    <n v="0.05"/>
    <n v="5.6611500000000002E-2"/>
    <n v="9.3804000000000005E-3"/>
    <n v="4.5325400000000002E-2"/>
    <n v="6.1"/>
    <n v="7.0452537921677711"/>
    <n v="8.1563380942265411"/>
    <n v="3.0791998787952539"/>
    <n v="4.0706152355228644"/>
    <n v="-0.18665579600000001"/>
    <n v="-0.14914641200000001"/>
    <n v="8.2787070700000007E-2"/>
    <n v="8.0412706099999995E-2"/>
    <n v="0.25596453400000002"/>
  </r>
  <r>
    <x v="36"/>
    <x v="2"/>
    <x v="0"/>
    <n v="4.3005711586796425"/>
    <n v="5.4"/>
    <n v="5.0186034637454329"/>
    <n v="5.98"/>
    <n v="5.6558869102130815"/>
    <n v="3.8199954319714733"/>
    <n v="4.269459659192278"/>
    <n v="4.2311746747493224"/>
    <n v="0.24220469999999999"/>
    <n v="0.21985539999999831"/>
    <n v="-6.9163999999976022E-3"/>
    <n v="1.065744"/>
    <n v="-3.043164"/>
    <n v="-1.2903000000000001E-3"/>
    <n v="2.5806000000000002E-3"/>
    <n v="2.5806000000000002E-3"/>
    <n v="2.5806000000000002E-3"/>
    <n v="2.5806000000000002E-3"/>
    <n v="6.43"/>
    <n v="-0.32969999999999999"/>
    <n v="-0.75983000000000001"/>
    <n v="7.3612700000000003E-2"/>
    <n v="0.8443645999999998"/>
    <n v="7.3612700000000003E-2"/>
    <n v="-0.01"/>
    <n v="0.01"/>
    <n v="0.02"/>
    <n v="0.02"/>
    <n v="2.6832700000000001E-2"/>
    <n v="3.8588299999999999E-2"/>
    <n v="3.3220199999999998E-2"/>
    <n v="6.3"/>
    <n v="7.044643531044259"/>
    <n v="8.1567110091345505"/>
    <n v="3.1192322695396038"/>
    <n v="4.0628710948452147"/>
    <n v="5.2773136800000002E-2"/>
    <n v="-9.52519753E-2"/>
    <n v="-1.6922291799999999E-2"/>
    <n v="0.102875086"/>
    <n v="0.273229104"/>
  </r>
  <r>
    <x v="36"/>
    <x v="3"/>
    <x v="1"/>
    <n v="4.3002361505284874"/>
    <n v="5.8"/>
    <n v="5.0225638649615298"/>
    <n v="6.05"/>
    <n v="5.6572846809966206"/>
    <n v="3.7969263581970703"/>
    <n v="4.2674992311912385"/>
    <n v="4.234005050175571"/>
    <n v="0"/>
    <n v="0.21985539999999831"/>
    <n v="-6.9163999999976022E-3"/>
    <n v="0"/>
    <n v="-3.043164"/>
    <n v="-8.7097000000000008E-3"/>
    <n v="1.7419299999999999E-2"/>
    <n v="1.7419299999999999E-2"/>
    <n v="1.7419299999999999E-2"/>
    <n v="1.7419299999999999E-2"/>
    <n v="6.27"/>
    <n v="-0.2596"/>
    <n v="-0.16261"/>
    <n v="0"/>
    <n v="0.8443645999999998"/>
    <n v="0"/>
    <n v="0"/>
    <n v="0"/>
    <n v="0"/>
    <n v="0"/>
    <n v="0"/>
    <n v="0"/>
    <n v="0"/>
    <n v="6.06"/>
    <n v="7.0469083403747126"/>
    <n v="8.1590028140738404"/>
    <n v="3.1860633351216503"/>
    <n v="4.0580781474952543"/>
    <n v="5.7935274799999999E-2"/>
    <n v="-0.113029562"/>
    <n v="-0.109060773"/>
    <n v="0.19933567199999999"/>
    <n v="0.16132682800000001"/>
  </r>
  <r>
    <x v="36"/>
    <x v="4"/>
    <x v="1"/>
    <n v="4.3032106742381675"/>
    <n v="5.6"/>
    <n v="5.0245381992652467"/>
    <n v="6.01"/>
    <n v="5.6642096995363778"/>
    <n v="3.8189642891765412"/>
    <n v="4.2749563248173326"/>
    <n v="4.2382139993080337"/>
    <n v="0.2246379"/>
    <n v="0.44449329999999831"/>
    <n v="0.2053223000000024"/>
    <n v="-0.26358009999999998"/>
    <n v="-3.3067440000000001"/>
    <n v="2.8600000000000001E-6"/>
    <n v="0"/>
    <n v="-2.9031999999999999E-3"/>
    <n v="-2.9031999999999999E-3"/>
    <n v="0"/>
    <n v="6"/>
    <n v="-0.40110000000000001"/>
    <n v="-0.43503999999999998"/>
    <n v="0.18821370000000001"/>
    <n v="1.0325782999999997"/>
    <n v="0.18821370000000001"/>
    <n v="1.0000000000000001E-5"/>
    <n v="0"/>
    <n v="0"/>
    <n v="-0.01"/>
    <n v="3.5657399999999999E-2"/>
    <n v="3.6889199999999997E-2"/>
    <n v="3.2170400000000002E-2"/>
    <n v="6.17"/>
    <n v="7.0434218904036703"/>
    <n v="8.1660457995176614"/>
    <n v="3.0667497607892713"/>
    <n v="4.0516458076889856"/>
    <n v="0.17172464300000001"/>
    <n v="5.9378835999999997E-2"/>
    <n v="-2.4890345299999998E-2"/>
    <n v="0.17616200600000001"/>
    <n v="0.207530667"/>
  </r>
  <r>
    <x v="36"/>
    <x v="5"/>
    <x v="1"/>
    <n v="4.3068652232323972"/>
    <n v="5.6"/>
    <n v="5.0265086432525461"/>
    <n v="6"/>
    <n v="5.6868058504490842"/>
    <n v="3.8492109930162757"/>
    <n v="4.2798554720627555"/>
    <n v="4.2430087903890605"/>
    <n v="0"/>
    <n v="0.44449329999999831"/>
    <n v="0.2053223000000024"/>
    <n v="0"/>
    <n v="-3.3067440000000001"/>
    <n v="7.1500000000000002E-6"/>
    <n v="0"/>
    <n v="-7.0968000000000003E-3"/>
    <n v="-7.0968000000000003E-3"/>
    <n v="0"/>
    <n v="5.64"/>
    <n v="-0.18629999999999999"/>
    <n v="0.42163"/>
    <n v="0"/>
    <n v="1.0325782999999997"/>
    <n v="0"/>
    <n v="0"/>
    <n v="0"/>
    <n v="0"/>
    <n v="0"/>
    <n v="0"/>
    <n v="0"/>
    <n v="0"/>
    <n v="6.11"/>
    <n v="7.0424609818344281"/>
    <n v="8.1730395280311772"/>
    <n v="3.0471380616138912"/>
    <n v="4.0448741667478041"/>
    <n v="0.26442573800000002"/>
    <n v="-0.159579002"/>
    <n v="-8.2087323200000006E-2"/>
    <n v="0.124040054"/>
    <n v="-4.13297517E-2"/>
  </r>
  <r>
    <x v="36"/>
    <x v="6"/>
    <x v="2"/>
    <n v="4.302858960713321"/>
    <n v="5.7"/>
    <n v="5.0278201188503564"/>
    <n v="5.85"/>
    <n v="5.688228807729435"/>
    <n v="3.8314851752016654"/>
    <n v="4.2777627397299272"/>
    <n v="4.2431093354872127"/>
    <n v="1.93463E-2"/>
    <n v="0.4638395999999983"/>
    <n v="0.20067140000000239"/>
    <n v="-1.861424"/>
    <n v="-5.1681679999999997"/>
    <n v="-9.3600000000000003E-2"/>
    <n v="-0.12580649999999999"/>
    <n v="-0.2264516"/>
    <n v="-0.21806449999999999"/>
    <n v="-0.20967749999999999"/>
    <n v="5.59"/>
    <n v="-0.34639999999999999"/>
    <n v="-0.54151000000000005"/>
    <n v="7.7700900000000003E-2"/>
    <n v="1.1102791999999997"/>
    <n v="7.7700900000000003E-2"/>
    <n v="-0.1116"/>
    <n v="-0.09"/>
    <n v="-0.15"/>
    <n v="-0.27"/>
    <n v="-4.1084500000000003E-2"/>
    <n v="-8.9264899999999994E-2"/>
    <n v="-0.20676459999999999"/>
    <n v="5.97"/>
    <n v="7.0435965018935498"/>
    <n v="8.1781897540074926"/>
    <n v="3.035673880646939"/>
    <n v="4.0508453761092467"/>
    <n v="6.3668765399999994E-2"/>
    <n v="-0.17877804899999999"/>
    <n v="-0.26743152100000001"/>
    <n v="0.18236587500000001"/>
    <n v="3.68037458E-3"/>
  </r>
  <r>
    <x v="36"/>
    <x v="7"/>
    <x v="2"/>
    <n v="4.3155635961735266"/>
    <n v="5.7"/>
    <n v="5.0297841129350163"/>
    <n v="5.74"/>
    <n v="5.676445535580906"/>
    <n v="3.8531855357036515"/>
    <n v="4.2731460419189009"/>
    <n v="4.2481951970403573"/>
    <n v="-4.90342E-2"/>
    <n v="0.41480539999999833"/>
    <n v="0.11159520000000239"/>
    <n v="0.33828439999999999"/>
    <n v="-4.8298839999999998"/>
    <n v="-6.8935000000000003E-3"/>
    <n v="-2.41935E-2"/>
    <n v="-2.41935E-2"/>
    <n v="-2.2580599999999999E-2"/>
    <n v="-2.41935E-2"/>
    <n v="5.75"/>
    <n v="-0.24829999999999999"/>
    <n v="-5.3538000000000002E-2"/>
    <n v="1.18946E-2"/>
    <n v="1.1221737999999997"/>
    <n v="1.18946E-2"/>
    <n v="3.4430000000000002E-2"/>
    <n v="0.01"/>
    <n v="0"/>
    <n v="0.06"/>
    <n v="2.0897700000000002E-2"/>
    <n v="7.4666999999999997E-3"/>
    <n v="7.7311299999999999E-2"/>
    <n v="5.93"/>
    <n v="7.0435091999597574"/>
    <n v="8.1842068719198444"/>
    <n v="3.0232988012717965"/>
    <n v="4.0475499057022493"/>
    <n v="0.24842547700000001"/>
    <n v="-7.9054455199999998E-2"/>
    <n v="-3.4429280700000002E-2"/>
    <n v="-0.18216981099999999"/>
    <n v="0.14596827600000001"/>
  </r>
  <r>
    <x v="36"/>
    <x v="8"/>
    <x v="2"/>
    <n v="4.3195992169219508"/>
    <n v="5.6"/>
    <n v="5.0310913026636381"/>
    <n v="5.8"/>
    <n v="5.6721541991980242"/>
    <n v="3.8642812914426852"/>
    <n v="4.2820543541469194"/>
    <n v="4.2463500857029706"/>
    <n v="6.1397899999999998E-2"/>
    <n v="0.47620329999999833"/>
    <n v="0.13751510000000239"/>
    <n v="0.67204019999999998"/>
    <n v="-4.1578439999999999"/>
    <n v="2.8325199999999998E-2"/>
    <n v="5.0000000000000001E-3"/>
    <n v="5.0645099999999998E-2"/>
    <n v="5.3978400000000003E-2"/>
    <n v="4.2204400000000003E-2"/>
    <n v="5.62"/>
    <n v="-0.20660000000000001"/>
    <n v="1.5872999999999999"/>
    <n v="5.2804299999999998E-2"/>
    <n v="1.1749780999999997"/>
    <n v="5.2804299999999998E-2"/>
    <n v="3.0009999999999998E-2"/>
    <n v="0"/>
    <n v="0.03"/>
    <n v="0.06"/>
    <n v="1.3641800000000001E-2"/>
    <n v="3.6268399999999999E-2"/>
    <n v="7.1878600000000001E-2"/>
    <n v="6.2"/>
    <n v="7.0405363902159559"/>
    <n v="8.1878554436956232"/>
    <n v="3.0214487520586273"/>
    <n v="4.043630047677599"/>
    <n v="-0.152409832"/>
    <n v="-0.17261427200000001"/>
    <n v="8.4925981900000003E-2"/>
    <n v="-9.0357982399999995E-2"/>
    <n v="-0.34298740900000002"/>
  </r>
  <r>
    <x v="36"/>
    <x v="9"/>
    <x v="3"/>
    <n v="4.3182411632565163"/>
    <n v="5.5"/>
    <n v="5.0337005670272514"/>
    <n v="5.76"/>
    <n v="5.6790456944237873"/>
    <n v="3.8440439056152851"/>
    <n v="4.2734386942569822"/>
    <n v="4.2475233413354028"/>
    <n v="0"/>
    <n v="0.47620329999999833"/>
    <n v="0.13751510000000239"/>
    <n v="0"/>
    <n v="-4.1578439999999999"/>
    <n v="2.5008300000000001E-2"/>
    <n v="2.5000000000000001E-2"/>
    <n v="0.05"/>
    <n v="6.6666699999999995E-2"/>
    <n v="4.1666599999999998E-2"/>
    <n v="5.59"/>
    <n v="-0.17749999999999999"/>
    <n v="0.13394"/>
    <n v="0"/>
    <n v="1.1749780999999997"/>
    <n v="0"/>
    <n v="0"/>
    <n v="0"/>
    <n v="0"/>
    <n v="0"/>
    <n v="0"/>
    <n v="0"/>
    <n v="0"/>
    <n v="5.97"/>
    <n v="7.0364123111903991"/>
    <n v="8.190936596984681"/>
    <n v="2.9976803747720071"/>
    <n v="4.0337803552473188"/>
    <n v="2.0689146799999999E-2"/>
    <n v="-0.176560679"/>
    <n v="-0.122343782"/>
    <n v="9.8775873400000005E-2"/>
    <n v="-2.94822504E-2"/>
  </r>
  <r>
    <x v="36"/>
    <x v="10"/>
    <x v="3"/>
    <n v="4.320750785229758"/>
    <n v="5.6"/>
    <n v="5.0350026505445502"/>
    <n v="5.8"/>
    <n v="5.6925867018954666"/>
    <n v="3.8658743494021657"/>
    <n v="4.2841932743251183"/>
    <n v="4.2521884138869765"/>
    <n v="0.1075207"/>
    <n v="0.58372399999999836"/>
    <n v="0.19129830000000239"/>
    <n v="0.5877289"/>
    <n v="-3.5701149999999999"/>
    <n v="2.1328099999999999E-2"/>
    <n v="0"/>
    <n v="1.6E-2"/>
    <n v="1.06666E-2"/>
    <n v="1.6E-2"/>
    <n v="5.43"/>
    <n v="-9.4100000000000003E-2"/>
    <n v="0.74450000000000005"/>
    <n v="2.3649E-2"/>
    <n v="1.1986270999999997"/>
    <n v="2.3649E-2"/>
    <n v="3.9989999999999998E-2"/>
    <n v="0.02"/>
    <n v="0"/>
    <n v="0.03"/>
    <n v="4.5467599999999997E-2"/>
    <n v="1.11018E-2"/>
    <n v="2.7006499999999999E-2"/>
    <n v="6.11"/>
    <n v="7.033594663821285"/>
    <n v="8.1927641435973406"/>
    <n v="2.9984784992220161"/>
    <n v="4.0271714625170683"/>
    <n v="0.23777953700000001"/>
    <n v="8.2814102800000001E-3"/>
    <n v="-9.6693506799999995E-2"/>
    <n v="-1.6985250800000001E-2"/>
    <n v="0.113618237"/>
  </r>
  <r>
    <x v="36"/>
    <x v="11"/>
    <x v="3"/>
    <n v="4.324566999000603"/>
    <n v="5.6"/>
    <n v="5.0363030408448335"/>
    <n v="5.6"/>
    <n v="5.6727732877818564"/>
    <n v="3.8903907053010323"/>
    <n v="4.2907059860961532"/>
    <n v="4.2547896761834796"/>
    <n v="-0.1249469"/>
    <n v="0.45877709999999838"/>
    <n v="2.09554000000024E-2"/>
    <n v="-1.4427239999999999"/>
    <n v="-5.0128380000000003"/>
    <n v="-1.9251899999999999E-2"/>
    <n v="-2.0967699999999999E-2"/>
    <n v="1.4195E-3"/>
    <n v="-3.2472999999999998E-3"/>
    <n v="-2.7742000000000001E-3"/>
    <n v="5.31"/>
    <n v="-8.6300000000000002E-2"/>
    <n v="-0.77954999999999997"/>
    <n v="-9.2613600000000004E-2"/>
    <n v="1.1060134999999998"/>
    <n v="-9.2613600000000004E-2"/>
    <n v="-9.0410000000000004E-2"/>
    <n v="-3.5000000000000003E-2"/>
    <n v="-0.05"/>
    <n v="-0.03"/>
    <n v="-5.0794999999999998E-3"/>
    <n v="-1.0006599999999999E-2"/>
    <n v="-9.2835999999999995E-3"/>
    <n v="4.7300000000000004"/>
    <n v="7.0277580713768337"/>
    <n v="8.1954440363479062"/>
    <n v="3.0182273513813618"/>
    <n v="4.0293792833697415"/>
    <n v="0.16426545300000001"/>
    <n v="-0.15722993599999999"/>
    <n v="-9.3931711500000001E-2"/>
    <n v="-4.8002503000000002E-2"/>
    <n v="-7.5606392199999997E-2"/>
  </r>
  <r>
    <x v="37"/>
    <x v="0"/>
    <x v="0"/>
    <n v="4.3179879885779613"/>
    <n v="5.6"/>
    <n v="5.04148775757902"/>
    <n v="5.56"/>
    <n v="5.6586456289846714"/>
    <n v="3.8559181540433736"/>
    <n v="4.2836693170570133"/>
    <n v="4.25731339050024"/>
    <n v="7.3092000000000004E-2"/>
    <n v="0.53186909999999843"/>
    <n v="9.5663600000002402E-2"/>
    <n v="-1.078066"/>
    <n v="-6.0909040000000001"/>
    <n v="-5.3464200000000003E-2"/>
    <n v="-2.96774E-2"/>
    <n v="-1.80647E-2"/>
    <n v="-1.83871E-2"/>
    <n v="-2.4516099999999999E-2"/>
    <n v="5.09"/>
    <n v="-0.1154"/>
    <n v="0.40849999999999997"/>
    <n v="-6.3769500000000007E-2"/>
    <n v="1.0422439999999997"/>
    <n v="-6.3769500000000007E-2"/>
    <n v="-3.0009999999999998E-2"/>
    <n v="0"/>
    <n v="-0.02"/>
    <n v="-0.02"/>
    <n v="3.7754799999999998E-2"/>
    <n v="6.9131000000000001E-3"/>
    <n v="8.0402000000000008E-3"/>
    <n v="5.71"/>
    <n v="7.0242040916253838"/>
    <n v="8.2004529913644433"/>
    <n v="2.8778492328972742"/>
    <n v="4.0225979025385286"/>
    <n v="0.118061259"/>
    <n v="-7.5835610799999995E-2"/>
    <n v="-8.2566440399999996E-2"/>
    <n v="8.4122068300000005E-2"/>
    <n v="-9.9069348200000004E-2"/>
  </r>
  <r>
    <x v="37"/>
    <x v="1"/>
    <x v="0"/>
    <n v="4.3335228669890613"/>
    <n v="5.5"/>
    <n v="5.0434251169192468"/>
    <n v="5.22"/>
    <n v="5.6524891802686508"/>
    <n v="3.8835412229924957"/>
    <n v="4.2890337678247166"/>
    <n v="4.2618062561090317"/>
    <n v="0"/>
    <n v="0.53186909999999843"/>
    <n v="9.5663600000002402E-2"/>
    <n v="0"/>
    <n v="-6.0909040000000001"/>
    <n v="-2.9041899999999999E-2"/>
    <n v="-1.9354799999999998E-2"/>
    <n v="-1.9354799999999998E-2"/>
    <n v="-2.9032200000000001E-2"/>
    <n v="-3.8709599999999997E-2"/>
    <n v="4.9400000000000004"/>
    <n v="-0.33019999999999999"/>
    <n v="-1.4117"/>
    <n v="0"/>
    <n v="1.0422439999999997"/>
    <n v="0"/>
    <n v="0"/>
    <n v="0"/>
    <n v="0"/>
    <n v="0"/>
    <n v="0"/>
    <n v="0"/>
    <n v="0"/>
    <n v="6.05"/>
    <n v="7.0197437809301846"/>
    <n v="8.2042890328944047"/>
    <n v="2.826129489167811"/>
    <n v="3.9998140783758673"/>
    <n v="0.408980803"/>
    <n v="0.23699535299999999"/>
    <n v="-3.0601668799999999E-2"/>
    <n v="-4.9089526100000003E-2"/>
    <n v="8.0703987199999994E-2"/>
  </r>
  <r>
    <x v="37"/>
    <x v="2"/>
    <x v="0"/>
    <n v="4.3322217058048667"/>
    <n v="5.5"/>
    <n v="5.0466457316192885"/>
    <n v="5.31"/>
    <n v="5.6581224066206763"/>
    <n v="3.8934108692161642"/>
    <n v="4.2950243485520208"/>
    <n v="4.2652118800820471"/>
    <n v="6.5497E-2"/>
    <n v="0.59736609999999846"/>
    <n v="0.15244400000000241"/>
    <n v="-8.6669999999999998E-4"/>
    <n v="-6.0917709999999996"/>
    <n v="1.9354999999999999E-3"/>
    <n v="1.9335999999999999E-3"/>
    <n v="1.9354999999999999E-3"/>
    <n v="3.8709999999999999E-3"/>
    <n v="1.9354999999999999E-3"/>
    <n v="5.34"/>
    <n v="-0.34110000000000001"/>
    <n v="0.84936999999999996"/>
    <n v="-5.8749500000000003E-2"/>
    <n v="0.98349449999999972"/>
    <n v="-5.8749500000000003E-2"/>
    <n v="0.01"/>
    <n v="0"/>
    <n v="9.9900000000000006E-3"/>
    <n v="0.01"/>
    <n v="-1.5042700000000001E-2"/>
    <n v="-1.00669E-2"/>
    <n v="1.7149000000000001E-3"/>
    <n v="5.25"/>
    <n v="7.0234027025080987"/>
    <n v="8.2111298810156512"/>
    <n v="2.9175004252844174"/>
    <n v="4.0123026352184841"/>
    <n v="-0.25682031500000002"/>
    <n v="-0.225860435"/>
    <n v="-0.11208164900000001"/>
    <n v="7.3303434299999998E-2"/>
    <n v="-0.31476085100000001"/>
  </r>
  <r>
    <x v="37"/>
    <x v="3"/>
    <x v="1"/>
    <n v="4.3410353549923686"/>
    <n v="5.6"/>
    <n v="5.0504968275213864"/>
    <n v="5.22"/>
    <n v="5.6866024054463482"/>
    <n v="3.9105018490562071"/>
    <n v="4.2996228084190662"/>
    <n v="4.2659842706691951"/>
    <n v="0"/>
    <n v="0.59736609999999846"/>
    <n v="0.15244400000000241"/>
    <n v="0"/>
    <n v="-6.0917709999999996"/>
    <n v="8.0645000000000005E-3"/>
    <n v="8.0564E-3"/>
    <n v="8.0645000000000005E-3"/>
    <n v="1.6129000000000001E-2"/>
    <n v="8.0645000000000005E-3"/>
    <n v="5.54"/>
    <n v="-0.29530000000000001"/>
    <n v="-6.7604999999999998E-2"/>
    <n v="0"/>
    <n v="0.98349449999999972"/>
    <n v="0"/>
    <n v="0"/>
    <n v="0"/>
    <n v="0"/>
    <n v="0"/>
    <n v="0"/>
    <n v="0"/>
    <n v="0"/>
    <n v="5.5"/>
    <n v="7.0253605210564007"/>
    <n v="8.2139506808464002"/>
    <n v="2.9567835234154161"/>
    <n v="4.0089319065961684"/>
    <n v="7.9720522099999996E-2"/>
    <n v="0.12493945100000001"/>
    <n v="0.15765995299999999"/>
    <n v="-0.18887863099999999"/>
    <n v="6.7265495999999994E-2"/>
  </r>
  <r>
    <x v="37"/>
    <x v="4"/>
    <x v="1"/>
    <n v="4.3482953271265359"/>
    <n v="5.6"/>
    <n v="5.0524168281112107"/>
    <n v="5.24"/>
    <n v="5.7297750549304549"/>
    <n v="3.9157161772657636"/>
    <n v="4.2991340365843156"/>
    <n v="4.2670926615816223"/>
    <n v="6.3027999999999999E-3"/>
    <n v="0.60366889999999851"/>
    <n v="0.12625170000000241"/>
    <n v="0.45165529999999998"/>
    <n v="-5.6401159999999999"/>
    <n v="-3.58E-6"/>
    <n v="0"/>
    <n v="7.0968000000000003E-3"/>
    <n v="3.5484000000000002E-3"/>
    <n v="7.0968000000000003E-3"/>
    <n v="5.64"/>
    <n v="-0.32869999999999999"/>
    <n v="-3.2936E-2"/>
    <n v="-5.9616700000000002E-2"/>
    <n v="0.92387779999999975"/>
    <n v="-5.9616700000000002E-2"/>
    <n v="-1.0000000000000001E-5"/>
    <n v="0"/>
    <n v="0"/>
    <n v="0.02"/>
    <n v="-6.5554999999999997E-3"/>
    <n v="-1.04189E-2"/>
    <n v="5.7184000000000002E-3"/>
    <n v="5.31"/>
    <n v="7.0179540712802124"/>
    <n v="8.2169525897170601"/>
    <n v="2.8220929171428701"/>
    <n v="3.9873901844480306"/>
    <n v="-0.164108905"/>
    <n v="-7.2413479500000003E-2"/>
    <n v="0.23076361100000001"/>
    <n v="4.09343255E-2"/>
    <n v="-0.17245978200000001"/>
  </r>
  <r>
    <x v="37"/>
    <x v="5"/>
    <x v="1"/>
    <n v="4.3567216471202306"/>
    <n v="5.3"/>
    <n v="5.054333149361975"/>
    <n v="5.27"/>
    <n v="5.7349580921246508"/>
    <n v="3.9009216123569721"/>
    <n v="4.3072896185596399"/>
    <n v="4.2690258955866378"/>
    <n v="0"/>
    <n v="0.60366889999999851"/>
    <n v="0.12625170000000241"/>
    <n v="0"/>
    <n v="-5.6401159999999999"/>
    <n v="-6.4400000000000002E-6"/>
    <n v="0"/>
    <n v="1.29032E-2"/>
    <n v="6.4516E-3"/>
    <n v="1.29032E-2"/>
    <n v="5.81"/>
    <n v="-0.30499999999999999"/>
    <n v="-0.24082999999999999"/>
    <n v="0"/>
    <n v="0.92387779999999975"/>
    <n v="0"/>
    <n v="0"/>
    <n v="0"/>
    <n v="0"/>
    <n v="0"/>
    <n v="0"/>
    <n v="0"/>
    <n v="0"/>
    <n v="5"/>
    <n v="7.0167890400062598"/>
    <n v="8.2205376441653488"/>
    <n v="2.8112082932048361"/>
    <n v="3.9845110948514137"/>
    <n v="-0.16621897399999999"/>
    <n v="-0.17458458399999999"/>
    <n v="1.13219884E-2"/>
    <n v="-5.5996176500000001E-2"/>
    <n v="-4.4394208800000001E-2"/>
  </r>
  <r>
    <x v="37"/>
    <x v="6"/>
    <x v="2"/>
    <n v="4.3549341760050853"/>
    <n v="5.5"/>
    <n v="5.0562458053483077"/>
    <n v="5.4"/>
    <n v="5.7351196299652409"/>
    <n v="3.90614576825527"/>
    <n v="4.3074243095786464"/>
    <n v="4.2711788693383514"/>
    <n v="-1.0540300000000001E-2"/>
    <n v="0.59312859999999856"/>
    <n v="8.5704000000002417E-2"/>
    <n v="-0.36684909999999998"/>
    <n v="-6.0069650000000001"/>
    <n v="-6.7326800000000006E-2"/>
    <n v="-2.8064499999999999E-2"/>
    <n v="-1.8709699999999999E-2"/>
    <n v="-9.3547999999999999E-3"/>
    <n v="-9.3547999999999999E-3"/>
    <n v="5.85"/>
    <n v="-0.37369999999999998"/>
    <n v="0.25026999999999999"/>
    <n v="-6.5106700000000003E-2"/>
    <n v="0.85877109999999979"/>
    <n v="-6.5106700000000003E-2"/>
    <n v="-7.1970000000000006E-2"/>
    <n v="-6.5000000000000002E-2"/>
    <n v="-0.03"/>
    <n v="-0.02"/>
    <n v="-7.1738899999999994E-2"/>
    <n v="-3.8010500000000003E-2"/>
    <n v="-4.0318800000000002E-2"/>
    <n v="6.75"/>
    <n v="7.0142751223598099"/>
    <n v="8.224538777337898"/>
    <n v="2.7350815401532405"/>
    <n v="3.9704805749997147"/>
    <n v="-0.20812549999999999"/>
    <n v="-0.30844915299999998"/>
    <n v="1.85539924E-2"/>
    <n v="-5.3662978600000001E-2"/>
    <n v="-4.1652756499999999E-2"/>
  </r>
  <r>
    <x v="37"/>
    <x v="7"/>
    <x v="2"/>
    <n v="4.3607749079400859"/>
    <n v="5.0999999999999996"/>
    <n v="5.0575188799951061"/>
    <n v="5.22"/>
    <n v="5.7503479438035221"/>
    <n v="3.919455317245442"/>
    <n v="4.3106783127188297"/>
    <n v="4.2726441528537293"/>
    <n v="-2.3885400000000001E-2"/>
    <n v="0.56924319999999851"/>
    <n v="2.1323300000002418E-2"/>
    <n v="0.109957"/>
    <n v="-5.8970070000000003"/>
    <n v="-1.55555E-2"/>
    <n v="-1.9354999999999999E-3"/>
    <n v="-1.2903000000000001E-3"/>
    <n v="7.0968000000000003E-3"/>
    <n v="3.2258E-3"/>
    <n v="5.67"/>
    <n v="-0.43759999999999999"/>
    <n v="-0.94608999999999999"/>
    <n v="-3.2294799999999999E-2"/>
    <n v="0.82647629999999983"/>
    <n v="-3.2294799999999999E-2"/>
    <n v="-2.819E-2"/>
    <n v="-0.01"/>
    <n v="0"/>
    <n v="0"/>
    <n v="-9.6947000000000005E-3"/>
    <n v="4.8704000000000004E-3"/>
    <n v="8.7007999999999999E-3"/>
    <n v="5.28"/>
    <n v="7.0045189474144447"/>
    <n v="8.2263862416169324"/>
    <n v="2.6955051735999151"/>
    <n v="3.9479305437665646"/>
    <n v="0.113935597"/>
    <n v="-0.14081075700000001"/>
    <n v="-7.8886147899999995E-2"/>
    <n v="-9.8940370400000005E-2"/>
    <n v="0.114420488"/>
  </r>
  <r>
    <x v="37"/>
    <x v="8"/>
    <x v="2"/>
    <n v="4.3676335493862437"/>
    <n v="5.2"/>
    <n v="5.0606944939689926"/>
    <n v="5.3"/>
    <n v="5.7348611568934649"/>
    <n v="3.9228244591220016"/>
    <n v="4.3092408649482286"/>
    <n v="4.2744135839627617"/>
    <n v="1.37985E-2"/>
    <n v="0.58304169999999855"/>
    <n v="-2.0987899999997582E-2"/>
    <n v="-1.9894639999999999"/>
    <n v="-7.8864710000000002"/>
    <n v="-4.5277699999999997E-2"/>
    <n v="-3.0333300000000001E-2"/>
    <n v="-2.0999899999999998E-2"/>
    <n v="-4.0752999999999996E-3"/>
    <n v="-1.2537599999999999E-2"/>
    <n v="5.83"/>
    <n v="-0.4249"/>
    <n v="0.11804000000000001"/>
    <n v="3.2207199999999998E-2"/>
    <n v="0.85868349999999982"/>
    <n v="3.2207199999999998E-2"/>
    <n v="-0.12"/>
    <n v="-2.4989999999999998E-2"/>
    <n v="-0.13"/>
    <n v="-0.09"/>
    <n v="-1.1717200000000001E-2"/>
    <n v="-0.10214280000000001"/>
    <n v="-9.13934E-2"/>
    <n v="6.09"/>
    <n v="6.9996049326120158"/>
    <n v="8.2286040410269585"/>
    <n v="2.6198745101984846"/>
    <n v="3.9307466194262486"/>
    <n v="6.3766080800000003E-3"/>
    <n v="-0.25486349899999999"/>
    <n v="-8.7153606999999994E-2"/>
    <n v="7.5617245599999994E-2"/>
    <n v="6.1407080500000003E-2"/>
  </r>
  <r>
    <x v="37"/>
    <x v="9"/>
    <x v="3"/>
    <n v="4.3668698487248436"/>
    <n v="5.2"/>
    <n v="5.0638600553335538"/>
    <n v="5.24"/>
    <n v="5.6966235774577214"/>
    <n v="3.9306681002969857"/>
    <n v="4.3164742664336462"/>
    <n v="4.2747336975362229"/>
    <n v="0"/>
    <n v="0.58304169999999855"/>
    <n v="-2.0987899999997582E-2"/>
    <n v="0"/>
    <n v="-7.8864710000000002"/>
    <n v="-9.2000100000000001E-2"/>
    <n v="-9.9666699999999997E-2"/>
    <n v="-6.9000000000000006E-2"/>
    <n v="-5.3666600000000002E-2"/>
    <n v="-6.1333400000000003E-2"/>
    <n v="5.55"/>
    <n v="-0.38109999999999999"/>
    <n v="-0.28664000000000001"/>
    <n v="0"/>
    <n v="0.85868349999999982"/>
    <n v="0"/>
    <n v="0"/>
    <n v="0"/>
    <n v="0"/>
    <n v="0"/>
    <n v="0"/>
    <n v="0"/>
    <n v="0"/>
    <n v="5.63"/>
    <n v="6.9899802192378067"/>
    <n v="8.2325730930002763"/>
    <n v="2.5503041768742967"/>
    <n v="3.9070305639051019"/>
    <n v="-0.193069832"/>
    <n v="-6.9896528099999994E-2"/>
    <n v="0.10526917399999999"/>
    <n v="-2.3311071900000001E-2"/>
    <n v="-8.6887770000000003E-2"/>
  </r>
  <r>
    <x v="37"/>
    <x v="10"/>
    <x v="3"/>
    <n v="4.3755570016576195"/>
    <n v="5.4"/>
    <n v="5.0670156275323635"/>
    <n v="5.31"/>
    <n v="5.6519276191139243"/>
    <n v="3.9385675606502581"/>
    <n v="4.3157532762425941"/>
    <n v="4.2774158379066014"/>
    <n v="7.3000399999999993E-2"/>
    <n v="0.65604209999999852"/>
    <n v="2.6894700000002415E-2"/>
    <n v="0.32868439999999999"/>
    <n v="-7.5577870000000003"/>
    <n v="-1.05898E-2"/>
    <n v="-6.0000000000000001E-3"/>
    <n v="-6.0000000000000001E-3"/>
    <n v="-1.20001E-2"/>
    <n v="-1.7999999999999999E-2"/>
    <n v="5.42"/>
    <n v="-0.34899999999999998"/>
    <n v="0.24576999999999999"/>
    <n v="5.0052100000000002E-2"/>
    <n v="0.90873559999999987"/>
    <n v="5.0052100000000002E-2"/>
    <n v="-1.7649999999999999E-2"/>
    <n v="-0.01"/>
    <n v="-0.01"/>
    <n v="-0.01"/>
    <n v="3.7812000000000002E-3"/>
    <n v="2.1551999999999999E-3"/>
    <n v="-2.3243000000000001E-3"/>
    <n v="5.44"/>
    <n v="6.9879518209764138"/>
    <n v="8.2377966985512288"/>
    <n v="2.5544327124366104"/>
    <n v="3.9033051148084232"/>
    <n v="0.101404706"/>
    <n v="-4.3249655900000003E-2"/>
    <n v="-0.11606028"/>
    <n v="0.11220627399999999"/>
    <n v="0.181361467"/>
  </r>
  <r>
    <x v="37"/>
    <x v="11"/>
    <x v="3"/>
    <n v="4.3821553763863115"/>
    <n v="5.4"/>
    <n v="5.0695329353437408"/>
    <n v="5.29"/>
    <n v="5.6571449918048442"/>
    <n v="3.937183801086646"/>
    <n v="4.3193131138763281"/>
    <n v="4.2823306010581641"/>
    <n v="1.6142199999999999E-2"/>
    <n v="0.67218429999999851"/>
    <n v="5.0000000241523512E-7"/>
    <n v="0.39568500000000001"/>
    <n v="-7.162102"/>
    <n v="-1.7034999999999999E-3"/>
    <n v="-8.8386999999999997E-3"/>
    <n v="-3.9998999999999998E-3"/>
    <n v="-8.0000000000000002E-3"/>
    <n v="-1.6838700000000002E-2"/>
    <n v="5.47"/>
    <n v="-0.443"/>
    <n v="7.4361999999999998E-2"/>
    <n v="2.8171700000000001E-2"/>
    <n v="0.93690729999999989"/>
    <n v="2.8171700000000001E-2"/>
    <n v="1.107E-2"/>
    <n v="5.0000000000000001E-3"/>
    <n v="-0.01"/>
    <n v="0"/>
    <n v="2.3899400000000001E-2"/>
    <n v="-7.9339999999999999E-4"/>
    <n v="1.4021E-2"/>
    <n v="6.26"/>
    <n v="6.9859192999514912"/>
    <n v="8.2433877252997991"/>
    <n v="2.5901671604454934"/>
    <n v="3.9126228255001139"/>
    <n v="-0.165639129"/>
    <n v="-0.16038912799999999"/>
    <n v="-0.13492204099999999"/>
    <n v="0.230880053"/>
    <n v="-3.2891270299999997E-2"/>
  </r>
  <r>
    <x v="38"/>
    <x v="0"/>
    <x v="0"/>
    <n v="4.3834818253701329"/>
    <n v="5.3"/>
    <n v="5.0714167663561147"/>
    <n v="5.25"/>
    <n v="5.6773015974066041"/>
    <n v="3.9597840688264059"/>
    <n v="4.3158734773793075"/>
    <n v="4.2866439522413042"/>
    <n v="0"/>
    <n v="0.67218429999999851"/>
    <m/>
    <n v="0"/>
    <n v="-7.162102"/>
    <n v="5.7134999999999998E-3"/>
    <n v="-5.1612999999999997E-3"/>
    <n v="0"/>
    <n v="0"/>
    <n v="-5.1612999999999997E-3"/>
    <n v="5.61"/>
    <n v="-0.35010000000000002"/>
    <n v="-0.17193"/>
    <n v="0"/>
    <n v="0.93690729999999989"/>
    <n v="0"/>
    <n v="0"/>
    <n v="0"/>
    <n v="0"/>
    <n v="0"/>
    <n v="0"/>
    <n v="0"/>
    <n v="0"/>
    <n v="5.37"/>
    <n v="6.9858268144022926"/>
    <n v="8.2472724485430984"/>
    <n v="2.4577923572964284"/>
    <n v="3.9047768150891731"/>
    <n v="-0.14464362"/>
    <n v="-0.13302352100000001"/>
    <n v="0.110244445"/>
    <n v="-9.0876658499999992E-3"/>
    <n v="4.9529588800000003E-2"/>
  </r>
  <r>
    <x v="38"/>
    <x v="1"/>
    <x v="0"/>
    <n v="4.3956632321967906"/>
    <n v="5.2"/>
    <n v="5.0732970552209666"/>
    <n v="5.19"/>
    <n v="5.6908323154805727"/>
    <n v="3.9566903969233054"/>
    <n v="4.3236689726113919"/>
    <n v="4.28771595520264"/>
    <n v="1.9776700000000001E-2"/>
    <n v="0.69196099999999849"/>
    <m/>
    <n v="0.15748100000000001"/>
    <n v="-7.0046210000000002"/>
    <n v="-3.1302900000000002E-2"/>
    <n v="0"/>
    <n v="8.5713999999999999E-3"/>
    <n v="1.7142899999999999E-2"/>
    <n v="2.5714299999999999E-2"/>
    <n v="5.53"/>
    <n v="-0.48609999999999998"/>
    <n v="-0.23041"/>
    <n v="9.9153999999999996E-3"/>
    <n v="0.94682269999999991"/>
    <n v="9.9153999999999996E-3"/>
    <n v="-3.6519999999999997E-2"/>
    <n v="-0.03"/>
    <n v="0"/>
    <n v="0.01"/>
    <n v="-1.7018999999999999E-2"/>
    <n v="1.6840500000000001E-2"/>
    <n v="2.5180000000000001E-2"/>
    <n v="5.5"/>
    <n v="6.9836045912655749"/>
    <n v="8.2503328346567546"/>
    <n v="2.4367662744600653"/>
    <n v="3.8851244615594451"/>
    <n v="-1.8413651499999999E-2"/>
    <n v="-0.108312783"/>
    <n v="0.107319737"/>
    <n v="-0.130233457"/>
    <n v="9.2577758900000001E-2"/>
  </r>
  <r>
    <x v="38"/>
    <x v="2"/>
    <x v="0"/>
    <n v="4.4026708195258522"/>
    <n v="5.2"/>
    <n v="5.0739230333321741"/>
    <n v="5.39"/>
    <n v="5.6960190840383671"/>
    <n v="3.97002772771472"/>
    <n v="4.3301410596596259"/>
    <n v="4.2866989547164298"/>
    <n v="0.102688"/>
    <n v="0.7946489999999985"/>
    <m/>
    <n v="0.9079431"/>
    <n v="-6.0966769999999997"/>
    <n v="3.8151999999999999E-3"/>
    <n v="9.0322000000000006E-3"/>
    <n v="1.6106100000000002E-2"/>
    <n v="1.97927E-2"/>
    <n v="1.89631E-2"/>
    <n v="5.8"/>
    <n v="-0.51300000000000001"/>
    <n v="0.83113999999999999"/>
    <n v="0.1135224"/>
    <n v="1.0603450999999999"/>
    <n v="0.1135224"/>
    <n v="0.04"/>
    <n v="0.01"/>
    <n v="0.04"/>
    <n v="6.5000000000000002E-2"/>
    <n v="5.8564000000000003E-3"/>
    <n v="3.8079399999999999E-2"/>
    <n v="5.77463E-2"/>
    <n v="7.07"/>
    <n v="6.9777476508021721"/>
    <n v="8.2542947843199688"/>
    <n v="2.4406934951116748"/>
    <n v="3.8648056038190308"/>
    <n v="-0.192169486"/>
    <n v="-0.28981562900000002"/>
    <n v="-7.8117842899999998E-2"/>
    <n v="-2.0972930200000001E-4"/>
    <n v="-0.19262093699999999"/>
  </r>
  <r>
    <x v="38"/>
    <x v="3"/>
    <x v="1"/>
    <n v="4.4034676250024427"/>
    <n v="5.0999999999999996"/>
    <n v="5.0745486198399083"/>
    <n v="5.51"/>
    <n v="5.6771304436587746"/>
    <n v="3.9577035779201202"/>
    <n v="4.3213871689972772"/>
    <n v="4.2924164291072868"/>
    <n v="0"/>
    <n v="0.7946489999999985"/>
    <m/>
    <n v="0"/>
    <n v="-6.0966769999999997"/>
    <n v="3.0967700000000001E-2"/>
    <n v="3.0967700000000001E-2"/>
    <n v="5.0322499999999999E-2"/>
    <n v="5.8064499999999998E-2"/>
    <n v="5.0322699999999998E-2"/>
    <n v="5.99"/>
    <n v="-0.43880000000000002"/>
    <n v="9.2981999999999995E-2"/>
    <n v="0"/>
    <n v="1.0603450999999999"/>
    <n v="0"/>
    <n v="0"/>
    <n v="0"/>
    <n v="0"/>
    <n v="0"/>
    <n v="0"/>
    <n v="0"/>
    <n v="0"/>
    <n v="5.82"/>
    <n v="6.9696966805223202"/>
    <n v="8.2583965553875398"/>
    <n v="2.5052810090391504"/>
    <n v="3.8521243700197947"/>
    <n v="-0.23003472899999999"/>
    <n v="-0.299600643"/>
    <n v="-2.70643796E-3"/>
    <n v="-0.20561141899999999"/>
    <n v="-9.7754603300000006E-2"/>
  </r>
  <r>
    <x v="38"/>
    <x v="4"/>
    <x v="1"/>
    <n v="4.4096296420998531"/>
    <n v="4.9000000000000004"/>
    <n v="5.0745486198399083"/>
    <n v="5.5"/>
    <n v="5.6786014094589428"/>
    <n v="3.9500699530650487"/>
    <n v="4.3201379329950358"/>
    <n v="4.2954060903901077"/>
    <n v="9.8442500000000002E-2"/>
    <n v="0.89309149999999848"/>
    <m/>
    <n v="-1.153122"/>
    <n v="-7.2497990000000003"/>
    <n v="-3.8186999999999999E-2"/>
    <n v="-3.48387E-2"/>
    <n v="-2.7096700000000001E-2"/>
    <n v="-2.1290300000000002E-2"/>
    <n v="-1.9354799999999998E-2"/>
    <n v="5.87"/>
    <n v="-0.437"/>
    <n v="-0.92184999999999995"/>
    <n v="7.4719999999999995E-2"/>
    <n v="1.1350650999999998"/>
    <n v="7.4719999999999995E-2"/>
    <n v="-9.8650000000000002E-2"/>
    <n v="-3.5000000000000003E-2"/>
    <n v="-0.09"/>
    <n v="-7.0000000000000007E-2"/>
    <n v="-2.0745E-3"/>
    <n v="-5.2791299999999999E-2"/>
    <n v="-5.2775500000000003E-2"/>
    <n v="5.58"/>
    <n v="6.9696026823082171"/>
    <n v="8.2613198154791085"/>
    <n v="2.3857306740807145"/>
    <n v="3.8376011378605668"/>
    <n v="3.1853633300000003E-2"/>
    <n v="-0.247559682"/>
    <n v="-7.5045774799999999E-3"/>
    <n v="-0.30925070399999999"/>
    <n v="0.16178256999999999"/>
  </r>
  <r>
    <x v="38"/>
    <x v="5"/>
    <x v="1"/>
    <n v="4.4146862070791713"/>
    <n v="5"/>
    <n v="5.0764230346342591"/>
    <n v="5.56"/>
    <n v="5.6838178342366037"/>
    <n v="3.9691214174680227"/>
    <n v="4.3298250331634414"/>
    <n v="4.2957876865569711"/>
    <n v="0"/>
    <n v="0.89309149999999848"/>
    <m/>
    <n v="0"/>
    <n v="-7.2497990000000003"/>
    <n v="-6.0463000000000003E-2"/>
    <n v="-5.5161500000000002E-2"/>
    <n v="-4.2903400000000001E-2"/>
    <n v="-3.3709599999999999E-2"/>
    <n v="-3.06453E-2"/>
    <n v="5.69"/>
    <n v="-0.50770000000000004"/>
    <n v="-0.44741999999999998"/>
    <n v="0"/>
    <n v="1.1350650999999998"/>
    <n v="0"/>
    <n v="0"/>
    <n v="0"/>
    <n v="0"/>
    <n v="0"/>
    <n v="0"/>
    <n v="0"/>
    <n v="0"/>
    <n v="6.87"/>
    <n v="6.9717624089564296"/>
    <n v="8.2656501655803289"/>
    <n v="2.3333082656368864"/>
    <n v="3.8409780298150635"/>
    <n v="-9.9819355100000007E-2"/>
    <n v="-0.37213004399999999"/>
    <n v="-0.170069581"/>
    <n v="0.102005393"/>
    <n v="8.5257351699999998E-2"/>
  </r>
  <r>
    <x v="38"/>
    <x v="6"/>
    <x v="2"/>
    <n v="4.4223008792064986"/>
    <n v="4.9000000000000004"/>
    <n v="5.0776706954324142"/>
    <n v="5.52"/>
    <n v="5.6739416326451799"/>
    <n v="3.9906308380067603"/>
    <n v="4.3376044171211348"/>
    <n v="4.3032539535084862"/>
    <n v="-4.9381800000000003E-2"/>
    <n v="0.84370969999999845"/>
    <m/>
    <n v="-0.25677939999999999"/>
    <n v="-7.5065780000000002"/>
    <n v="-2.0690199999999999E-2"/>
    <n v="-1.9354799999999998E-2"/>
    <n v="0"/>
    <n v="0"/>
    <n v="0"/>
    <n v="5.54"/>
    <n v="-0.52539999999999998"/>
    <n v="-0.27695999999999998"/>
    <n v="-1.9380600000000001E-2"/>
    <n v="1.1156844999999997"/>
    <n v="-1.9380600000000001E-2"/>
    <n v="-2.138E-2"/>
    <n v="-0.02"/>
    <n v="-0.02"/>
    <n v="0"/>
    <n v="-1.5320800000000001E-2"/>
    <n v="-1.77532E-2"/>
    <n v="-6.0309999999999999E-3"/>
    <n v="5.96"/>
    <n v="6.9711994515386717"/>
    <n v="8.2702179068486821"/>
    <n v="2.2901075714829329"/>
    <n v="3.8361565649980225"/>
    <n v="-4.6449513200000001E-2"/>
    <n v="-0.24083423300000001"/>
    <n v="-0.20797141199999999"/>
    <n v="8.3470811699999994E-2"/>
    <n v="7.86685518E-2"/>
  </r>
  <r>
    <x v="38"/>
    <x v="7"/>
    <x v="2"/>
    <n v="4.432773217141702"/>
    <n v="4.8"/>
    <n v="5.080161356744866"/>
    <n v="5.54"/>
    <n v="5.6874498200353036"/>
    <n v="4.0166172275580676"/>
    <n v="4.340019041776209"/>
    <n v="4.3066832843700915"/>
    <n v="0.1114467"/>
    <n v="0.95515639999999846"/>
    <m/>
    <n v="0.41531760000000001"/>
    <n v="-7.0912600000000001"/>
    <n v="-6.9399999999999996E-4"/>
    <n v="3.5484000000000002E-3"/>
    <n v="4.1935000000000002E-3"/>
    <n v="6.2903000000000004E-3"/>
    <n v="6.2903000000000004E-3"/>
    <n v="5.56"/>
    <n v="-0.50119999999999998"/>
    <n v="0.15792999999999999"/>
    <n v="0.10917109999999999"/>
    <n v="1.2248555999999997"/>
    <n v="0.10917109999999999"/>
    <n v="-1.0000000000000001E-5"/>
    <n v="0"/>
    <n v="0.01"/>
    <n v="0.01"/>
    <n v="2.5125700000000001E-2"/>
    <n v="2.5035499999999999E-2"/>
    <n v="2.8591999999999999E-2"/>
    <n v="5.52"/>
    <n v="6.9803549713964808"/>
    <n v="8.2788344742955466"/>
    <n v="2.3502317464613989"/>
    <n v="3.8354874737500269"/>
    <n v="-0.14996654000000001"/>
    <n v="-0.31508353"/>
    <n v="-0.19937089799999999"/>
    <n v="4.3537138599999997E-2"/>
    <n v="1.09111408E-2"/>
  </r>
  <r>
    <x v="38"/>
    <x v="8"/>
    <x v="2"/>
    <n v="4.4420169377056284"/>
    <n v="4.9000000000000004"/>
    <n v="5.0826458300725275"/>
    <n v="5.54"/>
    <n v="5.6814686970596169"/>
    <n v="4.0003085702955063"/>
    <n v="4.3416602655072953"/>
    <n v="4.3096440961799187"/>
    <n v="-0.1585259"/>
    <n v="0.79663049999999846"/>
    <m/>
    <n v="0.1356504"/>
    <n v="-6.9556100000000001"/>
    <n v="-5.7200000000000003E-6"/>
    <n v="5.8063999999999998E-3"/>
    <n v="5.64E-3"/>
    <n v="8.5430000000000002E-3"/>
    <n v="8.8763999999999996E-3"/>
    <n v="5.52"/>
    <n v="-0.59899999999999998"/>
    <n v="0.39479999999999998"/>
    <n v="-4.3888299999999998E-2"/>
    <n v="1.1809672999999996"/>
    <n v="-4.3888299999999998E-2"/>
    <n v="0"/>
    <n v="-0.02"/>
    <n v="0"/>
    <n v="-5.0000000000000001E-3"/>
    <n v="-1.38327E-2"/>
    <n v="1.22121E-2"/>
    <n v="1.2224E-3"/>
    <n v="5.81"/>
    <n v="6.9725125261974155"/>
    <n v="8.2827611643321717"/>
    <n v="2.276651710967541"/>
    <n v="3.8245024078986507"/>
    <n v="-0.20497906499999999"/>
    <n v="-0.25652959400000003"/>
    <n v="4.9012170000000001E-2"/>
    <n v="5.1477084100000001E-4"/>
    <n v="-4.8528782800000003E-2"/>
  </r>
  <r>
    <x v="38"/>
    <x v="9"/>
    <x v="3"/>
    <n v="4.4510231728207774"/>
    <n v="4.7"/>
    <n v="5.084505142662711"/>
    <n v="5.5"/>
    <n v="5.6894468758888346"/>
    <n v="4.0069512941395313"/>
    <n v="4.3422457646620369"/>
    <n v="4.3159268954693557"/>
    <n v="0"/>
    <n v="0.79663049999999846"/>
    <m/>
    <n v="0"/>
    <n v="-6.9556100000000001"/>
    <n v="0"/>
    <n v="0"/>
    <n v="-4.8335000000000001E-3"/>
    <n v="-4.8332999999999996E-3"/>
    <n v="4.8332999999999996E-3"/>
    <n v="5.46"/>
    <n v="-0.4728"/>
    <n v="1.2478E-2"/>
    <n v="0"/>
    <n v="1.1809672999999996"/>
    <n v="0"/>
    <n v="0"/>
    <n v="0"/>
    <n v="0"/>
    <n v="0"/>
    <n v="0"/>
    <n v="0"/>
    <n v="0"/>
    <n v="5.56"/>
    <n v="6.971293299786125"/>
    <n v="8.2875787489717165"/>
    <n v="2.3020849679523634"/>
    <n v="3.8218794555751803"/>
    <n v="-0.24479056599999999"/>
    <n v="-9.2504792000000002E-2"/>
    <n v="-8.5998086099999996E-2"/>
    <n v="3.3019934700000003E-2"/>
    <n v="3.5914018199999999E-3"/>
  </r>
  <r>
    <x v="38"/>
    <x v="10"/>
    <x v="3"/>
    <n v="4.4597547426501158"/>
    <n v="4.5999999999999996"/>
    <n v="5.0857427665830608"/>
    <n v="5.52"/>
    <n v="5.6841918248911973"/>
    <n v="4.0333907195517602"/>
    <n v="4.3506004649865124"/>
    <n v="4.3139752841026908"/>
    <n v="-7.2062500000000002E-2"/>
    <n v="0.72456799999999844"/>
    <m/>
    <n v="6.1026200000000003E-2"/>
    <n v="-6.894584"/>
    <n v="-2.63848E-2"/>
    <n v="0"/>
    <n v="-1.9000099999999999E-2"/>
    <n v="-1.89999E-2"/>
    <n v="-2.2166700000000001E-2"/>
    <n v="5.46"/>
    <n v="-0.39600000000000002"/>
    <n v="0.25620999999999999"/>
    <n v="-3.4310599999999997E-2"/>
    <n v="1.1466566999999996"/>
    <n v="-3.4310599999999997E-2"/>
    <n v="-4.1660000000000003E-2"/>
    <n v="-2.4989999999999998E-2"/>
    <n v="0"/>
    <n v="-0.03"/>
    <n v="-1.5852999999999999E-2"/>
    <n v="4.7115999999999998E-3"/>
    <n v="-2.9598900000000001E-2"/>
    <n v="5.5"/>
    <n v="6.9762546954068299"/>
    <n v="8.2933493949876347"/>
    <n v="2.3574519944348857"/>
    <n v="3.8342344219733073"/>
    <n v="-0.288735044"/>
    <n v="-0.208702468"/>
    <n v="-0.16121619400000001"/>
    <n v="8.4920330000000002E-2"/>
    <n v="-3.3695103499999997E-2"/>
  </r>
  <r>
    <x v="38"/>
    <x v="11"/>
    <x v="3"/>
    <n v="4.4630742219021817"/>
    <n v="4.7"/>
    <n v="5.0863610046243917"/>
    <n v="5.5"/>
    <n v="5.6314268124640607"/>
    <n v="4.0427178789333125"/>
    <n v="4.3474222498619488"/>
    <n v="4.3220112022638952"/>
    <n v="4.3289000000000001E-3"/>
    <n v="0.7288968999999984"/>
    <m/>
    <n v="0.10315589999999999"/>
    <n v="-6.7914279999999998"/>
    <n v="-1.5275199999999999E-2"/>
    <n v="-5.1612999999999997E-3"/>
    <n v="-1.35806E-2"/>
    <n v="-1.6161399999999999E-2"/>
    <n v="-1.7994599999999999E-2"/>
    <n v="5.53"/>
    <n v="-0.45169999999999999"/>
    <n v="-6.7933000000000004E-3"/>
    <n v="8.4732000000000002E-3"/>
    <n v="1.1551298999999997"/>
    <n v="8.4732000000000002E-3"/>
    <n v="0"/>
    <n v="0"/>
    <n v="-0.01"/>
    <n v="-5.0000000000000001E-3"/>
    <n v="8.6152999999999993E-3"/>
    <n v="-7.7127999999999997E-3"/>
    <n v="-8.0812000000000002E-3"/>
    <n v="5.84"/>
    <n v="6.9775611532260999"/>
    <n v="8.2978175326709476"/>
    <n v="2.3670611121784106"/>
    <n v="3.8405484857694567"/>
    <n v="-0.26378901500000002"/>
    <n v="-0.28606183200000002"/>
    <n v="-0.216392895"/>
    <n v="-5.64376028E-2"/>
    <n v="6.5759767299999994E-2"/>
  </r>
  <r>
    <x v="39"/>
    <x v="0"/>
    <x v="0"/>
    <n v="4.4683591354458558"/>
    <n v="4.5999999999999996"/>
    <n v="5.0875963352323836"/>
    <n v="5.56"/>
    <n v="5.5892690878674403"/>
    <n v="4.0270466819969277"/>
    <n v="4.3514385529058579"/>
    <n v="4.3225552538693286"/>
    <n v="0"/>
    <n v="0.7288968999999984"/>
    <m/>
    <n v="0"/>
    <n v="-6.7914279999999998"/>
    <n v="0"/>
    <n v="-4.8386999999999996E-3"/>
    <n v="-2.4195000000000002E-3"/>
    <n v="-4.8386999999999996E-3"/>
    <n v="-4.8386999999999996E-3"/>
    <n v="5.24"/>
    <n v="-0.372"/>
    <n v="1.1383000000000001"/>
    <n v="0"/>
    <n v="1.1551298999999997"/>
    <n v="0"/>
    <n v="0"/>
    <n v="0"/>
    <n v="0"/>
    <n v="0"/>
    <n v="0"/>
    <n v="0"/>
    <n v="0"/>
    <n v="5.48"/>
    <n v="6.9791452750688103"/>
    <n v="8.3035543271162737"/>
    <n v="2.2770621357629599"/>
    <n v="3.8383549365028093"/>
    <n v="-9.54141373E-3"/>
    <n v="-0.27985368599999999"/>
    <n v="-0.16579818099999999"/>
    <n v="-0.217093123"/>
    <n v="4.9240662900000003E-2"/>
  </r>
  <r>
    <x v="39"/>
    <x v="1"/>
    <x v="0"/>
    <n v="4.4694730211998088"/>
    <n v="4.5999999999999996"/>
    <n v="5.0875963352323836"/>
    <n v="5.51"/>
    <n v="5.5793146454710962"/>
    <n v="4.0388670877528137"/>
    <n v="4.3530354213232831"/>
    <n v="4.3298118632251423"/>
    <n v="-2.4786699999999998E-2"/>
    <n v="0.70411019999999835"/>
    <m/>
    <n v="9.4037999999999997E-2"/>
    <n v="-6.6973900000000004"/>
    <n v="0"/>
    <n v="0"/>
    <n v="1.3392899999999999E-2"/>
    <n v="1.78572E-2"/>
    <n v="2.2321500000000001E-2"/>
    <n v="5.31"/>
    <n v="-0.3518"/>
    <n v="0.2722"/>
    <n v="4.74539E-2"/>
    <n v="1.2025837999999998"/>
    <n v="4.74539E-2"/>
    <n v="0"/>
    <n v="0"/>
    <n v="0"/>
    <n v="1.4999999999999999E-2"/>
    <n v="1.3706599999999999E-2"/>
    <n v="2.095E-2"/>
    <n v="3.5916200000000002E-2"/>
    <n v="5.57"/>
    <n v="6.982677205499396"/>
    <n v="8.3115456877187786"/>
    <n v="2.2550741103229939"/>
    <n v="3.8217700164505839"/>
    <n v="-5.5896771900000003E-2"/>
    <n v="-0.318798678"/>
    <n v="-0.34002292200000001"/>
    <n v="-8.6945307700000002E-2"/>
    <n v="-1.67820994E-2"/>
  </r>
  <r>
    <x v="39"/>
    <x v="2"/>
    <x v="0"/>
    <n v="4.4703373754579614"/>
    <n v="4.7"/>
    <n v="5.0875963352323836"/>
    <n v="5.49"/>
    <n v="5.5969022863620967"/>
    <n v="4.0415062152060992"/>
    <n v="4.357285583410377"/>
    <n v="4.3348433038560108"/>
    <n v="-2.6395999999999999E-2"/>
    <n v="0.67771419999999838"/>
    <m/>
    <n v="0.10566200000000001"/>
    <n v="-6.5917279999999998"/>
    <n v="-3.2259999999999998E-4"/>
    <n v="0"/>
    <n v="1.6072E-3"/>
    <n v="2.3042000000000002E-3"/>
    <n v="2.6784999999999999E-3"/>
    <n v="5.39"/>
    <n v="-0.4017"/>
    <n v="0.63536000000000004"/>
    <n v="-3.3034399999999998E-2"/>
    <n v="1.1695493999999997"/>
    <n v="-3.3034399999999998E-2"/>
    <n v="-0.01"/>
    <n v="-1.4999999999999999E-2"/>
    <n v="0"/>
    <n v="0"/>
    <n v="-1.38967E-2"/>
    <n v="-1.7091000000000001E-3"/>
    <n v="-3.5658E-3"/>
    <n v="5.88"/>
    <n v="6.9818418223348351"/>
    <n v="8.3178149936522896"/>
    <n v="2.3194422100604686"/>
    <n v="3.8245678936391543"/>
    <n v="4.5741176799999998E-2"/>
    <n v="-0.273119642"/>
    <n v="-0.20277302999999999"/>
    <n v="-0.148355075"/>
    <n v="8.8863731900000006E-2"/>
  </r>
  <r>
    <x v="39"/>
    <x v="3"/>
    <x v="1"/>
    <n v="4.4740370580834927"/>
    <n v="4.3"/>
    <n v="5.0888301416813126"/>
    <n v="5.45"/>
    <n v="5.5971989892534175"/>
    <n v="4.0641945852712178"/>
    <n v="4.3641681163725687"/>
    <n v="4.3360481390572208"/>
    <n v="0"/>
    <n v="0.67771419999999838"/>
    <m/>
    <n v="0"/>
    <n v="-6.5917279999999998"/>
    <n v="-9.6773999999999992E-3"/>
    <n v="0"/>
    <n v="0"/>
    <n v="4.8386999999999996E-3"/>
    <n v="0"/>
    <n v="5.38"/>
    <n v="-0.47639999999999999"/>
    <n v="-0.19202"/>
    <n v="0"/>
    <n v="1.1695493999999997"/>
    <n v="0"/>
    <n v="0"/>
    <n v="0"/>
    <n v="0"/>
    <n v="0"/>
    <n v="0"/>
    <n v="0"/>
    <n v="0"/>
    <n v="5.59"/>
    <n v="6.9814703168044181"/>
    <n v="8.3240695010881964"/>
    <n v="2.412873446888169"/>
    <n v="3.8299231833448717"/>
    <n v="7.1245970500000005E-2"/>
    <n v="-0.235678105"/>
    <n v="-0.16594842200000001"/>
    <n v="-0.22115277799999999"/>
    <n v="3.7418275500000001E-2"/>
  </r>
  <r>
    <x v="39"/>
    <x v="4"/>
    <x v="1"/>
    <n v="4.4804444806776207"/>
    <n v="4.4000000000000004"/>
    <n v="5.0912931971137105"/>
    <n v="5.49"/>
    <n v="5.6219214481758808"/>
    <n v="4.0979547044762299"/>
    <n v="4.3629330059787836"/>
    <n v="4.3408139388398075"/>
    <n v="-6.6774899999999998E-2"/>
    <n v="0.61093929999999841"/>
    <m/>
    <n v="-0.10638060000000001"/>
    <n v="-6.6981089999999996"/>
    <n v="-1.08361E-2"/>
    <n v="-4.1935000000000002E-3"/>
    <n v="-6.2903999999999998E-3"/>
    <n v="-6.2903000000000004E-3"/>
    <n v="-6.2903000000000004E-3"/>
    <n v="5.44"/>
    <n v="-0.43540000000000001"/>
    <n v="0.21889"/>
    <n v="7.6345999999999997E-2"/>
    <n v="1.2458953999999998"/>
    <n v="7.6345999999999997E-2"/>
    <n v="-2.5839999999999998E-2"/>
    <n v="-0.01"/>
    <n v="-0.01"/>
    <n v="-1.4999999999999999E-2"/>
    <n v="1.3055199999999999E-2"/>
    <n v="2.29438E-2"/>
    <n v="3.2269999999999998E-4"/>
    <n v="5.63"/>
    <n v="6.9838826393696882"/>
    <n v="8.3298028098078465"/>
    <n v="2.2830964164101832"/>
    <n v="3.8150494429696278"/>
    <n v="-0.124752876"/>
    <n v="-0.181281944"/>
    <n v="-0.17311760900000001"/>
    <n v="-5.3224697799999998E-2"/>
    <n v="6.5820794599999996E-2"/>
  </r>
  <r>
    <x v="39"/>
    <x v="5"/>
    <x v="1"/>
    <n v="4.4740108349899534"/>
    <n v="4.5"/>
    <n v="5.0925224535684404"/>
    <n v="5.56"/>
    <n v="5.6097281725738783"/>
    <n v="4.0928935099547861"/>
    <n v="4.3707760839010277"/>
    <n v="4.3493226415007546"/>
    <n v="0"/>
    <n v="0.61093929999999841"/>
    <m/>
    <n v="0"/>
    <n v="-6.6981089999999996"/>
    <n v="-1.5003900000000001E-2"/>
    <n v="-5.8063999999999998E-3"/>
    <n v="-8.7097000000000008E-3"/>
    <n v="-8.7097000000000008E-3"/>
    <n v="-8.7097000000000008E-3"/>
    <n v="5.41"/>
    <n v="-0.42120000000000002"/>
    <n v="-0.21664"/>
    <n v="0"/>
    <n v="1.2458953999999998"/>
    <n v="0"/>
    <n v="0"/>
    <n v="0"/>
    <n v="0"/>
    <n v="0"/>
    <n v="0"/>
    <n v="0"/>
    <n v="0"/>
    <n v="7.06"/>
    <n v="6.9812845122702525"/>
    <n v="8.3345675884049157"/>
    <n v="2.2694418744007914"/>
    <n v="3.8103445913951122"/>
    <n v="-7.8656704100000002E-2"/>
    <n v="-0.13804549299999999"/>
    <n v="-0.117473891"/>
    <n v="-0.11583536799999999"/>
    <n v="-3.9652605E-2"/>
  </r>
  <r>
    <x v="39"/>
    <x v="6"/>
    <x v="2"/>
    <n v="4.4702595569398618"/>
    <n v="4.5"/>
    <n v="5.0949764425300064"/>
    <n v="5.54"/>
    <n v="5.5861619257981223"/>
    <n v="4.0897339496644172"/>
    <n v="4.3729480487406747"/>
    <n v="4.3503037424779336"/>
    <n v="3.2857400000000002E-2"/>
    <n v="0.64379669999999845"/>
    <m/>
    <n v="-0.2325718"/>
    <n v="-6.9306799999999997"/>
    <n v="-5.1599000000000003E-3"/>
    <n v="9.9900000000000006E-3"/>
    <n v="0"/>
    <n v="5.0000000000000001E-3"/>
    <n v="5.0000000000000001E-3"/>
    <n v="5.36"/>
    <n v="-0.38479999999999998"/>
    <n v="0.11951000000000001"/>
    <n v="9.4105300000000003E-2"/>
    <n v="1.3400006999999998"/>
    <n v="9.4105300000000003E-2"/>
    <n v="-5.1599999999999997E-3"/>
    <n v="-5.0000000000000001E-3"/>
    <n v="9.9900000000000006E-3"/>
    <n v="0"/>
    <n v="7.1433E-3"/>
    <n v="1.90771E-2"/>
    <n v="1.1817599999999999E-2"/>
    <n v="5.63"/>
    <n v="6.9801689594911824"/>
    <n v="8.3391663989051512"/>
    <n v="2.2667506399848296"/>
    <n v="3.798540708323455"/>
    <n v="0.30945652000000001"/>
    <n v="-0.119289416"/>
    <n v="-0.218768662"/>
    <n v="-0.27762695799999998"/>
    <n v="0.16065832299999999"/>
  </r>
  <r>
    <x v="39"/>
    <x v="7"/>
    <x v="2"/>
    <n v="4.4905155019331975"/>
    <n v="4.5"/>
    <n v="5.0962011824259026"/>
    <n v="5.55"/>
    <n v="5.56409886254648"/>
    <n v="4.1130518185766851"/>
    <n v="4.3706875900038877"/>
    <n v="4.353485689240296"/>
    <n v="9.9412E-2"/>
    <n v="0.7432086999999985"/>
    <m/>
    <n v="0.35441739999999999"/>
    <n v="-6.576263"/>
    <n v="5.3877999999999999E-3"/>
    <n v="4.5161000000000003E-3"/>
    <n v="-2.2580999999999999E-3"/>
    <n v="0"/>
    <n v="-2.2580999999999999E-3"/>
    <n v="5.21"/>
    <n v="-3.7999999999999999E-2"/>
    <n v="0.68442000000000003"/>
    <n v="7.9864000000000004E-2"/>
    <n v="1.4198646999999998"/>
    <n v="7.9864000000000004E-2"/>
    <n v="1.193E-2"/>
    <n v="5.0000000000000001E-3"/>
    <n v="0.01"/>
    <n v="-5.0000000000000001E-3"/>
    <n v="1.5640999999999999E-2"/>
    <n v="7.1735999999999996E-3"/>
    <n v="-6.9088999999999999E-3"/>
    <n v="5.89"/>
    <n v="6.9809127995998637"/>
    <n v="8.3450991547777189"/>
    <n v="2.2710944259026746"/>
    <n v="3.7996602534572945"/>
    <n v="0.28305539099999999"/>
    <n v="2.95361957E-2"/>
    <n v="-0.14275141899999999"/>
    <n v="-0.17235040600000001"/>
    <n v="0.12005874900000001"/>
  </r>
  <r>
    <x v="39"/>
    <x v="8"/>
    <x v="2"/>
    <n v="4.4883340768552404"/>
    <n v="4.5999999999999996"/>
    <n v="5.0968129903373081"/>
    <n v="5.51"/>
    <n v="5.5411066701090812"/>
    <n v="4.1360941264165634"/>
    <n v="4.3757318641111338"/>
    <n v="4.3585788719363183"/>
    <n v="-0.2392213"/>
    <n v="0.50398739999999853"/>
    <m/>
    <n v="1.019852"/>
    <n v="-5.5564109999999998"/>
    <n v="9.8755000000000006E-3"/>
    <n v="1.01504E-2"/>
    <n v="-2.4085000000000001E-3"/>
    <n v="6.6660000000000005E-4"/>
    <n v="-1.7419E-3"/>
    <n v="4.71"/>
    <n v="-9.9599999999999994E-2"/>
    <n v="-0.53525999999999996"/>
    <n v="-0.17485919999999999"/>
    <n v="1.2450054999999998"/>
    <n v="-0.17485919999999999"/>
    <n v="0.05"/>
    <n v="5.0000000000000001E-3"/>
    <n v="7.0000000000000007E-2"/>
    <n v="5.0000000000000001E-3"/>
    <n v="2.01648E-2"/>
    <n v="8.1180299999999997E-2"/>
    <n v="7.7571000000000003E-3"/>
    <n v="6.14"/>
    <n v="6.9846237232387143"/>
    <n v="8.3541800221550506"/>
    <n v="2.2290461896591753"/>
    <n v="3.7977114372499883"/>
    <n v="-0.389846215"/>
    <n v="-0.33048738300000002"/>
    <n v="-0.164264407"/>
    <n v="3.5053423100000002E-2"/>
    <n v="-0.54623736700000003"/>
  </r>
  <r>
    <x v="39"/>
    <x v="9"/>
    <x v="3"/>
    <n v="4.4962399732026652"/>
    <n v="4.5"/>
    <n v="5.099256485749784"/>
    <n v="5.07"/>
    <n v="5.5347324600554861"/>
    <n v="4.1605379632902171"/>
    <n v="4.3790848117529606"/>
    <n v="4.3577723634978733"/>
    <n v="0"/>
    <n v="0.50398739999999853"/>
    <m/>
    <n v="0"/>
    <n v="-5.5564109999999998"/>
    <n v="-8.6147299999999996E-2"/>
    <n v="-7.1763300000000002E-2"/>
    <n v="-0.13791419999999999"/>
    <n v="-0.14147319999999999"/>
    <n v="-0.1368065"/>
    <n v="4.12"/>
    <n v="3.2000000000000002E-3"/>
    <n v="-2.2168999999999999"/>
    <n v="0"/>
    <n v="1.2450054999999998"/>
    <n v="0"/>
    <n v="-0.24218999999999999"/>
    <n v="-0.125"/>
    <n v="-0.25"/>
    <n v="-0.26"/>
    <n v="0"/>
    <n v="0"/>
    <n v="0"/>
    <n v="5.35"/>
    <n v="6.9902565004938806"/>
    <n v="8.3633657926613552"/>
    <n v="2.2006631032686617"/>
    <n v="3.8002866516880673"/>
    <n v="0.242818013"/>
    <n v="-0.16679258499999999"/>
    <n v="-0.41909500599999999"/>
    <n v="3.3075192099999998E-2"/>
    <n v="0.18105374199999999"/>
  </r>
  <r>
    <x v="39"/>
    <x v="10"/>
    <x v="3"/>
    <n v="4.4956499194393453"/>
    <n v="4.4000000000000004"/>
    <n v="5.1004759980960452"/>
    <n v="4.83"/>
    <n v="5.4930202902303966"/>
    <n v="4.1610837850383895"/>
    <n v="4.3871012370716285"/>
    <n v="4.3592184953478732"/>
    <n v="-0.14021639999999999"/>
    <n v="0.36377099999999851"/>
    <m/>
    <n v="-0.64428479999999999"/>
    <n v="-6.2006959999999998"/>
    <n v="-0.14168330000000001"/>
    <n v="-0.11290310000000001"/>
    <n v="-0.13141920000000001"/>
    <n v="-0.1218603"/>
    <n v="-0.12886020000000001"/>
    <n v="4.53"/>
    <n v="3.2199999999999999E-2"/>
    <n v="-0.90019000000000005"/>
    <n v="-0.12845599999999999"/>
    <n v="1.1165494999999999"/>
    <n v="-0.12845599999999999"/>
    <n v="-6.923E-2"/>
    <n v="-0.03"/>
    <n v="0"/>
    <n v="-0.03"/>
    <n v="-7.2600000000000003E-5"/>
    <n v="2.2110600000000001E-2"/>
    <n v="-1.73045E-2"/>
    <n v="5.1100000000000003"/>
    <n v="6.9984183138793794"/>
    <n v="8.3723061380677954"/>
    <n v="2.1803044582852134"/>
    <n v="3.8006891291659417"/>
    <n v="4.2972633500000003E-2"/>
    <n v="-6.8196109099999999E-2"/>
    <n v="-0.31578202500000002"/>
    <n v="0.16780901100000001"/>
    <n v="-6.9634125899999996E-2"/>
  </r>
  <r>
    <x v="39"/>
    <x v="11"/>
    <x v="3"/>
    <n v="4.4991438931942893"/>
    <n v="4.4000000000000004"/>
    <n v="5.10230248262208"/>
    <n v="4.68"/>
    <n v="5.4525823255594661"/>
    <n v="4.1896698934267942"/>
    <n v="4.3934980852653247"/>
    <n v="4.3635189186181407"/>
    <n v="-0.1692948"/>
    <n v="0.19447619999999852"/>
    <m/>
    <n v="0.29229129999999998"/>
    <n v="-5.9084050000000001"/>
    <n v="-3.6922700000000003E-2"/>
    <n v="0"/>
    <n v="-1.7612900000000001E-2"/>
    <n v="1.0537999999999999E-3"/>
    <n v="-5.3333E-3"/>
    <n v="4.5199999999999996"/>
    <n v="-0.10390000000000001"/>
    <n v="-6.1809999999999997E-2"/>
    <n v="-7.1776400000000004E-2"/>
    <n v="1.0447730999999998"/>
    <n v="-7.1776400000000004E-2"/>
    <n v="0"/>
    <n v="0"/>
    <n v="0"/>
    <n v="-5.0000000000000001E-3"/>
    <n v="-1.5099E-3"/>
    <n v="-1.5449999999999999E-4"/>
    <n v="-3.7458999999999999E-3"/>
    <n v="4.07"/>
    <n v="6.9985096422506015"/>
    <n v="8.3789421071199897"/>
    <n v="2.1999985042189447"/>
    <n v="3.8079505487549512"/>
    <n v="8.5244873799999996E-2"/>
    <n v="-0.15652421499999999"/>
    <n v="-7.5625467200000004E-2"/>
    <n v="-0.26602475399999997"/>
    <n v="2.7591393E-3"/>
  </r>
  <r>
    <x v="40"/>
    <x v="0"/>
    <x v="0"/>
    <n v="4.5036412094890634"/>
    <n v="4.3"/>
    <n v="5.1041256371835946"/>
    <n v="4.63"/>
    <n v="5.4735723471352724"/>
    <n v="4.1546240264392882"/>
    <n v="4.3991664059884519"/>
    <n v="4.3663290700665822"/>
    <n v="0"/>
    <n v="0.19447619999999852"/>
    <m/>
    <n v="0"/>
    <n v="-5.9084050000000001"/>
    <n v="0"/>
    <n v="0"/>
    <n v="-3.3869999999999998E-3"/>
    <n v="-3.3871000000000001E-3"/>
    <n v="0"/>
    <n v="4.51"/>
    <n v="-0.122"/>
    <n v="0.31585999999999997"/>
    <n v="0"/>
    <n v="1.0447730999999998"/>
    <n v="0"/>
    <n v="0"/>
    <n v="0"/>
    <n v="0"/>
    <n v="0"/>
    <n v="0"/>
    <n v="0"/>
    <n v="0"/>
    <n v="4.79"/>
    <n v="7.0013366926036671"/>
    <n v="8.3851007629859691"/>
    <n v="2.2666469861884164"/>
    <n v="3.8027437102629835"/>
    <n v="4.1088204199999999E-2"/>
    <n v="-0.19833709099999999"/>
    <n v="-0.244832727"/>
    <n v="-4.50131218E-2"/>
    <n v="-6.2171068100000003E-3"/>
  </r>
  <r>
    <x v="40"/>
    <x v="1"/>
    <x v="0"/>
    <n v="4.5084312860490421"/>
    <n v="4.4000000000000004"/>
    <n v="5.1041256371835946"/>
    <n v="4.76"/>
    <n v="5.4457023534610949"/>
    <n v="4.1777508375236012"/>
    <n v="4.4057675750556795"/>
    <n v="4.3670018254057714"/>
    <n v="-0.10983519999999999"/>
    <n v="8.4640999999998523E-2"/>
    <m/>
    <n v="0.26990740000000002"/>
    <n v="-5.6384970000000001"/>
    <n v="5.1999000000000004E-3"/>
    <n v="0"/>
    <n v="1.3928400000000001E-2"/>
    <n v="9.2856999999999992E-3"/>
    <n v="4.6427999999999999E-3"/>
    <n v="4.7"/>
    <n v="-0.3518"/>
    <n v="1.0123"/>
    <n v="-6.9300700000000007E-2"/>
    <n v="0.9754723999999998"/>
    <n v="-6.9300700000000007E-2"/>
    <n v="5.5999999999999999E-3"/>
    <n v="5.0000000000000001E-3"/>
    <n v="0"/>
    <n v="1.4999999999999999E-2"/>
    <n v="1.0519799999999999E-2"/>
    <n v="4.7613000000000004E-3"/>
    <n v="1.5971200000000001E-2"/>
    <n v="4.84"/>
    <n v="7.000060949766163"/>
    <n v="8.3903366154135242"/>
    <n v="2.1497835027360828"/>
    <n v="3.8024313287980518"/>
    <n v="5.3743636799999999E-3"/>
    <n v="-0.107204045"/>
    <n v="-8.9843220900000006E-2"/>
    <n v="-5.18484398E-2"/>
    <n v="-2.5055645800000002E-2"/>
  </r>
  <r>
    <x v="40"/>
    <x v="2"/>
    <x v="0"/>
    <n v="4.5102857155566713"/>
    <n v="4.2"/>
    <n v="5.1047326174753715"/>
    <n v="4.8099999999999996"/>
    <n v="5.4210658318070903"/>
    <n v="4.1854337248423548"/>
    <n v="4.4094958766634269"/>
    <n v="4.3710415186151259"/>
    <n v="-0.15775439999999999"/>
    <n v="-7.3113400000001466E-2"/>
    <m/>
    <n v="1.37749E-2"/>
    <n v="-5.6247220000000002"/>
    <n v="-2.4509999999999999E-4"/>
    <n v="-1.2903000000000001E-3"/>
    <n v="-5.4140000000000004E-4"/>
    <n v="-8.9860000000000005E-4"/>
    <n v="-1.9009000000000001E-3"/>
    <n v="4.78"/>
    <n v="-0.27400000000000002"/>
    <n v="0.97624999999999995"/>
    <n v="-0.1018476"/>
    <n v="0.87362479999999976"/>
    <n v="-0.1018476"/>
    <n v="-0.01"/>
    <n v="0"/>
    <n v="-0.02"/>
    <n v="-2.5000000000000001E-2"/>
    <n v="-4.4789999999999999E-4"/>
    <n v="-1.1931799999999999E-2"/>
    <n v="-3.1535199999999999E-2"/>
    <n v="4.9800000000000004"/>
    <n v="6.9999697629699478"/>
    <n v="8.3919700466621592"/>
    <n v="2.1775886028193603"/>
    <n v="3.7933745954433844"/>
    <n v="-5.9289175700000002E-2"/>
    <n v="-0.31903642900000001"/>
    <n v="-0.111372583"/>
    <n v="-0.25821460899999998"/>
    <n v="-8.9662802200000002E-2"/>
  </r>
  <r>
    <x v="40"/>
    <x v="3"/>
    <x v="1"/>
    <n v="4.5126151074045255"/>
    <n v="4.3"/>
    <n v="5.1113851971963991"/>
    <n v="4.74"/>
    <n v="5.4220382935377955"/>
    <n v="4.2009243342846565"/>
    <n v="4.4106505340104469"/>
    <n v="4.3762851840447672"/>
    <n v="0"/>
    <n v="-7.3113400000001466E-2"/>
    <m/>
    <n v="0"/>
    <n v="-5.6247220000000002"/>
    <n v="-9.3547999999999999E-3"/>
    <n v="-1.8709699999999999E-2"/>
    <n v="-2.3387000000000002E-2"/>
    <n v="-2.3387100000000001E-2"/>
    <n v="-3.2741899999999997E-2"/>
    <n v="4.6900000000000004"/>
    <n v="-0.27850000000000003"/>
    <n v="-0.51520999999999995"/>
    <n v="0"/>
    <n v="0.87362479999999976"/>
    <n v="0"/>
    <n v="0"/>
    <n v="0"/>
    <n v="0"/>
    <n v="0"/>
    <n v="0"/>
    <n v="0"/>
    <n v="0"/>
    <n v="5.03"/>
    <n v="7.0045189474144447"/>
    <n v="8.3982294590116915"/>
    <n v="2.21909478249502"/>
    <n v="3.7726459889595039"/>
    <n v="4.3207944700000001E-2"/>
    <n v="-8.2864160500000006E-2"/>
    <n v="6.3869810599999993E-2"/>
    <n v="-0.217296883"/>
    <n v="9.2090698999999998E-2"/>
  </r>
  <r>
    <x v="40"/>
    <x v="4"/>
    <x v="1"/>
    <n v="4.5199118170361805"/>
    <n v="4.2"/>
    <n v="5.1119877883565437"/>
    <n v="4.74"/>
    <n v="5.4317550047777532"/>
    <n v="4.2200369768518451"/>
    <n v="4.4163918288507658"/>
    <n v="4.3770392181628344"/>
    <n v="-0.11190219999999999"/>
    <n v="-0.18501560000000145"/>
    <m/>
    <n v="0.93951110000000004"/>
    <n v="-4.6852109999999998"/>
    <n v="-5.3877999999999999E-3"/>
    <n v="1.8064500000000001E-2"/>
    <n v="5.4193499999999999E-2"/>
    <n v="6.5483799999999995E-2"/>
    <n v="7.4516100000000002E-2"/>
    <n v="4.8499999999999996"/>
    <n v="-0.28010000000000002"/>
    <n v="0.49872"/>
    <n v="-6.3467599999999999E-2"/>
    <n v="0.8101571999999998"/>
    <n v="-6.3467599999999999E-2"/>
    <n v="-1.193E-2"/>
    <n v="-5.0000000000000001E-3"/>
    <n v="0.04"/>
    <n v="0.12"/>
    <n v="3.6765000000000001E-3"/>
    <n v="3.9472599999999997E-2"/>
    <n v="0.1197329"/>
    <n v="4.6100000000000003"/>
    <n v="7.0065140510054009"/>
    <n v="8.4035988708313081"/>
    <n v="2.3043834749354253"/>
    <n v="3.7814358457216399"/>
    <n v="-9.3497738600000005E-2"/>
    <n v="0.27159528500000002"/>
    <n v="1.15433619E-2"/>
    <n v="0.20534339400000001"/>
    <n v="0.130717112"/>
  </r>
  <r>
    <x v="40"/>
    <x v="5"/>
    <x v="1"/>
    <n v="4.5181766270215382"/>
    <n v="4.3"/>
    <n v="5.1119877883565437"/>
    <n v="4.76"/>
    <n v="5.4383836104448777"/>
    <n v="4.2368997014376397"/>
    <n v="4.4151712332661832"/>
    <n v="4.3806757226029251"/>
    <n v="0.25867869999999998"/>
    <n v="7.3663099999998538E-2"/>
    <m/>
    <n v="-1.028913"/>
    <n v="-5.7141250000000001"/>
    <n v="-7.5421000000000004E-3"/>
    <n v="1.9602100000000001E-2"/>
    <n v="6.2639700000000006E-2"/>
    <n v="7.6016200000000006E-2"/>
    <n v="8.6484000000000005E-2"/>
    <n v="5.0999999999999996"/>
    <n v="-0.21410000000000001"/>
    <n v="0.29626999999999998"/>
    <n v="0.26207960000000002"/>
    <n v="1.0722367999999998"/>
    <n v="0.26207960000000002"/>
    <n v="-0.03"/>
    <n v="-5.0000000000000001E-3"/>
    <n v="-7.0000000000000007E-2"/>
    <n v="-9.5000000000000001E-2"/>
    <n v="1.1068E-2"/>
    <n v="-6.2652600000000003E-2"/>
    <n v="-9.9093700000000007E-2"/>
    <n v="5.12"/>
    <n v="7.0028836240737142"/>
    <n v="8.408449180410523"/>
    <n v="2.136412437939462"/>
    <n v="3.7593146183298378"/>
    <n v="-0.19080111299999999"/>
    <n v="-0.197736147"/>
    <n v="9.7107371999999997E-2"/>
    <n v="-0.13391265599999999"/>
    <n v="-3.1112784000000001E-2"/>
  </r>
  <r>
    <x v="40"/>
    <x v="6"/>
    <x v="2"/>
    <n v="4.5245488943004339"/>
    <n v="4.3"/>
    <n v="5.1161957897567483"/>
    <n v="4.99"/>
    <n v="5.4187191924003324"/>
    <n v="4.2346570776417822"/>
    <n v="4.4114883448235007"/>
    <n v="4.385221525570401"/>
    <n v="0"/>
    <n v="7.3663099999998538E-2"/>
    <m/>
    <n v="0"/>
    <n v="-5.7141250000000001"/>
    <n v="-2.9000000000000001E-2"/>
    <n v="-6.7666500000000004E-2"/>
    <n v="-9.1833399999999996E-2"/>
    <n v="-0.1014999"/>
    <n v="-0.11600009999999999"/>
    <n v="5.03"/>
    <n v="-0.1497"/>
    <n v="1.5012000000000001"/>
    <n v="0"/>
    <n v="1.0722367999999998"/>
    <n v="0"/>
    <n v="0"/>
    <n v="0"/>
    <n v="0"/>
    <n v="0"/>
    <n v="0"/>
    <n v="0"/>
    <n v="0"/>
    <n v="5.07"/>
    <n v="7.002246942074855"/>
    <n v="8.4144293016056775"/>
    <n v="2.0261726128004955"/>
    <n v="3.7300933718222642"/>
    <n v="6.6059442100000004E-2"/>
    <n v="-0.17598281399999999"/>
    <n v="9.7248962600000002E-2"/>
    <n v="-0.33440520299999998"/>
    <n v="0.15039150500000001"/>
  </r>
  <r>
    <x v="40"/>
    <x v="7"/>
    <x v="2"/>
    <n v="4.5287069809110259"/>
    <n v="4.2"/>
    <n v="5.1185924356013484"/>
    <n v="5.07"/>
    <n v="5.4450980977562313"/>
    <n v="4.2439994367591023"/>
    <n v="4.4193705878143028"/>
    <n v="4.3889153528773033"/>
    <n v="0.24062040000000001"/>
    <n v="0.31428349999999855"/>
    <m/>
    <n v="0.53922510000000001"/>
    <n v="-5.1749000000000001"/>
    <n v="9.0322000000000006E-3"/>
    <n v="3.8709999999999999E-3"/>
    <n v="0"/>
    <n v="-1.2903000000000001E-3"/>
    <n v="-6.4516E-3"/>
    <n v="5.2"/>
    <n v="-0.14810000000000001"/>
    <n v="0.21124000000000001"/>
    <n v="9.2874399999999996E-2"/>
    <n v="1.1651111999999997"/>
    <n v="9.2874399999999996E-2"/>
    <n v="3.5000000000000003E-2"/>
    <n v="1.4999999999999999E-2"/>
    <n v="1.4999999999999999E-2"/>
    <n v="0"/>
    <n v="2.0159699999999999E-2"/>
    <n v="-1.0743E-3"/>
    <n v="-8.7323999999999995E-3"/>
    <n v="5.57"/>
    <n v="7.0023379214680848"/>
    <n v="8.418300602439885"/>
    <n v="2.0442028895871269"/>
    <n v="3.7366691179497846"/>
    <n v="-0.14942661099999999"/>
    <n v="9.7821627100000003E-3"/>
    <n v="-9.5817588499999995E-2"/>
    <n v="6.7790356299999993E-2"/>
    <n v="0.16085702399999999"/>
  </r>
  <r>
    <x v="40"/>
    <x v="8"/>
    <x v="2"/>
    <n v="4.5250983112225329"/>
    <n v="4.2"/>
    <n v="5.1227727940331063"/>
    <n v="5.22"/>
    <n v="5.4615410476500506"/>
    <n v="4.2505217587052764"/>
    <n v="4.425169932882814"/>
    <n v="4.3929294820361608"/>
    <n v="0"/>
    <n v="0.31428349999999855"/>
    <m/>
    <n v="0"/>
    <n v="-5.1749000000000001"/>
    <n v="2.59676E-2"/>
    <n v="1.1128900000000001E-2"/>
    <n v="0"/>
    <n v="-3.7096999999999998E-3"/>
    <n v="-1.85484E-2"/>
    <n v="5.25"/>
    <n v="-4.5999999999999999E-3"/>
    <n v="0.55396000000000001"/>
    <n v="0"/>
    <n v="1.1651111999999997"/>
    <n v="0"/>
    <n v="0"/>
    <n v="0"/>
    <n v="0"/>
    <n v="0"/>
    <n v="0"/>
    <n v="0"/>
    <n v="0"/>
    <n v="5.51"/>
    <n v="6.9998785678579427"/>
    <n v="8.4217390012429174"/>
    <n v="2.034574920339729"/>
    <n v="3.7285808209654885"/>
    <n v="-0.19917966300000001"/>
    <n v="-5.1448118100000002E-2"/>
    <n v="0.100908281"/>
    <n v="-2.68579704E-2"/>
    <n v="6.4831106099999994E-2"/>
  </r>
  <r>
    <x v="40"/>
    <x v="9"/>
    <x v="3"/>
    <n v="4.5383699090080354"/>
    <n v="4.0999999999999996"/>
    <n v="5.12455904041457"/>
    <n v="5.2"/>
    <n v="5.4481587747871965"/>
    <n v="4.2427070944244702"/>
    <n v="4.4262468487002895"/>
    <n v="4.397543128826416"/>
    <n v="-9.68276E-2"/>
    <n v="0.21745589999999854"/>
    <m/>
    <n v="0.82920499999999997"/>
    <n v="-4.3456950000000001"/>
    <n v="-3.6345500000000003E-2"/>
    <n v="3.48387E-2"/>
    <n v="6.5322599999999995E-2"/>
    <n v="8.7096699999999999E-2"/>
    <n v="8.7096800000000002E-2"/>
    <n v="5.43"/>
    <n v="-4.0899999999999999E-2"/>
    <n v="-1.319"/>
    <n v="-4.96341E-2"/>
    <n v="1.1154770999999997"/>
    <n v="-4.96341E-2"/>
    <n v="-4.1730000000000003E-2"/>
    <n v="-3.5000000000000003E-2"/>
    <n v="0.04"/>
    <n v="7.4999999999999997E-2"/>
    <n v="-4.4434800000000003E-2"/>
    <n v="1.6456700000000001E-2"/>
    <n v="5.0054399999999999E-2"/>
    <n v="5.27"/>
    <n v="7.0060609677662606"/>
    <n v="8.4268964234350783"/>
    <n v="1.9130917543955799"/>
    <n v="3.7206445585439356"/>
    <n v="-3.97342414E-3"/>
    <n v="0.17796614499999999"/>
    <n v="5.3963922499999997E-2"/>
    <n v="3.6419172100000001E-2"/>
    <n v="0.31905814799999999"/>
  </r>
  <r>
    <x v="40"/>
    <x v="10"/>
    <x v="3"/>
    <n v="4.5432841439155442"/>
    <n v="4.0999999999999996"/>
    <n v="5.126342101808226"/>
    <n v="5.42"/>
    <n v="5.4414215435164879"/>
    <n v="4.2486952220520253"/>
    <n v="4.4313999621038942"/>
    <n v="4.4018170069930083"/>
    <n v="0.2367022"/>
    <n v="0.45415809999999857"/>
    <m/>
    <n v="1.3108850000000001"/>
    <n v="-3.0348099999999998"/>
    <n v="3.2120700000000002E-2"/>
    <n v="3.5166299999999998E-2"/>
    <n v="4.9677399999999997E-2"/>
    <n v="5.0403200000000002E-2"/>
    <n v="4.2903200000000002E-2"/>
    <n v="5.55"/>
    <n v="-7.8799999999999995E-2"/>
    <n v="0.33184000000000002"/>
    <n v="0.25117080000000003"/>
    <n v="1.3666478999999998"/>
    <n v="0.25117080000000003"/>
    <n v="7.5009999999999993E-2"/>
    <n v="3.5000000000000003E-2"/>
    <n v="6.0010000000000001E-2"/>
    <n v="0.08"/>
    <n v="3.9809900000000002E-2"/>
    <n v="5.2472299999999999E-2"/>
    <n v="5.8518500000000001E-2"/>
    <n v="5.63"/>
    <n v="7.0127457261730743"/>
    <n v="8.4310032951007639"/>
    <n v="1.8373699804801074"/>
    <n v="3.7265364452910346"/>
    <n v="-0.364463751"/>
    <n v="-0.23162506899999999"/>
    <n v="7.3116391800000001E-3"/>
    <n v="-7.4288952899999997E-2"/>
    <n v="-0.11019472900000001"/>
  </r>
  <r>
    <x v="40"/>
    <x v="11"/>
    <x v="3"/>
    <n v="4.5510222947974182"/>
    <n v="4"/>
    <n v="5.1287145821618569"/>
    <n v="5.3"/>
    <n v="5.4229215297725677"/>
    <n v="4.2732993466821014"/>
    <n v="4.4585825011452478"/>
    <n v="4.4073410051522632"/>
    <n v="-0.18190120000000001"/>
    <n v="0.27225689999999858"/>
    <m/>
    <n v="0.25472509999999998"/>
    <n v="-2.780084"/>
    <n v="4.3008299999999999E-2"/>
    <n v="2.82309E-2"/>
    <n v="5.5967799999999998E-2"/>
    <n v="4.9919400000000003E-2"/>
    <n v="4.7741899999999997E-2"/>
    <n v="5.84"/>
    <n v="-0.31430000000000002"/>
    <n v="-1.8512999999999999"/>
    <n v="-0.12767719999999999"/>
    <n v="1.2389706999999999"/>
    <n v="-0.12767719999999999"/>
    <n v="1.5509999999999999E-2"/>
    <n v="5.0000000000000001E-3"/>
    <n v="-5.0000000000000001E-3"/>
    <n v="4.4999999999999998E-2"/>
    <n v="-1.6660999999999999E-2"/>
    <n v="-3.3888700000000001E-2"/>
    <n v="5.0620999999999999E-3"/>
    <n v="3.99"/>
    <n v="7.0230463233168718"/>
    <n v="8.4370454782298143"/>
    <n v="1.6601310267496185"/>
    <n v="3.7335898788809936"/>
    <n v="-0.19426511399999999"/>
    <n v="-0.17085055599999999"/>
    <n v="-7.3648430700000003E-2"/>
    <n v="4.0582351699999996E-3"/>
    <n v="0.19283789700000001"/>
  </r>
  <r>
    <x v="41"/>
    <x v="0"/>
    <x v="0"/>
    <n v="4.5513632086292093"/>
    <n v="4"/>
    <n v="5.1316722891390896"/>
    <n v="5.45"/>
    <n v="5.4292579058086323"/>
    <n v="4.2946561022865817"/>
    <n v="4.4199002871019628"/>
    <n v="4.4112334332218213"/>
    <n v="0"/>
    <n v="0.27225689999999858"/>
    <m/>
    <n v="0"/>
    <n v="-2.780084"/>
    <n v="1.00064E-2"/>
    <n v="-3.2258E-3"/>
    <n v="2.9032200000000001E-2"/>
    <n v="2.2580599999999999E-2"/>
    <n v="3.2258200000000001E-2"/>
    <n v="6.12"/>
    <n v="-0.1216"/>
    <n v="0.62987000000000004"/>
    <n v="0"/>
    <n v="1.2389706999999999"/>
    <n v="0"/>
    <n v="0"/>
    <n v="0"/>
    <n v="0"/>
    <n v="0"/>
    <n v="0"/>
    <n v="0"/>
    <n v="0"/>
    <n v="5.87"/>
    <n v="7.0228680860826413"/>
    <n v="8.4432021355044675"/>
    <n v="1.6419051025716018"/>
    <n v="3.7414481847867176"/>
    <n v="-0.31536310699999998"/>
    <n v="-0.16662658299999999"/>
    <n v="9.2504521699999995E-3"/>
    <n v="-6.2013588199999997E-2"/>
    <n v="8.6987494699999994E-3"/>
  </r>
  <r>
    <x v="41"/>
    <x v="1"/>
    <x v="0"/>
    <n v="4.554575594819009"/>
    <n v="4.0999999999999996"/>
    <n v="5.1357984370502621"/>
    <n v="5.73"/>
    <n v="5.4026773818722793"/>
    <n v="4.3214402933747387"/>
    <n v="4.4274420632042695"/>
    <n v="4.4177677433266487"/>
    <n v="4.5138699999999997E-2"/>
    <n v="0.31739559999999856"/>
    <m/>
    <n v="0.36966539999999998"/>
    <n v="-2.4104190000000001"/>
    <n v="-5.7033100000000003E-2"/>
    <n v="4.8275000000000002E-3"/>
    <n v="0"/>
    <n v="4.8275999999999996E-3"/>
    <n v="2.41379E-2"/>
    <n v="6.22"/>
    <n v="-0.1046"/>
    <n v="1.9288000000000001"/>
    <n v="7.4226899999999998E-2"/>
    <n v="1.3131975999999999"/>
    <n v="7.4226899999999998E-2"/>
    <n v="-5.9069999999999998E-2"/>
    <n v="-5.5E-2"/>
    <n v="5.0000000000000001E-3"/>
    <n v="0"/>
    <n v="-4.8247199999999997E-2"/>
    <n v="-1.8266000000000001E-3"/>
    <n v="2.2575E-3"/>
    <n v="5.85"/>
    <n v="7.0102216105266271"/>
    <n v="8.4460193719617127"/>
    <n v="1.6243265249278511"/>
    <n v="3.7217821737896442"/>
    <n v="-0.17101485499999999"/>
    <n v="-2.6885466100000002E-2"/>
    <n v="3.9203122799999997E-2"/>
    <n v="-0.15180618700000001"/>
    <n v="0.29095048000000001"/>
  </r>
  <r>
    <x v="41"/>
    <x v="2"/>
    <x v="0"/>
    <n v="4.5587586406605585"/>
    <n v="4"/>
    <n v="5.1416635565026603"/>
    <n v="5.85"/>
    <n v="5.4198710621006132"/>
    <n v="4.3115907582702269"/>
    <n v="4.4426747856252691"/>
    <n v="4.4233964790969695"/>
    <n v="-3.9546100000000001E-2"/>
    <n v="0.27784949999999853"/>
    <m/>
    <n v="4.4173200000000003E-2"/>
    <n v="-2.3662459999999998"/>
    <n v="-1.8536799999999999E-2"/>
    <n v="-3.3723999999999998E-3"/>
    <n v="-1.7741E-3"/>
    <n v="1.9465999999999999E-3"/>
    <n v="2.6362999999999998E-3"/>
    <n v="6.22"/>
    <n v="0.15390000000000001"/>
    <n v="0.46217999999999998"/>
    <n v="4.54233E-2"/>
    <n v="1.3586208999999998"/>
    <n v="4.54233E-2"/>
    <n v="-4.65E-2"/>
    <n v="-1.4999999999999999E-2"/>
    <n v="-9.9900000000000006E-3"/>
    <n v="-5.0000000000000001E-3"/>
    <n v="-1.8090499999999999E-2"/>
    <n v="-5.8783999999999998E-3"/>
    <n v="-1.29585E-2"/>
    <n v="6.17"/>
    <n v="7.0096798987040625"/>
    <n v="8.4526333367177742"/>
    <n v="1.8744141473502434"/>
    <n v="3.7024864575201533"/>
    <n v="-0.146405443"/>
    <n v="5.5885606499999997E-2"/>
    <n v="0.135397142"/>
    <n v="-5.5153375400000003E-2"/>
    <n v="0.16029441899999999"/>
  </r>
  <r>
    <x v="41"/>
    <x v="3"/>
    <x v="1"/>
    <n v="4.5662973323246812"/>
    <n v="3.8"/>
    <n v="5.1410785901215457"/>
    <n v="6.02"/>
    <n v="5.4283802508462049"/>
    <n v="4.2881966089009111"/>
    <n v="4.4471587296116635"/>
    <n v="4.4250142824733185"/>
    <n v="0"/>
    <n v="0.27784949999999853"/>
    <m/>
    <n v="0"/>
    <n v="-2.3662459999999998"/>
    <n v="-0.03"/>
    <n v="-6.4451999999999999E-3"/>
    <n v="-3.2258E-3"/>
    <n v="3.2258E-3"/>
    <n v="3.2258E-3"/>
    <n v="6.15"/>
    <n v="0.3301"/>
    <n v="0.67542000000000002"/>
    <n v="0"/>
    <n v="1.3586208999999998"/>
    <n v="0"/>
    <n v="0"/>
    <n v="0"/>
    <n v="0"/>
    <n v="0"/>
    <n v="0"/>
    <n v="0"/>
    <n v="0"/>
    <n v="6.06"/>
    <n v="7.0162508751354355"/>
    <n v="8.4639611768193017"/>
    <n v="1.9603764345208963"/>
    <n v="3.6933693593867885"/>
    <n v="-0.23229207299999999"/>
    <n v="0.149463126"/>
    <n v="-2.2314579700000001E-3"/>
    <n v="0.180788382"/>
    <n v="0.140343989"/>
  </r>
  <r>
    <x v="41"/>
    <x v="4"/>
    <x v="1"/>
    <n v="4.5684678191371635"/>
    <n v="4"/>
    <n v="5.1428324637076415"/>
    <n v="6.27"/>
    <n v="5.4539526580794853"/>
    <n v="4.2951334325195125"/>
    <n v="4.4513777753081101"/>
    <n v="4.42926798099632"/>
    <n v="0.31209310000000001"/>
    <n v="0.58994259999999854"/>
    <m/>
    <n v="0.85004820000000003"/>
    <n v="-1.516197"/>
    <n v="2.13315E-2"/>
    <n v="3.61292E-2"/>
    <n v="2.58064E-2"/>
    <n v="2.8387200000000001E-2"/>
    <n v="2.3225800000000001E-2"/>
    <n v="6.33"/>
    <n v="0.49969999999999998"/>
    <n v="1.9742999999999999"/>
    <n v="0.227573"/>
    <n v="1.5861938999999998"/>
    <n v="0.227573"/>
    <n v="4.1329999999999999E-2"/>
    <n v="0.02"/>
    <n v="7.0000000000000007E-2"/>
    <n v="0.05"/>
    <n v="1.24131E-2"/>
    <n v="3.8363000000000001E-2"/>
    <n v="2.85673E-2"/>
    <n v="6.83"/>
    <n v="7.0085051820822803"/>
    <n v="8.4619764207783064"/>
    <n v="2.0399207835175526"/>
    <n v="3.6968972257075197"/>
    <n v="-9.4207731200000006E-2"/>
    <n v="-0.42324355600000002"/>
    <n v="-0.25061014399999998"/>
    <n v="-0.13452302599999999"/>
    <n v="-2.09158092E-2"/>
  </r>
  <r>
    <x v="41"/>
    <x v="5"/>
    <x v="1"/>
    <n v="4.5694186482809416"/>
    <n v="4"/>
    <n v="5.14865659199363"/>
    <n v="6.53"/>
    <n v="5.4376009336504225"/>
    <n v="4.288567241107601"/>
    <n v="4.4507478025860925"/>
    <n v="4.4341208582320162"/>
    <n v="4.2940899999999997E-2"/>
    <n v="0.63288349999999849"/>
    <m/>
    <n v="-0.1958944"/>
    <n v="-1.7120919999999999"/>
    <n v="1.7498300000000001E-2"/>
    <n v="3.23699E-2"/>
    <n v="2.2193399999999999E-2"/>
    <n v="2.3612899999999999E-2"/>
    <n v="1.8274200000000001E-2"/>
    <n v="6.17"/>
    <n v="0.55269999999999997"/>
    <n v="0.94579000000000002"/>
    <n v="-6.6848000000000005E-2"/>
    <n v="1.5193458999999998"/>
    <n v="-6.6848000000000005E-2"/>
    <n v="-2.5000000000000001E-2"/>
    <n v="0"/>
    <n v="-1.5010000000000001E-2"/>
    <n v="-0.02"/>
    <n v="2.2345500000000001E-2"/>
    <n v="-1.48976E-2"/>
    <n v="-2.1168599999999999E-2"/>
    <n v="6.86"/>
    <n v="7.0064234507788381"/>
    <n v="8.4656051167431414"/>
    <n v="1.8882810362186768"/>
    <n v="3.681149656051995"/>
    <n v="6.3590187699999995E-2"/>
    <n v="-3.8480763699999997E-2"/>
    <n v="0.22596261400000001"/>
    <n v="-0.48924039600000002"/>
    <n v="-1.4877327900000001E-2"/>
  </r>
  <r>
    <x v="41"/>
    <x v="6"/>
    <x v="2"/>
    <n v="4.5683609628540935"/>
    <n v="4"/>
    <n v="5.1515559851526325"/>
    <n v="6.54"/>
    <n v="5.3918532459392017"/>
    <n v="4.2893355221167182"/>
    <n v="4.4499305801627269"/>
    <n v="4.4351170632479899"/>
    <n v="0"/>
    <n v="0.63288349999999849"/>
    <m/>
    <n v="0"/>
    <n v="-1.7120919999999999"/>
    <n v="-2.24998E-2"/>
    <n v="-1.3509E-2"/>
    <n v="-1.7999899999999999E-2"/>
    <n v="-2.7E-2"/>
    <n v="-3.15E-2"/>
    <n v="6.08"/>
    <n v="0.61219999999999997"/>
    <n v="0.37413999999999997"/>
    <n v="0"/>
    <n v="1.5193458999999998"/>
    <n v="0"/>
    <n v="0"/>
    <n v="0"/>
    <n v="0"/>
    <n v="0"/>
    <n v="0"/>
    <n v="0"/>
    <n v="0"/>
    <n v="6.64"/>
    <n v="7.0073290838782292"/>
    <n v="8.4693675619336322"/>
    <n v="1.9170696601935016"/>
    <n v="3.6768321762032601"/>
    <n v="-4.13603715E-2"/>
    <n v="0.185992982"/>
    <n v="-6.5652528399999993E-2"/>
    <n v="0.37954756099999998"/>
    <n v="0.221791976"/>
  </r>
  <r>
    <x v="41"/>
    <x v="7"/>
    <x v="2"/>
    <n v="4.5648220375183959"/>
    <n v="4.0999999999999996"/>
    <n v="5.1515559851526325"/>
    <n v="6.5"/>
    <n v="5.3811868443703315"/>
    <n v="4.3035920083441992"/>
    <n v="4.4556836122877099"/>
    <n v="4.4383597080140422"/>
    <n v="-6.7214999999999997E-2"/>
    <n v="0.56566849999999846"/>
    <m/>
    <n v="0.20646490000000001"/>
    <n v="-1.505627"/>
    <n v="-5.5516000000000003E-3"/>
    <n v="1.6129E-3"/>
    <n v="4.8386999999999996E-3"/>
    <n v="9.6773999999999992E-3"/>
    <n v="9.6773999999999992E-3"/>
    <n v="6.18"/>
    <n v="0.76959999999999995"/>
    <n v="0.46237"/>
    <n v="-4.9618599999999999E-2"/>
    <n v="1.4697272999999997"/>
    <n v="-4.9618599999999999E-2"/>
    <n v="-1.721E-2"/>
    <n v="-5.0000000000000001E-3"/>
    <n v="5.0000000000000001E-3"/>
    <n v="1.4999999999999999E-2"/>
    <n v="1.59989E-2"/>
    <n v="1.6977200000000001E-2"/>
    <n v="2.0431299999999999E-2"/>
    <n v="6.65"/>
    <n v="7.0035199009665163"/>
    <n v="8.4752247065937354"/>
    <n v="1.9404667893892471"/>
    <n v="3.6695437178071941"/>
    <n v="0.149668677"/>
    <n v="-3.7855327100000002E-2"/>
    <n v="-9.6266739200000007E-2"/>
    <n v="-0.127241775"/>
    <n v="0.13653346"/>
  </r>
  <r>
    <x v="41"/>
    <x v="8"/>
    <x v="2"/>
    <n v="4.568873354124781"/>
    <n v="3.9"/>
    <n v="5.15675380222625"/>
    <n v="6.52"/>
    <n v="5.3963511068194023"/>
    <n v="4.3291004288644768"/>
    <n v="4.4633070376249799"/>
    <n v="4.4427453697085877"/>
    <n v="0"/>
    <n v="0.56566849999999846"/>
    <m/>
    <n v="0"/>
    <n v="-1.505627"/>
    <n v="-1.1658399999999999E-2"/>
    <n v="3.3871999999999999E-3"/>
    <n v="1.01612E-2"/>
    <n v="2.03226E-2"/>
    <n v="2.03226E-2"/>
    <n v="6.13"/>
    <n v="0.82240000000000002"/>
    <n v="0.90156000000000003"/>
    <n v="0"/>
    <n v="1.4697272999999997"/>
    <n v="0"/>
    <n v="0"/>
    <n v="0"/>
    <n v="0"/>
    <n v="0"/>
    <n v="0"/>
    <n v="0"/>
    <n v="0"/>
    <n v="6.6"/>
    <n v="7.0025198554265602"/>
    <n v="8.4826224503660423"/>
    <n v="1.9255616585171844"/>
    <n v="3.6655596487923194"/>
    <n v="0.32676613700000001"/>
    <n v="-0.18980761299999999"/>
    <n v="-0.19099704000000001"/>
    <n v="-0.26786076399999997"/>
    <n v="9.6705501299999996E-2"/>
  </r>
  <r>
    <x v="41"/>
    <x v="9"/>
    <x v="3"/>
    <n v="4.5654892069287065"/>
    <n v="3.9"/>
    <n v="5.1584804213602373"/>
    <n v="6.51"/>
    <n v="5.4123154706014489"/>
    <n v="4.319432887902809"/>
    <n v="4.4637563800372133"/>
    <n v="4.4439445374888695"/>
    <n v="-2.9677700000000001E-2"/>
    <n v="0.53599079999999844"/>
    <m/>
    <n v="0.46248869999999997"/>
    <n v="-1.0431379999999999"/>
    <n v="0"/>
    <n v="2.3387000000000002E-2"/>
    <n v="3.7419300000000003E-2"/>
    <n v="4.6774099999999999E-2"/>
    <n v="6.0806499999999999E-2"/>
    <n v="6.01"/>
    <n v="1.2587999999999999"/>
    <n v="0.94828000000000001"/>
    <n v="5.7254999999999997E-3"/>
    <n v="1.4754527999999998"/>
    <n v="5.7254999999999997E-3"/>
    <n v="0"/>
    <n v="0"/>
    <n v="2.5000000000000001E-2"/>
    <n v="0.04"/>
    <n v="2.52526E-2"/>
    <n v="2.3376000000000001E-2"/>
    <n v="4.3768799999999997E-2"/>
    <n v="6.59"/>
    <n v="7.0017008918246653"/>
    <n v="8.4860120739326632"/>
    <n v="1.906426544206181"/>
    <n v="3.6623044459281373"/>
    <n v="-9.1336805800000004E-2"/>
    <n v="0.21662520800000001"/>
    <n v="7.6102391899999997E-2"/>
    <n v="0.11668715"/>
    <n v="-4.1699870299999997E-2"/>
  </r>
  <r>
    <x v="41"/>
    <x v="10"/>
    <x v="3"/>
    <n v="4.565676475574449"/>
    <n v="3.9"/>
    <n v="5.1602040644184024"/>
    <n v="6.51"/>
    <n v="5.4084713750399294"/>
    <n v="4.3113493095769009"/>
    <n v="4.462084726844461"/>
    <n v="4.447439773222114"/>
    <n v="2.4629999999999999E-2"/>
    <n v="0.56062079999999848"/>
    <m/>
    <n v="0.15653529999999999"/>
    <n v="-0.88660289999999997"/>
    <n v="-5.3279E-3"/>
    <n v="1.6129E-3"/>
    <n v="1.05808E-2"/>
    <n v="8.5591E-3"/>
    <n v="4.1935000000000002E-3"/>
    <n v="6.09"/>
    <n v="1.2965"/>
    <n v="0.31286000000000003"/>
    <n v="1.0177800000000001E-2"/>
    <n v="1.4856305999999997"/>
    <n v="1.0177800000000001E-2"/>
    <n v="-9.9900000000000006E-3"/>
    <n v="-5.0000000000000001E-3"/>
    <n v="0"/>
    <n v="1.4999999999999999E-2"/>
    <n v="2.2875300000000001E-2"/>
    <n v="-5.5402000000000003E-3"/>
    <n v="1.32199E-2"/>
    <n v="6.62"/>
    <n v="6.9960408438494976"/>
    <n v="8.4882380069608168"/>
    <n v="1.9554360617087172"/>
    <n v="3.6661224669913199"/>
    <n v="0.23620266000000001"/>
    <n v="-8.4729315600000008E-3"/>
    <n v="-7.2628480199999998E-2"/>
    <n v="-0.236808983"/>
    <n v="0.11851505499999999"/>
  </r>
  <r>
    <x v="41"/>
    <x v="11"/>
    <x v="3"/>
    <n v="4.5627229130848379"/>
    <n v="3.9"/>
    <n v="5.1624976434055014"/>
    <n v="6.4"/>
    <n v="5.4160559567722926"/>
    <n v="4.3123281571626828"/>
    <n v="4.471833060206829"/>
    <n v="4.4517159302679268"/>
    <n v="0.20349239999999999"/>
    <n v="0.76411319999999849"/>
    <m/>
    <n v="0.59833890000000001"/>
    <n v="-0.28826400000000002"/>
    <n v="2.24199E-2"/>
    <n v="-2.0967E-3"/>
    <n v="1.5387100000000001E-2"/>
    <n v="1.0957E-2"/>
    <n v="0"/>
    <n v="5.6"/>
    <n v="1.369"/>
    <n v="-0.80013000000000001"/>
    <n v="0.13933960000000001"/>
    <n v="1.6249701999999997"/>
    <n v="0.13933960000000001"/>
    <n v="6.4579999999999999E-2"/>
    <n v="2.5000000000000001E-2"/>
    <n v="-5.0000000000000001E-3"/>
    <n v="0.02"/>
    <n v="7.3082900000000006E-2"/>
    <n v="2.5168999999999999E-3"/>
    <n v="4.2976100000000003E-2"/>
    <n v="5.41"/>
    <n v="6.9919125869888603"/>
    <n v="8.4972965597017804"/>
    <n v="1.9344157696295783"/>
    <n v="3.6500086797249431"/>
    <n v="0.15914988799999999"/>
    <n v="6.6300592599999996E-3"/>
    <n v="-0.102382891"/>
    <n v="-0.18170839"/>
    <n v="2.9171616300000001E-2"/>
  </r>
  <r>
    <x v="42"/>
    <x v="0"/>
    <x v="0"/>
    <n v="4.5557141501753344"/>
    <n v="4.2"/>
    <n v="5.1682086812010164"/>
    <n v="5.98"/>
    <n v="5.4197382217523762"/>
    <n v="4.3161805924363676"/>
    <n v="4.466069025248653"/>
    <n v="4.4528461701272404"/>
    <n v="5.0705E-2"/>
    <n v="0.81481819999999849"/>
    <m/>
    <n v="-0.4302975"/>
    <n v="-0.71856149999999996"/>
    <n v="-0.3290555"/>
    <n v="-0.14225789999999999"/>
    <n v="-0.1243548"/>
    <n v="-8.5967699999999994E-2"/>
    <n v="-8.5645200000000005E-2"/>
    <n v="4.8099999999999996"/>
    <n v="0.91610000000000003"/>
    <n v="-2.9214000000000002"/>
    <n v="-5.3533999999999998E-2"/>
    <n v="1.5714361999999997"/>
    <n v="-5.3533999999999998E-2"/>
    <n v="-0.35804000000000002"/>
    <n v="-0.35"/>
    <n v="-0.11999"/>
    <n v="-0.155"/>
    <n v="-0.27476329999999999"/>
    <n v="-9.6669199999999997E-2"/>
    <n v="-8.9728199999999994E-2"/>
    <n v="5.74"/>
    <n v="6.9996961526804942"/>
    <n v="8.5074054473451231"/>
    <n v="1.9351380520734023"/>
    <n v="3.6326265125631378"/>
    <n v="0.35547374399999998"/>
    <n v="4.1754716900000002E-2"/>
    <n v="-0.36066892900000003"/>
    <n v="8.8633402599999994E-2"/>
    <n v="2.8241548799999999E-2"/>
  </r>
  <r>
    <x v="42"/>
    <x v="1"/>
    <x v="0"/>
    <n v="4.5492144603933138"/>
    <n v="4.2"/>
    <n v="5.1704839950381514"/>
    <n v="5.49"/>
    <n v="5.4122262406558193"/>
    <n v="4.3436755432899581"/>
    <n v="4.4598553548232323"/>
    <n v="4.4515526973224917"/>
    <n v="0"/>
    <n v="0.81481819999999849"/>
    <m/>
    <n v="0"/>
    <n v="-0.71856149999999996"/>
    <n v="8.5135000000000002E-3"/>
    <n v="1.9364599999999999E-2"/>
    <n v="-1.9032199999999999E-2"/>
    <n v="-4.0322700000000003E-2"/>
    <n v="-4.9354799999999997E-2"/>
    <n v="4.68"/>
    <n v="0.94189999999999996"/>
    <n v="-2.4695"/>
    <n v="0"/>
    <n v="1.5714361999999997"/>
    <n v="0"/>
    <n v="0"/>
    <n v="0"/>
    <n v="0"/>
    <n v="0"/>
    <n v="0"/>
    <n v="0"/>
    <n v="0"/>
    <n v="5.59"/>
    <n v="7.0035199009665163"/>
    <n v="8.5150308552515543"/>
    <n v="1.8531680973566984"/>
    <n v="3.6515409684585682"/>
    <n v="0.458527717"/>
    <n v="0.41320668500000002"/>
    <n v="-0.19958590900000001"/>
    <n v="0.21010928100000001"/>
    <n v="1.1127174700000001E-2"/>
  </r>
  <r>
    <x v="42"/>
    <x v="2"/>
    <x v="0"/>
    <n v="4.5464324079618006"/>
    <n v="4.3"/>
    <n v="5.17105201550216"/>
    <n v="5.31"/>
    <n v="5.4227890940588761"/>
    <n v="4.3320219833133473"/>
    <n v="4.4537657318288586"/>
    <n v="4.4543705517970489"/>
    <n v="-0.48659829999999998"/>
    <n v="0.32821989999999851"/>
    <m/>
    <n v="-0.98319219999999996"/>
    <n v="-1.701754"/>
    <n v="2.7274799999999998E-2"/>
    <n v="-2.9032200000000001E-2"/>
    <n v="-2.5161300000000001E-2"/>
    <n v="-3.48387E-2"/>
    <n v="-3.48387E-2"/>
    <n v="4.3"/>
    <n v="0.97889999999999999"/>
    <n v="-0.49624000000000001"/>
    <n v="-0.38298470000000001"/>
    <n v="1.1884514999999998"/>
    <n v="-0.38298470000000001"/>
    <n v="7.0459999999999995E-2"/>
    <n v="2.5000000000000001E-2"/>
    <n v="-7.4999999999999997E-2"/>
    <n v="-6.5000000000000002E-2"/>
    <n v="3.875E-2"/>
    <n v="-6.2557100000000004E-2"/>
    <n v="-4.2442500000000001E-2"/>
    <n v="5.29"/>
    <n v="7.0107630290563661"/>
    <n v="8.5263511292010037"/>
    <n v="1.8846424633747687"/>
    <n v="3.6467023752147503"/>
    <n v="0.50213582199999995"/>
    <n v="4.19570742E-2"/>
    <n v="-0.221003171"/>
    <n v="-0.235943717"/>
    <n v="-9.4456327000000007E-2"/>
  </r>
  <r>
    <x v="42"/>
    <x v="3"/>
    <x v="1"/>
    <n v="4.5436074993263746"/>
    <n v="4.4000000000000004"/>
    <n v="5.1727541435726909"/>
    <n v="4.8"/>
    <n v="5.4234510973048025"/>
    <n v="4.3151253243471217"/>
    <n v="4.4642861142612187"/>
    <n v="4.4543472962535073"/>
    <n v="0"/>
    <n v="0.32821989999999851"/>
    <m/>
    <n v="0"/>
    <n v="-1.701754"/>
    <n v="-0.14639379999999999"/>
    <n v="-0.20630119999999999"/>
    <n v="-0.17850540000000001"/>
    <n v="-0.2111613"/>
    <n v="-0.1786613"/>
    <n v="3.98"/>
    <n v="0.77539999999999998"/>
    <n v="-2.266"/>
    <n v="0"/>
    <n v="1.1884514999999998"/>
    <n v="0"/>
    <n v="-0.43748999999999999"/>
    <n v="-0.17499999999999999"/>
    <n v="-0.37"/>
    <n v="-0.32"/>
    <n v="0"/>
    <n v="0"/>
    <n v="0"/>
    <n v="4.67"/>
    <n v="7.0167890400062598"/>
    <n v="8.5380344947878868"/>
    <n v="1.922787731634459"/>
    <n v="3.6461024247578777"/>
    <n v="0.52092024999999997"/>
    <n v="-0.13784370000000001"/>
    <n v="-0.33729770599999997"/>
    <n v="-0.29053366400000002"/>
    <n v="-0.14962116"/>
  </r>
  <r>
    <x v="42"/>
    <x v="4"/>
    <x v="1"/>
    <n v="4.5363837217691225"/>
    <n v="4.3"/>
    <n v="5.1778432130801626"/>
    <n v="4.21"/>
    <n v="5.4372528805688143"/>
    <n v="4.3274252429822084"/>
    <n v="4.4699115883176255"/>
    <n v="4.4559854885671708"/>
    <n v="-0.40858650000000002"/>
    <n v="-8.0366600000001509E-2"/>
    <m/>
    <n v="-1.6484920000000001"/>
    <n v="-3.3502450000000001"/>
    <n v="-0.30103869999999999"/>
    <n v="-0.2864408"/>
    <n v="-0.25536560000000003"/>
    <n v="-0.27529039999999999"/>
    <n v="-0.25198389999999998"/>
    <n v="3.78"/>
    <n v="0.68830000000000002"/>
    <n v="-2.1835"/>
    <n v="-0.2400456"/>
    <n v="0.9484058999999998"/>
    <n v="-0.2400456"/>
    <n v="-9.6879999999999994E-2"/>
    <n v="-0.05"/>
    <n v="-0.14000000000000001"/>
    <n v="-0.13500000000000001"/>
    <n v="-1.8684000000000001E-3"/>
    <n v="-8.0673599999999998E-2"/>
    <n v="-9.3847399999999997E-2"/>
    <n v="4.24"/>
    <n v="7.0211732460176934"/>
    <n v="8.5384849055505256"/>
    <n v="2.0285429062462996"/>
    <n v="3.648448008319598"/>
    <n v="0.56043942400000002"/>
    <n v="7.6653852800000005E-2"/>
    <n v="1.1408364400000001E-3"/>
    <n v="-0.10943596"/>
    <n v="-0.116372246"/>
  </r>
  <r>
    <x v="42"/>
    <x v="5"/>
    <x v="1"/>
    <n v="4.5298376181692328"/>
    <n v="4.5"/>
    <n v="5.180096735160606"/>
    <n v="3.97"/>
    <n v="5.4466511610537305"/>
    <n v="4.3466584908360906"/>
    <n v="4.4594621002899544"/>
    <n v="4.4558577828010826"/>
    <n v="-0.13663239999999999"/>
    <n v="-0.2169990000000015"/>
    <m/>
    <n v="1.7749299999999999"/>
    <n v="-1.575315"/>
    <n v="-2.9752299999999999E-2"/>
    <n v="-5.3225799999999997E-2"/>
    <n v="-5.2300899999999997E-2"/>
    <n v="-4.8709599999999999E-2"/>
    <n v="-6.6516199999999998E-2"/>
    <n v="3.58"/>
    <n v="0.97789999999999999"/>
    <n v="-0.13400999999999999"/>
    <n v="-0.14057539999999999"/>
    <n v="0.80783049999999978"/>
    <n v="-0.14057539999999999"/>
    <n v="0.105"/>
    <n v="1.4999999999999999E-2"/>
    <n v="7.4999999999999997E-2"/>
    <n v="6.5000000000000002E-2"/>
    <n v="3.2191900000000002E-2"/>
    <n v="8.4474599999999997E-2"/>
    <n v="8.8316199999999997E-2"/>
    <n v="3.95"/>
    <n v="7.0282014320580046"/>
    <n v="8.5463635687160178"/>
    <n v="1.9358598132018119"/>
    <n v="3.6533558980448895"/>
    <n v="0.485310933"/>
    <n v="0.20962946800000001"/>
    <n v="8.65194782E-2"/>
    <n v="-1.8983623499999999E-3"/>
    <n v="4.1395866400000002E-2"/>
  </r>
  <r>
    <x v="42"/>
    <x v="6"/>
    <x v="2"/>
    <n v="4.5244914427534813"/>
    <n v="4.5999999999999996"/>
    <n v="5.1784070698754787"/>
    <n v="3.77"/>
    <n v="5.4604362160244717"/>
    <n v="4.3362444420187538"/>
    <n v="4.4707240894351683"/>
    <n v="4.4571688931975757"/>
    <n v="0"/>
    <n v="-0.2169990000000015"/>
    <m/>
    <n v="0"/>
    <n v="-1.575315"/>
    <n v="9.10001E-2"/>
    <n v="6.5000100000000005E-2"/>
    <n v="5.6333300000000003E-2"/>
    <n v="6.5000100000000005E-2"/>
    <n v="5.1999999999999998E-2"/>
    <n v="3.62"/>
    <n v="0.56599999999999995"/>
    <n v="0.36194999999999999"/>
    <n v="0"/>
    <n v="0.80783049999999978"/>
    <n v="0"/>
    <n v="0"/>
    <n v="0"/>
    <n v="0"/>
    <n v="0"/>
    <n v="0"/>
    <n v="0"/>
    <n v="0"/>
    <n v="3.82"/>
    <n v="7.0392220417244431"/>
    <n v="8.5520969074241187"/>
    <n v="2.0394004921426521"/>
    <n v="3.6684726443362736"/>
    <n v="0.61657306199999995"/>
    <n v="-2.95416979E-2"/>
    <n v="-0.17864962600000001"/>
    <n v="-0.153193632"/>
    <n v="-0.12547728"/>
  </r>
  <r>
    <x v="42"/>
    <x v="7"/>
    <x v="2"/>
    <n v="4.5223319076790869"/>
    <n v="4.9000000000000004"/>
    <n v="5.1784070698754787"/>
    <n v="3.65"/>
    <n v="5.4637046783012826"/>
    <n v="4.35985770990282"/>
    <n v="4.4733744291331572"/>
    <n v="4.4595546446824086"/>
    <n v="-0.12755150000000001"/>
    <n v="-0.34455050000000154"/>
    <m/>
    <n v="-0.48249239999999999"/>
    <n v="-2.0578080000000001"/>
    <n v="5.4964999999999996E-3"/>
    <n v="-7.0968000000000003E-3"/>
    <n v="-1.41935E-2"/>
    <n v="-1.9516200000000001E-2"/>
    <n v="-1.5967800000000001E-2"/>
    <n v="3.47"/>
    <n v="0.61180000000000001"/>
    <n v="-0.29675000000000001"/>
    <n v="-7.33708E-2"/>
    <n v="0.73445969999999983"/>
    <n v="-7.33708E-2"/>
    <n v="1.549E-2"/>
    <n v="5.0000000000000001E-3"/>
    <n v="-0.02"/>
    <n v="-0.04"/>
    <n v="3.3484E-2"/>
    <n v="-1.0667000000000001E-3"/>
    <n v="1.7703E-3"/>
    <n v="3.66"/>
    <n v="7.0481257318294128"/>
    <n v="8.5584886738234083"/>
    <n v="2.0243251591211697"/>
    <n v="3.6833139956410546"/>
    <n v="0.60580393300000002"/>
    <n v="-0.37366653100000002"/>
    <n v="-0.16683647300000001"/>
    <n v="-0.39749484200000001"/>
    <n v="-0.16296560700000001"/>
  </r>
  <r>
    <x v="42"/>
    <x v="8"/>
    <x v="2"/>
    <n v="4.5189094362981965"/>
    <n v="5"/>
    <n v="5.1823451902956164"/>
    <n v="3.07"/>
    <n v="5.4232746059524208"/>
    <n v="4.3273196254495998"/>
    <n v="4.4634337956728452"/>
    <n v="4.4546844487135546"/>
    <n v="0"/>
    <n v="-0.34455050000000154"/>
    <m/>
    <n v="0"/>
    <n v="-2.0578080000000001"/>
    <n v="9.9933000000000001E-3"/>
    <n v="-1.29032E-2"/>
    <n v="-2.5806699999999998E-2"/>
    <n v="-3.5483800000000003E-2"/>
    <n v="-2.9032200000000001E-2"/>
    <n v="2.82"/>
    <n v="1.0023"/>
    <n v="-4.8128000000000002"/>
    <n v="0"/>
    <n v="0.73445969999999983"/>
    <n v="0"/>
    <n v="0"/>
    <n v="0"/>
    <n v="0"/>
    <n v="0"/>
    <n v="0"/>
    <n v="0"/>
    <n v="0"/>
    <n v="2.75"/>
    <n v="7.0942348459247553"/>
    <n v="8.579529288998609"/>
    <n v="3.2437635403759799"/>
    <n v="3.9987876853238831"/>
    <n v="0.58397965900000004"/>
    <n v="-0.13252358"/>
    <n v="-0.119542888"/>
    <n v="-8.6099493099999994E-2"/>
    <n v="-8.9607552800000004E-2"/>
  </r>
  <r>
    <x v="42"/>
    <x v="9"/>
    <x v="3"/>
    <n v="4.5141967887334351"/>
    <n v="5.3"/>
    <n v="5.1795338305580696"/>
    <n v="2.4900000000000002"/>
    <n v="5.3552646469897871"/>
    <n v="4.4582119120201131"/>
    <n v="4.4752095534620322"/>
    <n v="4.4599016098968445"/>
    <n v="-0.16000739999999999"/>
    <n v="-0.50455790000000156"/>
    <m/>
    <n v="-1.887707"/>
    <n v="-3.9455149999999999"/>
    <n v="-3.62127E-2"/>
    <n v="-3.8709599999999997E-2"/>
    <n v="-5.8064499999999998E-2"/>
    <n v="-5.8064499999999998E-2"/>
    <n v="-5.8064499999999998E-2"/>
    <n v="2.33"/>
    <n v="0.86890000000000001"/>
    <n v="1.7695000000000001"/>
    <n v="-0.1091449"/>
    <n v="0.62531479999999984"/>
    <n v="-0.1091449"/>
    <n v="-3.7420000000000002E-2"/>
    <n v="-3.5000000000000003E-2"/>
    <n v="-0.04"/>
    <n v="-0.06"/>
    <n v="2.1488500000000001E-2"/>
    <n v="1.39457E-2"/>
    <n v="-3.0982000000000002E-3"/>
    <n v="2.66"/>
    <n v="7.060733843579218"/>
    <n v="8.5768950346622823"/>
    <n v="2.4910543803742344"/>
    <n v="3.8140573028421647"/>
    <n v="0.58695050400000004"/>
    <n v="-6.2041481400000001E-2"/>
    <n v="-0.17037271700000001"/>
    <n v="6.0306342399999997E-2"/>
    <n v="0.13509849099999999"/>
  </r>
  <r>
    <x v="42"/>
    <x v="10"/>
    <x v="3"/>
    <n v="4.5088145598951836"/>
    <n v="5.5"/>
    <n v="5.1789706089154706"/>
    <n v="2.09"/>
    <n v="5.3525687813799525"/>
    <n v="4.4225445829767702"/>
    <n v="4.4773595414926728"/>
    <n v="4.4592769858076879"/>
    <n v="-0.17163329999999999"/>
    <n v="-0.67619120000000155"/>
    <m/>
    <n v="-2.0394109999999999"/>
    <n v="-5.9849259999999997"/>
    <n v="-0.12620709999999999"/>
    <n v="-0.1179571"/>
    <n v="-0.13526869999999999"/>
    <n v="-0.1561022"/>
    <n v="-0.14360210000000001"/>
    <n v="2.1800000000000002"/>
    <n v="-0.4335"/>
    <n v="-1.389"/>
    <n v="-9.7332600000000005E-2"/>
    <n v="0.52798219999999985"/>
    <n v="-9.7332600000000005E-2"/>
    <n v="-0.15"/>
    <n v="-0.12"/>
    <n v="-0.14000000000000001"/>
    <n v="-0.16"/>
    <n v="-5.55796E-2"/>
    <n v="-8.0125600000000005E-2"/>
    <n v="-8.4221500000000005E-2"/>
    <n v="2.06"/>
    <n v="7.0652717168571204"/>
    <n v="8.5849452934670563"/>
    <n v="2.1764548158498336"/>
    <n v="3.7103473607291773"/>
    <n v="0.74399522799999995"/>
    <n v="-0.27230073300000002"/>
    <n v="-0.23253077599999999"/>
    <n v="-0.29876232899999999"/>
    <n v="-0.47794253399999997"/>
  </r>
  <r>
    <x v="42"/>
    <x v="11"/>
    <x v="3"/>
    <n v="4.5089268709484713"/>
    <n v="5.7"/>
    <n v="5.1784070698754787"/>
    <n v="1.82"/>
    <n v="5.3658825527104606"/>
    <n v="4.3816015443357852"/>
    <n v="4.4802983339381033"/>
    <n v="4.4642976271066761"/>
    <n v="-0.22693730000000001"/>
    <n v="-0.90312850000000156"/>
    <m/>
    <n v="-0.3210616"/>
    <n v="-6.305987"/>
    <n v="-3.0250099999999999E-2"/>
    <n v="-4.3655899999999997E-2"/>
    <n v="-7.4086200000000005E-2"/>
    <n v="-0.1019626"/>
    <n v="-9.9462499999999995E-2"/>
    <n v="2.2200000000000002"/>
    <n v="0.35620000000000002"/>
    <n v="-0.43844"/>
    <n v="9.0832099999999999E-2"/>
    <n v="0.61881429999999982"/>
    <n v="9.0832099999999999E-2"/>
    <n v="-7.7499999999999999E-3"/>
    <n v="-5.0000000000000001E-3"/>
    <n v="-0.03"/>
    <n v="-7.0000000000000007E-2"/>
    <n v="3.0164099999999999E-2"/>
    <n v="2.53437E-2"/>
    <n v="-7.4194999999999999E-3"/>
    <n v="1.52"/>
    <n v="7.0752169728690673"/>
    <n v="8.5947466496313041"/>
    <n v="2.2023226710556512"/>
    <n v="3.7212740375498075"/>
    <n v="0.67582858800000001"/>
    <n v="-0.25481932299999999"/>
    <n v="-0.15504956"/>
    <n v="-0.138445244"/>
    <n v="-0.21436285599999999"/>
  </r>
  <r>
    <x v="43"/>
    <x v="0"/>
    <x v="0"/>
    <n v="4.5152783006785615"/>
    <n v="5.7"/>
    <n v="5.180096735160606"/>
    <n v="1.73"/>
    <n v="5.3591772548047993"/>
    <n v="4.3987608336650466"/>
    <n v="4.4810684795110243"/>
    <n v="4.4653792431924249"/>
    <n v="-0.15401110000000001"/>
    <n v="-1.0571396000000015"/>
    <m/>
    <n v="0.53393420000000003"/>
    <n v="-5.7720529999999997"/>
    <n v="-8.8719999999999999E-4"/>
    <n v="-8.3870999999999998E-3"/>
    <n v="-2.1290300000000002E-2"/>
    <n v="-3.2258000000000002E-2"/>
    <n v="-3.1935499999999999E-2"/>
    <n v="2.16"/>
    <n v="0.49830000000000002"/>
    <n v="0.63910999999999996"/>
    <n v="6.0436900000000002E-2"/>
    <n v="0.67925119999999983"/>
    <n v="6.0436900000000002E-2"/>
    <n v="2.5000000000000001E-2"/>
    <n v="-5.0000000000000001E-3"/>
    <n v="0.02"/>
    <n v="0.02"/>
    <n v="-2.1443E-3"/>
    <n v="2.5087000000000002E-2"/>
    <n v="2.8663600000000001E-2"/>
    <n v="1.85"/>
    <n v="7.0816245489611083"/>
    <n v="8.5984782040324195"/>
    <n v="2.3016846877508814"/>
    <n v="3.7288210612068839"/>
    <n v="0.48863329799999999"/>
    <n v="-0.37218835300000003"/>
    <n v="1.7959591E-2"/>
    <n v="-0.23412038600000001"/>
    <n v="-0.247329776"/>
  </r>
  <r>
    <x v="43"/>
    <x v="1"/>
    <x v="0"/>
    <n v="4.5152673600587745"/>
    <n v="5.7"/>
    <n v="5.181783550292085"/>
    <n v="1.74"/>
    <n v="5.3660694685988553"/>
    <n v="4.4165246750814493"/>
    <n v="4.4816230698923443"/>
    <n v="4.4679061213172568"/>
    <n v="0"/>
    <n v="-1.0571396000000015"/>
    <m/>
    <n v="0"/>
    <n v="-5.7720529999999997"/>
    <n v="2.33872E-2"/>
    <n v="1.8709699999999999E-2"/>
    <n v="1.8709699999999999E-2"/>
    <n v="2.33872E-2"/>
    <n v="2.8064700000000001E-2"/>
    <n v="2.23"/>
    <n v="0.71160000000000001"/>
    <n v="-0.87588999999999995"/>
    <n v="0"/>
    <n v="0.67925119999999983"/>
    <n v="0"/>
    <n v="0"/>
    <n v="0"/>
    <n v="0"/>
    <n v="0"/>
    <n v="0"/>
    <n v="0"/>
    <n v="0"/>
    <n v="1.83"/>
    <n v="7.0814564534824802"/>
    <n v="8.6039211949260608"/>
    <n v="2.2249478232668931"/>
    <n v="3.7324895582418263"/>
    <n v="0.26652472599999999"/>
    <n v="-0.187652502"/>
    <n v="8.5459451000000006E-2"/>
    <n v="-2.6727112599999998E-2"/>
    <n v="-0.27166130100000002"/>
  </r>
  <r>
    <x v="43"/>
    <x v="2"/>
    <x v="0"/>
    <n v="4.5231485214705094"/>
    <n v="5.7"/>
    <n v="5.1845886012196933"/>
    <n v="1.73"/>
    <n v="5.3920353704217883"/>
    <n v="4.4113912433037852"/>
    <n v="4.4812382847448298"/>
    <n v="4.4684451276091561"/>
    <n v="-0.35770659999999999"/>
    <n v="-1.4148462000000015"/>
    <m/>
    <n v="-0.3864206"/>
    <n v="-6.158474"/>
    <n v="-1.08361E-2"/>
    <n v="-1.88708E-2"/>
    <n v="-3.14515E-2"/>
    <n v="-3.1451699999999999E-2"/>
    <n v="-3.3548399999999999E-2"/>
    <n v="2.57"/>
    <n v="0.26179999999999998"/>
    <n v="1.0911999999999999"/>
    <n v="-0.28607759999999999"/>
    <n v="0.39317359999999985"/>
    <n v="-0.28607759999999999"/>
    <n v="-2.5839999999999998E-2"/>
    <n v="-0.01"/>
    <n v="-4.4999999999999998E-2"/>
    <n v="-7.4999999999999997E-2"/>
    <n v="-4.7729000000000001E-2"/>
    <n v="-9.1834499999999999E-2"/>
    <n v="-0.1029221"/>
    <n v="1.74"/>
    <n v="7.0838072227624966"/>
    <n v="8.6058997973596281"/>
    <n v="2.2089335369125904"/>
    <n v="3.712937719207007"/>
    <n v="0.22139750599999999"/>
    <n v="-0.14169564900000001"/>
    <n v="6.3720778199999994E-2"/>
    <n v="-8.3462374800000003E-2"/>
    <n v="-7.6170363100000003E-3"/>
  </r>
  <r>
    <x v="43"/>
    <x v="3"/>
    <x v="1"/>
    <n v="4.5275707411156558"/>
    <n v="5.9"/>
    <n v="5.1890603806110871"/>
    <n v="1.75"/>
    <n v="5.3781908291312002"/>
    <n v="4.4387849684924907"/>
    <n v="4.4779389059120485"/>
    <n v="4.4717759268174895"/>
    <n v="0"/>
    <n v="-1.4148462000000015"/>
    <m/>
    <n v="0"/>
    <n v="-6.158474"/>
    <n v="-1.5003900000000001E-2"/>
    <n v="-2.6128999999999999E-2"/>
    <n v="-4.3548299999999998E-2"/>
    <n v="-4.3548299999999998E-2"/>
    <n v="-4.6451800000000001E-2"/>
    <n v="2.48"/>
    <n v="0.3831"/>
    <n v="-0.40412999999999999"/>
    <n v="0"/>
    <n v="0.39317359999999985"/>
    <n v="0"/>
    <n v="0"/>
    <n v="0"/>
    <n v="0"/>
    <n v="0"/>
    <n v="0"/>
    <n v="0"/>
    <n v="0"/>
    <n v="1.82"/>
    <n v="7.0773292629535893"/>
    <n v="8.6048926649464672"/>
    <n v="2.2733622343171422"/>
    <n v="3.700511538343644"/>
    <n v="5.3961908600000004E-3"/>
    <n v="4.0594144700000001E-2"/>
    <n v="0.36627153600000001"/>
    <n v="5.2242706399999998E-2"/>
    <n v="-7.6955200000000001E-2"/>
  </r>
  <r>
    <x v="43"/>
    <x v="4"/>
    <x v="1"/>
    <n v="4.531679715448691"/>
    <n v="5.8"/>
    <n v="5.1901752079283332"/>
    <n v="1.75"/>
    <n v="5.377267169526438"/>
    <n v="4.3987239552960498"/>
    <n v="4.4790285644800427"/>
    <n v="4.4734428793071617"/>
    <n v="0.17835509999999999"/>
    <n v="-1.2364911000000016"/>
    <m/>
    <n v="-0.7130322"/>
    <n v="-6.8715060000000001"/>
    <n v="5.2015999999999998E-3"/>
    <n v="-1.6129000000000001E-2"/>
    <n v="-3.2258299999999997E-2"/>
    <n v="-4.4354699999999997E-2"/>
    <n v="-4.8387100000000002E-2"/>
    <n v="2.35"/>
    <n v="0.41310000000000002"/>
    <n v="-1.7362"/>
    <n v="2.5056700000000001E-2"/>
    <n v="0.41823029999999983"/>
    <n v="2.5056700000000001E-2"/>
    <n v="6.45E-3"/>
    <n v="5.0000000000000001E-3"/>
    <n v="-0.02"/>
    <n v="-0.04"/>
    <n v="3.1894100000000002E-2"/>
    <n v="8.6303999999999999E-3"/>
    <n v="-3.3647799999999999E-2"/>
    <n v="1.79"/>
    <n v="7.0828843651945874"/>
    <n v="8.6109749310234491"/>
    <n v="2.2175717186670889"/>
    <n v="3.6736642883074557"/>
    <n v="0.13637501699999999"/>
    <n v="0.10189532699999999"/>
    <n v="0.19897367799999999"/>
    <n v="0.124835169"/>
    <n v="-2.0815832400000001E-2"/>
  </r>
  <r>
    <x v="43"/>
    <x v="5"/>
    <x v="1"/>
    <n v="4.5412405461113643"/>
    <n v="5.8"/>
    <n v="5.1907321558680994"/>
    <n v="1.75"/>
    <n v="5.4297402879084551"/>
    <n v="4.4181295116541603"/>
    <n v="4.4884565782897283"/>
    <n v="4.4736710127205699"/>
    <n v="3.8953399999999999E-2"/>
    <n v="-1.1975377000000016"/>
    <m/>
    <n v="-0.99112089999999997"/>
    <n v="-7.8626269999999998"/>
    <n v="1.2484E-3"/>
    <n v="-5.5376999999999996E-3"/>
    <n v="-5.2418999999999999E-3"/>
    <n v="-9.8119000000000001E-3"/>
    <n v="-1.07796E-2"/>
    <n v="2.2000000000000002"/>
    <n v="0.75229999999999997"/>
    <n v="0.13711000000000001"/>
    <n v="1.54314E-2"/>
    <n v="0.43366169999999982"/>
    <n v="1.54314E-2"/>
    <n v="0"/>
    <n v="0.01"/>
    <n v="-0.01"/>
    <n v="1.4999999999999999E-2"/>
    <n v="1.3991200000000001E-2"/>
    <n v="1.6558099999999999E-2"/>
    <n v="2.4928200000000001E-2"/>
    <n v="1.73"/>
    <n v="7.0864034304097832"/>
    <n v="8.6155532610293193"/>
    <n v="2.0688860277403194"/>
    <n v="3.6629973843998327"/>
    <n v="0.118740583"/>
    <n v="-0.218053354"/>
    <n v="-4.0322707800000003E-2"/>
    <n v="4.6953750099999997E-2"/>
    <n v="-4.3931858499999997E-2"/>
  </r>
  <r>
    <x v="43"/>
    <x v="6"/>
    <x v="2"/>
    <n v="4.5390068789338125"/>
    <n v="5.8"/>
    <n v="5.1929568508902104"/>
    <n v="1.73"/>
    <n v="5.4551501605748252"/>
    <n v="4.4489490308720825"/>
    <n v="4.4862852935103774"/>
    <n v="4.4769617441481238"/>
    <n v="0"/>
    <n v="-1.1975377000000016"/>
    <m/>
    <n v="0"/>
    <n v="-7.8626269999999998"/>
    <n v="0"/>
    <n v="-8.3333999999999995E-3"/>
    <n v="1.2500000000000001E-2"/>
    <n v="4.1666000000000003E-3"/>
    <n v="4.1666000000000003E-3"/>
    <n v="1.96"/>
    <n v="1.1727000000000001"/>
    <n v="-1.0662"/>
    <n v="0"/>
    <n v="0.43366169999999982"/>
    <n v="0"/>
    <n v="0"/>
    <n v="0"/>
    <n v="0"/>
    <n v="0"/>
    <n v="0"/>
    <n v="0"/>
    <n v="0"/>
    <n v="1.76"/>
    <n v="7.0908265546666378"/>
    <n v="8.6229756180571062"/>
    <n v="2.0839314469526879"/>
    <n v="3.6657387616722938"/>
    <n v="-2.0114345799999999E-2"/>
    <n v="-0.27355874000000002"/>
    <n v="-3.3651656500000002E-2"/>
    <n v="7.8330959399999997E-2"/>
    <n v="-0.125341971"/>
  </r>
  <r>
    <x v="43"/>
    <x v="7"/>
    <x v="2"/>
    <n v="4.5391617851063852"/>
    <n v="5.7"/>
    <n v="5.195730777772936"/>
    <n v="1.74"/>
    <n v="5.4509526129716308"/>
    <n v="4.4689609253591049"/>
    <n v="4.4831268380753624"/>
    <n v="4.4759608682982757"/>
    <n v="0.17032639999999999"/>
    <n v="-1.0272113000000016"/>
    <m/>
    <n v="-0.41520879999999999"/>
    <n v="-8.2778360000000006"/>
    <n v="2.6391700000000001E-2"/>
    <n v="-2.4516099999999999E-2"/>
    <n v="-4.9032199999999998E-2"/>
    <n v="-9.8064700000000005E-2"/>
    <n v="-0.1195161"/>
    <n v="1.76"/>
    <n v="1.1977"/>
    <n v="-0.29815000000000003"/>
    <n v="0.1244227"/>
    <n v="0.55808439999999981"/>
    <n v="0.1244227"/>
    <n v="4.3060000000000001E-2"/>
    <n v="2.5000000000000001E-2"/>
    <n v="-0.04"/>
    <n v="-0.08"/>
    <n v="3.7204800000000003E-2"/>
    <n v="-3.0585399999999999E-2"/>
    <n v="-6.7853399999999994E-2"/>
    <n v="1.81"/>
    <n v="7.0796897428896051"/>
    <n v="8.6303254288571942"/>
    <n v="2.1354673699423641"/>
    <n v="3.6770345797460129"/>
    <n v="0.25216315500000003"/>
    <n v="-3.25020668E-2"/>
    <n v="-8.5534381199999995E-2"/>
    <n v="2.4569027100000002E-2"/>
    <n v="7.16974898E-2"/>
  </r>
  <r>
    <x v="43"/>
    <x v="8"/>
    <x v="2"/>
    <n v="4.5403233506599179"/>
    <n v="5.7"/>
    <n v="5.1973914479580765"/>
    <n v="1.75"/>
    <n v="5.4600109555460241"/>
    <n v="4.4243315291543084"/>
    <n v="4.4833866590262996"/>
    <n v="4.4777685394533844"/>
    <n v="-4.46106E-2"/>
    <n v="-1.0718219000000015"/>
    <m/>
    <n v="-0.1487782"/>
    <n v="-8.4266140000000007"/>
    <n v="2.13349E-2"/>
    <n v="-1.6650399999999999E-2"/>
    <n v="-3.33011E-2"/>
    <n v="-6.6601999999999995E-2"/>
    <n v="-8.2483799999999996E-2"/>
    <n v="1.72"/>
    <n v="1.3159000000000001"/>
    <n v="0.13905999999999999"/>
    <n v="-1.09181E-2"/>
    <n v="0.54716629999999977"/>
    <n v="-1.09181E-2"/>
    <n v="0.02"/>
    <n v="1.4999999999999999E-2"/>
    <n v="-5.0000000000000001E-3"/>
    <n v="-0.01"/>
    <n v="2.4004E-3"/>
    <n v="-1.07951E-2"/>
    <n v="-1.44756E-2"/>
    <n v="1.85"/>
    <n v="7.0863197868983798"/>
    <n v="8.6346917421661828"/>
    <n v="2.1589456427924349"/>
    <n v="3.6544432767928088"/>
    <n v="0.25859384800000002"/>
    <n v="-1.6335953399999999E-2"/>
    <n v="-7.7553029999999995E-2"/>
    <n v="4.0211234399999997E-2"/>
    <n v="-7.7375349299999997E-3"/>
  </r>
  <r>
    <x v="43"/>
    <x v="9"/>
    <x v="3"/>
    <n v="4.5372413910280001"/>
    <n v="5.7"/>
    <n v="5.1996013936088792"/>
    <n v="1.75"/>
    <n v="5.4663286852241972"/>
    <n v="4.4150986757340753"/>
    <n v="4.4922478181229755"/>
    <n v="4.4826522081647679"/>
    <n v="0"/>
    <n v="-1.0718219000000015"/>
    <m/>
    <n v="0"/>
    <n v="-8.4266140000000007"/>
    <n v="1.5333400000000001E-2"/>
    <n v="-3.8333E-3"/>
    <n v="-7.6666E-3"/>
    <n v="-1.5333400000000001E-2"/>
    <n v="-2.3E-2"/>
    <n v="1.65"/>
    <n v="1.1194"/>
    <n v="-1.1414"/>
    <n v="0"/>
    <n v="0.54716629999999977"/>
    <n v="0"/>
    <n v="0"/>
    <n v="0"/>
    <n v="0"/>
    <n v="0"/>
    <n v="0"/>
    <n v="0"/>
    <n v="0"/>
    <n v="1.82"/>
    <n v="7.0929061627862513"/>
    <n v="8.642450447588514"/>
    <n v="2.1722485912660425"/>
    <n v="3.6628434395630949"/>
    <n v="0.213731952"/>
    <n v="-1.9252657100000001E-2"/>
    <n v="-8.8564310399999999E-2"/>
    <n v="-2.43493896E-2"/>
    <n v="2.5069845699999999E-2"/>
  </r>
  <r>
    <x v="43"/>
    <x v="10"/>
    <x v="3"/>
    <n v="4.5424742329455103"/>
    <n v="5.9"/>
    <n v="5.2012556537049051"/>
    <n v="1.34"/>
    <n v="5.4723126895955163"/>
    <n v="4.4250382302671296"/>
    <n v="4.4986645705092014"/>
    <n v="4.4832172182369785"/>
    <n v="-0.2700224"/>
    <n v="-1.3418443000000015"/>
    <m/>
    <n v="-1.884871"/>
    <n v="-10.311489999999999"/>
    <n v="-0.1666667"/>
    <n v="-7.0833400000000005E-2"/>
    <n v="-5.8333400000000001E-2"/>
    <n v="-7.0833199999999999E-2"/>
    <n v="-7.4999800000000005E-2"/>
    <n v="1.49"/>
    <n v="0.7883"/>
    <n v="-3.0076000000000001"/>
    <n v="-0.3121872"/>
    <n v="0.23497909999999977"/>
    <n v="-0.3121872"/>
    <n v="-0.2"/>
    <n v="-0.16"/>
    <n v="-8.5000000000000006E-2"/>
    <n v="-7.0000000000000007E-2"/>
    <n v="-0.12688440000000001"/>
    <n v="-4.5413200000000001E-2"/>
    <n v="-4.4686299999999998E-2"/>
    <n v="1.23"/>
    <n v="7.0977969587912302"/>
    <n v="8.6511469948127662"/>
    <n v="2.2778824803536737"/>
    <n v="3.6763513035366659"/>
    <n v="0.234101538"/>
    <n v="7.3884708800000004E-2"/>
    <n v="2.82817481E-2"/>
    <n v="-0.106323561"/>
    <n v="-1.5378047800000001E-2"/>
  </r>
  <r>
    <x v="43"/>
    <x v="11"/>
    <x v="3"/>
    <n v="4.5374318843420474"/>
    <n v="6"/>
    <n v="5.2029071817433783"/>
    <n v="1.24"/>
    <n v="5.4974140967036931"/>
    <n v="4.4603062505525646"/>
    <n v="4.5007425683788655"/>
    <n v="4.4849103355568083"/>
    <n v="4.2556E-3"/>
    <n v="-1.3375887000000015"/>
    <m/>
    <n v="0.1210354"/>
    <n v="-10.19045"/>
    <n v="-3.3333300000000003E-2"/>
    <n v="-7.0698000000000002E-3"/>
    <n v="-1.0215999999999999E-3"/>
    <n v="3.5753E-3"/>
    <n v="1.3387E-2"/>
    <n v="1.45"/>
    <n v="0.67010000000000003"/>
    <n v="0.28893999999999997"/>
    <n v="7.9770000000000004E-4"/>
    <n v="0.23577679999999979"/>
    <n v="7.9770000000000004E-4"/>
    <n v="0"/>
    <n v="0"/>
    <n v="0.01"/>
    <n v="1.4999999999999999E-2"/>
    <n v="1.16898E-2"/>
    <n v="3.5573500000000001E-2"/>
    <n v="3.2584599999999998E-2"/>
    <n v="1.1599999999999999"/>
    <n v="7.1059501849323823"/>
    <n v="8.6547962834108141"/>
    <n v="2.295056826573254"/>
    <n v="3.6937426097799242"/>
    <n v="0.18716522799999999"/>
    <n v="-0.146996246"/>
    <n v="-9.1740116699999999E-2"/>
    <n v="0.137327949"/>
    <n v="-0.16752050600000001"/>
  </r>
  <r>
    <x v="44"/>
    <x v="0"/>
    <x v="0"/>
    <n v="4.5442177604498868"/>
    <n v="5.8"/>
    <n v="5.2072979681608684"/>
    <n v="1.24"/>
    <n v="5.5151208621160475"/>
    <n v="4.4457405972064228"/>
    <n v="4.5036135375564257"/>
    <n v="4.4882992342566759"/>
    <n v="-2.0990000000000001E-4"/>
    <n v="-1.3377986000000015"/>
    <m/>
    <n v="0.38795099999999999"/>
    <n v="-9.8024989999999992"/>
    <n v="9.6770000000000005E-4"/>
    <n v="5.8063999999999998E-3"/>
    <n v="8.7098999999999996E-3"/>
    <n v="1.30644E-2"/>
    <n v="1.6935599999999999E-2"/>
    <n v="1.36"/>
    <n v="0.59550000000000003"/>
    <n v="2.2346000000000002E-3"/>
    <n v="-4.7372900000000003E-2"/>
    <n v="0.18840389999999979"/>
    <n v="-4.7372900000000003E-2"/>
    <n v="0.01"/>
    <n v="0"/>
    <n v="0.03"/>
    <n v="4.4999999999999998E-2"/>
    <n v="-6.4745999999999996E-3"/>
    <n v="1.6166400000000001E-2"/>
    <n v="4.8357799999999999E-2"/>
    <n v="1.33"/>
    <n v="7.1117567847679801"/>
    <n v="8.6603407006347233"/>
    <n v="2.309858576960544"/>
    <n v="3.7061052347790047"/>
    <n v="0.35940504699999998"/>
    <n v="-6.7752314999999994E-2"/>
    <n v="-8.4930614599999996E-3"/>
    <n v="-0.12532953799999999"/>
    <n v="0.14144157500000001"/>
  </r>
  <r>
    <x v="44"/>
    <x v="1"/>
    <x v="0"/>
    <n v="4.5471755402507483"/>
    <n v="5.9"/>
    <n v="5.2127594781863902"/>
    <n v="1.26"/>
    <n v="5.5198596364952728"/>
    <n v="4.4198521442138619"/>
    <n v="4.5016635064692645"/>
    <n v="4.486555554651849"/>
    <n v="0"/>
    <n v="-1.3377986000000015"/>
    <m/>
    <n v="0"/>
    <n v="-9.8024989999999992"/>
    <n v="9.0322000000000006E-3"/>
    <n v="2.7096700000000001E-2"/>
    <n v="4.0645100000000003E-2"/>
    <n v="5.4193499999999999E-2"/>
    <n v="4.9677399999999997E-2"/>
    <n v="1.3"/>
    <n v="0.40389999999999998"/>
    <n v="-0.78113999999999995"/>
    <n v="0"/>
    <n v="0.18840389999999979"/>
    <n v="0"/>
    <n v="0"/>
    <n v="0"/>
    <n v="0"/>
    <n v="0"/>
    <n v="0"/>
    <n v="0"/>
    <n v="0"/>
    <n v="1.33"/>
    <n v="7.1205252098687861"/>
    <n v="8.6665954725641008"/>
    <n v="2.2876744802582913"/>
    <n v="3.7179527015996432"/>
    <n v="-4.2361988099999998E-2"/>
    <n v="0.124957545"/>
    <n v="0.10038976300000001"/>
    <n v="0.229948495"/>
    <n v="6.7949743899999998E-2"/>
  </r>
  <r>
    <x v="44"/>
    <x v="2"/>
    <x v="0"/>
    <n v="4.5449349258605549"/>
    <n v="5.9"/>
    <n v="5.2143921316102757"/>
    <n v="1.25"/>
    <n v="5.5203803342420024"/>
    <n v="4.4443791745444088"/>
    <n v="4.506917681789643"/>
    <n v="4.4871071111243888"/>
    <n v="3.8384000000000001E-2"/>
    <n v="-1.2994146000000015"/>
    <m/>
    <n v="0.40660629999999998"/>
    <n v="-9.3958919999999999"/>
    <n v="1.0762000000000001E-2"/>
    <n v="-9.0322000000000006E-3"/>
    <n v="-6.7742000000000002E-3"/>
    <n v="0"/>
    <n v="-6.7742000000000002E-3"/>
    <n v="1.24"/>
    <n v="-0.1452"/>
    <n v="0.21437"/>
    <n v="6.5282900000000005E-2"/>
    <n v="0.25368679999999977"/>
    <n v="6.5282900000000005E-2"/>
    <n v="2.383E-2"/>
    <n v="9.9900000000000006E-3"/>
    <n v="-0.02"/>
    <n v="-1.4999999999999999E-2"/>
    <n v="1.8682299999999999E-2"/>
    <n v="-1.1488099999999999E-2"/>
    <n v="-3.9096000000000001E-3"/>
    <n v="1.38"/>
    <n v="7.121575502835463"/>
    <n v="8.670000111659995"/>
    <n v="2.2854389341590751"/>
    <n v="3.7171753232687839"/>
    <n v="0.18162594900000001"/>
    <n v="0.28593290399999999"/>
    <n v="0.16052770099999999"/>
    <n v="0.214150914"/>
    <n v="2.3131750400000001E-3"/>
  </r>
  <r>
    <x v="44"/>
    <x v="3"/>
    <x v="1"/>
    <n v="4.5373623263828495"/>
    <n v="6"/>
    <n v="5.2105784522400302"/>
    <n v="1.26"/>
    <n v="5.5160865015247911"/>
    <n v="4.4705296070151945"/>
    <n v="4.5077888628463798"/>
    <n v="4.4910828129503226"/>
    <n v="0"/>
    <n v="-1.2994146000000015"/>
    <m/>
    <n v="0"/>
    <n v="-9.3958919999999999"/>
    <n v="1.3068E-2"/>
    <n v="-1.09677E-2"/>
    <n v="-8.2258999999999995E-3"/>
    <n v="0"/>
    <n v="-8.2258999999999995E-3"/>
    <n v="1.27"/>
    <n v="-0.1308"/>
    <m/>
    <n v="0"/>
    <n v="0.25368679999999977"/>
    <n v="0"/>
    <n v="0"/>
    <n v="0"/>
    <n v="0"/>
    <n v="0"/>
    <n v="0"/>
    <n v="0"/>
    <n v="0"/>
    <n v="1.31"/>
    <n v="7.1289769847336482"/>
    <n v="8.6753074345099286"/>
    <n v="2.3603821917202623"/>
    <n v="3.7022398058157728"/>
    <n v="0.25601343900000001"/>
    <n v="0.11370245299999999"/>
    <n v="4.7893421800000002E-2"/>
    <n v="8.6436131200000002E-2"/>
    <n v="4.7267330199999999E-2"/>
  </r>
  <r>
    <x v="44"/>
    <x v="4"/>
    <x v="1"/>
    <n v="4.5378277375177856"/>
    <n v="6.1"/>
    <n v="5.2089395553968201"/>
    <n v="1.26"/>
    <n v="5.521460917862246"/>
    <n v="4.4794822386817019"/>
    <n v="4.5060567830907319"/>
    <n v="4.4931206821794687"/>
    <n v="-8.2459999999999999E-3"/>
    <n v="-1.3076606000000015"/>
    <m/>
    <n v="-0.38322899999999999"/>
    <n v="-9.779121"/>
    <n v="3.1199899999999999E-2"/>
    <n v="-3.3548399999999999E-2"/>
    <n v="-6.7096699999999995E-2"/>
    <n v="-9.6451499999999996E-2"/>
    <n v="-0.12161279999999999"/>
    <n v="1.18"/>
    <n v="-0.84350000000000003"/>
    <m/>
    <n v="1.40816E-2"/>
    <n v="0.2677683999999998"/>
    <n v="1.40816E-2"/>
    <n v="3.7199999999999997E-2"/>
    <n v="0.03"/>
    <n v="-0.04"/>
    <n v="-0.08"/>
    <n v="3.6716400000000003E-2"/>
    <n v="-2.8422099999999999E-2"/>
    <n v="-6.0208600000000001E-2"/>
    <n v="1.28"/>
    <n v="7.1474019023953614"/>
    <n v="8.6872397173345792"/>
    <n v="2.4343148636719403"/>
    <n v="3.7099802580219552"/>
    <n v="0.59353959199999995"/>
    <n v="-0.48499230799999998"/>
    <n v="-0.35473028000000001"/>
    <n v="-0.46306385500000002"/>
    <n v="-8.0089549199999999E-2"/>
  </r>
  <r>
    <x v="44"/>
    <x v="5"/>
    <x v="1"/>
    <n v="4.5388765254941665"/>
    <n v="6.3"/>
    <n v="5.2100324516804646"/>
    <n v="1.22"/>
    <n v="5.5284762527561515"/>
    <n v="4.494651947672569"/>
    <n v="4.520080597542977"/>
    <n v="4.4944173802529086"/>
    <n v="-0.2121577"/>
    <n v="-1.5198183000000016"/>
    <m/>
    <n v="2.2209780000000001"/>
    <n v="-7.5581440000000004"/>
    <n v="3.3000000000000002E-2"/>
    <n v="1.45483E-2"/>
    <n v="7.0968000000000003E-3"/>
    <n v="1.04516E-2"/>
    <n v="6.1269999999999999E-4"/>
    <n v="1.01"/>
    <n v="-0.55220000000000002"/>
    <m/>
    <n v="-0.17824090000000001"/>
    <n v="8.9527499999999788E-2"/>
    <n v="-0.17824090000000001"/>
    <n v="0.13500000000000001"/>
    <n v="0.03"/>
    <n v="0.105"/>
    <n v="0.1"/>
    <n v="4.5648099999999997E-2"/>
    <n v="0.128468"/>
    <n v="0.11419219999999999"/>
    <n v="1.45"/>
    <n v="7.1573460003111951"/>
    <n v="8.6937481533158554"/>
    <n v="2.4392116905258709"/>
    <n v="3.7399052127169803"/>
    <n v="0.33884374299999998"/>
    <n v="-0.38097547599999998"/>
    <n v="-0.42101206400000002"/>
    <n v="9.9850325399999995E-2"/>
    <n v="-3.0011020099999998E-3"/>
  </r>
  <r>
    <x v="44"/>
    <x v="6"/>
    <x v="2"/>
    <n v="4.5432969099273146"/>
    <n v="6.2"/>
    <n v="5.2133039922210802"/>
    <n v="1.01"/>
    <n v="5.5243367786077107"/>
    <n v="4.5086372589329438"/>
    <n v="4.5225057111512488"/>
    <n v="4.4986756942890622"/>
    <n v="0"/>
    <n v="-1.5198183000000016"/>
    <m/>
    <n v="0"/>
    <n v="-7.5581440000000004"/>
    <n v="0.10800029999999999"/>
    <n v="8.4000099999999994E-2"/>
    <n v="7.9999899999999999E-2"/>
    <n v="0.1159999"/>
    <n v="9.6000000000000002E-2"/>
    <n v="1.1200000000000001"/>
    <n v="-1.3291999999999999"/>
    <m/>
    <n v="0"/>
    <n v="8.9527499999999788E-2"/>
    <n v="0"/>
    <n v="0"/>
    <n v="0"/>
    <n v="0"/>
    <n v="0"/>
    <n v="0"/>
    <n v="0"/>
    <n v="0"/>
    <n v="1.04"/>
    <n v="7.1615444204107339"/>
    <n v="8.7012465810549511"/>
    <n v="2.4995489265248705"/>
    <n v="3.7600832131202684"/>
    <n v="0.19149334700000001"/>
    <n v="-1.23347391E-2"/>
    <n v="-7.9634838099999994E-2"/>
    <n v="0.15074268800000001"/>
    <n v="-2.9685910499999999E-2"/>
  </r>
  <r>
    <x v="44"/>
    <x v="7"/>
    <x v="2"/>
    <n v="4.5411808473555322"/>
    <n v="6.1"/>
    <n v="5.2176494634805817"/>
    <n v="1.03"/>
    <n v="5.5274032273178761"/>
    <n v="4.5441348548421248"/>
    <n v="4.534103737554231"/>
    <n v="4.5013196408618645"/>
    <n v="-5.9003699999999999E-2"/>
    <n v="-1.5788220000000017"/>
    <m/>
    <n v="6.4649600000000002E-2"/>
    <n v="-7.4934940000000001"/>
    <n v="0"/>
    <n v="0"/>
    <n v="-1.6129000000000001E-2"/>
    <n v="-3.2258000000000002E-2"/>
    <n v="-5.1612900000000003E-2"/>
    <n v="1.31"/>
    <n v="-0.22409999999999999"/>
    <m/>
    <n v="-1.14774E-2"/>
    <n v="7.8050099999999789E-2"/>
    <n v="-1.14774E-2"/>
    <n v="0"/>
    <n v="0"/>
    <n v="0"/>
    <n v="-2.5000000000000001E-2"/>
    <n v="-9.6069999999999999E-4"/>
    <n v="6.5646999999999997E-3"/>
    <n v="-2.8720099999999998E-2"/>
    <n v="1.01"/>
    <n v="7.1675007327408951"/>
    <n v="8.7106524926206479"/>
    <n v="2.6487954738848956"/>
    <n v="3.8165468118442964"/>
    <n v="7.1812906999999995E-2"/>
    <n v="1.4163042799999999E-3"/>
    <n v="0.18453688400000001"/>
    <n v="-0.255541931"/>
    <n v="-0.24504405700000001"/>
  </r>
  <r>
    <x v="44"/>
    <x v="8"/>
    <x v="2"/>
    <n v="4.547394876024498"/>
    <n v="6.1"/>
    <n v="5.2208962195794522"/>
    <n v="1.01"/>
    <n v="5.5656309016067205"/>
    <n v="4.5225817406724627"/>
    <n v="4.5323951712056791"/>
    <n v="4.5010311462469463"/>
    <n v="-0.20556859999999999"/>
    <n v="-1.7843906000000018"/>
    <m/>
    <n v="0.15653529999999999"/>
    <n v="-7.3369590000000002"/>
    <n v="5.3598999999999999E-3"/>
    <n v="0"/>
    <n v="-1.13709E-2"/>
    <n v="-1.5241899999999999E-2"/>
    <n v="-3.3386899999999997E-2"/>
    <n v="1.24"/>
    <n v="-0.69069999999999998"/>
    <m/>
    <n v="-0.16755890000000001"/>
    <n v="-8.9508800000000222E-2"/>
    <n v="-0.16755890000000001"/>
    <n v="1.072E-2"/>
    <n v="5.0000000000000001E-3"/>
    <n v="0"/>
    <n v="-5.0000000000000001E-3"/>
    <n v="-1.3258000000000001E-2"/>
    <n v="-6.3642999999999998E-3"/>
    <n v="-1.5734499999999998E-2"/>
    <n v="1.17"/>
    <n v="7.1671150344293295"/>
    <n v="8.7059771551378464"/>
    <n v="2.5247681832131308"/>
    <n v="3.7832801295354206"/>
    <n v="5.8746650499999997E-2"/>
    <n v="0.109187189"/>
    <n v="0.22890463899999999"/>
    <n v="-0.16196309"/>
    <n v="0.13120681100000001"/>
  </r>
  <r>
    <x v="44"/>
    <x v="9"/>
    <x v="3"/>
    <n v="4.5482241025456247"/>
    <n v="6"/>
    <n v="5.2198151383930789"/>
    <n v="1.01"/>
    <n v="5.6132740811346986"/>
    <n v="4.5252499708120428"/>
    <n v="4.5315774656847179"/>
    <n v="4.5045207778381613"/>
    <n v="-0.1934256"/>
    <n v="-1.9778162000000019"/>
    <m/>
    <n v="3.3320900000000001E-2"/>
    <n v="-7.3036380000000003"/>
    <n v="4.7146999999999996E-3"/>
    <n v="-1.2903000000000001E-3"/>
    <n v="-1.4112899999999999E-2"/>
    <n v="-1.23386E-2"/>
    <n v="-2.2419499999999998E-2"/>
    <n v="1.25"/>
    <n v="-0.54249999999999998"/>
    <m/>
    <n v="-0.1738297"/>
    <n v="-0.26333850000000025"/>
    <n v="-0.1738297"/>
    <n v="-5.0000000000000001E-3"/>
    <n v="0"/>
    <n v="-0.01"/>
    <n v="-0.09"/>
    <n v="1.5543E-3"/>
    <n v="3.8251000000000001E-3"/>
    <n v="-9.50376E-2"/>
    <n v="1.03"/>
    <n v="7.167732080341696"/>
    <n v="8.7043861967472136"/>
    <n v="2.450832669454249"/>
    <n v="3.7680371548997647"/>
    <n v="-6.4532664399999995E-2"/>
    <n v="-1.3339866800000001E-2"/>
    <n v="4.4410819900000002E-2"/>
    <n v="0.176161663"/>
    <n v="-5.4965130600000002E-2"/>
  </r>
  <r>
    <x v="44"/>
    <x v="10"/>
    <x v="3"/>
    <n v="4.5561637484332564"/>
    <n v="5.8"/>
    <n v="5.2203558250783244"/>
    <n v="1"/>
    <n v="5.6300282860675388"/>
    <n v="4.5470218705925198"/>
    <n v="4.5408129817449518"/>
    <n v="4.5070059372008604"/>
    <n v="0"/>
    <n v="-1.9778162000000019"/>
    <m/>
    <n v="0"/>
    <n v="-7.3036380000000003"/>
    <n v="-4.3547000000000004E-3"/>
    <n v="-8.7097000000000008E-3"/>
    <n v="-7.8386999999999998E-2"/>
    <n v="-0.10016129999999999"/>
    <n v="-0.1175807"/>
    <n v="1.34"/>
    <n v="-0.54010000000000002"/>
    <m/>
    <n v="0"/>
    <n v="-0.26333850000000025"/>
    <n v="0"/>
    <n v="0"/>
    <n v="0"/>
    <n v="0"/>
    <n v="0"/>
    <n v="0"/>
    <n v="0"/>
    <n v="0"/>
    <n v="1.01"/>
    <n v="7.1690420400743866"/>
    <n v="8.70519856467849"/>
    <n v="2.4437373727499296"/>
    <n v="3.7562576894438844"/>
    <n v="1.9509241199999999E-2"/>
    <n v="-0.206687859"/>
    <n v="-0.13202886"/>
    <n v="-2.3725229900000001E-3"/>
    <n v="0.24795698999999999"/>
  </r>
  <r>
    <x v="44"/>
    <x v="11"/>
    <x v="3"/>
    <n v="4.5552117897011692"/>
    <n v="5.7"/>
    <n v="5.2230548820474896"/>
    <n v="0.98"/>
    <n v="5.6467887531360805"/>
    <n v="4.5415059492192036"/>
    <n v="4.5373302210774451"/>
    <n v="4.5105297818339709"/>
    <n v="-0.23147980000000001"/>
    <n v="-2.2092960000000019"/>
    <m/>
    <n v="0.2952921"/>
    <n v="-7.0083460000000004"/>
    <n v="0"/>
    <n v="3.7096E-3"/>
    <n v="3.7096E-3"/>
    <n v="4.0806500000000002E-2"/>
    <n v="6.3064599999999998E-2"/>
    <n v="1.31"/>
    <n v="-0.49230000000000002"/>
    <m/>
    <n v="-0.19224659999999999"/>
    <n v="-0.45558510000000024"/>
    <n v="-0.19224659999999999"/>
    <n v="0"/>
    <n v="0"/>
    <n v="5.0000000000000001E-3"/>
    <n v="5.0000000000000001E-3"/>
    <n v="4.5557999999999996E-3"/>
    <n v="3.1397700000000001E-2"/>
    <n v="8.5389000000000003E-3"/>
    <n v="0.94"/>
    <n v="7.1741115647191656"/>
    <n v="8.7048836431990715"/>
    <n v="2.3857306740807145"/>
    <n v="3.7494099538539687"/>
    <n v="-0.19366746400000001"/>
    <n v="-0.285070983"/>
    <n v="-3.7689153099999997E-2"/>
    <n v="4.6454381600000002E-3"/>
    <n v="-8.2120365200000003E-2"/>
  </r>
  <r>
    <x v="45"/>
    <x v="0"/>
    <x v="0"/>
    <n v="4.5570424023962"/>
    <n v="5.7"/>
    <n v="5.2273582776075429"/>
    <n v="1"/>
    <n v="5.6752115176681652"/>
    <n v="4.5404503150743105"/>
    <n v="4.5448680121797098"/>
    <n v="4.5147420694953597"/>
    <n v="-0.1027214"/>
    <n v="-2.312017400000002"/>
    <m/>
    <n v="0.51494320000000005"/>
    <n v="-6.4934029999999998"/>
    <n v="6.4519999999999996E-4"/>
    <n v="1.9354999999999999E-3"/>
    <n v="1.54839E-2"/>
    <n v="3.8064500000000001E-2"/>
    <n v="5.35483E-2"/>
    <n v="1.24"/>
    <n v="-0.71099999999999997"/>
    <m/>
    <n v="-0.18042730000000001"/>
    <n v="-0.63601240000000026"/>
    <n v="-0.18042730000000001"/>
    <n v="5.0000000000000001E-3"/>
    <n v="0"/>
    <n v="5.0000000000000001E-3"/>
    <n v="0.11"/>
    <n v="-6.2998999999999998E-3"/>
    <n v="-8.8750000000000005E-4"/>
    <n v="9.2952499999999993E-2"/>
    <n v="1.03"/>
    <n v="7.1740349451734815"/>
    <n v="8.7062089585695759"/>
    <n v="2.4491931126301361"/>
    <n v="3.7582889054861042"/>
    <n v="-4.4875826100000002E-2"/>
    <n v="-1.0366732700000001E-2"/>
    <n v="3.2981738900000001E-3"/>
    <n v="5.2437450300000001E-2"/>
    <n v="0.25649137500000002"/>
  </r>
  <r>
    <x v="45"/>
    <x v="1"/>
    <x v="0"/>
    <n v="4.5626373538193432"/>
    <n v="5.6"/>
    <n v="5.2295030505476765"/>
    <n v="1.01"/>
    <n v="5.6883642219278201"/>
    <n v="4.5546134623709387"/>
    <n v="4.5362808805665615"/>
    <n v="4.5178351202532756"/>
    <n v="0"/>
    <n v="-2.312017400000002"/>
    <m/>
    <n v="0"/>
    <n v="-6.4934029999999998"/>
    <n v="4.3547000000000004E-3"/>
    <n v="4.3550000000000004E-3"/>
    <n v="9.5806600000000006E-2"/>
    <n v="0.16112899999999999"/>
    <n v="0.21338699999999999"/>
    <n v="1.24"/>
    <n v="-0.28439999999999999"/>
    <m/>
    <n v="0"/>
    <n v="-0.63601240000000026"/>
    <n v="0"/>
    <n v="0"/>
    <n v="0"/>
    <n v="0"/>
    <n v="0"/>
    <n v="0"/>
    <n v="0"/>
    <n v="0"/>
    <n v="1.04"/>
    <n v="7.1858414577604712"/>
    <n v="8.7128093158481938"/>
    <n v="2.3883957494071568"/>
    <n v="3.7600599310463001"/>
    <n v="-0.16973980399999999"/>
    <n v="0.167584381"/>
    <n v="-5.2902931999999998E-3"/>
    <n v="0.22423087899999999"/>
    <n v="0.26317571099999998"/>
  </r>
  <r>
    <x v="45"/>
    <x v="2"/>
    <x v="0"/>
    <n v="4.5571924417162268"/>
    <n v="5.8"/>
    <n v="5.2316432332800442"/>
    <n v="1"/>
    <n v="5.7188352772824933"/>
    <n v="4.5680081522993232"/>
    <n v="4.5511362974956056"/>
    <n v="4.5167323375261725"/>
    <n v="7.3171E-2"/>
    <n v="-2.2388464000000021"/>
    <m/>
    <n v="5.4207499999999999E-2"/>
    <n v="-6.4391959999999999"/>
    <n v="0"/>
    <n v="-2.5806000000000002E-3"/>
    <n v="-3.0967999999999999E-2"/>
    <n v="-4.1290500000000001E-2"/>
    <n v="-5.1612900000000003E-2"/>
    <n v="1.19"/>
    <n v="-0.53159999999999996"/>
    <m/>
    <n v="-0.1155938"/>
    <n v="-0.75160620000000022"/>
    <n v="-0.1155938"/>
    <n v="0"/>
    <n v="0"/>
    <n v="-5.0000000000000001E-3"/>
    <n v="-0.06"/>
    <n v="6.1701999999999998E-3"/>
    <n v="-1.8162999999999999E-2"/>
    <n v="-6.2956200000000004E-2"/>
    <n v="1.05"/>
    <n v="7.1912787162850593"/>
    <n v="8.7185981626864582"/>
    <n v="2.4888156662847156"/>
    <n v="3.8025652185177528"/>
    <n v="-0.16326894"/>
    <n v="-3.3297726E-2"/>
    <n v="-2.6611091699999999E-2"/>
    <n v="6.3719101700000003E-2"/>
    <n v="6.9770440200000006E-2"/>
  </r>
  <r>
    <x v="45"/>
    <x v="3"/>
    <x v="1"/>
    <n v="4.5610354186235131"/>
    <n v="5.6"/>
    <n v="5.2332453698043215"/>
    <n v="1"/>
    <n v="5.7219170448516836"/>
    <n v="4.5580366488540331"/>
    <n v="4.5467462658503743"/>
    <n v="4.5215168009908382"/>
    <n v="0"/>
    <n v="-2.2388464000000021"/>
    <m/>
    <n v="0"/>
    <n v="-6.4391959999999999"/>
    <n v="0"/>
    <n v="-2.4195000000000002E-3"/>
    <n v="-2.9032200000000001E-2"/>
    <n v="-3.8709599999999997E-2"/>
    <n v="-4.8387100000000002E-2"/>
    <n v="1.43"/>
    <n v="-0.74380000000000002"/>
    <m/>
    <n v="0"/>
    <n v="-0.75160620000000022"/>
    <n v="0"/>
    <n v="0"/>
    <n v="0"/>
    <n v="0"/>
    <n v="0"/>
    <n v="0"/>
    <n v="0"/>
    <n v="0"/>
    <n v="1.03"/>
    <n v="7.19315975968986"/>
    <n v="8.7242073608005644"/>
    <n v="2.6455362957129678"/>
    <n v="3.8183055565542401"/>
    <n v="-0.10620262900000001"/>
    <n v="3.77678631E-2"/>
    <n v="-0.14614566300000001"/>
    <n v="-4.4842555700000002E-2"/>
    <n v="0.29942229300000001"/>
  </r>
  <r>
    <x v="45"/>
    <x v="4"/>
    <x v="1"/>
    <n v="4.5687260944507466"/>
    <n v="5.6"/>
    <n v="5.2375052271512796"/>
    <n v="1"/>
    <n v="5.7084051071416448"/>
    <n v="4.5854673537122235"/>
    <n v="4.5499428475976575"/>
    <n v="4.5230595082042173"/>
    <n v="-0.1168102"/>
    <n v="-2.3556566000000023"/>
    <m/>
    <n v="0.21652830000000001"/>
    <n v="-6.2226670000000004"/>
    <n v="-1.0368799999999999E-2"/>
    <n v="-4.5161000000000003E-3"/>
    <n v="4.5161000000000003E-3"/>
    <n v="9.0322000000000006E-3"/>
    <n v="1.8064500000000001E-2"/>
    <n v="1.78"/>
    <n v="-0.3261"/>
    <m/>
    <n v="-0.1538611"/>
    <n v="-0.9054673000000002"/>
    <n v="-0.1538611"/>
    <n v="-1.1480000000000001E-2"/>
    <n v="-9.9900000000000006E-3"/>
    <n v="-5.0000000000000001E-3"/>
    <n v="5.0000000000000001E-3"/>
    <n v="-9.5575E-3"/>
    <n v="-1.1632000000000001E-3"/>
    <n v="2.8373999999999999E-3"/>
    <n v="1.02"/>
    <n v="7.1967614743960491"/>
    <n v="8.7382866427107295"/>
    <n v="2.6448263709351747"/>
    <n v="3.8135498286186866"/>
    <n v="-0.30363591699999998"/>
    <n v="-3.83629646E-2"/>
    <n v="5.4316701699999997E-2"/>
    <n v="-0.242102713"/>
    <n v="0.13327455999999999"/>
  </r>
  <r>
    <x v="45"/>
    <x v="5"/>
    <x v="1"/>
    <n v="4.5606381929261506"/>
    <n v="5.6"/>
    <n v="5.2412177745074642"/>
    <n v="1.03"/>
    <n v="5.6893454268584316"/>
    <n v="4.5485045918690235"/>
    <n v="4.5448998763956663"/>
    <n v="4.5257372923401809"/>
    <n v="0.1512154"/>
    <n v="-2.2044412000000024"/>
    <m/>
    <n v="-0.85826429999999998"/>
    <n v="-7.0809319999999998"/>
    <n v="-1.2777000000000001E-3"/>
    <n v="-8.1709999999999997E-4"/>
    <n v="-5.1590000000000002E-4"/>
    <n v="1.3449999999999999E-4"/>
    <n v="1.4354999999999999E-3"/>
    <n v="2.12"/>
    <n v="-0.33500000000000002"/>
    <m/>
    <n v="1.4772E-2"/>
    <n v="-0.89069530000000019"/>
    <n v="1.4772E-2"/>
    <n v="-5.0000000000000001E-3"/>
    <n v="-5.0000000000000001E-3"/>
    <n v="-0.01"/>
    <n v="-0.03"/>
    <n v="-1.6885500000000001E-2"/>
    <n v="-2.6821999999999999E-2"/>
    <n v="-3.6853999999999998E-2"/>
    <n v="1.38"/>
    <n v="7.203777475708919"/>
    <n v="8.7389758170911058"/>
    <n v="2.5802168295923251"/>
    <n v="3.8218575687083938"/>
    <n v="-0.405660939"/>
    <n v="6.2478365899999999E-2"/>
    <n v="0.16909845900000001"/>
    <n v="-6.4670560500000002E-2"/>
    <n v="5.4261443899999998E-2"/>
  </r>
  <r>
    <x v="45"/>
    <x v="6"/>
    <x v="2"/>
    <n v="4.5683526628590734"/>
    <n v="5.5"/>
    <n v="5.2422759756644117"/>
    <n v="1.26"/>
    <n v="5.6834096848482636"/>
    <n v="4.5776242565581402"/>
    <n v="4.5491605238448907"/>
    <n v="4.5287749847343779"/>
    <n v="0"/>
    <n v="-2.2044412000000024"/>
    <m/>
    <n v="0"/>
    <n v="-7.0809319999999998"/>
    <n v="-4.8335000000000001E-3"/>
    <n v="-9.6667000000000003E-3"/>
    <n v="-2.9000000000000001E-2"/>
    <n v="-2.41666E-2"/>
    <n v="-1.45001E-2"/>
    <n v="2.1"/>
    <n v="-0.30669999999999997"/>
    <m/>
    <n v="0"/>
    <n v="-0.89069530000000019"/>
    <n v="0"/>
    <n v="0"/>
    <n v="0"/>
    <n v="0"/>
    <n v="0"/>
    <n v="0"/>
    <n v="0"/>
    <n v="0"/>
    <n v="1.29"/>
    <n v="7.2014691236656372"/>
    <n v="8.7407206690213162"/>
    <n v="2.5888912192658955"/>
    <n v="3.8260728832901432"/>
    <n v="4.1632463500000001E-2"/>
    <n v="9.2095131499999996E-2"/>
    <n v="0.13247456199999999"/>
    <n v="-0.139534151"/>
    <n v="0.39953849000000002"/>
  </r>
  <r>
    <x v="45"/>
    <x v="7"/>
    <x v="2"/>
    <n v="4.5689728976762032"/>
    <n v="5.4"/>
    <n v="5.2428046566177775"/>
    <n v="1.43"/>
    <n v="5.6762742352395996"/>
    <n v="4.5732872851203643"/>
    <n v="4.5550446305805412"/>
    <n v="4.5308021800285099"/>
    <n v="0.28112890000000001"/>
    <n v="-1.9233123000000023"/>
    <m/>
    <n v="0.90333289999999999"/>
    <n v="-6.1775989999999998"/>
    <n v="5.2373000000000003E-3"/>
    <n v="2.83799E-2"/>
    <n v="3.1935499999999999E-2"/>
    <n v="3.1935499999999999E-2"/>
    <n v="2.8387300000000001E-2"/>
    <n v="2.02"/>
    <n v="-0.45989999999999998"/>
    <m/>
    <n v="6.2300000000000001E-2"/>
    <n v="-0.82839530000000017"/>
    <n v="6.2300000000000001E-2"/>
    <n v="7.3800000000000003E-3"/>
    <n v="5.0000000000000001E-3"/>
    <n v="3.9989999999999998E-2"/>
    <n v="4.4999999999999998E-2"/>
    <n v="-1.9312999999999999E-3"/>
    <n v="2.52515E-2"/>
    <n v="4.7842000000000003E-2"/>
    <n v="1.55"/>
    <n v="7.2108923059887786"/>
    <n v="8.7446474383175321"/>
    <n v="2.5164860629413228"/>
    <n v="3.8129537692158628"/>
    <n v="-0.19479417099999999"/>
    <n v="-0.24152231599999999"/>
    <n v="-0.103700998"/>
    <n v="2.1566434200000002E-2"/>
    <n v="0.13283131200000001"/>
  </r>
  <r>
    <x v="45"/>
    <x v="8"/>
    <x v="2"/>
    <n v="4.5695886031604029"/>
    <n v="5.4"/>
    <n v="5.2459708861758276"/>
    <n v="1.61"/>
    <n v="5.6933953817697143"/>
    <n v="4.5992828898192037"/>
    <n v="4.5605074920818982"/>
    <n v="4.5352840585239251"/>
    <n v="0.14964079999999999"/>
    <n v="-1.7736715000000023"/>
    <m/>
    <n v="0.53592600000000001"/>
    <n v="-5.6416729999999999"/>
    <n v="2.1427E-3"/>
    <n v="8.2766999999999997E-3"/>
    <n v="8.0645000000000005E-3"/>
    <n v="8.0645000000000005E-3"/>
    <n v="4.9462000000000004E-3"/>
    <n v="2.12"/>
    <n v="-0.59770000000000001"/>
    <m/>
    <n v="0.1167787"/>
    <n v="-0.71161660000000015"/>
    <n v="0.1167787"/>
    <n v="0"/>
    <n v="0"/>
    <n v="-0.01"/>
    <n v="-1.4999999999999999E-2"/>
    <n v="-7.2849999999999998E-4"/>
    <n v="-2.1467999999999999E-3"/>
    <n v="-1.54497E-2"/>
    <n v="1.94"/>
    <n v="7.2162688610138508"/>
    <n v="8.7501286451929161"/>
    <n v="2.565718292524414"/>
    <n v="3.8317235981434168"/>
    <n v="-8.0448829200000002E-2"/>
    <n v="-0.17051359199999999"/>
    <n v="-0.12935813900000001"/>
    <n v="-4.0616283599999997E-2"/>
    <n v="0.17264348400000001"/>
  </r>
  <r>
    <x v="45"/>
    <x v="9"/>
    <x v="3"/>
    <n v="4.5789976538568071"/>
    <n v="5.5"/>
    <n v="5.2512257590141864"/>
    <n v="1.76"/>
    <n v="5.6710182070622279"/>
    <n v="4.5900362434033743"/>
    <n v="4.5627531700972943"/>
    <n v="4.5386991320446493"/>
    <n v="0"/>
    <n v="-1.7736715000000023"/>
    <m/>
    <n v="0"/>
    <n v="-5.6416729999999999"/>
    <n v="0"/>
    <n v="-6.6667000000000002E-3"/>
    <n v="-0.01"/>
    <n v="-0.01"/>
    <n v="-1.3333299999999999E-2"/>
    <n v="2.23"/>
    <n v="-0.57350000000000001"/>
    <m/>
    <n v="0"/>
    <n v="-0.71161660000000015"/>
    <n v="0"/>
    <n v="0"/>
    <n v="0"/>
    <n v="0"/>
    <n v="0"/>
    <n v="0"/>
    <n v="0"/>
    <n v="0"/>
    <n v="1.79"/>
    <n v="7.2161219426267511"/>
    <n v="8.7544920815186256"/>
    <n v="2.4785531758158248"/>
    <n v="3.8310298462186143"/>
    <n v="-8.9736563000000005E-2"/>
    <n v="-2.27630926E-2"/>
    <n v="-6.9374111500000002E-2"/>
    <n v="3.7677384999999998E-3"/>
    <n v="0.10085606599999999"/>
  </r>
  <r>
    <x v="45"/>
    <x v="10"/>
    <x v="3"/>
    <n v="4.5811079996373323"/>
    <n v="5.4"/>
    <n v="5.2559316500515987"/>
    <n v="1.93"/>
    <n v="5.697730867227766"/>
    <n v="4.5894370669990918"/>
    <n v="4.5619703666818721"/>
    <n v="4.5413247579393383"/>
    <n v="0.31822139999999999"/>
    <n v="-1.4554501000000024"/>
    <m/>
    <n v="0.29954320000000001"/>
    <n v="-5.34213"/>
    <n v="-5.2500000000000003E-3"/>
    <n v="-6.9931000000000004E-3"/>
    <n v="-1.3999899999999999E-2"/>
    <n v="-2.7999900000000001E-2"/>
    <n v="-3.5000099999999999E-2"/>
    <n v="2.5"/>
    <n v="-0.7016"/>
    <m/>
    <n v="0.2427629"/>
    <n v="-0.46885370000000015"/>
    <n v="0.2427629"/>
    <n v="-7.4999999999999997E-3"/>
    <n v="-5.0000000000000001E-3"/>
    <n v="-9.9900000000000006E-3"/>
    <n v="-0.02"/>
    <n v="8.5888000000000006E-3"/>
    <n v="-2.1019999999999999E-4"/>
    <n v="-2.57621E-2"/>
    <n v="2.02"/>
    <n v="7.2256270225969752"/>
    <n v="8.7587423161698084"/>
    <n v="2.4923786646267012"/>
    <n v="3.8247206770253497"/>
    <n v="-0.33787505000000001"/>
    <n v="0.29635160300000002"/>
    <n v="0.17175488799999999"/>
    <n v="0.24880870299999999"/>
    <n v="8.1459568800000007E-2"/>
  </r>
  <r>
    <x v="45"/>
    <x v="11"/>
    <x v="3"/>
    <n v="4.5881583009457234"/>
    <n v="5.4"/>
    <n v="5.2559316500515987"/>
    <n v="2.16"/>
    <n v="5.6908323154805727"/>
    <n v="4.6128704626142794"/>
    <n v="4.5669489731678938"/>
    <n v="4.5444855623715847"/>
    <n v="0.16138449999999999"/>
    <n v="-1.2940656000000024"/>
    <m/>
    <n v="0.19203600000000001"/>
    <n v="-5.1500940000000002"/>
    <n v="-7.5512000000000001E-3"/>
    <n v="-5.9001000000000001E-3"/>
    <n v="-1.4709699999999999E-2"/>
    <n v="-2.07098E-2"/>
    <n v="-2.6613000000000001E-2"/>
    <n v="2.67"/>
    <n v="-0.85340000000000005"/>
    <m/>
    <n v="9.8183000000000006E-2"/>
    <n v="-0.37067070000000013"/>
    <n v="9.8183000000000006E-2"/>
    <n v="-9.1299999999999992E-3"/>
    <n v="-5.0000000000000001E-3"/>
    <n v="-5.0000000000000001E-3"/>
    <n v="-1.4999999999999999E-2"/>
    <n v="-1.2284399999999999E-2"/>
    <n v="-1.8402600000000002E-2"/>
    <n v="-2.9464000000000001E-2"/>
    <n v="1.97"/>
    <n v="7.2265725803646292"/>
    <n v="8.7617224300511225"/>
    <n v="2.4886496360668349"/>
    <n v="3.8364801581795018"/>
    <n v="-8.4089673099999998E-2"/>
    <n v="0.19694998799999999"/>
    <n v="0.107670814"/>
    <n v="0.10714541700000001"/>
    <n v="0.21591686800000001"/>
  </r>
  <r>
    <x v="46"/>
    <x v="0"/>
    <x v="0"/>
    <n v="4.5929822134811209"/>
    <n v="5.3"/>
    <n v="5.2554098655367598"/>
    <n v="2.2799999999999998"/>
    <n v="5.6739759750735361"/>
    <n v="4.5995443908365248"/>
    <n v="4.5772232839371405"/>
    <n v="4.543475616982251"/>
    <n v="0"/>
    <n v="-1.2940656000000024"/>
    <m/>
    <n v="0"/>
    <n v="-5.1500940000000002"/>
    <n v="-3.8287999999999998E-3"/>
    <n v="-2.0969000000000001E-3"/>
    <n v="-6.2903999999999998E-3"/>
    <n v="-6.2903999999999998E-3"/>
    <n v="-8.3870999999999998E-3"/>
    <n v="2.86"/>
    <n v="-0.80579999999999996"/>
    <m/>
    <n v="0"/>
    <n v="-0.37067070000000013"/>
    <n v="0"/>
    <n v="0"/>
    <n v="0"/>
    <n v="0"/>
    <n v="0"/>
    <n v="0"/>
    <n v="0"/>
    <n v="0"/>
    <n v="2.5"/>
    <n v="7.2201543539707549"/>
    <n v="8.7625051967013992"/>
    <n v="2.6442580680144308"/>
    <n v="3.8583479294810639"/>
    <n v="-0.210437398"/>
    <n v="-0.35769846900000002"/>
    <n v="-0.24262869500000001"/>
    <n v="-0.18231973100000001"/>
    <n v="-0.107154047"/>
  </r>
  <r>
    <x v="46"/>
    <x v="1"/>
    <x v="0"/>
    <n v="4.5995132154594387"/>
    <n v="5.4"/>
    <n v="5.259576538231606"/>
    <n v="2.5"/>
    <n v="5.6701567470065406"/>
    <n v="4.6065791928715116"/>
    <n v="4.5808570014058079"/>
    <n v="4.5461523975232181"/>
    <n v="0.1223306"/>
    <n v="-1.1717350000000024"/>
    <m/>
    <n v="0.29529139999999998"/>
    <n v="-4.8548020000000003"/>
    <n v="0"/>
    <n v="0"/>
    <n v="-1.4464100000000001E-2"/>
    <n v="-1.9285699999999999E-2"/>
    <n v="-1.9285699999999999E-2"/>
    <n v="3.03"/>
    <n v="-1.093"/>
    <m/>
    <n v="8.5238999999999995E-2"/>
    <n v="-0.28543170000000012"/>
    <n v="8.5238999999999995E-2"/>
    <n v="0"/>
    <n v="0"/>
    <n v="0"/>
    <n v="-1.4999999999999999E-2"/>
    <n v="-1.00987E-2"/>
    <n v="-1.26654E-2"/>
    <n v="-2.0918900000000001E-2"/>
    <n v="2.52"/>
    <n v="7.2232956795623142"/>
    <n v="8.7640063932490957"/>
    <n v="2.5034012324241646"/>
    <n v="3.8255714716970304"/>
    <n v="-1.9098563900000001E-2"/>
    <n v="-0.106858628"/>
    <n v="2.00860712E-2"/>
    <n v="-0.19707569"/>
    <n v="1.8836272800000001E-2"/>
  </r>
  <r>
    <x v="46"/>
    <x v="2"/>
    <x v="0"/>
    <n v="4.5983942813084848"/>
    <n v="5.2"/>
    <n v="5.2632081894344687"/>
    <n v="2.63"/>
    <n v="5.6975631748422844"/>
    <n v="4.6178988319648155"/>
    <n v="4.5719132540866392"/>
    <n v="4.5507245597983701"/>
    <n v="5.5443600000000003E-2"/>
    <n v="-1.1162914000000024"/>
    <m/>
    <n v="0.56033929999999998"/>
    <n v="-4.2944630000000004"/>
    <n v="0"/>
    <n v="3.2258E-3"/>
    <n v="2.2044899999999999E-2"/>
    <n v="2.99308E-2"/>
    <n v="3.3156600000000001E-2"/>
    <n v="3.3"/>
    <n v="-0.73240000000000005"/>
    <m/>
    <n v="8.2026600000000005E-2"/>
    <n v="-0.20340510000000012"/>
    <n v="8.2026600000000005E-2"/>
    <n v="0"/>
    <n v="0"/>
    <n v="0.01"/>
    <n v="7.0000000000000007E-2"/>
    <n v="-9.2306999999999997E-3"/>
    <n v="1.34935E-2"/>
    <n v="6.2173600000000002E-2"/>
    <n v="2.96"/>
    <n v="7.2229309157428405"/>
    <n v="8.765536543752189"/>
    <n v="2.4874866520513876"/>
    <n v="3.8451778259986535"/>
    <n v="-0.26716182199999999"/>
    <n v="6.0993121800000001E-2"/>
    <n v="-3.0355646600000001E-2"/>
    <n v="5.3492906100000001E-2"/>
    <n v="-6.4261131400000001E-3"/>
  </r>
  <r>
    <x v="46"/>
    <x v="3"/>
    <x v="1"/>
    <n v="4.599750526127365"/>
    <n v="5.2"/>
    <n v="5.2663105704129505"/>
    <n v="2.79"/>
    <n v="5.7012793444380829"/>
    <n v="4.6486127438309284"/>
    <n v="4.5829552514169336"/>
    <n v="4.5529396103844393"/>
    <n v="0"/>
    <n v="-1.1162914000000024"/>
    <m/>
    <n v="0"/>
    <n v="-4.2944630000000004"/>
    <n v="0"/>
    <n v="6.7742000000000002E-3"/>
    <n v="4.7419299999999998E-2"/>
    <n v="6.4354900000000007E-2"/>
    <n v="7.1129100000000001E-2"/>
    <n v="3.32"/>
    <n v="-0.53380000000000005"/>
    <m/>
    <n v="0"/>
    <n v="-0.20340510000000012"/>
    <n v="0"/>
    <n v="0"/>
    <n v="0"/>
    <n v="0"/>
    <n v="0"/>
    <n v="0"/>
    <n v="0"/>
    <n v="0"/>
    <n v="2.97"/>
    <n v="7.212663132098986"/>
    <n v="8.766612491742686"/>
    <n v="2.5576923195136478"/>
    <n v="3.8286631353832381"/>
    <n v="-6.2710777400000001E-2"/>
    <n v="0.197571837"/>
    <n v="0.151907718"/>
    <n v="-0.133020577"/>
    <n v="0.243170625"/>
  </r>
  <r>
    <x v="46"/>
    <x v="4"/>
    <x v="1"/>
    <n v="4.601578744475769"/>
    <n v="5.0999999999999996"/>
    <n v="5.265794174842477"/>
    <n v="3"/>
    <n v="5.6961870355343702"/>
    <n v="4.6048001175212026"/>
    <n v="4.5776345357935702"/>
    <n v="4.5558748942632139"/>
    <n v="0.30341570000000001"/>
    <n v="-0.81287570000000242"/>
    <m/>
    <n v="0.44230419999999998"/>
    <n v="-3.8521589999999999"/>
    <n v="-5.1732000000000002E-3"/>
    <n v="9.3547999999999999E-3"/>
    <n v="1.40324E-2"/>
    <n v="2.33872E-2"/>
    <n v="3.2742E-2"/>
    <n v="3.33"/>
    <n v="-0.38419999999999999"/>
    <m/>
    <n v="0.155223"/>
    <n v="-4.8182100000000117E-2"/>
    <n v="0.155223"/>
    <n v="-5.5300000000000002E-3"/>
    <n v="0"/>
    <n v="0.01"/>
    <n v="1.4999999999999999E-2"/>
    <n v="3.3514999999999999E-3"/>
    <n v="5.8795999999999996E-3"/>
    <n v="1.41774E-2"/>
    <n v="3.09"/>
    <n v="7.2201543539707549"/>
    <n v="8.7705943298911446"/>
    <n v="2.4780498623247871"/>
    <n v="3.8134615459374843"/>
    <n v="-0.151938569"/>
    <n v="6.0582327300000002E-2"/>
    <n v="-9.6986074899999997E-2"/>
    <n v="-2.64139005E-2"/>
    <n v="7.8610269299999994E-2"/>
  </r>
  <r>
    <x v="46"/>
    <x v="5"/>
    <x v="1"/>
    <n v="4.6054321516720851"/>
    <n v="5"/>
    <n v="5.2663105704129505"/>
    <n v="3.04"/>
    <n v="5.6978650008921639"/>
    <n v="4.6538841567786911"/>
    <n v="4.5824234289921755"/>
    <n v="4.5602564985645797"/>
    <n v="0.2362667"/>
    <n v="-0.57660900000000237"/>
    <m/>
    <n v="0.4072732"/>
    <n v="-3.4448850000000002"/>
    <n v="-5.2329999999999998E-4"/>
    <n v="1.1451E-3"/>
    <n v="2.8011999999999998E-3"/>
    <n v="3.2794E-3"/>
    <n v="3.7580000000000001E-3"/>
    <n v="3.36"/>
    <n v="-0.56230000000000002"/>
    <m/>
    <n v="9.4652799999999995E-2"/>
    <n v="4.6470699999999879E-2"/>
    <n v="9.4652799999999995E-2"/>
    <n v="-5.0000000000000001E-3"/>
    <n v="0"/>
    <n v="1.4999999999999999E-2"/>
    <n v="5.5E-2"/>
    <n v="1.0794999999999999E-3"/>
    <n v="7.2674000000000002E-3"/>
    <n v="5.2246800000000003E-2"/>
    <n v="3.35"/>
    <n v="7.2304183203291634"/>
    <n v="8.7759818402130367"/>
    <n v="2.4121567294233364"/>
    <n v="3.8254624359004703"/>
    <n v="1.21761999E-2"/>
    <n v="-0.22855846499999999"/>
    <n v="-0.29836336800000002"/>
    <n v="-0.19516064399999999"/>
    <n v="-0.110651179"/>
  </r>
  <r>
    <x v="46"/>
    <x v="6"/>
    <x v="2"/>
    <n v="4.6026139215262933"/>
    <n v="5"/>
    <n v="5.2724866065135148"/>
    <n v="3.26"/>
    <n v="5.6795922358549831"/>
    <n v="4.6901177681507908"/>
    <n v="4.5807852760524019"/>
    <n v="4.5630556898807439"/>
    <n v="0"/>
    <n v="-0.57660900000000237"/>
    <m/>
    <n v="0"/>
    <n v="-3.4448850000000002"/>
    <n v="-4.8335000000000001E-3"/>
    <n v="1.45001E-2"/>
    <n v="5.3166400000000003E-2"/>
    <n v="4.8333399999999999E-2"/>
    <n v="4.3499900000000001E-2"/>
    <n v="3.64"/>
    <n v="-0.65290000000000004"/>
    <m/>
    <n v="0"/>
    <n v="4.6470699999999879E-2"/>
    <n v="0"/>
    <n v="0"/>
    <n v="0"/>
    <n v="0"/>
    <n v="0"/>
    <n v="0"/>
    <n v="0"/>
    <n v="0"/>
    <n v="3.31"/>
    <n v="7.2213243723857641"/>
    <n v="8.7804647364878718"/>
    <n v="2.4426078709138732"/>
    <n v="3.8283370023398091"/>
    <n v="-9.5572466600000003E-2"/>
    <n v="-0.18466479799999999"/>
    <n v="-0.209371064"/>
    <n v="-9.0744623400000002E-2"/>
    <n v="3.5415411000000001E-2"/>
  </r>
  <r>
    <x v="46"/>
    <x v="7"/>
    <x v="2"/>
    <n v="4.6045419887134944"/>
    <n v="4.9000000000000004"/>
    <n v="5.2786247332023004"/>
    <n v="3.5"/>
    <n v="5.6719821621064037"/>
    <n v="4.6381503132826829"/>
    <n v="4.5879121185518104"/>
    <n v="4.5656182179759766"/>
    <n v="6.1947200000000001E-2"/>
    <n v="-0.51466180000000239"/>
    <m/>
    <n v="0.1105931"/>
    <n v="-3.334292"/>
    <n v="-5.2306999999999996E-3"/>
    <n v="-7.4193000000000002E-3"/>
    <n v="-1.85483E-2"/>
    <n v="-1.8548499999999999E-2"/>
    <n v="-2.2258E-2"/>
    <n v="3.87"/>
    <n v="-0.71799999999999997"/>
    <m/>
    <n v="1.8240699999999999E-2"/>
    <n v="6.4711399999999877E-2"/>
    <n v="1.8240699999999999E-2"/>
    <n v="-7.0499999999999998E-3"/>
    <n v="-5.0000000000000001E-3"/>
    <n v="-0.01"/>
    <n v="-2.5000000000000001E-2"/>
    <n v="-2.3895799999999998E-2"/>
    <n v="-3.1521800000000003E-2"/>
    <n v="-4.8300799999999998E-2"/>
    <n v="3.63"/>
    <n v="7.2275898744503264"/>
    <n v="8.7847439825710278"/>
    <n v="2.4004374931615504"/>
    <n v="3.8065291475473075"/>
    <n v="-0.124444677"/>
    <n v="0.28274917999999999"/>
    <n v="0.10940201300000001"/>
    <n v="-0.104133472"/>
    <n v="0.16986578599999999"/>
  </r>
  <r>
    <x v="46"/>
    <x v="8"/>
    <x v="2"/>
    <n v="4.5854551148587586"/>
    <n v="5"/>
    <n v="5.2922992942224738"/>
    <n v="3.62"/>
    <n v="5.6836137803656746"/>
    <n v="4.6119868993150135"/>
    <n v="4.5809594572730328"/>
    <n v="4.5671255809484448"/>
    <n v="0.24896989999999999"/>
    <n v="-0.26569190000000242"/>
    <m/>
    <n v="1.321917"/>
    <n v="-2.012375"/>
    <n v="1.46806E-2"/>
    <n v="8.4192999999999994E-3"/>
    <n v="-9.5180000000000004E-4"/>
    <n v="-2.7850000000000001E-3"/>
    <n v="-4.0752999999999996E-3"/>
    <n v="3.85"/>
    <n v="-0.55289999999999995"/>
    <m/>
    <n v="0.1452309"/>
    <n v="0.20994229999999986"/>
    <n v="0.1452309"/>
    <n v="4.4999999999999998E-2"/>
    <n v="1.4999999999999999E-2"/>
    <n v="0.03"/>
    <n v="1.4999999999999999E-2"/>
    <n v="2.35427E-2"/>
    <n v="3.7359499999999997E-2"/>
    <n v="3.2272700000000001E-2"/>
    <n v="3.93"/>
    <n v="7.2277351177330802"/>
    <n v="8.790208226824614"/>
    <n v="2.460016100942874"/>
    <n v="3.8301185658066608"/>
    <n v="-0.16963667499999999"/>
    <n v="0.294201086"/>
    <n v="0.11460015699999999"/>
    <n v="0.108139842"/>
    <n v="0.14086468099999999"/>
  </r>
  <r>
    <x v="46"/>
    <x v="9"/>
    <x v="3"/>
    <n v="4.5983358852665113"/>
    <n v="5"/>
    <n v="5.2938072110701508"/>
    <n v="3.78"/>
    <n v="5.698166735870565"/>
    <n v="4.6028875828305393"/>
    <n v="4.5978333370140732"/>
    <n v="4.5668866335624827"/>
    <n v="0"/>
    <n v="-0.26569190000000242"/>
    <m/>
    <n v="0"/>
    <n v="-2.012375"/>
    <n v="2.85001E-2"/>
    <n v="1.9000099999999999E-2"/>
    <n v="9.4999999999999998E-3"/>
    <n v="6.3334000000000003E-3"/>
    <n v="6.3334000000000003E-3"/>
    <n v="4.18"/>
    <n v="-0.45279999999999998"/>
    <m/>
    <n v="0"/>
    <n v="0.20994229999999986"/>
    <n v="0"/>
    <n v="0"/>
    <n v="0"/>
    <n v="0"/>
    <n v="0"/>
    <n v="0"/>
    <n v="0"/>
    <n v="0"/>
    <n v="4.0199999999999996"/>
    <n v="7.2265725803646292"/>
    <n v="8.7954005199054741"/>
    <n v="2.3274728085018248"/>
    <n v="3.8111413336468916"/>
    <n v="4.7239669800000002E-2"/>
    <n v="1.0215219799999999"/>
    <n v="0.29174044799999999"/>
    <n v="0.29966598"/>
    <n v="0.56233086399999999"/>
  </r>
  <r>
    <x v="46"/>
    <x v="10"/>
    <x v="3"/>
    <n v="4.6081467516179773"/>
    <n v="5"/>
    <n v="5.2887719537045053"/>
    <n v="4"/>
    <n v="5.6954142249856847"/>
    <n v="4.6211517970003904"/>
    <n v="4.6001375434600167"/>
    <n v="4.5709513426014077"/>
    <n v="0.22275490000000001"/>
    <n v="-4.2937000000002418E-2"/>
    <m/>
    <n v="0.25924180000000002"/>
    <n v="-1.753134"/>
    <n v="-5.1801E-3"/>
    <n v="0"/>
    <n v="0.01"/>
    <n v="0.01"/>
    <n v="1.5000100000000001E-2"/>
    <n v="4.33"/>
    <n v="-0.3841"/>
    <m/>
    <n v="6.9968699999999995E-2"/>
    <n v="0.27991099999999985"/>
    <n v="6.9968699999999995E-2"/>
    <n v="-5.1799999999999997E-3"/>
    <n v="-5.0000000000000001E-3"/>
    <n v="0"/>
    <n v="0.01"/>
    <n v="-8.0785000000000006E-3"/>
    <n v="-1.3905900000000001E-2"/>
    <n v="-1.8748E-3"/>
    <n v="4.03"/>
    <n v="7.2274446100688978"/>
    <n v="8.7982886194732099"/>
    <n v="2.316980973277778"/>
    <n v="3.8060845450146412"/>
    <n v="-0.47282966799999998"/>
    <n v="-3.1611908899999999E-2"/>
    <n v="7.36406488E-2"/>
    <n v="-0.16887761500000001"/>
    <n v="-0.112952674"/>
  </r>
  <r>
    <x v="46"/>
    <x v="11"/>
    <x v="3"/>
    <n v="4.6140783898570987"/>
    <n v="4.9000000000000004"/>
    <n v="5.2887719537045053"/>
    <n v="4.16"/>
    <n v="5.7073095804323577"/>
    <n v="4.6363490344690916"/>
    <n v="4.6024264253170282"/>
    <n v="4.5736175974749846"/>
    <n v="4.8736799999999997E-2"/>
    <n v="5.7997999999975791E-3"/>
    <m/>
    <n v="0.1001499"/>
    <n v="-1.652984"/>
    <n v="-5.2772000000000001E-3"/>
    <n v="-3.0645999999999998E-3"/>
    <n v="-9.1933999999999991E-3"/>
    <n v="-1.83871E-2"/>
    <n v="-1.83871E-2"/>
    <n v="4.3499999999999996"/>
    <n v="-0.39119999999999999"/>
    <m/>
    <n v="1.6412E-3"/>
    <n v="0.28155219999999986"/>
    <n v="1.6412E-3"/>
    <n v="-8.6099999999999996E-3"/>
    <n v="-5.0000000000000001E-3"/>
    <n v="-5.0000000000000001E-3"/>
    <n v="-1.4999999999999999E-2"/>
    <n v="-1.7464400000000001E-2"/>
    <n v="-1.7811299999999999E-2"/>
    <n v="-1.3436699999999999E-2"/>
    <n v="4.09"/>
    <n v="7.2260635449756787"/>
    <n v="8.802492427166225"/>
    <n v="2.3071745453278529"/>
    <n v="3.8020965260495418"/>
    <n v="-0.19779480299999999"/>
    <n v="-0.61626044099999999"/>
    <n v="-0.41534014400000002"/>
    <n v="-0.50842213000000003"/>
    <n v="-0.10405318099999999"/>
  </r>
  <r>
    <x v="47"/>
    <x v="0"/>
    <x v="0"/>
    <n v="4.6153739500708797"/>
    <n v="4.7"/>
    <n v="5.2948112272187489"/>
    <n v="4.29"/>
    <n v="5.7311057703050912"/>
    <n v="4.6666038921721835"/>
    <n v="4.6061197350236798"/>
    <n v="4.5721613391810987"/>
    <n v="0.1203751"/>
    <n v="0.12617489999999759"/>
    <m/>
    <n v="0.24842059999999999"/>
    <n v="-1.404563"/>
    <n v="-3.1714E-3"/>
    <n v="-1.1289E-3"/>
    <n v="-5.0001000000000004E-3"/>
    <n v="-1.04837E-2"/>
    <n v="-1.0322599999999999E-2"/>
    <n v="4.45"/>
    <n v="-0.4536"/>
    <m/>
    <n v="1.5128600000000001E-2"/>
    <n v="0.29668079999999986"/>
    <n v="1.5128600000000001E-2"/>
    <n v="5.0000000000000001E-3"/>
    <n v="0"/>
    <n v="2.5000000000000001E-2"/>
    <n v="2.5000000000000001E-2"/>
    <n v="-1.6514999999999998E-2"/>
    <n v="-5.9829999999999996E-3"/>
    <n v="2.5146999999999999E-3"/>
    <n v="4.47"/>
    <n v="7.2298387781512501"/>
    <n v="8.8084737814303065"/>
    <n v="2.3294217469476055"/>
    <n v="3.7902394784663547"/>
    <n v="-9.3986767600000007E-2"/>
    <n v="-0.22247857200000001"/>
    <n v="-0.15225393200000001"/>
    <n v="-0.104473942"/>
    <n v="8.5461522600000006E-2"/>
  </r>
  <r>
    <x v="47"/>
    <x v="1"/>
    <x v="0"/>
    <n v="4.6151017047831253"/>
    <n v="4.8"/>
    <n v="5.2953128575277377"/>
    <n v="4.49"/>
    <n v="5.7416561270842825"/>
    <n v="4.6537698558241534"/>
    <n v="4.6120166950651491"/>
    <n v="4.5777887116468534"/>
    <n v="0"/>
    <n v="0.12617489999999759"/>
    <m/>
    <n v="0"/>
    <n v="-1.404563"/>
    <n v="4.8386999999999996E-3"/>
    <n v="2.41935E-2"/>
    <n v="2.41935E-2"/>
    <n v="3.3870900000000002E-2"/>
    <n v="3.8709599999999997E-2"/>
    <n v="4.68"/>
    <n v="-0.34470000000000001"/>
    <m/>
    <n v="0"/>
    <n v="0.29668079999999986"/>
    <n v="0"/>
    <n v="0"/>
    <n v="0"/>
    <n v="0"/>
    <n v="0"/>
    <n v="0"/>
    <n v="0"/>
    <n v="0"/>
    <n v="4.5199999999999996"/>
    <n v="7.2292588999094285"/>
    <n v="8.8124713404896458"/>
    <n v="2.2416666780246288"/>
    <n v="3.7860742206050384"/>
    <n v="-0.34456286800000002"/>
    <n v="0.232568098"/>
    <n v="-7.2881272100000005E-2"/>
    <n v="0.12394015799999999"/>
    <n v="0.24465673600000001"/>
  </r>
  <r>
    <x v="47"/>
    <x v="2"/>
    <x v="0"/>
    <n v="4.6177487431949258"/>
    <n v="4.7"/>
    <n v="5.2968162404217694"/>
    <n v="4.59"/>
    <n v="5.7393748183593241"/>
    <n v="4.6605670492083791"/>
    <n v="4.6069486036655025"/>
    <n v="4.5812770037680934"/>
    <n v="0.1017777"/>
    <n v="0.22795259999999759"/>
    <m/>
    <n v="0.83690640000000005"/>
    <n v="-0.56765670000000001"/>
    <n v="0"/>
    <n v="3.8709999999999999E-3"/>
    <n v="7.0968000000000003E-3"/>
    <n v="7.7419000000000003E-3"/>
    <n v="8.3870999999999998E-3"/>
    <n v="4.7699999999999996"/>
    <n v="-0.51319999999999999"/>
    <m/>
    <n v="4.6656099999999999E-2"/>
    <n v="0.34333689999999983"/>
    <n v="4.6656099999999999E-2"/>
    <n v="0"/>
    <n v="5.0000000000000001E-3"/>
    <n v="0.03"/>
    <n v="5.5E-2"/>
    <n v="-3.3693E-3"/>
    <n v="7.1701000000000004E-3"/>
    <n v="3.7792899999999997E-2"/>
    <n v="5"/>
    <n v="7.2325886170647102"/>
    <n v="8.814954299309683"/>
    <n v="2.2124415431410798"/>
    <n v="3.777554030553576"/>
    <n v="-2.69930554E-2"/>
    <n v="-0.227815398"/>
    <n v="-0.21243458100000001"/>
    <n v="-0.41786782"/>
    <n v="5.0871899599999999E-2"/>
  </r>
  <r>
    <x v="47"/>
    <x v="3"/>
    <x v="1"/>
    <n v="4.6216771926087956"/>
    <n v="4.7"/>
    <n v="5.3018112558022921"/>
    <n v="4.79"/>
    <n v="5.7662876800075979"/>
    <n v="4.6620229975808742"/>
    <n v="4.6123642465683314"/>
    <n v="4.581973204383889"/>
    <n v="0"/>
    <n v="0.22795259999999759"/>
    <m/>
    <n v="0"/>
    <n v="-0.56765670000000001"/>
    <n v="0"/>
    <n v="2.6128999999999999E-2"/>
    <n v="4.7903300000000003E-2"/>
    <n v="5.2257999999999999E-2"/>
    <n v="5.6612999999999997E-2"/>
    <n v="4.9000000000000004"/>
    <n v="-0.5272"/>
    <m/>
    <n v="0"/>
    <n v="0.34333689999999983"/>
    <n v="0"/>
    <n v="0"/>
    <n v="0"/>
    <n v="0"/>
    <n v="0"/>
    <n v="0"/>
    <n v="0"/>
    <n v="0"/>
    <n v="4.8600000000000003"/>
    <n v="7.2296938401120086"/>
    <n v="8.8189704582405639"/>
    <n v="2.3325321693619978"/>
    <n v="3.7910975374992657"/>
    <n v="-0.194033331"/>
    <n v="-2.69515673E-2"/>
    <n v="-9.5007566900000007E-2"/>
    <n v="-0.18890791500000001"/>
    <n v="6.3441352899999998E-2"/>
  </r>
  <r>
    <x v="47"/>
    <x v="4"/>
    <x v="1"/>
    <n v="4.6203090134808766"/>
    <n v="4.5999999999999996"/>
    <n v="5.3047963326457461"/>
    <n v="4.9400000000000004"/>
    <n v="5.8014837329465383"/>
    <n v="4.6511086689292558"/>
    <n v="4.6121060769892042"/>
    <n v="4.5858242543905536"/>
    <n v="0.17008309999999999"/>
    <n v="0.39803569999999755"/>
    <m/>
    <n v="0.23535590000000001"/>
    <n v="-0.33230080000000001"/>
    <n v="0"/>
    <n v="2.4838699999999998E-2"/>
    <n v="3.9032200000000003E-2"/>
    <n v="4.6129000000000003E-2"/>
    <n v="4.6129000000000003E-2"/>
    <n v="5"/>
    <n v="-0.3982"/>
    <m/>
    <n v="0.12680630000000001"/>
    <n v="0.47014319999999987"/>
    <n v="0.12680630000000001"/>
    <n v="0"/>
    <n v="0"/>
    <n v="3.5000000000000003E-2"/>
    <n v="5.5E-2"/>
    <n v="6.1054000000000004E-3"/>
    <n v="4.7002299999999997E-2"/>
    <n v="5.2956400000000001E-2"/>
    <n v="5.05"/>
    <n v="7.2350426060262771"/>
    <n v="8.8212750492355969"/>
    <n v="2.3720178677093822"/>
    <n v="3.8013595651979375"/>
    <n v="-0.26380711299999998"/>
    <n v="0.312795557"/>
    <n v="0.16725751599999999"/>
    <n v="3.4636243499999997E-2"/>
    <n v="0.20598396799999999"/>
  </r>
  <r>
    <x v="47"/>
    <x v="5"/>
    <x v="1"/>
    <n v="4.624161700107174"/>
    <n v="4.5999999999999996"/>
    <n v="5.3072771079195089"/>
    <n v="4.99"/>
    <n v="5.8058876975933549"/>
    <n v="4.6644762918854985"/>
    <n v="4.6105357654865013"/>
    <n v="4.5851307306503646"/>
    <n v="0.44131140000000002"/>
    <n v="0.83934709999999757"/>
    <m/>
    <n v="-0.71049379999999995"/>
    <n v="-1.0427949999999999"/>
    <n v="-9.9989999999999996E-4"/>
    <n v="8.4945999999999997E-3"/>
    <n v="1.29678E-2"/>
    <n v="1.6204400000000001E-2"/>
    <n v="1.6204099999999999E-2"/>
    <n v="5.16"/>
    <n v="-0.44619999999999999"/>
    <m/>
    <n v="0.29465180000000002"/>
    <n v="0.76479499999999989"/>
    <n v="0.29465180000000002"/>
    <n v="-1.4999999999999999E-2"/>
    <n v="-5.0000000000000001E-3"/>
    <n v="-2.5000000000000001E-2"/>
    <n v="-4.4999999999999998E-2"/>
    <n v="1.9808300000000001E-2"/>
    <n v="6.4898000000000004E-3"/>
    <n v="-2.4270900000000002E-2"/>
    <n v="5.05"/>
    <n v="7.225554250337729"/>
    <n v="8.826969381341085"/>
    <n v="2.3014844875500127"/>
    <n v="3.8129096025307865"/>
    <n v="3.0006386600000001E-2"/>
    <n v="0.151558522"/>
    <n v="-8.6272831099999995E-4"/>
    <n v="-4.7836295299999998E-2"/>
    <n v="0.300713748"/>
  </r>
  <r>
    <x v="47"/>
    <x v="6"/>
    <x v="2"/>
    <n v="4.6239732943237364"/>
    <n v="4.7"/>
    <n v="5.3127132468317688"/>
    <n v="5.24"/>
    <n v="5.8226908028592961"/>
    <n v="4.6779093646283965"/>
    <n v="4.6158034519048448"/>
    <n v="4.5879324665017558"/>
    <n v="0"/>
    <n v="0.83934709999999757"/>
    <m/>
    <n v="0"/>
    <n v="-1.0427949999999999"/>
    <n v="-1.4000200000000001E-2"/>
    <n v="-2.3333300000000001E-2"/>
    <n v="-4.2000099999999999E-2"/>
    <n v="-3.73333E-2"/>
    <n v="-3.73333E-2"/>
    <n v="5.22"/>
    <n v="-0.37469999999999998"/>
    <m/>
    <n v="0"/>
    <n v="0.76479499999999989"/>
    <n v="0"/>
    <n v="0"/>
    <n v="0"/>
    <n v="0"/>
    <n v="0"/>
    <n v="0"/>
    <n v="0"/>
    <n v="0"/>
    <n v="5.31"/>
    <n v="7.2230038791517233"/>
    <n v="8.8326898273626089"/>
    <n v="2.2708880062507912"/>
    <n v="3.7890414810129172"/>
    <n v="-9.6184916800000006E-2"/>
    <n v="-7.5447616999999995E-2"/>
    <n v="-4.9792612999999999E-2"/>
    <n v="-0.154926437"/>
    <n v="1.0828295599999999E-2"/>
  </r>
  <r>
    <x v="47"/>
    <x v="7"/>
    <x v="2"/>
    <n v="4.6274403546338192"/>
    <n v="4.7"/>
    <n v="5.3171391207886245"/>
    <n v="5.25"/>
    <n v="5.832205005910728"/>
    <n v="4.6612385615076279"/>
    <n v="4.6142785783520823"/>
    <n v="4.5881257513788327"/>
    <n v="6.11265E-2"/>
    <n v="0.90047359999999754"/>
    <m/>
    <n v="-0.3696913"/>
    <n v="-1.4124859999999999"/>
    <n v="-3.6526400000000001E-2"/>
    <n v="-2.7096700000000001E-2"/>
    <n v="-2.7096700000000001E-2"/>
    <n v="-2.3225800000000001E-2"/>
    <n v="-2.3225800000000001E-2"/>
    <n v="5.08"/>
    <n v="-0.41739999999999999"/>
    <m/>
    <n v="6.3313900000000006E-2"/>
    <n v="0.82810889999999993"/>
    <n v="6.3313900000000006E-2"/>
    <n v="-4.718E-2"/>
    <n v="-3.5000000000000003E-2"/>
    <n v="-3.5000000000000003E-2"/>
    <n v="-3.5000000000000003E-2"/>
    <n v="-1.7524499999999998E-2"/>
    <n v="-7.8910999999999999E-3"/>
    <n v="-1.7702800000000001E-2"/>
    <n v="5.31"/>
    <n v="7.2228579470099099"/>
    <n v="8.8359959525258081"/>
    <n v="2.1798523276117487"/>
    <n v="3.7564913725239562"/>
    <n v="5.0874592400000002E-2"/>
    <n v="0.17128891700000001"/>
    <n v="2.00733072E-3"/>
    <n v="-8.5450823499999995E-2"/>
    <n v="0.211941352"/>
  </r>
  <r>
    <x v="47"/>
    <x v="8"/>
    <x v="2"/>
    <n v="4.6260438081918771"/>
    <n v="4.5"/>
    <n v="5.3122202717170284"/>
    <n v="5.25"/>
    <n v="5.8345767915708375"/>
    <n v="4.679581683501902"/>
    <n v="4.6199110043095901"/>
    <n v="4.5906249145460558"/>
    <n v="6.1020499999999998E-2"/>
    <n v="0.96149409999999758"/>
    <m/>
    <n v="0.15653529999999999"/>
    <n v="-1.255951"/>
    <n v="-1.6149799999999999E-2"/>
    <n v="-7.9030999999999997E-3"/>
    <n v="-5.7010000000000003E-4"/>
    <n v="5.5909999999999998E-4"/>
    <n v="4.2256999999999998E-3"/>
    <n v="4.97"/>
    <n v="-0.5171"/>
    <m/>
    <n v="-2.7317299999999999E-2"/>
    <n v="0.80079159999999994"/>
    <n v="-2.7317299999999999E-2"/>
    <n v="-1.499E-2"/>
    <n v="-5.0000000000000001E-3"/>
    <n v="0"/>
    <n v="0.02"/>
    <n v="1.8753999999999999E-3"/>
    <n v="5.7939999999999999E-4"/>
    <n v="3.7897E-2"/>
    <n v="5.34"/>
    <n v="7.217223304755775"/>
    <n v="8.8404788662332745"/>
    <n v="2.2147370024208506"/>
    <n v="3.7592913183543017"/>
    <n v="-7.8164773199999996E-2"/>
    <n v="0.112900482"/>
    <n v="-5.5998604799999997E-2"/>
    <n v="0.12514868300000001"/>
    <n v="4.6579711099999997E-2"/>
  </r>
  <r>
    <x v="47"/>
    <x v="9"/>
    <x v="3"/>
    <n v="4.6257989425337476"/>
    <n v="4.4000000000000004"/>
    <n v="5.307772525318792"/>
    <n v="5.25"/>
    <n v="5.8498433774404033"/>
    <n v="4.6801292244535464"/>
    <n v="4.6285253191856714"/>
    <n v="4.594806669785612"/>
    <n v="-6.5343899999999996E-2"/>
    <n v="0.89615019999999757"/>
    <m/>
    <n v="-1.2378999999999999E-2"/>
    <n v="-1.26833"/>
    <n v="-1.0622700000000001E-2"/>
    <n v="-1.1291999999999999E-3"/>
    <n v="1.1537800000000001E-2"/>
    <n v="1.04086E-2"/>
    <n v="1.56131E-2"/>
    <n v="5.01"/>
    <n v="-0.53359999999999996"/>
    <m/>
    <n v="-5.6401899999999998E-2"/>
    <n v="0.74438969999999993"/>
    <n v="-5.6401899999999998E-2"/>
    <n v="-5.0000000000000001E-3"/>
    <n v="-5.0000000000000001E-3"/>
    <n v="-5.0000000000000001E-3"/>
    <n v="-5.0000000000000001E-3"/>
    <n v="-1.00556E-2"/>
    <n v="-1.62442E-2"/>
    <n v="-2.5577E-3"/>
    <n v="5.31"/>
    <n v="7.2219088686397104"/>
    <n v="8.8475898662755554"/>
    <n v="2.1071782966514356"/>
    <n v="3.7510558125406122"/>
    <n v="0.18100675399999999"/>
    <n v="-0.57147024099999999"/>
    <n v="-0.55326692200000005"/>
    <n v="-0.40963970900000002"/>
    <n v="3.2431041000000001E-2"/>
  </r>
  <r>
    <x v="47"/>
    <x v="10"/>
    <x v="3"/>
    <n v="4.6246619806670921"/>
    <n v="4.5"/>
    <n v="5.3082676974012051"/>
    <n v="5.25"/>
    <n v="5.8718924119671367"/>
    <n v="4.682353424658741"/>
    <n v="4.6303114783944235"/>
    <n v="4.5962707028010588"/>
    <n v="0"/>
    <n v="0.89615019999999757"/>
    <m/>
    <n v="0"/>
    <n v="-1.26833"/>
    <n v="-3.8709999999999999E-3"/>
    <n v="-3.8709999999999999E-3"/>
    <n v="-3.8709999999999999E-3"/>
    <n v="-7.7419000000000003E-3"/>
    <n v="-1.1612900000000001E-2"/>
    <n v="5.01"/>
    <n v="-0.51800000000000002"/>
    <m/>
    <n v="0"/>
    <n v="0.74438969999999993"/>
    <n v="0"/>
    <n v="0"/>
    <n v="0"/>
    <n v="0"/>
    <n v="0"/>
    <n v="0"/>
    <n v="0"/>
    <n v="0"/>
    <n v="5.31"/>
    <n v="7.2243163109842943"/>
    <n v="8.853308221389609"/>
    <n v="2.1248928045837534"/>
    <n v="3.7556498577477888"/>
    <n v="0.25707267700000003"/>
    <n v="-0.58877414900000002"/>
    <n v="-0.377437525"/>
    <n v="-0.47418955200000001"/>
    <n v="-2.2501668400000001E-2"/>
  </r>
  <r>
    <x v="47"/>
    <x v="11"/>
    <x v="3"/>
    <n v="4.634487211431165"/>
    <n v="4.4000000000000004"/>
    <n v="5.3136984685863391"/>
    <n v="5.24"/>
    <n v="5.8842968439144521"/>
    <n v="4.6958149542101415"/>
    <n v="4.6407882635898376"/>
    <n v="4.5976922961321325"/>
    <n v="5.0971099999999998E-2"/>
    <n v="0.94712129999999761"/>
    <m/>
    <n v="7.41647E-2"/>
    <n v="-1.1941649999999999"/>
    <n v="0"/>
    <n v="-3.2258E-3"/>
    <n v="-9.6773999999999992E-3"/>
    <n v="-3.5483800000000003E-2"/>
    <n v="-3.8709599999999997E-2"/>
    <n v="4.9400000000000004"/>
    <n v="-0.65720000000000001"/>
    <m/>
    <n v="8.4948800000000005E-2"/>
    <n v="0.82933849999999998"/>
    <n v="8.4948800000000005E-2"/>
    <n v="0"/>
    <n v="0"/>
    <n v="-5.0000000000000001E-3"/>
    <n v="-1.4999999999999999E-2"/>
    <n v="2.7069200000000002E-2"/>
    <n v="1.26543E-2"/>
    <n v="4.4264999999999999E-3"/>
    <n v="5.17"/>
    <n v="7.2213243723857641"/>
    <n v="8.8597610973522887"/>
    <n v="2.137592518321866"/>
    <n v="3.7596407609968483"/>
    <n v="0.101432357"/>
    <n v="-4.9630927700000001E-2"/>
    <n v="-0.18021253800000001"/>
    <n v="-4.9560786099999997E-2"/>
    <n v="0.164227809"/>
  </r>
  <r>
    <x v="48"/>
    <x v="0"/>
    <x v="0"/>
    <n v="4.6298179195226323"/>
    <n v="4.5999999999999996"/>
    <n v="5.3153563746425716"/>
    <n v="5.25"/>
    <n v="5.8828766066910827"/>
    <n v="4.6980683683548223"/>
    <n v="4.6362327114399093"/>
    <n v="4.5999264616650377"/>
    <n v="-6.7077200000000003E-2"/>
    <n v="0.88004409999999766"/>
    <m/>
    <n v="0.15653529999999999"/>
    <n v="-1.0376300000000001"/>
    <n v="-1.6139999999999999E-4"/>
    <n v="-1.9354999999999999E-3"/>
    <n v="-5.3226999999999997E-3"/>
    <n v="-1.98388E-2"/>
    <n v="-2.19355E-2"/>
    <n v="5.0599999999999996"/>
    <n v="-0.67420000000000002"/>
    <m/>
    <n v="-7.1945099999999998E-2"/>
    <n v="0.75739339999999999"/>
    <n v="-7.1945099999999998E-2"/>
    <n v="-5.0000000000000001E-3"/>
    <n v="0"/>
    <n v="-5.0000000000000001E-3"/>
    <n v="0"/>
    <n v="-5.1820000000000002E-4"/>
    <n v="-5.9652000000000004E-3"/>
    <n v="-7.9013E-3"/>
    <n v="5.33"/>
    <n v="7.224753405767971"/>
    <n v="8.864478187457939"/>
    <n v="2.1690537003695232"/>
    <n v="3.7325852863740039"/>
    <n v="-0.24059957200000001"/>
    <n v="0.131111541"/>
    <n v="-8.6158025299999993E-3"/>
    <n v="0.173633185"/>
    <n v="-2.4693211E-2"/>
  </r>
  <r>
    <x v="48"/>
    <x v="1"/>
    <x v="0"/>
    <n v="4.6406348154209978"/>
    <n v="4.5"/>
    <n v="5.3192272237761111"/>
    <n v="5.26"/>
    <n v="5.9039166625875579"/>
    <n v="4.6958240875894468"/>
    <n v="4.6331549345228549"/>
    <n v="4.6023762866836968"/>
    <n v="0"/>
    <n v="0.88004409999999766"/>
    <m/>
    <n v="0"/>
    <n v="-1.0376300000000001"/>
    <n v="-4.8386999999999996E-3"/>
    <n v="-4.8386999999999996E-3"/>
    <n v="0"/>
    <n v="-9.6773999999999992E-3"/>
    <n v="-1.93551E-2"/>
    <n v="5.05"/>
    <n v="-0.72929999999999995"/>
    <m/>
    <n v="0"/>
    <n v="0.75739339999999999"/>
    <n v="0"/>
    <n v="0"/>
    <n v="0"/>
    <n v="0"/>
    <n v="0"/>
    <n v="0"/>
    <n v="0"/>
    <n v="0"/>
    <n v="5.41"/>
    <n v="7.2186166243813235"/>
    <n v="8.8672019657357755"/>
    <n v="2.0302512974890643"/>
    <n v="3.741210959374019"/>
    <n v="0.21267883900000001"/>
    <n v="-9.7474437099999995E-3"/>
    <n v="-9.7479184499999996E-2"/>
    <n v="-0.38337026299999999"/>
    <n v="2.28206151E-2"/>
  </r>
  <r>
    <x v="48"/>
    <x v="2"/>
    <x v="0"/>
    <n v="4.6420564456546991"/>
    <n v="4.4000000000000004"/>
    <n v="5.3244138712693108"/>
    <n v="5.26"/>
    <n v="5.9437438108965699"/>
    <n v="4.6979043233696736"/>
    <n v="4.6363878058054482"/>
    <n v="4.6020453086405668"/>
    <n v="0.15645319999999999"/>
    <n v="1.0364972999999977"/>
    <m/>
    <n v="-0.24209549999999999"/>
    <n v="-1.279725"/>
    <n v="0"/>
    <n v="-5.326E-3"/>
    <n v="-3.3709500000000003E-2"/>
    <n v="-4.0806500000000002E-2"/>
    <n v="-4.0806500000000002E-2"/>
    <n v="4.92"/>
    <n v="-0.47989999999999999"/>
    <m/>
    <n v="-7.8233E-3"/>
    <n v="0.74957010000000002"/>
    <n v="-7.8233E-3"/>
    <n v="0"/>
    <n v="0"/>
    <n v="-1.5010000000000001E-2"/>
    <n v="-9.5000000000000001E-2"/>
    <n v="9.7228999999999996E-3"/>
    <n v="-2.2257599999999999E-2"/>
    <n v="-8.9232599999999995E-2"/>
    <n v="5.3"/>
    <n v="7.2209588886639953"/>
    <n v="8.8724311033188492"/>
    <n v="2.0060640718750604"/>
    <n v="3.7350232626281676"/>
    <n v="-0.121260505"/>
    <n v="0.15383970599999999"/>
    <n v="8.16681395E-2"/>
    <n v="0.10416288999999999"/>
    <n v="-0.124668001"/>
  </r>
  <r>
    <x v="48"/>
    <x v="3"/>
    <x v="1"/>
    <n v="4.6493076382990655"/>
    <n v="4.5"/>
    <n v="5.3274100407513094"/>
    <n v="5.25"/>
    <n v="5.963322241161702"/>
    <n v="4.7035936961641838"/>
    <n v="4.6337284878960521"/>
    <n v="4.605080181937848"/>
    <n v="0"/>
    <n v="1.0364972999999977"/>
    <m/>
    <n v="0"/>
    <n v="-1.279725"/>
    <n v="0"/>
    <n v="-9.6837999999999994E-3"/>
    <n v="-6.1290299999999999E-2"/>
    <n v="-7.4193499999999996E-2"/>
    <n v="-7.4193499999999996E-2"/>
    <n v="4.93"/>
    <n v="-0.4793"/>
    <m/>
    <n v="0"/>
    <n v="0.74957010000000002"/>
    <n v="0"/>
    <n v="0"/>
    <n v="0"/>
    <n v="0"/>
    <n v="0"/>
    <n v="0"/>
    <n v="0"/>
    <n v="0"/>
    <n v="5.29"/>
    <n v="7.2274446100688978"/>
    <n v="8.8806967670884802"/>
    <n v="2.1411244268674201"/>
    <n v="3.7435570154046318"/>
    <n v="-7.6306629900000006E-2"/>
    <n v="0.22546263699999999"/>
    <n v="6.0985223E-3"/>
    <n v="0.18350655399999999"/>
    <n v="0.19430298100000001"/>
  </r>
  <r>
    <x v="48"/>
    <x v="4"/>
    <x v="1"/>
    <n v="4.6497993241312958"/>
    <n v="4.4000000000000004"/>
    <n v="5.3315345174082331"/>
    <n v="5.25"/>
    <n v="5.9834071734802485"/>
    <n v="4.7214231628123411"/>
    <n v="4.6333980057779591"/>
    <n v="4.6036189834953545"/>
    <n v="-1.25519E-2"/>
    <n v="1.0239453999999977"/>
    <m/>
    <n v="0.28910029999999998"/>
    <n v="-0.99062490000000003"/>
    <n v="-5.2230000000000002E-3"/>
    <n v="3.7096E-3"/>
    <n v="2.59676E-2"/>
    <n v="4.0806500000000002E-2"/>
    <n v="4.4516300000000002E-2"/>
    <n v="4.91"/>
    <n v="-0.73450000000000004"/>
    <m/>
    <n v="-3.9509799999999998E-2"/>
    <n v="0.71006029999999998"/>
    <n v="-3.9509799999999998E-2"/>
    <n v="-7.0400000000000003E-3"/>
    <n v="-5.0000000000000001E-3"/>
    <n v="5.0000000000000001E-3"/>
    <n v="3.5000000000000003E-2"/>
    <n v="-7.0770000000000002E-4"/>
    <n v="4.6154000000000004E-3"/>
    <n v="3.5162800000000001E-2"/>
    <n v="5.28"/>
    <n v="7.2297663117575084"/>
    <n v="8.8840006278335242"/>
    <n v="2.2113466125597747"/>
    <n v="3.7689836983555978"/>
    <n v="-6.9294341100000004E-2"/>
    <n v="9.0110208600000005E-2"/>
    <n v="7.3057619300000001E-2"/>
    <n v="6.4538984800000004E-2"/>
    <n v="9.1913253299999997E-2"/>
  </r>
  <r>
    <x v="48"/>
    <x v="5"/>
    <x v="1"/>
    <n v="4.649689337592581"/>
    <n v="4.5999999999999996"/>
    <n v="5.3338485895876921"/>
    <n v="5.25"/>
    <n v="6.0040845784640844"/>
    <n v="4.7097283798718648"/>
    <n v="4.6327075289811797"/>
    <n v="4.6051701859880918"/>
    <n v="-7.20803E-2"/>
    <n v="0.95186509999999769"/>
    <m/>
    <n v="0.346335"/>
    <n v="-0.64429000000000003"/>
    <n v="-1.8167000000000001E-3"/>
    <n v="1.2903000000000001E-3"/>
    <n v="9.5321999999999994E-3"/>
    <n v="1.56934E-2"/>
    <n v="1.7983900000000001E-2"/>
    <n v="4.96"/>
    <n v="-0.49370000000000003"/>
    <m/>
    <n v="-0.1098971"/>
    <n v="0.60016320000000001"/>
    <n v="-0.1098971"/>
    <n v="0"/>
    <n v="0"/>
    <n v="0"/>
    <n v="5.0000000000000001E-3"/>
    <n v="-1.00903E-2"/>
    <n v="-1.32263E-2"/>
    <n v="-8.3868999999999992E-3"/>
    <n v="5.31"/>
    <n v="7.2189097076190603"/>
    <n v="8.8885636257535729"/>
    <n v="2.1674524190025495"/>
    <n v="3.7843487121737356"/>
    <n v="3.3026288299999999E-3"/>
    <n v="0.18266000700000001"/>
    <n v="2.8987089800000001E-2"/>
    <n v="7.0622354300000001E-3"/>
    <n v="0.205075374"/>
  </r>
  <r>
    <x v="48"/>
    <x v="6"/>
    <x v="2"/>
    <n v="4.6496099484869244"/>
    <n v="4.7"/>
    <n v="5.3356276020543731"/>
    <n v="5.26"/>
    <n v="6.0178873693390864"/>
    <n v="4.7101246192056028"/>
    <n v="4.638363153343855"/>
    <n v="4.6065891787415056"/>
    <n v="0"/>
    <n v="0.95186509999999769"/>
    <m/>
    <n v="0"/>
    <n v="-0.64429000000000003"/>
    <n v="0"/>
    <n v="0"/>
    <n v="4.5002000000000002E-3"/>
    <n v="1.35E-2"/>
    <n v="2.24998E-2"/>
    <n v="4.96"/>
    <n v="-7.9600000000000004E-2"/>
    <m/>
    <n v="0"/>
    <n v="0.60016320000000001"/>
    <n v="0"/>
    <n v="0"/>
    <n v="0"/>
    <n v="0"/>
    <n v="0"/>
    <n v="0"/>
    <n v="0"/>
    <n v="0"/>
    <n v="5.28"/>
    <n v="7.2216166632172207"/>
    <n v="8.892501451822648"/>
    <n v="2.115773470927226"/>
    <n v="3.7449761934658063"/>
    <n v="2.4075676899999999E-2"/>
    <n v="1.46884454E-2"/>
    <n v="6.5410567599999997E-2"/>
    <n v="-0.179602502"/>
    <n v="8.4231981999999997E-2"/>
  </r>
  <r>
    <x v="48"/>
    <x v="7"/>
    <x v="2"/>
    <n v="4.6513025355811228"/>
    <n v="4.5999999999999996"/>
    <n v="5.3359358352544914"/>
    <n v="5.0199999999999996"/>
    <n v="6.006279265245996"/>
    <n v="4.722899886888869"/>
    <n v="4.6322793884667091"/>
    <n v="4.6114007357387274"/>
    <n v="2.4510400000000002E-2"/>
    <n v="0.97637549999999773"/>
    <m/>
    <n v="1.341016"/>
    <n v="0.69672619999999996"/>
    <n v="5.2097000000000003E-3"/>
    <n v="0"/>
    <n v="-1.2096900000000001E-2"/>
    <n v="-3.2258000000000002E-2"/>
    <n v="-4.0322499999999997E-2"/>
    <n v="4.47"/>
    <n v="8.72E-2"/>
    <m/>
    <n v="0.1068538"/>
    <n v="0.70701700000000001"/>
    <n v="0.1068538"/>
    <n v="6.4599999999999996E-3"/>
    <n v="5.0000000000000001E-3"/>
    <n v="0"/>
    <n v="-1.4999999999999999E-2"/>
    <n v="2.5077599999999999E-2"/>
    <n v="2.8892500000000002E-2"/>
    <n v="7.6280000000000002E-3"/>
    <n v="4.96"/>
    <n v="7.2250446961865764"/>
    <n v="8.901529993904882"/>
    <n v="2.3898631011011062"/>
    <n v="3.7983390570226807"/>
    <n v="0.118096402"/>
    <n v="1.04485663E-2"/>
    <n v="-2.25976523E-2"/>
    <n v="6.9267133199999997E-3"/>
    <n v="0.146206894"/>
  </r>
  <r>
    <x v="48"/>
    <x v="8"/>
    <x v="2"/>
    <n v="4.6548513816424686"/>
    <n v="4.7"/>
    <n v="5.34016443549993"/>
    <n v="4.9400000000000004"/>
    <n v="6.0184958861590125"/>
    <n v="4.7348115221444891"/>
    <n v="4.6332716160989662"/>
    <n v="4.6087238641873887"/>
    <n v="-0.59515879999999999"/>
    <n v="0.38121669999999774"/>
    <m/>
    <n v="-2.931006"/>
    <n v="-2.23428"/>
    <n v="-8.5416300000000001E-2"/>
    <n v="-7.3666800000000005E-2"/>
    <n v="-8.3069799999999999E-2"/>
    <n v="-8.1408700000000001E-2"/>
    <n v="-7.6843999999999996E-2"/>
    <n v="4.1399999999999997"/>
    <n v="3.2000000000000002E-3"/>
    <m/>
    <n v="-0.48466300000000001"/>
    <n v="0.222354"/>
    <n v="-0.48466300000000001"/>
    <n v="-0.2"/>
    <n v="-0.08"/>
    <n v="-0.17"/>
    <n v="-0.185"/>
    <n v="-7.3133599999999993E-2"/>
    <n v="-0.14813689999999999"/>
    <n v="-0.16917360000000001"/>
    <n v="4.58"/>
    <n v="7.224971881536236"/>
    <n v="8.905010149674025"/>
    <n v="2.1665362485307695"/>
    <n v="3.7321065540480358"/>
    <n v="0.37127349999999998"/>
    <n v="-0.24988096200000001"/>
    <n v="-0.28129612399999998"/>
    <n v="-0.14670544799999999"/>
    <n v="2.0436343400000001E-2"/>
  </r>
  <r>
    <x v="48"/>
    <x v="9"/>
    <x v="3"/>
    <n v="4.6495410757235884"/>
    <n v="4.7"/>
    <n v="5.3432429299010291"/>
    <n v="4.76"/>
    <n v="6.0261316390162838"/>
    <n v="4.7326306879907811"/>
    <n v="4.6303309816465914"/>
    <n v="4.6082952977355891"/>
    <n v="-0.32200030000000002"/>
    <n v="5.9216399999997726E-2"/>
    <m/>
    <n v="1.1777150000000001"/>
    <n v="-1.056565"/>
    <n v="-0.11413959999999999"/>
    <n v="-9.5365500000000006E-2"/>
    <n v="-0.10257529999999999"/>
    <n v="-9.3429999999999999E-2"/>
    <n v="-8.4607600000000005E-2"/>
    <n v="4.0999999999999996"/>
    <n v="-7.6499999999999999E-2"/>
    <m/>
    <n v="-0.26173960000000002"/>
    <n v="-3.9385600000000021E-2"/>
    <n v="-0.26173960000000002"/>
    <n v="-2.4989999999999998E-2"/>
    <n v="-5.0000000000000001E-3"/>
    <n v="0.03"/>
    <n v="7.0000000000000007E-2"/>
    <n v="3.8739999999999998E-4"/>
    <n v="3.4177199999999998E-2"/>
    <n v="8.6246500000000004E-2"/>
    <n v="4.5999999999999996"/>
    <n v="7.2282433031590951"/>
    <n v="8.9068676136180773"/>
    <n v="2.1132389212631266"/>
    <n v="3.7555563123782165"/>
    <n v="7.2245051300000002E-2"/>
    <n v="0.19878900799999999"/>
    <n v="2.5603199900000002E-2"/>
    <n v="0.195038563"/>
    <n v="7.2774223700000001E-2"/>
  </r>
  <r>
    <x v="48"/>
    <x v="10"/>
    <x v="3"/>
    <n v="4.6554649319921051"/>
    <n v="4.7"/>
    <n v="5.3510710939839026"/>
    <n v="4.49"/>
    <n v="6.0229389890677263"/>
    <n v="4.7282989079692266"/>
    <n v="4.6348454862978414"/>
    <n v="4.6114802356841134"/>
    <n v="0"/>
    <n v="5.9216399999997726E-2"/>
    <m/>
    <n v="0"/>
    <n v="-1.056565"/>
    <n v="-2.4184000000000001E-2"/>
    <n v="2.9032200000000001E-2"/>
    <n v="6.7741899999999994E-2"/>
    <n v="8.7096900000000005E-2"/>
    <n v="9.6774100000000002E-2"/>
    <n v="3.5"/>
    <n v="0.22239999999999999"/>
    <m/>
    <n v="0"/>
    <n v="-3.9385600000000021E-2"/>
    <n v="0"/>
    <n v="0"/>
    <n v="0"/>
    <n v="0"/>
    <n v="0"/>
    <n v="0"/>
    <n v="0"/>
    <n v="0"/>
    <n v="4.66"/>
    <n v="7.2256270225969752"/>
    <n v="8.9113007122836159"/>
    <n v="2.1397131600214041"/>
    <n v="3.7572387916272794"/>
    <n v="0.23701241300000001"/>
    <n v="0.26150269599999998"/>
    <n v="1.51760201E-2"/>
    <n v="5.62059024E-2"/>
    <n v="0.34447716"/>
  </r>
  <r>
    <x v="48"/>
    <x v="11"/>
    <x v="3"/>
    <n v="4.655218605840771"/>
    <n v="5"/>
    <n v="5.3539649173868513"/>
    <n v="4.24"/>
    <n v="6.0255760767367494"/>
    <n v="4.7188738010001678"/>
    <n v="4.636368420325172"/>
    <n v="4.6115100465342707"/>
    <n v="-5.9216199999999997E-2"/>
    <n v="1.9999999772979393E-7"/>
    <m/>
    <n v="-1.14091E-2"/>
    <n v="-1.067974"/>
    <n v="2.1006799999999999E-2"/>
    <n v="2.0322799999999999E-2"/>
    <n v="8.4677500000000003E-2"/>
    <n v="1.01612E-2"/>
    <n v="-4.0645100000000003E-2"/>
    <n v="3.26"/>
    <n v="0.39400000000000002"/>
    <m/>
    <n v="3.9384799999999998E-2"/>
    <n v="-8.0000000002300453E-7"/>
    <n v="3.9384799999999998E-2"/>
    <n v="3.1009999999999999E-2"/>
    <n v="0.02"/>
    <n v="0.03"/>
    <n v="0.125"/>
    <n v="7.3968900000000004E-2"/>
    <n v="9.7631200000000001E-2"/>
    <n v="0.16000510000000001"/>
    <n v="3.06"/>
    <n v="7.2273719699642633"/>
    <n v="8.9158082245743202"/>
    <n v="2.0916171176099696"/>
    <n v="3.3215046127529071"/>
    <n v="-5.2093436799999997E-2"/>
    <n v="0.50367839800000003"/>
    <n v="2.64409348E-2"/>
    <n v="0.47704155100000001"/>
    <n v="0.127867122"/>
  </r>
  <r>
    <x v="49"/>
    <x v="0"/>
    <x v="0"/>
    <n v="4.6526213588705732"/>
    <n v="5"/>
    <n v="5.3574066927540249"/>
    <n v="3.94"/>
    <n v="6.0385866541767168"/>
    <n v="4.7086469284588093"/>
    <n v="4.631101056011441"/>
    <n v="4.6136243486346489"/>
    <m/>
    <m/>
    <m/>
    <n v="-1.511857"/>
    <n v="-2.579831"/>
    <n v="-0.1474192"/>
    <n v="-3.9032200000000003E-2"/>
    <n v="6.4519999999999996E-4"/>
    <n v="-1.7419299999999999E-2"/>
    <n v="-2.9032200000000001E-2"/>
    <n v="2.71"/>
    <n v="0.68620000000000003"/>
    <m/>
    <m/>
    <m/>
    <m/>
    <m/>
    <m/>
    <m/>
    <m/>
    <m/>
    <m/>
    <m/>
    <n v="3.22"/>
    <n v="7.2294039009971911"/>
    <n v="8.9196002952584799"/>
    <n v="2.1592919231675691"/>
    <m/>
    <n v="0.24129382799999999"/>
    <n v="4.8275023299999997E-2"/>
    <n v="-5.84858163E-2"/>
    <n v="-0.16442094300000001"/>
    <n v="-3.1112400700000001E-2"/>
  </r>
  <r>
    <x v="49"/>
    <x v="1"/>
    <x v="0"/>
    <n v="4.6500728034303309"/>
    <n v="4.9000000000000004"/>
    <n v="5.359821601391479"/>
    <n v="2.98"/>
    <n v="6.0969950483174458"/>
    <n v="4.6929246201756643"/>
    <n v="4.6199011505880856"/>
    <n v="4.6158034519048448"/>
    <m/>
    <m/>
    <m/>
    <n v="0"/>
    <n v="-2.579831"/>
    <n v="-0.4225874"/>
    <n v="-0.20629049999999999"/>
    <n v="-0.17532249999999999"/>
    <n v="-0.1227419"/>
    <n v="-8.0322500000000005E-2"/>
    <n v="2.0499999999999998"/>
    <n v="0.85809999999999997"/>
    <m/>
    <m/>
    <m/>
    <m/>
    <m/>
    <m/>
    <m/>
    <m/>
    <m/>
    <m/>
    <m/>
    <n v="3.01"/>
    <n v="7.2317210635111646"/>
    <n v="8.9313801533362707"/>
    <n v="2.1215427176984711"/>
    <m/>
    <m/>
    <m/>
    <m/>
    <m/>
    <m/>
  </r>
  <r>
    <x v="49"/>
    <x v="2"/>
    <x v="0"/>
    <n v="4.6472608154506325"/>
    <n v="5.0999999999999996"/>
    <n v="5.3633932432842242"/>
    <n v="2.61"/>
    <n v="6.1304653303097636"/>
    <n v="4.6913478822291435"/>
    <n v="4.6340199990921462"/>
    <n v="4.6139316916566644"/>
    <m/>
    <m/>
    <m/>
    <n v="3.8305959999999999"/>
    <n v="1.250766"/>
    <n v="4.3079399999999997E-2"/>
    <n v="3.3870900000000002E-2"/>
    <n v="1.12903E-2"/>
    <n v="4.5161000000000003E-3"/>
    <n v="2.2580999999999999E-3"/>
    <n v="1.54"/>
    <n v="1.0992"/>
    <m/>
    <m/>
    <m/>
    <m/>
    <m/>
    <m/>
    <m/>
    <m/>
    <m/>
    <m/>
    <m/>
    <n v="2.5099999999999998"/>
    <n v="7.2374186736740196"/>
    <n v="8.9405506065882019"/>
    <n v="2.2910184566225804"/>
    <m/>
    <m/>
    <m/>
    <m/>
    <m/>
    <m/>
  </r>
  <r>
    <x v="49"/>
    <x v="3"/>
    <x v="1"/>
    <n v="4.6398614257780215"/>
    <n v="5"/>
    <n v="5.3657049502497323"/>
    <n v="2.2799999999999998"/>
    <n v="6.1356514674204794"/>
    <n v="4.6930528499636193"/>
    <n v="4.6359224505273859"/>
    <n v="4.6154768889767306"/>
    <m/>
    <m/>
    <m/>
    <n v="-0.90011719999999995"/>
    <n v="0.35064859999999998"/>
    <n v="5.0143699999999999E-2"/>
    <n v="3.86291E-2"/>
    <n v="1.0876200000000001E-2"/>
    <n v="2.8172000000000002E-3"/>
    <n v="9.0839999999999996E-4"/>
    <n v="1.74"/>
    <n v="0.5988"/>
    <m/>
    <m/>
    <m/>
    <m/>
    <m/>
    <m/>
    <m/>
    <m/>
    <m/>
    <m/>
    <m/>
    <n v="2.37"/>
    <n v="7.2366992491825588"/>
    <n v="8.9439239084285056"/>
    <n v="2.2773698438529819"/>
    <m/>
    <m/>
    <m/>
    <m/>
    <m/>
    <m/>
  </r>
  <r>
    <x v="49"/>
    <x v="4"/>
    <x v="1"/>
    <n v="4.6352327448181221"/>
    <n v="5.4"/>
    <n v="5.3716050023178559"/>
    <n v="1.98"/>
    <n v="6.1460722653344204"/>
    <n v="4.6995890596061347"/>
    <n v="4.6359030560237882"/>
    <n v="4.6150611091360627"/>
    <m/>
    <m/>
    <m/>
    <n v="0"/>
    <n v="0.35064859999999998"/>
    <n v="-6.2833299999999995E-2"/>
    <n v="-7.2499999999999995E-2"/>
    <n v="-8.2166400000000001E-2"/>
    <n v="-7.7333200000000005E-2"/>
    <n v="-5.3166400000000003E-2"/>
    <n v="2.06"/>
    <n v="0.63260000000000005"/>
    <m/>
    <m/>
    <m/>
    <m/>
    <m/>
    <m/>
    <m/>
    <m/>
    <m/>
    <m/>
    <m/>
    <n v="1.98"/>
    <n v="7.2384968408943653"/>
    <n v="8.9469605920473665"/>
    <n v="2.3836119316364188"/>
    <m/>
    <m/>
    <m/>
    <m/>
    <m/>
    <m/>
  </r>
  <r>
    <x v="49"/>
    <x v="5"/>
    <x v="1"/>
    <n v="4.6332482808728859"/>
    <n v="5.6"/>
    <n v="5.382028721115022"/>
    <n v="2"/>
    <n v="6.1425319069573119"/>
    <n v="4.6909900200389698"/>
    <n v="4.6341948650287073"/>
    <n v="4.6150314039599332"/>
    <m/>
    <m/>
    <m/>
    <n v="-0.3506476"/>
    <n v="1.04E-6"/>
    <n v="-1.9999000000000002E-3"/>
    <n v="3.0000000000000001E-3"/>
    <n v="-6.0000000000000001E-3"/>
    <n v="-3.9998999999999998E-3"/>
    <n v="-3.0000000000000001E-3"/>
    <n v="2.42"/>
    <n v="0.70979999999999999"/>
    <m/>
    <m/>
    <m/>
    <m/>
    <m/>
    <m/>
    <m/>
    <m/>
    <m/>
    <m/>
    <m/>
    <n v="2.4700000000000002"/>
    <n v="7.2440846482554395"/>
    <n v="8.9491054695392496"/>
    <n v="2.3172766417370356"/>
    <m/>
    <m/>
    <m/>
    <m/>
    <m/>
    <m/>
  </r>
  <r>
    <x v="49"/>
    <x v="6"/>
    <x v="2"/>
    <n v="4.6280005779165085"/>
    <n v="5.8"/>
    <n v="5.3891447865085267"/>
    <n v="2.0099999999999998"/>
    <n v="6.1446147266016569"/>
    <n v="4.6658324541547174"/>
    <n v="4.6292479754671207"/>
    <n v="4.6147541130899388"/>
    <m/>
    <m/>
    <m/>
    <m/>
    <m/>
    <n v="-7.9999000000000008E-3"/>
    <n v="1.20001E-2"/>
    <n v="-2.4000199999999999E-2"/>
    <n v="-1.6E-2"/>
    <n v="-1.20001E-2"/>
    <n v="2.2799999999999998"/>
    <n v="1.0610999999999999"/>
    <m/>
    <m/>
    <m/>
    <m/>
    <m/>
    <m/>
    <m/>
    <m/>
    <m/>
    <m/>
    <m/>
    <n v="2.09"/>
    <n v="7.2568616534209172"/>
    <n v="8.9549318600746979"/>
    <n v="2.3523271848888596"/>
    <m/>
    <m/>
    <m/>
    <m/>
    <m/>
    <m/>
  </r>
  <r>
    <x v="49"/>
    <x v="7"/>
    <x v="2"/>
    <n v="4.6129716750801695"/>
    <n v="6.1"/>
    <n v="5.3876552019002313"/>
    <n v="2"/>
    <n v="6.0999601432612804"/>
    <n v="4.6820386302446684"/>
    <n v="4.6262465115900078"/>
    <n v="4.6127513760084042"/>
    <m/>
    <m/>
    <m/>
    <m/>
    <m/>
    <n v="-2.5958999999999999E-3"/>
    <n v="-2.6128999999999999E-2"/>
    <n v="-2.1774100000000001E-2"/>
    <n v="-2.17743E-2"/>
    <n v="-3.0484000000000001E-2"/>
    <n v="2.1800000000000002"/>
    <n v="1.157"/>
    <m/>
    <m/>
    <m/>
    <m/>
    <m/>
    <m/>
    <m/>
    <m/>
    <m/>
    <m/>
    <m/>
    <n v="1.94"/>
    <n v="7.2470805845857562"/>
    <n v="8.9553319865716361"/>
    <n v="2.3469846802907304"/>
    <m/>
    <m/>
    <m/>
    <m/>
    <m/>
    <m/>
  </r>
  <r>
    <x v="49"/>
    <x v="8"/>
    <x v="2"/>
    <n v="4.5693585353722987"/>
    <n v="6.1"/>
    <n v="5.3885099281999045"/>
    <n v="1.81"/>
    <n v="6.0519950468480141"/>
    <n v="4.6419937976185741"/>
    <n v="4.6105755506466419"/>
    <n v="4.6147442084223647"/>
    <m/>
    <m/>
    <m/>
    <m/>
    <m/>
    <n v="5.3180699999999997E-2"/>
    <n v="5.6128999999999998E-2"/>
    <n v="3.9274200000000002E-2"/>
    <n v="2.92742E-2"/>
    <n v="1.54839E-2"/>
    <n v="1.91"/>
    <n v="1.4974000000000001"/>
    <m/>
    <m/>
    <m/>
    <m/>
    <m/>
    <m/>
    <m/>
    <m/>
    <m/>
    <m/>
    <m/>
    <n v="2.0299999999999998"/>
    <n v="7.2858491902941696"/>
    <n v="8.9653984532005602"/>
    <n v="4.2123349837799484"/>
    <m/>
    <m/>
    <m/>
    <m/>
    <m/>
    <m/>
  </r>
  <r>
    <x v="49"/>
    <x v="9"/>
    <x v="3"/>
    <n v="4.5784637219594559"/>
    <n v="6.5"/>
    <n v="5.3798743118003465"/>
    <n v="0.97"/>
    <n v="5.9142594761990104"/>
    <n v="4.5972892125372153"/>
    <n v="4.6117584357316117"/>
    <n v="4.61463525060379"/>
    <m/>
    <m/>
    <m/>
    <m/>
    <m/>
    <n v="-4.3731699999999998E-2"/>
    <n v="4.7427200000000003E-2"/>
    <n v="2.2177499999999999E-2"/>
    <n v="1.3145199999999999E-2"/>
    <n v="6.9356000000000001E-3"/>
    <n v="1.42"/>
    <n v="2.9638"/>
    <m/>
    <m/>
    <m/>
    <m/>
    <m/>
    <m/>
    <m/>
    <m/>
    <m/>
    <m/>
    <m/>
    <n v="0.22"/>
    <n v="7.2943772992888212"/>
    <n v="8.9790890412678088"/>
    <n v="5.6276858597960011"/>
    <m/>
    <m/>
    <m/>
    <m/>
    <m/>
    <m/>
  </r>
  <r>
    <x v="49"/>
    <x v="10"/>
    <x v="3"/>
    <n v="4.5658959514025641"/>
    <n v="6.8"/>
    <n v="5.3620102177075282"/>
    <n v="0.39"/>
    <n v="5.8011813806433334"/>
    <n v="4.5926724131581107"/>
    <n v="4.6075473582738429"/>
    <n v="4.6138523863709251"/>
    <m/>
    <m/>
    <m/>
    <m/>
    <m/>
    <n v="-5.9003399999999998E-2"/>
    <n v="-4.74172E-2"/>
    <n v="-4.9677600000000002E-2"/>
    <n v="-7.5645199999999996E-2"/>
    <n v="-8.6935499999999999E-2"/>
    <n v="1.07"/>
    <n v="2.0017999999999998"/>
    <m/>
    <m/>
    <m/>
    <m/>
    <m/>
    <m/>
    <m/>
    <m/>
    <m/>
    <m/>
    <m/>
    <n v="0.52"/>
    <n v="7.3254124278556638"/>
    <n v="8.9863839904049474"/>
    <n v="6.3475240517027665"/>
    <m/>
    <m/>
    <m/>
    <m/>
    <m/>
    <m/>
  </r>
  <r>
    <x v="49"/>
    <x v="11"/>
    <x v="3"/>
    <n v="4.5368420934866176"/>
    <n v="7.3"/>
    <n v="5.3537426126534466"/>
    <n v="0.16"/>
    <n v="5.7280522336289392"/>
    <n v="4.5764723130405462"/>
    <n v="4.6009211716986762"/>
    <n v="4.6102870723675533"/>
    <m/>
    <m/>
    <m/>
    <m/>
    <m/>
    <n v="-8.26683E-2"/>
    <n v="-9.5489000000000004E-2"/>
    <n v="-0.1522579"/>
    <n v="-0.15741939999999999"/>
    <n v="-0.15741939999999999"/>
    <n v="0.49"/>
    <n v="2.2480000000000002"/>
    <m/>
    <m/>
    <m/>
    <m/>
    <m/>
    <m/>
    <m/>
    <m/>
    <m/>
    <m/>
    <m/>
    <n v="0.14000000000000001"/>
    <n v="7.3821865915550244"/>
    <n v="9.0087136641242225"/>
    <n v="6.6639382462883807"/>
    <n v="5.1157217722092234"/>
    <m/>
    <m/>
    <m/>
    <m/>
    <m/>
  </r>
  <r>
    <x v="50"/>
    <x v="0"/>
    <x v="0"/>
    <n v="4.5133037696177185"/>
    <n v="7.8"/>
    <n v="5.3562701869857134"/>
    <n v="0.15"/>
    <n v="5.7759170724154005"/>
    <n v="4.6070084952617316"/>
    <n v="4.6073677695315789"/>
    <n v="4.6098193618022023"/>
    <m/>
    <m/>
    <m/>
    <m/>
    <m/>
    <n v="-7.6856599999999997E-2"/>
    <n v="-8.95209E-2"/>
    <n v="-0.1440322"/>
    <n v="-0.14951610000000001"/>
    <n v="-0.14951610000000001"/>
    <n v="0.44"/>
    <n v="2.1840999999999999"/>
    <m/>
    <m/>
    <m/>
    <m/>
    <m/>
    <m/>
    <m/>
    <m/>
    <m/>
    <m/>
    <m/>
    <n v="0.61117911903324895"/>
    <n v="7.3687181635757231"/>
    <n v="9.0177745211261104"/>
    <n v="6.7101198612891437"/>
    <n v="5.6832157555161853"/>
    <m/>
    <m/>
    <m/>
    <m/>
    <m/>
  </r>
  <r>
    <x v="50"/>
    <x v="1"/>
    <x v="0"/>
    <n v="4.5068636215035847"/>
    <n v="8.3000000000000007"/>
    <n v="5.3599062292171586"/>
    <n v="0.22"/>
    <n v="5.7563749247753719"/>
    <n v="4.5884206931299758"/>
    <n v="4.6106948966307915"/>
    <n v="4.6058799340573318"/>
    <m/>
    <m/>
    <m/>
    <m/>
    <m/>
    <n v="4.3550000000000004E-3"/>
    <n v="0"/>
    <n v="-8.7097000000000008E-3"/>
    <n v="-1.30644E-2"/>
    <n v="-1.30644E-2"/>
    <n v="0.62"/>
    <n v="2.6105999999999998"/>
    <m/>
    <m/>
    <m/>
    <m/>
    <m/>
    <m/>
    <m/>
    <m/>
    <m/>
    <m/>
    <m/>
    <n v="0.87610253071273014"/>
    <n v="7.3589582787641552"/>
    <n v="9.021839764105513"/>
    <n v="6.495555544097857"/>
    <n v="4.7688948882496227"/>
    <m/>
    <m/>
    <m/>
    <m/>
    <m/>
  </r>
  <r>
    <x v="50"/>
    <x v="2"/>
    <x v="0"/>
    <n v="4.4912755805785105"/>
    <n v="8.6999999999999993"/>
    <n v="5.3589184586758858"/>
    <n v="0.18"/>
    <n v="5.7421053489753602"/>
    <n v="4.5764105643166664"/>
    <n v="4.604369865817322"/>
    <n v="4.6061097444647574"/>
    <m/>
    <m/>
    <m/>
    <m/>
    <m/>
    <n v="0"/>
    <n v="-4.5161000000000003E-3"/>
    <n v="-2.7097E-2"/>
    <n v="-2.7096700000000001E-2"/>
    <n v="-2.4838699999999998E-2"/>
    <n v="0.64"/>
    <n v="2.1473"/>
    <m/>
    <m/>
    <m/>
    <m/>
    <m/>
    <m/>
    <m/>
    <m/>
    <m/>
    <m/>
    <m/>
    <n v="0.7502451931884262"/>
    <n v="7.3658128372094724"/>
    <n v="9.0301006466664973"/>
    <n v="6.6080276154851552"/>
    <n v="5.1197886079927786"/>
    <m/>
    <m/>
    <m/>
    <m/>
    <m/>
  </r>
  <r>
    <x v="50"/>
    <x v="3"/>
    <x v="1"/>
    <n v="4.4828409570372152"/>
    <n v="9"/>
    <n v="5.3599250344280831"/>
    <n v="0.15"/>
    <n v="5.8062788926993774"/>
    <n v="4.568153442308815"/>
    <n v="4.6028073967989025"/>
    <n v="4.605500131550067"/>
    <m/>
    <m/>
    <m/>
    <m/>
    <m/>
    <n v="3.3330000000000002E-4"/>
    <n v="-5.1507999999999996E-3"/>
    <n v="-3.2236599999999997E-2"/>
    <n v="-3.1570000000000001E-2"/>
    <n v="-2.7827999999999999E-2"/>
    <n v="0.55000000000000004"/>
    <n v="1.9360999999999999"/>
    <m/>
    <m/>
    <m/>
    <m/>
    <m/>
    <m/>
    <m/>
    <m/>
    <m/>
    <m/>
    <m/>
    <n v="0.42662848872593662"/>
    <n v="7.3836167177120329"/>
    <n v="9.0282787813880852"/>
    <n v="6.7387778914116563"/>
    <n v="5.7766890110892612"/>
    <m/>
    <m/>
    <m/>
    <m/>
    <m/>
  </r>
  <r>
    <x v="50"/>
    <x v="4"/>
    <x v="1"/>
    <n v="4.4725652212395701"/>
    <n v="9.4"/>
    <n v="5.3613954467607305"/>
    <n v="0.18"/>
    <n v="5.8631196811707591"/>
    <n v="4.5889086815092703"/>
    <n v="4.6026369801297351"/>
    <n v="4.6031281023538666"/>
    <m/>
    <m/>
    <m/>
    <m/>
    <m/>
    <n v="4.6667999999999996E-3"/>
    <n v="4.6667999999999996E-3"/>
    <n v="9.3335999999999992E-3"/>
    <n v="1.8666700000000001E-2"/>
    <n v="3.26667E-2"/>
    <n v="0.5"/>
    <n v="0.99109999999999998"/>
    <m/>
    <m/>
    <m/>
    <m/>
    <m/>
    <m/>
    <m/>
    <m/>
    <m/>
    <m/>
    <m/>
    <n v="0.20663905219726075"/>
    <n v="7.3870902356567569"/>
    <n v="9.0365344539904324"/>
    <n v="6.7630901355391844"/>
    <n v="5.9290278156621934"/>
    <m/>
    <m/>
    <m/>
    <m/>
    <m/>
  </r>
  <r>
    <x v="50"/>
    <x v="5"/>
    <x v="1"/>
    <n v="4.4683648684868036"/>
    <n v="9.5"/>
    <n v="5.3696608066161717"/>
    <n v="0.21"/>
    <n v="5.9024420582788455"/>
    <n v="4.5967649608440739"/>
    <n v="4.5951804543587231"/>
    <n v="4.6027973730928382"/>
    <m/>
    <m/>
    <m/>
    <m/>
    <m/>
    <n v="0"/>
    <n v="0"/>
    <n v="8.1668000000000001E-3"/>
    <n v="1.28334E-2"/>
    <n v="1.8666700000000001E-2"/>
    <n v="0.51"/>
    <n v="0.6391"/>
    <m/>
    <m/>
    <m/>
    <m/>
    <m/>
    <m/>
    <m/>
    <m/>
    <m/>
    <m/>
    <m/>
    <n v="2.1533672231777601E-2"/>
    <n v="7.4094997940119347"/>
    <n v="9.0376166086538703"/>
    <n v="6.6489534614586301"/>
    <n v="5.9164419260211947"/>
    <m/>
    <m/>
    <m/>
    <m/>
    <m/>
  </r>
  <r>
    <x v="50"/>
    <x v="6"/>
    <x v="2"/>
    <n v="4.4791998506753048"/>
    <n v="9.5"/>
    <n v="5.369362796761016"/>
    <n v="0.16"/>
    <n v="5.8970164955642668"/>
    <n v="4.6155560655405088"/>
    <n v="4.6000571366012686"/>
    <n v="4.6031581632271372"/>
    <m/>
    <m/>
    <m/>
    <m/>
    <m/>
    <n v="0"/>
    <n v="0"/>
    <n v="2.6833099999999999E-2"/>
    <n v="4.2166500000000003E-2"/>
    <n v="6.1333199999999997E-2"/>
    <n v="0.48"/>
    <n v="8.3400000000000002E-2"/>
    <m/>
    <m/>
    <m/>
    <m/>
    <m/>
    <m/>
    <m/>
    <m/>
    <m/>
    <m/>
    <m/>
    <n v="-0.11737757496031342"/>
    <n v="7.4141511056687417"/>
    <n v="9.0381750654266018"/>
    <n v="6.6318779225586111"/>
    <n v="6.0617599033266387"/>
    <m/>
    <m/>
    <m/>
    <m/>
    <m/>
  </r>
  <r>
    <x v="50"/>
    <x v="7"/>
    <x v="2"/>
    <n v="4.4899725552901675"/>
    <n v="9.6"/>
    <n v="5.3727056565518954"/>
    <n v="0.16"/>
    <n v="5.9429306001121267"/>
    <n v="4.6868884122729488"/>
    <n v="4.6056100892164764"/>
    <n v="4.6049801679358042"/>
    <m/>
    <m/>
    <m/>
    <m/>
    <m/>
    <n v="0"/>
    <n v="-3.2258E-3"/>
    <n v="-9.6773999999999992E-3"/>
    <n v="-1.29032E-2"/>
    <n v="-1.29032E-2"/>
    <n v="0.46"/>
    <n v="-0.22370000000000001"/>
    <m/>
    <m/>
    <m/>
    <m/>
    <m/>
    <m/>
    <m/>
    <m/>
    <m/>
    <m/>
    <m/>
    <n v="-0.28274269788677753"/>
    <n v="7.4124018516714125"/>
    <n v="9.0365582501996968"/>
    <n v="6.6729957729331382"/>
    <n v="6.209792522124288"/>
    <m/>
    <m/>
    <m/>
    <m/>
    <m/>
  </r>
  <r>
    <x v="50"/>
    <x v="8"/>
    <x v="2"/>
    <n v="4.4975214989060417"/>
    <n v="9.8000000000000007"/>
    <n v="5.3746346820187316"/>
    <n v="0.15"/>
    <n v="5.9367971457656736"/>
    <n v="4.5893049967985089"/>
    <n v="4.6061996559020528"/>
    <n v="4.6047500977633877"/>
    <m/>
    <m/>
    <m/>
    <m/>
    <m/>
    <n v="-1.3332000000000001E-3"/>
    <n v="-5.7742999999999996E-3"/>
    <n v="-3.06559E-2"/>
    <n v="-4.0430099999999997E-2"/>
    <n v="-4.3096799999999998E-2"/>
    <n v="0.4"/>
    <n v="-0.13669999999999999"/>
    <m/>
    <m/>
    <m/>
    <m/>
    <m/>
    <m/>
    <m/>
    <m/>
    <m/>
    <m/>
    <m/>
    <n v="-0.40604609377241019"/>
    <n v="7.4157168051334779"/>
    <n v="9.0376284939606606"/>
    <n v="6.7846900671641883"/>
    <n v="6.4221847112315729"/>
    <m/>
    <m/>
    <m/>
    <m/>
    <m/>
  </r>
  <r>
    <x v="50"/>
    <x v="9"/>
    <x v="3"/>
    <n v="4.5017311564262323"/>
    <n v="10"/>
    <n v="5.3776321170173169"/>
    <n v="0.12"/>
    <n v="5.9447135524185288"/>
    <n v="4.5977527446602293"/>
    <n v="4.6084049484980207"/>
    <n v="4.6055501138063768"/>
    <m/>
    <m/>
    <m/>
    <m/>
    <m/>
    <n v="-3.6668999999999998E-3"/>
    <n v="-1.09999E-2"/>
    <n v="-6.9666900000000004E-2"/>
    <n v="-9.1666700000000004E-2"/>
    <n v="-9.9000000000000005E-2"/>
    <n v="0.37"/>
    <n v="-0.34110000000000001"/>
    <m/>
    <m/>
    <m/>
    <m/>
    <m/>
    <m/>
    <m/>
    <m/>
    <m/>
    <m/>
    <m/>
    <n v="-0.47462960648832908"/>
    <n v="7.4237475326994868"/>
    <n v="9.0409389891083034"/>
    <n v="6.9253662907562363"/>
    <n v="6.6737138104966203"/>
    <m/>
    <m/>
    <m/>
    <m/>
    <m/>
  </r>
  <r>
    <x v="50"/>
    <x v="10"/>
    <x v="3"/>
    <n v="4.5045882347832391"/>
    <n v="9.9"/>
    <n v="5.3809751135622479"/>
    <n v="0.12"/>
    <n v="6.0000277777684703"/>
    <n v="4.6192308696364259"/>
    <n v="4.6061696863211745"/>
    <n v="4.6027973730928382"/>
    <m/>
    <m/>
    <m/>
    <m/>
    <m/>
    <n v="-5.1928E-3"/>
    <n v="-8.9910000000000007E-3"/>
    <n v="-1.34997E-2"/>
    <n v="-1.7999899999999999E-2"/>
    <n v="-3.1500100000000003E-2"/>
    <n v="0.31"/>
    <n v="-0.14149999999999999"/>
    <m/>
    <m/>
    <m/>
    <m/>
    <m/>
    <m/>
    <m/>
    <m/>
    <m/>
    <m/>
    <m/>
    <n v="-0.61039682775121573"/>
    <n v="7.4315958398256221"/>
    <n v="9.0455718552298094"/>
    <n v="7.0052866265296245"/>
    <n v="6.8281697168016757"/>
    <m/>
    <m/>
    <m/>
    <m/>
    <m/>
  </r>
  <r>
    <x v="50"/>
    <x v="11"/>
    <x v="3"/>
    <n v="4.5081216961980308"/>
    <n v="9.9"/>
    <n v="5.3814951547170455"/>
    <n v="0.12"/>
    <n v="6.0324865216309034"/>
    <n v="4.6223615638006681"/>
    <n v="4.6124138869239655"/>
    <n v="4.6075573344805898"/>
    <m/>
    <m/>
    <m/>
    <m/>
    <m/>
    <n v="-1.65772E-2"/>
    <n v="-3.5796000000000001E-3"/>
    <n v="-1.5001000000000001E-3"/>
    <n v="3.1611999999999999E-3"/>
    <n v="9.4032000000000004E-3"/>
    <n v="0.37"/>
    <n v="-0.56859999999999999"/>
    <m/>
    <m/>
    <m/>
    <m/>
    <m/>
    <m/>
    <m/>
    <m/>
    <m/>
    <m/>
    <m/>
    <n v="-0.15397760002744398"/>
    <n v="7.4374419103890466"/>
    <n v="9.0454775211692482"/>
    <n v="7.0029118106195503"/>
    <n v="6.8760117419445601"/>
    <m/>
    <m/>
    <m/>
    <m/>
    <m/>
  </r>
  <r>
    <x v="51"/>
    <x v="0"/>
    <x v="0"/>
    <n v="4.5197887526455771"/>
    <n v="9.8000000000000007"/>
    <n v="5.3821436765928921"/>
    <n v="0.11"/>
    <n v="6.059870579772042"/>
    <n v="4.6100781223406742"/>
    <n v="4.6134359304051236"/>
    <n v="4.6068387930886372"/>
    <m/>
    <m/>
    <m/>
    <m/>
    <m/>
    <n v="-1.5806199999999999E-2"/>
    <n v="-2.4195000000000002E-3"/>
    <n v="1.6130999999999999E-3"/>
    <n v="1.0484E-2"/>
    <n v="2.17743E-2"/>
    <n v="0.35"/>
    <n v="-0.22389999999999999"/>
    <m/>
    <m/>
    <m/>
    <m/>
    <m/>
    <m/>
    <m/>
    <m/>
    <m/>
    <m/>
    <m/>
    <n v="-0.44770033142614185"/>
    <n v="7.4248213903375824"/>
    <n v="9.0401805604412679"/>
    <n v="6.9760688531322197"/>
    <n v="6.8743908244232834"/>
    <m/>
    <m/>
    <m/>
    <m/>
    <m/>
  </r>
  <r>
    <x v="51"/>
    <x v="1"/>
    <x v="0"/>
    <n v="4.5228651712265444"/>
    <n v="9.8000000000000007"/>
    <n v="5.381191446716147"/>
    <n v="0.13"/>
    <n v="6.0335896921586292"/>
    <n v="4.6124535974343503"/>
    <n v="4.6180666677231113"/>
    <n v="4.6093813067595564"/>
    <m/>
    <m/>
    <m/>
    <m/>
    <m/>
    <n v="-4.1938000000000001E-3"/>
    <n v="0"/>
    <n v="8.3870999999999998E-3"/>
    <n v="2.93548E-2"/>
    <n v="5.0322499999999999E-2"/>
    <n v="0.35"/>
    <n v="4.2500000000000003E-2"/>
    <m/>
    <m/>
    <m/>
    <m/>
    <m/>
    <m/>
    <m/>
    <m/>
    <m/>
    <m/>
    <m/>
    <n v="-0.5446879080275826"/>
    <n v="7.4399117734499569"/>
    <n v="9.0463144251450611"/>
    <n v="7.0764468683562036"/>
    <n v="7.0152464232379668"/>
    <m/>
    <m/>
    <m/>
    <m/>
    <m/>
  </r>
  <r>
    <x v="51"/>
    <x v="2"/>
    <x v="0"/>
    <n v="4.5295744923407284"/>
    <n v="9.9"/>
    <n v="5.3815227599620439"/>
    <n v="0.16"/>
    <n v="6.0718917962205969"/>
    <n v="4.6556826756269354"/>
    <n v="4.6203247729597114"/>
    <n v="4.6092418853581449"/>
    <m/>
    <m/>
    <m/>
    <m/>
    <m/>
    <n v="-2.6684E-3"/>
    <n v="-5.1612999999999997E-3"/>
    <n v="-1.54839E-2"/>
    <n v="-2.3225800000000001E-2"/>
    <n v="-2.8387099999999998E-2"/>
    <n v="0.4"/>
    <n v="-9.0999999999999998E-2"/>
    <m/>
    <m/>
    <m/>
    <m/>
    <m/>
    <m/>
    <m/>
    <m/>
    <m/>
    <m/>
    <m/>
    <n v="-0.47634946262544364"/>
    <n v="7.4464100546668037"/>
    <n v="9.046125888191261"/>
    <n v="7.0419600698231779"/>
    <n v="6.9978701684243969"/>
    <m/>
    <m/>
    <m/>
    <m/>
    <m/>
  </r>
  <r>
    <x v="51"/>
    <x v="3"/>
    <x v="1"/>
    <n v="4.533254117549621"/>
    <n v="9.9"/>
    <n v="5.3817527740399198"/>
    <n v="0.2"/>
    <n v="6.090132718904683"/>
    <n v="4.6518056495040758"/>
    <n v="4.6206497568364773"/>
    <n v="4.6116392166166724"/>
    <m/>
    <m/>
    <m/>
    <m/>
    <m/>
    <n v="-2.5014999999999998E-3"/>
    <n v="-5.8386000000000002E-3"/>
    <n v="-1.6016499999999999E-2"/>
    <n v="-2.3274199999999998E-2"/>
    <n v="-2.7612899999999999E-2"/>
    <n v="0.45"/>
    <n v="-0.224"/>
    <m/>
    <m/>
    <m/>
    <m/>
    <m/>
    <m/>
    <m/>
    <m/>
    <m/>
    <m/>
    <m/>
    <n v="-0.46649602221534181"/>
    <n v="7.4361457339275994"/>
    <n v="9.0475390496681349"/>
    <n v="6.9814294427689001"/>
    <n v="6.9435229217595991"/>
    <m/>
    <m/>
    <m/>
    <m/>
    <m/>
  </r>
  <r>
    <x v="51"/>
    <x v="4"/>
    <x v="1"/>
    <n v="4.5484347415075197"/>
    <n v="9.6"/>
    <n v="5.3812328668753446"/>
    <n v="0.2"/>
    <n v="6.0682866897092662"/>
    <n v="4.6549788789000228"/>
    <n v="4.6210435351443815"/>
    <n v="4.6152888195092538"/>
    <m/>
    <m/>
    <m/>
    <m/>
    <m/>
    <n v="0"/>
    <n v="-9.0001000000000005E-3"/>
    <n v="-1.34997E-2"/>
    <n v="-1.35E-2"/>
    <n v="-9.0001000000000005E-3"/>
    <n v="0.37"/>
    <n v="-0.17219999999999999"/>
    <m/>
    <m/>
    <m/>
    <m/>
    <m/>
    <m/>
    <m/>
    <m/>
    <m/>
    <m/>
    <m/>
    <n v="-0.48283184609355789"/>
    <n v="7.4426684542771877"/>
    <n v="9.0552759414725674"/>
    <n v="6.9761248896157211"/>
    <n v="6.9415110867043515"/>
    <m/>
    <m/>
    <m/>
    <m/>
    <m/>
  </r>
  <r>
    <x v="51"/>
    <x v="5"/>
    <x v="1"/>
    <n v="4.550532357508037"/>
    <n v="9.4"/>
    <n v="5.3808139839976166"/>
    <n v="0.18"/>
    <n v="6.0423715168817873"/>
    <n v="4.6601412092326049"/>
    <n v="4.6243451653741321"/>
    <n v="4.6163375976799879"/>
    <m/>
    <m/>
    <m/>
    <m/>
    <m/>
    <n v="1.3332000000000001E-3"/>
    <n v="0"/>
    <n v="2.6665E-3"/>
    <n v="1.3332000000000001E-3"/>
    <n v="1.3335E-3"/>
    <n v="0.32"/>
    <n v="-3.1800000000000002E-2"/>
    <m/>
    <m/>
    <m/>
    <m/>
    <m/>
    <m/>
    <m/>
    <m/>
    <m/>
    <m/>
    <m/>
    <n v="-0.54208821741118918"/>
    <n v="7.4518802731490537"/>
    <n v="9.0572940820857966"/>
    <n v="6.9648584135164358"/>
    <n v="6.9372694200322105"/>
    <m/>
    <m/>
    <m/>
    <m/>
    <m/>
  </r>
  <r>
    <x v="51"/>
    <x v="6"/>
    <x v="2"/>
    <n v="4.5554987335982489"/>
    <n v="9.4"/>
    <n v="5.3826814926589748"/>
    <n v="0.18"/>
    <n v="6.0521832821426882"/>
    <n v="4.666923582263574"/>
    <n v="4.6205709825641144"/>
    <n v="4.6174445468634797"/>
    <m/>
    <m/>
    <m/>
    <m/>
    <m/>
    <n v="3.6668999999999998E-3"/>
    <n v="0"/>
    <n v="7.3333000000000001E-3"/>
    <n v="3.6665999999999999E-3"/>
    <n v="3.6665999999999999E-3"/>
    <n v="0.28999999999999998"/>
    <n v="0.17780000000000001"/>
    <m/>
    <m/>
    <m/>
    <m/>
    <m/>
    <m/>
    <m/>
    <m/>
    <m/>
    <m/>
    <m/>
    <n v="-0.58967538632128758"/>
    <n v="7.4514739460501529"/>
    <n v="9.0585635390103096"/>
    <n v="6.9536249923072191"/>
    <n v="6.9297594027742635"/>
    <m/>
    <m/>
    <m/>
    <m/>
    <m/>
  </r>
  <r>
    <x v="51"/>
    <x v="7"/>
    <x v="2"/>
    <n v="4.5589859235056096"/>
    <n v="9.5"/>
    <n v="5.3841417893862138"/>
    <n v="0.19"/>
    <n v="6.1072901126135726"/>
    <n v="4.6724829802687156"/>
    <n v="4.6310133559456093"/>
    <n v="4.6201376131098781"/>
    <m/>
    <m/>
    <m/>
    <m/>
    <m/>
    <n v="2.6183000000000001E-3"/>
    <n v="0"/>
    <n v="-1.41935E-2"/>
    <n v="-2.4838699999999998E-2"/>
    <n v="-2.8387099999999998E-2"/>
    <n v="0.26"/>
    <n v="-0.47639999999999999"/>
    <m/>
    <m/>
    <m/>
    <m/>
    <m/>
    <m/>
    <m/>
    <m/>
    <m/>
    <m/>
    <m/>
    <n v="-0.69854397093825327"/>
    <n v="7.4650254609907289"/>
    <n v="9.063104066009565"/>
    <n v="6.950930662109795"/>
    <n v="6.9331793313222958"/>
    <m/>
    <m/>
    <m/>
    <m/>
    <m/>
  </r>
  <r>
    <x v="51"/>
    <x v="8"/>
    <x v="2"/>
    <n v="4.5613750259884203"/>
    <n v="9.5"/>
    <n v="5.385755735696871"/>
    <n v="0.19"/>
    <n v="6.1597083084405293"/>
    <n v="4.6757963895283883"/>
    <n v="4.6332132770127341"/>
    <n v="4.6206891416457614"/>
    <m/>
    <m/>
    <m/>
    <m/>
    <m/>
    <n v="1.0715E-3"/>
    <n v="1.6668E-3"/>
    <n v="-9.1395000000000001E-3"/>
    <n v="-1.34945E-2"/>
    <n v="-1.49462E-2"/>
    <n v="0.26"/>
    <n v="-7.3800000000000004E-2"/>
    <m/>
    <m/>
    <m/>
    <m/>
    <m/>
    <m/>
    <m/>
    <m/>
    <m/>
    <m/>
    <m/>
    <n v="-0.79569874616935499"/>
    <n v="7.4752825456174312"/>
    <n v="9.0675663979847272"/>
    <n v="6.9144756466405921"/>
    <n v="6.9029829093199755"/>
    <m/>
    <m/>
    <m/>
    <m/>
    <m/>
  </r>
  <r>
    <x v="51"/>
    <x v="9"/>
    <x v="3"/>
    <n v="4.5589199434849643"/>
    <n v="9.4"/>
    <n v="5.3892315343986663"/>
    <n v="0.19"/>
    <n v="6.192464733736502"/>
    <n v="4.7018158372896224"/>
    <n v="4.6370563748504132"/>
    <n v="4.6226269265875519"/>
    <m/>
    <m/>
    <m/>
    <m/>
    <m/>
    <n v="0"/>
    <n v="3.3333E-3"/>
    <n v="-6.6667000000000002E-3"/>
    <n v="-6.6667000000000002E-3"/>
    <n v="-6.6667000000000002E-3"/>
    <n v="0.23"/>
    <n v="-2.2700000000000001E-2"/>
    <m/>
    <m/>
    <m/>
    <m/>
    <m/>
    <m/>
    <m/>
    <m/>
    <m/>
    <m/>
    <m/>
    <n v="-0.99515811148102973"/>
    <n v="7.4833006574619025"/>
    <n v="9.0732598314278157"/>
    <n v="6.9062621648418006"/>
    <n v="6.8990373883624141"/>
    <m/>
    <m/>
    <m/>
    <m/>
    <m/>
  </r>
  <r>
    <x v="51"/>
    <x v="10"/>
    <x v="3"/>
    <n v="4.5593147114016377"/>
    <n v="9.8000000000000007"/>
    <n v="5.3917621712579002"/>
    <n v="0.19"/>
    <n v="6.1969531631834709"/>
    <n v="4.7009620679371249"/>
    <n v="4.6435347635310764"/>
    <n v="4.6262269285137014"/>
    <m/>
    <m/>
    <m/>
    <m/>
    <m/>
    <n v="7.7743999999999999E-3"/>
    <n v="4.6665999999999999E-3"/>
    <n v="-9.3335999999999992E-3"/>
    <n v="-4.6667999999999996E-3"/>
    <n v="-4.6667999999999996E-3"/>
    <n v="0.25"/>
    <n v="-0.14419999999999999"/>
    <m/>
    <m/>
    <m/>
    <m/>
    <m/>
    <m/>
    <m/>
    <m/>
    <m/>
    <m/>
    <m/>
    <n v="-0.95601419910052154"/>
    <n v="7.5142001257027893"/>
    <n v="9.0763745993080214"/>
    <n v="6.9054947258561077"/>
    <n v="6.8997593969489754"/>
    <m/>
    <m/>
    <m/>
    <m/>
    <m/>
  </r>
  <r>
    <x v="51"/>
    <x v="11"/>
    <x v="3"/>
    <n v="4.5684449964239979"/>
    <n v="9.3000000000000007"/>
    <n v="5.3957707026967494"/>
    <n v="0.18"/>
    <n v="6.229102544572644"/>
    <n v="4.703348974669618"/>
    <n v="4.642359992091202"/>
    <n v="4.6278998977387378"/>
    <m/>
    <m/>
    <m/>
    <m/>
    <m/>
    <n v="5.555E-4"/>
    <n v="3.3330000000000002E-4"/>
    <n v="-6.6660000000000005E-4"/>
    <n v="-3.2364999999999998E-3"/>
    <n v="-3.2364999999999998E-3"/>
    <n v="0.28999999999999998"/>
    <n v="-0.3992"/>
    <m/>
    <m/>
    <m/>
    <m/>
    <m/>
    <m/>
    <m/>
    <m/>
    <m/>
    <m/>
    <m/>
    <n v="-0.88481862270105882"/>
    <n v="7.5184986332872663"/>
    <n v="9.0803911272207962"/>
    <n v="6.9422282007281799"/>
    <n v="6.9391289382283574"/>
    <m/>
    <m/>
    <m/>
    <m/>
    <m/>
  </r>
  <r>
    <x v="52"/>
    <x v="0"/>
    <x v="0"/>
    <n v="4.5681586308473339"/>
    <n v="9.1999999999999993"/>
    <n v="5.3988321606378999"/>
    <n v="0.17"/>
    <n v="6.2880258324163538"/>
    <n v="4.7101606331790284"/>
    <n v="4.6462737408665085"/>
    <n v="4.6276261528086424"/>
    <m/>
    <m/>
    <m/>
    <m/>
    <m/>
    <n v="-9.6750000000000004E-4"/>
    <n v="-9.6770000000000005E-4"/>
    <n v="-9.68E-4"/>
    <n v="-4.0324000000000002E-3"/>
    <n v="-6.9354000000000004E-3"/>
    <n v="0.27"/>
    <n v="8.8200000000000001E-2"/>
    <m/>
    <m/>
    <m/>
    <m/>
    <m/>
    <m/>
    <m/>
    <m/>
    <m/>
    <m/>
    <m/>
    <n v="-1.0112305284131358"/>
    <n v="7.5259633728775883"/>
    <n v="9.08407395397135"/>
    <n v="6.9718683971486932"/>
    <n v="6.979726111937004"/>
    <m/>
    <m/>
    <m/>
    <m/>
    <m/>
  </r>
  <r>
    <x v="52"/>
    <x v="1"/>
    <x v="0"/>
    <n v="4.5630723779637838"/>
    <n v="9"/>
    <n v="5.4022448559139793"/>
    <n v="0.16"/>
    <n v="6.3325688960557569"/>
    <n v="4.709782421754336"/>
    <n v="4.6469069619681722"/>
    <n v="4.6287695182384159"/>
    <m/>
    <m/>
    <m/>
    <m/>
    <m/>
    <n v="-4.0321000000000003E-3"/>
    <n v="-4.0321000000000003E-3"/>
    <n v="-4.0321000000000003E-3"/>
    <n v="-8.0645000000000005E-3"/>
    <n v="-2.0161399999999999E-2"/>
    <n v="0.28999999999999998"/>
    <n v="-0.2122"/>
    <m/>
    <m/>
    <m/>
    <m/>
    <m/>
    <m/>
    <m/>
    <m/>
    <m/>
    <m/>
    <m/>
    <n v="-1.0913065151525823"/>
    <n v="7.5362039256031457"/>
    <n v="9.0894713294951952"/>
    <n v="7.1059969358080464"/>
    <n v="7.123372982008652"/>
    <m/>
    <m/>
    <m/>
    <m/>
    <m/>
  </r>
  <r>
    <x v="52"/>
    <x v="2"/>
    <x v="0"/>
    <n v="4.5715668656990776"/>
    <n v="9"/>
    <n v="5.407369061414216"/>
    <n v="0.14000000000000001"/>
    <n v="6.3393005423795099"/>
    <n v="4.7240903526436639"/>
    <n v="4.64389077409969"/>
    <n v="4.6319776339076819"/>
    <m/>
    <m/>
    <m/>
    <m/>
    <m/>
    <n v="0"/>
    <n v="0"/>
    <n v="0"/>
    <n v="5.4838999999999999E-3"/>
    <n v="1.09677E-2"/>
    <n v="0.26"/>
    <n v="-0.24679999999999999"/>
    <m/>
    <m/>
    <m/>
    <m/>
    <m/>
    <m/>
    <m/>
    <m/>
    <m/>
    <m/>
    <m/>
    <n v="-0.99145963271442916"/>
    <n v="7.5453897496118234"/>
    <n v="9.0944804858816468"/>
    <n v="7.2380355276091999"/>
    <n v="7.2557840522809567"/>
    <m/>
    <m/>
    <m/>
    <m/>
    <m/>
  </r>
  <r>
    <x v="52"/>
    <x v="3"/>
    <x v="1"/>
    <n v="4.5673655097810952"/>
    <n v="9.1"/>
    <n v="5.4119138731305769"/>
    <n v="0.1"/>
    <n v="6.3555172086355993"/>
    <n v="4.7166936714733305"/>
    <n v="4.6467918606789107"/>
    <n v="4.6314128161924488"/>
    <m/>
    <m/>
    <m/>
    <m/>
    <m/>
    <n v="0"/>
    <n v="0"/>
    <n v="0"/>
    <n v="4.5161000000000003E-3"/>
    <n v="9.0322000000000006E-3"/>
    <n v="0.25"/>
    <n v="-0.2112"/>
    <m/>
    <m/>
    <m/>
    <m/>
    <m/>
    <m/>
    <m/>
    <m/>
    <m/>
    <m/>
    <m/>
    <n v="-1.0662775840722656"/>
    <n v="7.5484505995396578"/>
    <n v="9.100090143355283"/>
    <n v="7.302595475425318"/>
    <n v="7.3190606329390073"/>
    <m/>
    <m/>
    <m/>
    <m/>
    <m/>
  </r>
  <r>
    <x v="52"/>
    <x v="4"/>
    <x v="1"/>
    <n v="4.5699967913802055"/>
    <n v="9"/>
    <n v="5.4155180104250231"/>
    <n v="0.09"/>
    <n v="6.3263998890256188"/>
    <n v="4.7058115841059411"/>
    <n v="4.6425430390528932"/>
    <n v="4.6337770789970874"/>
    <m/>
    <m/>
    <m/>
    <m/>
    <m/>
    <n v="0"/>
    <n v="0"/>
    <n v="0"/>
    <n v="0"/>
    <n v="0"/>
    <n v="0.19"/>
    <n v="-7.7299999999999994E-2"/>
    <m/>
    <m/>
    <m/>
    <m/>
    <m/>
    <m/>
    <m/>
    <m/>
    <m/>
    <m/>
    <m/>
    <n v="-1.1404344508762341"/>
    <n v="7.5675007829080521"/>
    <n v="9.1066340429524892"/>
    <n v="7.3437405393845037"/>
    <n v="7.360545987245743"/>
    <m/>
    <m/>
    <m/>
    <m/>
    <m/>
  </r>
  <r>
    <x v="52"/>
    <x v="5"/>
    <x v="1"/>
    <n v="4.5722460874838582"/>
    <n v="9.1"/>
    <n v="5.4153934857311707"/>
    <n v="0.09"/>
    <n v="6.3231395812453908"/>
    <n v="4.701634245271908"/>
    <n v="4.6484020743800922"/>
    <n v="4.6351560814783479"/>
    <m/>
    <m/>
    <m/>
    <m/>
    <m/>
    <n v="0"/>
    <n v="-1.5001000000000001E-3"/>
    <n v="1.5001000000000001E-3"/>
    <n v="1.5001000000000001E-3"/>
    <n v="4.5002000000000002E-3"/>
    <n v="0.18"/>
    <n v="8.8099999999999998E-2"/>
    <m/>
    <m/>
    <m/>
    <m/>
    <m/>
    <m/>
    <m/>
    <m/>
    <m/>
    <m/>
    <m/>
    <n v="-1.1218285960584504"/>
    <n v="7.5740450053721995"/>
    <n v="9.1158208794962317"/>
    <n v="7.39162852881927"/>
    <n v="7.4105721178741639"/>
    <m/>
    <m/>
    <m/>
    <m/>
    <m/>
  </r>
  <r>
    <x v="52"/>
    <x v="6"/>
    <x v="2"/>
    <n v="4.5764733421536405"/>
    <n v="9"/>
    <n v="5.4179608926404867"/>
    <n v="7.0000000000000007E-2"/>
    <n v="6.315900349904064"/>
    <n v="4.7168725495505104"/>
    <n v="4.6453519756209234"/>
    <n v="4.6380632292901165"/>
    <m/>
    <m/>
    <m/>
    <m/>
    <m/>
    <n v="0"/>
    <n v="-3.5000000000000001E-3"/>
    <n v="3.5000000000000001E-3"/>
    <n v="3.5000000000000001E-3"/>
    <n v="1.0500000000000001E-2"/>
    <n v="0.19"/>
    <n v="-1.18E-2"/>
    <m/>
    <m/>
    <m/>
    <m/>
    <m/>
    <m/>
    <m/>
    <m/>
    <m/>
    <m/>
    <m/>
    <n v="-1.1922176508092663"/>
    <n v="7.6016521784326283"/>
    <n v="9.1365323548314592"/>
    <n v="7.4098678541454923"/>
    <n v="7.4290685149823759"/>
    <m/>
    <m/>
    <m/>
    <m/>
    <m/>
  </r>
  <r>
    <x v="52"/>
    <x v="7"/>
    <x v="2"/>
    <n v="4.5826167587084248"/>
    <n v="9"/>
    <n v="5.4208977653231321"/>
    <n v="0.1"/>
    <n v="6.2981952862284594"/>
    <n v="4.713028579350242"/>
    <n v="4.6422636381251987"/>
    <n v="4.6389143919522517"/>
    <m/>
    <m/>
    <m/>
    <m/>
    <m/>
    <n v="-5.2233000000000002E-3"/>
    <n v="-3.7096E-3"/>
    <n v="3.7098000000000001E-3"/>
    <n v="-2.5967799999999999E-2"/>
    <n v="-5.9354999999999998E-2"/>
    <n v="0.11"/>
    <n v="-0.2356"/>
    <m/>
    <m/>
    <m/>
    <m/>
    <m/>
    <m/>
    <m/>
    <m/>
    <m/>
    <m/>
    <m/>
    <n v="-1.3770837142732191"/>
    <n v="7.6558166904194742"/>
    <n v="9.1582678266830726"/>
    <n v="7.3908355352394404"/>
    <n v="7.4114741092080081"/>
    <m/>
    <m/>
    <m/>
    <m/>
    <m/>
  </r>
  <r>
    <x v="52"/>
    <x v="8"/>
    <x v="2"/>
    <n v="4.5826811936422036"/>
    <n v="9"/>
    <n v="5.4235216851249035"/>
    <n v="0.08"/>
    <n v="6.2687742621659206"/>
    <n v="4.7320318855776788"/>
    <n v="4.6423696269771977"/>
    <n v="4.6397358504254003"/>
    <m/>
    <m/>
    <m/>
    <m/>
    <m/>
    <n v="9.6319999999999999E-4"/>
    <n v="5.3762999999999997E-3"/>
    <n v="1.96238E-2"/>
    <n v="1.26345E-2"/>
    <n v="1.0215999999999999E-3"/>
    <n v="0.1"/>
    <n v="0.30280000000000001"/>
    <m/>
    <m/>
    <m/>
    <m/>
    <m/>
    <m/>
    <m/>
    <m/>
    <m/>
    <m/>
    <m/>
    <n v="-1.4024179299210648"/>
    <n v="7.6619975589018932"/>
    <n v="9.1612446611321197"/>
    <n v="7.3758470818519166"/>
    <n v="7.3967413463196499"/>
    <m/>
    <m/>
    <m/>
    <m/>
    <m/>
  </r>
  <r>
    <x v="52"/>
    <x v="9"/>
    <x v="3"/>
    <n v="4.5893415718311763"/>
    <n v="8.8000000000000007"/>
    <n v="5.4241170715593015"/>
    <n v="7.0000000000000007E-2"/>
    <n v="6.2282151018284084"/>
    <n v="4.7486556223301761"/>
    <n v="4.6478847883956282"/>
    <n v="4.6393976845373182"/>
    <m/>
    <m/>
    <m/>
    <m/>
    <m/>
    <n v="5.5599000000000004E-3"/>
    <n v="1.3333299999999999E-2"/>
    <n v="3.6666400000000002E-2"/>
    <n v="4.3333299999999998E-2"/>
    <n v="4.3333299999999998E-2"/>
    <n v="0.11"/>
    <n v="-0.29389999999999999"/>
    <m/>
    <m/>
    <m/>
    <m/>
    <m/>
    <m/>
    <m/>
    <m/>
    <m/>
    <m/>
    <m/>
    <n v="-1.4372149062150505"/>
    <n v="7.6673454160907966"/>
    <n v="9.1645372421743687"/>
    <n v="7.3730271058877834"/>
    <n v="7.3944433210995824"/>
    <m/>
    <m/>
    <m/>
    <m/>
    <m/>
  </r>
  <r>
    <x v="52"/>
    <x v="10"/>
    <x v="3"/>
    <n v="4.5878500547471477"/>
    <n v="8.6"/>
    <n v="5.4256414083715754"/>
    <n v="0.08"/>
    <n v="6.2067372040416222"/>
    <n v="4.7454798044482764"/>
    <n v="4.6451021845794367"/>
    <n v="4.6388950553897121"/>
    <m/>
    <m/>
    <m/>
    <m/>
    <m/>
    <n v="0"/>
    <n v="9.6667000000000003E-3"/>
    <n v="9.6669000000000008E-3"/>
    <n v="9.6667000000000003E-3"/>
    <n v="1.45001E-2"/>
    <n v="0.11"/>
    <n v="0.39450000000000002"/>
    <m/>
    <m/>
    <m/>
    <m/>
    <m/>
    <m/>
    <m/>
    <m/>
    <m/>
    <m/>
    <m/>
    <n v="-1.4835113829120159"/>
    <n v="7.683403681053826"/>
    <n v="9.1689974084418004"/>
    <n v="7.3435064329167288"/>
    <n v="7.366041780007027"/>
    <m/>
    <m/>
    <m/>
    <m/>
    <m/>
  </r>
  <r>
    <x v="52"/>
    <x v="11"/>
    <x v="3"/>
    <n v="4.5929366606289221"/>
    <n v="8.5"/>
    <n v="5.4255885800767283"/>
    <n v="7.0000000000000007E-2"/>
    <n v="6.175721729369692"/>
    <n v="4.7525896907727807"/>
    <n v="4.6404697599750246"/>
    <n v="4.6389047237177197"/>
    <m/>
    <m/>
    <m/>
    <m/>
    <m/>
    <n v="2.6416999999999999E-3"/>
    <n v="3.3330000000000002E-4"/>
    <n v="6.4621000000000001E-3"/>
    <n v="6.4622999999999998E-3"/>
    <n v="6.6290000000000003E-3"/>
    <n v="0.12"/>
    <n v="0.12039999999999999"/>
    <m/>
    <m/>
    <m/>
    <m/>
    <m/>
    <m/>
    <m/>
    <m/>
    <m/>
    <m/>
    <m/>
    <n v="-1.4664151908827243"/>
    <n v="7.6816526092271911"/>
    <n v="9.1731160646779131"/>
    <n v="7.346037951463976"/>
    <n v="7.3699623438536683"/>
    <m/>
    <m/>
    <m/>
    <m/>
    <m/>
  </r>
  <r>
    <x v="53"/>
    <x v="0"/>
    <x v="0"/>
    <n v="4.6002541219224788"/>
    <n v="8.3000000000000007"/>
    <n v="5.4282880523735608"/>
    <n v="0.08"/>
    <n v="6.1913599421023813"/>
    <n v="4.7674675909511182"/>
    <n v="4.6474151675818369"/>
    <n v="4.6405373298253823"/>
    <m/>
    <m/>
    <m/>
    <m/>
    <m/>
    <n v="5.3930000000000004E-4"/>
    <n v="0"/>
    <n v="4.84E-4"/>
    <n v="-1.7741E-3"/>
    <n v="-4.0324000000000002E-3"/>
    <n v="0.12"/>
    <n v="3.8199999999999998E-2"/>
    <m/>
    <m/>
    <m/>
    <m/>
    <m/>
    <m/>
    <m/>
    <m/>
    <m/>
    <m/>
    <m/>
    <n v="-1.5397667112328284"/>
    <n v="7.6972575477848455"/>
    <n v="9.1812719494788357"/>
    <n v="7.3581395766320092"/>
    <n v="7.3813069813654257"/>
    <m/>
    <m/>
    <m/>
    <m/>
    <m/>
  </r>
  <r>
    <x v="53"/>
    <x v="1"/>
    <x v="0"/>
    <n v="4.6025557713826064"/>
    <n v="8.3000000000000007"/>
    <n v="5.4305948483548727"/>
    <n v="0.1"/>
    <n v="6.2125058903303216"/>
    <n v="4.7783837237513183"/>
    <n v="4.6509080776619456"/>
    <n v="4.6439003942481296"/>
    <m/>
    <m/>
    <m/>
    <m/>
    <m/>
    <n v="-3.8709999999999999E-3"/>
    <n v="0"/>
    <n v="-1.1612900000000001E-2"/>
    <n v="-1.9354799999999998E-2"/>
    <n v="-2.7096700000000001E-2"/>
    <n v="0.16"/>
    <n v="-0.114"/>
    <m/>
    <m/>
    <m/>
    <m/>
    <m/>
    <m/>
    <m/>
    <m/>
    <m/>
    <m/>
    <m/>
    <n v="-1.4516705880030361"/>
    <n v="7.7017427744681539"/>
    <n v="9.1857300060034657"/>
    <n v="7.3838496966595555"/>
    <n v="7.4085293547726794"/>
    <m/>
    <m/>
    <m/>
    <m/>
    <m/>
  </r>
  <r>
    <x v="53"/>
    <x v="2"/>
    <x v="0"/>
    <n v="4.5960154085983316"/>
    <n v="8.1999999999999993"/>
    <n v="5.4331366794470739"/>
    <n v="0.13"/>
    <n v="6.2181019876764472"/>
    <n v="4.7818089596465478"/>
    <n v="4.650353854563412"/>
    <n v="4.6415889002834367"/>
    <m/>
    <m/>
    <m/>
    <m/>
    <m/>
    <n v="0"/>
    <n v="0"/>
    <n v="3.0645999999999998E-3"/>
    <n v="9.1933999999999991E-3"/>
    <n v="1.2258099999999999E-2"/>
    <n v="0.19"/>
    <n v="-0.52969999999999995"/>
    <m/>
    <m/>
    <m/>
    <m/>
    <m/>
    <m/>
    <m/>
    <m/>
    <m/>
    <m/>
    <m/>
    <n v="-1.2660754379502457"/>
    <n v="7.7091737348258702"/>
    <n v="9.1901580726136842"/>
    <n v="7.3510677216934148"/>
    <n v="7.3780651113429139"/>
    <m/>
    <m/>
    <m/>
    <m/>
    <m/>
  </r>
  <r>
    <x v="53"/>
    <x v="3"/>
    <x v="1"/>
    <n v="4.6044499266636079"/>
    <n v="8.1999999999999993"/>
    <n v="5.4344728133290836"/>
    <n v="0.14000000000000001"/>
    <n v="6.1963422896152993"/>
    <n v="4.7847295982373161"/>
    <n v="4.6511086689292558"/>
    <n v="4.6430149529614413"/>
    <m/>
    <m/>
    <m/>
    <m/>
    <m/>
    <n v="0"/>
    <n v="0"/>
    <n v="1.9354999999999999E-3"/>
    <n v="5.8063999999999998E-3"/>
    <n v="7.7419000000000003E-3"/>
    <n v="0.18"/>
    <n v="-0.36109999999999998"/>
    <m/>
    <m/>
    <m/>
    <m/>
    <m/>
    <m/>
    <m/>
    <m/>
    <m/>
    <m/>
    <m/>
    <n v="-1.2620080050351254"/>
    <n v="7.7165944215381552"/>
    <n v="9.1950033589659448"/>
    <n v="7.338113304821511"/>
    <n v="7.3638532968052193"/>
    <m/>
    <m/>
    <m/>
    <m/>
    <m/>
  </r>
  <r>
    <x v="53"/>
    <x v="4"/>
    <x v="1"/>
    <n v="4.605678056999774"/>
    <n v="8.1999999999999993"/>
    <n v="5.432782697915969"/>
    <n v="0.16"/>
    <n v="6.1756801424113563"/>
    <n v="4.7816580934226947"/>
    <n v="4.6521873507511478"/>
    <n v="4.6432363867945474"/>
    <m/>
    <m/>
    <m/>
    <m/>
    <m/>
    <n v="0"/>
    <n v="0"/>
    <n v="0"/>
    <n v="0"/>
    <n v="0"/>
    <n v="0.19"/>
    <n v="-0.34689999999999999"/>
    <m/>
    <m/>
    <m/>
    <m/>
    <m/>
    <m/>
    <m/>
    <m/>
    <m/>
    <m/>
    <m/>
    <n v="-1.2372153182239152"/>
    <n v="7.7191298409067324"/>
    <n v="9.1984600799454679"/>
    <n v="7.3199437346508063"/>
    <n v="7.3463346733983546"/>
    <m/>
    <m/>
    <m/>
    <m/>
    <m/>
  </r>
  <r>
    <x v="53"/>
    <x v="5"/>
    <x v="1"/>
    <n v="4.6048611382377542"/>
    <n v="8.1999999999999993"/>
    <n v="5.432087480676314"/>
    <n v="0.16"/>
    <n v="6.1628094131883042"/>
    <n v="4.7816832393739883"/>
    <n v="4.6480476665487584"/>
    <n v="4.6432267602561064"/>
    <m/>
    <m/>
    <m/>
    <m/>
    <m/>
    <n v="2.7537E-3"/>
    <n v="3.6665999999999999E-3"/>
    <n v="7.3333000000000001E-3"/>
    <n v="7.3333000000000001E-3"/>
    <n v="7.3333000000000001E-3"/>
    <n v="0.19"/>
    <n v="-6.0900000000000003E-2"/>
    <m/>
    <m/>
    <m/>
    <m/>
    <m/>
    <m/>
    <m/>
    <m/>
    <m/>
    <m/>
    <m/>
    <n v="-1.1110581728453983"/>
    <n v="7.7241372738767113"/>
    <n v="9.2053077294481085"/>
    <n v="7.3182716081657935"/>
    <n v="7.3472745715614494"/>
    <m/>
    <m/>
    <m/>
    <m/>
    <m/>
  </r>
  <r>
    <x v="53"/>
    <x v="6"/>
    <x v="2"/>
    <n v="4.6079024499530679"/>
    <n v="8.1999999999999993"/>
    <n v="5.4319037576601144"/>
    <n v="0.16"/>
    <n v="6.1753265834205155"/>
    <n v="4.7892318945060852"/>
    <n v="4.652225512863807"/>
    <n v="4.6451886577703991"/>
    <m/>
    <m/>
    <m/>
    <m/>
    <m/>
    <m/>
    <m/>
    <m/>
    <m/>
    <m/>
    <n v="0.19"/>
    <n v="-0.26879999999999998"/>
    <m/>
    <m/>
    <m/>
    <m/>
    <m/>
    <m/>
    <m/>
    <m/>
    <m/>
    <m/>
    <m/>
    <n v="-1.1787666793177374"/>
    <n v="7.7469921654139773"/>
    <n v="9.2132162327216474"/>
    <n v="7.3363195356690092"/>
    <n v="7.3650478387904297"/>
    <m/>
    <m/>
    <m/>
    <m/>
    <m/>
  </r>
  <r>
    <x v="53"/>
    <x v="7"/>
    <x v="2"/>
    <n v="4.6034987899836564"/>
    <n v="8"/>
    <n v="5.4376922775144623"/>
    <n v="0.13"/>
    <n v="6.191523691974818"/>
    <n v="4.7945170077187989"/>
    <n v="4.6528454431653472"/>
    <n v="4.6417624477876807"/>
    <m/>
    <m/>
    <m/>
    <m/>
    <m/>
    <m/>
    <m/>
    <m/>
    <m/>
    <m/>
    <n v="0.18"/>
    <n v="-0.4672"/>
    <m/>
    <m/>
    <m/>
    <m/>
    <m/>
    <m/>
    <m/>
    <m/>
    <m/>
    <m/>
    <m/>
    <n v="-1.2586624711366801"/>
    <n v="7.7606801352344723"/>
    <n v="9.22001343667187"/>
    <n v="7.334966223171965"/>
    <n v="7.3645577805054758"/>
    <m/>
    <m/>
    <m/>
    <m/>
    <m/>
  </r>
  <r>
    <x v="53"/>
    <x v="8"/>
    <x v="2"/>
    <n v="4.6043588569496796"/>
    <n v="7.8"/>
    <n v="5.4428678256549929"/>
    <n v="0.14000000000000001"/>
    <n v="6.2023128203280402"/>
    <n v="4.8131919776318597"/>
    <n v="4.6531504985066583"/>
    <n v="4.6441601032792876"/>
    <m/>
    <m/>
    <m/>
    <m/>
    <m/>
    <m/>
    <m/>
    <m/>
    <m/>
    <m/>
    <n v="0.18"/>
    <n v="-0.34289999999999998"/>
    <m/>
    <m/>
    <m/>
    <m/>
    <m/>
    <m/>
    <m/>
    <m/>
    <m/>
    <m/>
    <m/>
    <n v="-1.36045833640009"/>
    <n v="7.7763672288728234"/>
    <n v="9.2281213492712695"/>
    <n v="7.2921199980655302"/>
    <n v="7.3224595740514733"/>
    <m/>
    <m/>
    <m/>
    <m/>
    <m/>
  </r>
  <r>
    <x v="53"/>
    <x v="9"/>
    <x v="3"/>
    <n v="4.6070464247508154"/>
    <n v="7.8"/>
    <n v="5.4456203687404123"/>
    <n v="0.16"/>
    <n v="6.1864760778434329"/>
    <n v="4.7991320639387212"/>
    <n v="4.6522732134567342"/>
    <n v="4.6442370411519933"/>
    <m/>
    <m/>
    <m/>
    <m/>
    <m/>
    <m/>
    <m/>
    <m/>
    <m/>
    <m/>
    <n v="0.18"/>
    <n v="-0.30590000000000001"/>
    <m/>
    <m/>
    <m/>
    <m/>
    <m/>
    <m/>
    <m/>
    <m/>
    <m/>
    <m/>
    <m/>
    <n v="-1.3389618275044302"/>
    <n v="7.7896615839944614"/>
    <n v="9.233861567017529"/>
    <n v="7.2975854628418668"/>
    <n v="7.3288830841397345"/>
    <m/>
    <m/>
    <m/>
    <m/>
    <m/>
  </r>
  <r>
    <x v="53"/>
    <x v="10"/>
    <x v="3"/>
    <n v="4.6115845697718933"/>
    <n v="7.7"/>
    <n v="5.4432917872798381"/>
    <n v="0.16"/>
    <n v="6.169568890611913"/>
    <n v="4.8197975775339614"/>
    <n v="4.6502582678040172"/>
    <n v="4.6455440801263643"/>
    <m/>
    <m/>
    <m/>
    <m/>
    <m/>
    <m/>
    <m/>
    <m/>
    <m/>
    <m/>
    <n v="0.18"/>
    <n v="-0.23860000000000001"/>
    <m/>
    <m/>
    <m/>
    <m/>
    <m/>
    <m/>
    <m/>
    <m/>
    <m/>
    <m/>
    <m/>
    <n v="-1.4228541803822488"/>
    <n v="7.7928442597130276"/>
    <n v="9.2397049806060867"/>
    <n v="7.3115563366593737"/>
    <n v="7.3432696839064437"/>
    <m/>
    <m/>
    <m/>
    <m/>
    <m/>
  </r>
  <r>
    <x v="53"/>
    <x v="11"/>
    <x v="3"/>
    <n v="4.6137135869853854"/>
    <n v="7.9"/>
    <n v="5.443131741255451"/>
    <n v="0.16"/>
    <n v="6.1841282721682171"/>
    <n v="4.8362104758289073"/>
    <n v="4.6533887582585658"/>
    <n v="4.6452463024104249"/>
    <m/>
    <m/>
    <m/>
    <m/>
    <m/>
    <m/>
    <m/>
    <m/>
    <m/>
    <m/>
    <n v="0.16"/>
    <n v="-0.35"/>
    <m/>
    <m/>
    <m/>
    <m/>
    <m/>
    <m/>
    <m/>
    <m/>
    <m/>
    <m/>
    <m/>
    <n v="-1.429921774787247"/>
    <n v="7.8069812322296999"/>
    <n v="9.2517222097549521"/>
    <n v="7.3247700983185373"/>
    <n v="7.3576971348562488"/>
    <m/>
    <m/>
    <m/>
    <m/>
    <m/>
  </r>
  <r>
    <x v="54"/>
    <x v="0"/>
    <x v="0"/>
    <n v="4.6144569303798235"/>
    <n v="8"/>
    <n v="5.4443379436156594"/>
    <n v="0.14000000000000001"/>
    <n v="6.1868462806365221"/>
    <n v="4.8391666310200678"/>
    <n v="4.6637409353458708"/>
    <n v="4.6449772656564603"/>
    <m/>
    <m/>
    <m/>
    <m/>
    <m/>
    <m/>
    <m/>
    <m/>
    <m/>
    <m/>
    <n v="0.15"/>
    <m/>
    <m/>
    <m/>
    <m/>
    <m/>
    <m/>
    <m/>
    <m/>
    <m/>
    <m/>
    <m/>
    <m/>
    <n v="-1.3576459404809018"/>
    <n v="7.8110012973354834"/>
    <n v="9.2545103557206563"/>
    <n v="7.3667763197801079"/>
    <n v="7.3965236196246691"/>
    <m/>
    <m/>
    <m/>
    <m/>
    <m/>
  </r>
  <r>
    <x v="54"/>
    <x v="1"/>
    <x v="0"/>
    <n v="4.6185058691731209"/>
    <n v="7.7"/>
    <n v="5.4501926023721898"/>
    <n v="0.15"/>
    <m/>
    <n v="4.8444862543018541"/>
    <n v="4.6636277555596601"/>
    <n v="4.6462065575279512"/>
    <m/>
    <m/>
    <m/>
    <m/>
    <m/>
    <m/>
    <m/>
    <m/>
    <m/>
    <m/>
    <n v="0.16"/>
    <m/>
    <m/>
    <m/>
    <m/>
    <m/>
    <m/>
    <m/>
    <m/>
    <m/>
    <m/>
    <m/>
    <m/>
    <n v="-1.4224985174106677"/>
    <n v="7.8121353598304575"/>
    <n v="9.2541945647333872"/>
    <n v="7.4266002615633075"/>
    <n v="7.4564222034108401"/>
    <m/>
    <m/>
    <m/>
    <m/>
    <m/>
  </r>
  <r>
    <x v="54"/>
    <x v="2"/>
    <x v="0"/>
    <n v="4.6206596031842215"/>
    <n v="7.5"/>
    <n v="5.4477928489369098"/>
    <n v="0.14000000000000001"/>
    <m/>
    <n v="4.8350430446402681"/>
    <n v="4.663778659094862"/>
    <n v="4.6493401697325654"/>
    <m/>
    <m/>
    <m/>
    <m/>
    <m/>
    <m/>
    <m/>
    <m/>
    <m/>
    <m/>
    <n v="0.15"/>
    <m/>
    <m/>
    <m/>
    <m/>
    <m/>
    <m/>
    <m/>
    <m/>
    <m/>
    <m/>
    <m/>
    <m/>
    <n v="-1.4406098241486949"/>
    <n v="7.8139148636568336"/>
    <n v="9.2609099045113012"/>
    <n v="7.4732730445043893"/>
    <n v="7.5025589337921499"/>
    <m/>
    <m/>
    <m/>
    <m/>
    <m/>
  </r>
  <r>
    <x v="54"/>
    <x v="3"/>
    <x v="1"/>
    <n v="4.6204380369066866"/>
    <n v="7.6"/>
    <n v="5.4453225782144239"/>
    <n v="0.15"/>
    <m/>
    <n v="4.8400446601780001"/>
    <n v="4.6607562532276372"/>
    <n v="4.6495028110275491"/>
    <m/>
    <m/>
    <m/>
    <m/>
    <m/>
    <m/>
    <m/>
    <m/>
    <m/>
    <m/>
    <n v="0.12"/>
    <m/>
    <m/>
    <m/>
    <m/>
    <m/>
    <m/>
    <m/>
    <m/>
    <m/>
    <m/>
    <m/>
    <m/>
    <n v="-1.5236947536567187"/>
    <n v="7.8284363591575854"/>
    <n v="9.2641086011843647"/>
    <n v="7.5136830609174527"/>
    <n v="7.5400818185151373"/>
    <m/>
    <m/>
    <m/>
    <m/>
    <m/>
  </r>
  <r>
    <x v="54"/>
    <x v="4"/>
    <x v="1"/>
    <n v="4.6197523475896771"/>
    <n v="7.5"/>
    <n v="5.4466942672890539"/>
    <n v="0.11"/>
    <m/>
    <n v="4.8447695939335196"/>
    <n v="4.6681355954340349"/>
    <n v="4.6499236421752643"/>
    <m/>
    <m/>
    <m/>
    <m/>
    <m/>
    <m/>
    <m/>
    <m/>
    <m/>
    <m/>
    <n v="0.12"/>
    <m/>
    <m/>
    <m/>
    <m/>
    <m/>
    <m/>
    <m/>
    <m/>
    <m/>
    <m/>
    <m/>
    <m/>
    <n v="-1.2690350452958672"/>
    <n v="7.8328075165248645"/>
    <n v="9.2673065451168508"/>
    <n v="7.5656498231485632"/>
    <n v="7.5908647498714963"/>
    <m/>
    <m/>
    <m/>
    <m/>
    <m/>
  </r>
  <r>
    <x v="54"/>
    <x v="5"/>
    <x v="1"/>
    <n v="4.6216545688976698"/>
    <n v="7.5"/>
    <n v="5.4492471505692226"/>
    <n v="0.09"/>
    <m/>
    <n v="4.8504508923687117"/>
    <n v="4.667628419827702"/>
    <n v="4.65206331382615"/>
    <m/>
    <m/>
    <m/>
    <m/>
    <m/>
    <m/>
    <m/>
    <m/>
    <m/>
    <m/>
    <n v="0.14000000000000001"/>
    <m/>
    <m/>
    <m/>
    <m/>
    <m/>
    <m/>
    <m/>
    <m/>
    <m/>
    <m/>
    <m/>
    <m/>
    <n v="-0.96952668118230312"/>
    <n v="7.8311804997568917"/>
    <n v="9.2722911728518334"/>
    <n v="7.6061904534252243"/>
    <m/>
    <m/>
    <m/>
    <m/>
    <m/>
    <m/>
  </r>
  <r>
    <x v="54"/>
    <x v="6"/>
    <x v="2"/>
    <n v="4.6177754053454869"/>
    <n v="7.3"/>
    <n v="5.4509526129716308"/>
    <n v="0.09"/>
    <m/>
    <n v="4.8528034024709692"/>
    <n v="4.6721557107687142"/>
    <n v="4.6512710228707546"/>
    <m/>
    <m/>
    <m/>
    <m/>
    <m/>
    <m/>
    <m/>
    <m/>
    <m/>
    <m/>
    <n v="0.12"/>
    <m/>
    <m/>
    <m/>
    <m/>
    <m/>
    <m/>
    <m/>
    <m/>
    <m/>
    <m/>
    <m/>
    <m/>
    <n v="-1.5222781030232584"/>
    <n v="7.8423966040688855"/>
    <n v="9.2783821246263134"/>
    <n v="7.6469388355148933"/>
    <m/>
    <m/>
    <m/>
    <m/>
    <m/>
    <m/>
  </r>
  <r>
    <x v="54"/>
    <x v="7"/>
    <x v="2"/>
    <n v="4.6254060527558298"/>
    <n v="7.2"/>
    <n v="5.4528094166732526"/>
    <n v="0.08"/>
    <m/>
    <n v="4.8534979363613155"/>
    <n v="4.6647495558366172"/>
    <n v="4.653341110849385"/>
    <m/>
    <m/>
    <m/>
    <m/>
    <m/>
    <m/>
    <m/>
    <m/>
    <m/>
    <m/>
    <n v="0.13"/>
    <m/>
    <m/>
    <m/>
    <m/>
    <m/>
    <m/>
    <m/>
    <m/>
    <m/>
    <m/>
    <m/>
    <m/>
    <n v="-1.6664105501622908"/>
    <n v="7.847410913161025"/>
    <n v="9.2839160596345014"/>
    <n v="7.6957834563514691"/>
    <m/>
    <m/>
    <m/>
    <m/>
    <m/>
    <m/>
  </r>
  <r>
    <x v="54"/>
    <x v="8"/>
    <x v="2"/>
    <n v="4.6311897227031738"/>
    <n v="7.2"/>
    <n v="5.4543505590501802"/>
    <n v="0.08"/>
    <m/>
    <n v="4.8529439089188857"/>
    <n v="4.6769232446511904"/>
    <n v="4.6560533963026609"/>
    <m/>
    <m/>
    <m/>
    <m/>
    <m/>
    <m/>
    <m/>
    <m/>
    <m/>
    <m/>
    <n v="0.12"/>
    <m/>
    <m/>
    <m/>
    <m/>
    <m/>
    <m/>
    <m/>
    <m/>
    <m/>
    <m/>
    <m/>
    <m/>
    <n v="-1.8023524735056231"/>
    <n v="7.8555834368544479"/>
    <n v="9.2887725526778748"/>
    <n v="7.732404294006062"/>
    <m/>
    <m/>
    <m/>
    <m/>
    <m/>
    <m/>
  </r>
  <r>
    <x v="54"/>
    <x v="9"/>
    <x v="3"/>
    <n v="4.6313582651765195"/>
    <n v="7.2"/>
    <n v="5.4549064995018952"/>
    <n v="0.09"/>
    <m/>
    <n v="4.8592928895922789"/>
    <n v="4.6742670520674174"/>
    <n v="4.6589194619822818"/>
    <m/>
    <m/>
    <m/>
    <m/>
    <m/>
    <m/>
    <m/>
    <m/>
    <m/>
    <m/>
    <n v="0.12"/>
    <m/>
    <m/>
    <m/>
    <m/>
    <m/>
    <m/>
    <m/>
    <m/>
    <m/>
    <m/>
    <m/>
    <m/>
    <n v="-1.8521086191667573"/>
    <n v="7.8709677639656963"/>
    <n v="9.2982963027344159"/>
    <n v="7.7727350321018482"/>
    <m/>
    <m/>
    <m/>
    <m/>
    <m/>
    <m/>
  </r>
  <r>
    <x v="54"/>
    <x v="10"/>
    <x v="3"/>
    <n v="4.6339160365146945"/>
    <n v="7"/>
    <n v="5.4554834953357521"/>
    <n v="0.08"/>
    <m/>
    <n v="4.8698164600744969"/>
    <n v="4.6764205075162577"/>
    <n v="4.6637126416002017"/>
    <m/>
    <m/>
    <m/>
    <m/>
    <m/>
    <m/>
    <m/>
    <m/>
    <m/>
    <m/>
    <n v="0.12"/>
    <m/>
    <m/>
    <m/>
    <m/>
    <m/>
    <m/>
    <m/>
    <m/>
    <m/>
    <m/>
    <m/>
    <m/>
    <n v="-1.9989443972916181"/>
    <n v="7.8717689390653014"/>
    <n v="9.2991567855732775"/>
    <n v="7.8091402702158561"/>
    <m/>
    <m/>
    <m/>
    <m/>
    <m/>
    <m/>
  </r>
  <r>
    <x v="54"/>
    <x v="11"/>
    <x v="3"/>
    <n v="4.6365612891231356"/>
    <n v="6.7"/>
    <n v="5.4582953205000386"/>
    <n v="0.09"/>
    <m/>
    <n v="4.8605330748488615"/>
    <n v="4.6825200404154232"/>
    <n v="4.6652393594540014"/>
    <m/>
    <m/>
    <m/>
    <m/>
    <m/>
    <m/>
    <m/>
    <m/>
    <m/>
    <m/>
    <n v="0.13"/>
    <m/>
    <m/>
    <m/>
    <m/>
    <m/>
    <m/>
    <m/>
    <m/>
    <m/>
    <m/>
    <m/>
    <m/>
    <n v="-2.1332379041263838"/>
    <n v="7.8840115920237261"/>
    <n v="9.3041949474478063"/>
    <n v="7.8181277323439176"/>
    <m/>
    <m/>
    <m/>
    <m/>
    <m/>
    <m/>
  </r>
  <r>
    <x v="55"/>
    <x v="0"/>
    <x v="0"/>
    <n v="4.6347746182565315"/>
    <n v="6.6"/>
    <n v="5.460130046710451"/>
    <n v="7.0000000000000007E-2"/>
    <m/>
    <n v="4.8438484464493694"/>
    <n v="4.670489652108734"/>
    <n v="4.6642029532407818"/>
    <m/>
    <m/>
    <m/>
    <m/>
    <m/>
    <m/>
    <m/>
    <m/>
    <m/>
    <m/>
    <n v="0.12"/>
    <m/>
    <m/>
    <m/>
    <m/>
    <m/>
    <m/>
    <m/>
    <m/>
    <m/>
    <m/>
    <m/>
    <m/>
    <n v="-2.3761256033244917"/>
    <n v="7.8959572863232763"/>
    <n v="9.3092440872906383"/>
    <n v="7.8233069378090789"/>
    <m/>
    <m/>
    <m/>
    <m/>
    <m/>
    <m/>
  </r>
  <r>
    <x v="55"/>
    <x v="1"/>
    <x v="0"/>
    <n v="4.6425420757355367"/>
    <n v="6.7"/>
    <n v="5.4610992614673739"/>
    <n v="7.0000000000000007E-2"/>
    <m/>
    <n v="4.8684340456984181"/>
    <n v="4.6817329996940531"/>
    <n v="4.6662652853479019"/>
    <m/>
    <m/>
    <m/>
    <m/>
    <m/>
    <m/>
    <m/>
    <m/>
    <m/>
    <m/>
    <n v="0.12"/>
    <m/>
    <m/>
    <m/>
    <m/>
    <m/>
    <m/>
    <m/>
    <m/>
    <m/>
    <m/>
    <m/>
    <m/>
    <n v="-2.5422869509421115"/>
    <n v="7.9090854448436927"/>
    <n v="9.3165635154636153"/>
    <n v="7.8609097176820262"/>
    <m/>
    <m/>
    <m/>
    <m/>
    <m/>
    <m/>
  </r>
  <r>
    <x v="55"/>
    <x v="2"/>
    <x v="0"/>
    <n v="4.6507313329644226"/>
    <n v="6.6"/>
    <n v="5.4629415783829565"/>
    <n v="0.08"/>
    <m/>
    <n v="4.8961891847034362"/>
    <n v="4.6840737835835569"/>
    <n v="4.667600235861558"/>
    <m/>
    <m/>
    <m/>
    <m/>
    <m/>
    <m/>
    <m/>
    <m/>
    <m/>
    <m/>
    <n v="0.13"/>
    <m/>
    <m/>
    <m/>
    <m/>
    <m/>
    <m/>
    <m/>
    <m/>
    <m/>
    <m/>
    <m/>
    <m/>
    <n v="-2.6243884377279088"/>
    <n v="7.9187014308976735"/>
    <n v="9.3203958490342291"/>
    <n v="7.8720842733708913"/>
    <m/>
    <m/>
    <m/>
    <m/>
    <m/>
    <m/>
  </r>
  <r>
    <x v="55"/>
    <x v="3"/>
    <x v="1"/>
    <n v="4.6526213588705732"/>
    <n v="6.2"/>
    <n v="5.4648482374356675"/>
    <n v="0.09"/>
    <m/>
    <n v="4.8952992620829239"/>
    <n v="4.6879107895270709"/>
    <n v="4.6699368061091118"/>
    <m/>
    <m/>
    <m/>
    <m/>
    <m/>
    <m/>
    <m/>
    <m/>
    <m/>
    <m/>
    <n v="0.11"/>
    <m/>
    <m/>
    <m/>
    <m/>
    <m/>
    <m/>
    <m/>
    <m/>
    <m/>
    <m/>
    <m/>
    <m/>
    <n v="-2.8917869783974215"/>
    <n v="7.9282979122283237"/>
    <n v="9.3253907885386376"/>
    <n v="7.8862197380714996"/>
    <m/>
    <m/>
    <m/>
    <m/>
    <m/>
    <m/>
  </r>
  <r>
    <x v="55"/>
    <x v="4"/>
    <x v="1"/>
    <n v="4.6563014172441219"/>
    <n v="6.3"/>
    <n v="5.4678491484135971"/>
    <n v="0.09"/>
    <m/>
    <n v="4.9007832250160712"/>
    <n v="4.6840275760655858"/>
    <n v="4.6715850706540696"/>
    <m/>
    <m/>
    <m/>
    <m/>
    <m/>
    <m/>
    <m/>
    <m/>
    <m/>
    <m/>
    <n v="0.1"/>
    <m/>
    <m/>
    <m/>
    <m/>
    <m/>
    <m/>
    <m/>
    <m/>
    <m/>
    <m/>
    <m/>
    <m/>
    <n v="-2.985643605263137"/>
    <n v="7.9330439032314031"/>
    <n v="9.3312296892516358"/>
    <n v="7.8767067698378055"/>
    <m/>
    <m/>
    <m/>
    <m/>
    <m/>
    <m/>
  </r>
  <r>
    <x v="55"/>
    <x v="5"/>
    <x v="1"/>
    <n v="4.6607562532276372"/>
    <n v="6.1"/>
    <n v="5.4695274185872726"/>
    <n v="0.1"/>
    <m/>
    <n v="4.9104613051257298"/>
    <n v="4.6895848611304523"/>
    <n v="4.6746869202349837"/>
    <m/>
    <m/>
    <m/>
    <m/>
    <m/>
    <m/>
    <m/>
    <m/>
    <m/>
    <m/>
    <n v="0.1"/>
    <m/>
    <m/>
    <m/>
    <m/>
    <m/>
    <m/>
    <m/>
    <m/>
    <m/>
    <m/>
    <m/>
    <m/>
    <n v="-2.8885822607113241"/>
    <n v="7.9431437374832115"/>
    <n v="9.3354917501551018"/>
    <n v="7.8892170818919869"/>
    <m/>
    <m/>
    <m/>
    <m/>
    <m/>
    <m/>
  </r>
  <r>
    <x v="55"/>
    <x v="6"/>
    <x v="2"/>
    <n v="4.664196354487852"/>
    <n v="6.2"/>
    <n v="5.4705717523299446"/>
    <n v="0.09"/>
    <m/>
    <n v="4.911617583217887"/>
    <n v="4.690329014736041"/>
    <n v="4.6753583428367911"/>
    <m/>
    <m/>
    <m/>
    <m/>
    <m/>
    <m/>
    <m/>
    <m/>
    <m/>
    <m/>
    <n v="0.11"/>
    <m/>
    <m/>
    <m/>
    <m/>
    <m/>
    <m/>
    <m/>
    <m/>
    <m/>
    <m/>
    <m/>
    <m/>
    <n v="-2.8366979057230814"/>
    <n v="7.952509583747565"/>
    <n v="9.3420701426540766"/>
    <n v="7.9024889164517012"/>
    <m/>
    <m/>
    <m/>
    <m/>
    <m/>
    <m/>
  </r>
  <r>
    <x v="55"/>
    <x v="7"/>
    <x v="2"/>
    <n v="4.6645121031375867"/>
    <n v="6.1"/>
    <n v="5.4697843921562166"/>
    <n v="0.09"/>
    <m/>
    <n v="4.9284703360416184"/>
    <n v="4.6961802243314548"/>
    <n v="4.6801848897935372"/>
    <m/>
    <m/>
    <m/>
    <m/>
    <m/>
    <m/>
    <m/>
    <m/>
    <m/>
    <m/>
    <n v="0.11"/>
    <m/>
    <m/>
    <m/>
    <m/>
    <m/>
    <m/>
    <m/>
    <m/>
    <m/>
    <m/>
    <m/>
    <m/>
    <n v="-2.8925619639076174"/>
    <n v="7.9442084357418601"/>
    <n v="9.345360655652124"/>
    <n v="7.9326733047788318"/>
    <m/>
    <m/>
    <m/>
    <m/>
    <m/>
    <m/>
  </r>
  <r>
    <x v="55"/>
    <x v="8"/>
    <x v="2"/>
    <n v="4.6698112018728963"/>
    <n v="5.9"/>
    <n v="5.4706980091111532"/>
    <n v="0.09"/>
    <m/>
    <n v="4.9208929185953947"/>
    <n v="4.6929795778124994"/>
    <n v="4.683907426525475"/>
    <m/>
    <m/>
    <m/>
    <m/>
    <m/>
    <m/>
    <m/>
    <m/>
    <m/>
    <m/>
    <n v="0.11"/>
    <m/>
    <m/>
    <m/>
    <m/>
    <m/>
    <m/>
    <m/>
    <m/>
    <m/>
    <m/>
    <m/>
    <m/>
    <n v="-2.8051391418383611"/>
    <n v="7.9588216291109752"/>
    <n v="9.348675209565025"/>
    <n v="7.9227265047660769"/>
    <m/>
    <m/>
    <m/>
    <m/>
    <m/>
    <m/>
  </r>
  <r>
    <x v="55"/>
    <x v="9"/>
    <x v="3"/>
    <n v="4.6713913531824405"/>
    <n v="5.7"/>
    <n v="5.4712323196424197"/>
    <n v="0.09"/>
    <m/>
    <n v="4.9260573176209581"/>
    <n v="4.6973208342707471"/>
    <n v="4.688076481983841"/>
    <m/>
    <m/>
    <m/>
    <m/>
    <m/>
    <m/>
    <m/>
    <m/>
    <m/>
    <m/>
    <n v="0.1"/>
    <m/>
    <m/>
    <m/>
    <m/>
    <m/>
    <m/>
    <m/>
    <m/>
    <m/>
    <m/>
    <m/>
    <m/>
    <n v="-2.8017096305478688"/>
    <n v="7.9612307219787173"/>
    <n v="9.3522651910376187"/>
    <n v="7.903104110885848"/>
    <m/>
    <m/>
    <m/>
    <m/>
    <m/>
    <m/>
  </r>
  <r>
    <x v="55"/>
    <x v="10"/>
    <x v="3"/>
    <n v="4.6802739478928732"/>
    <n v="5.8"/>
    <n v="5.4683428016048374"/>
    <n v="0.09"/>
    <m/>
    <n v="4.9414852674039293"/>
    <n v="4.7024057837123703"/>
    <n v="4.690227989328065"/>
    <m/>
    <m/>
    <m/>
    <m/>
    <m/>
    <m/>
    <m/>
    <m/>
    <m/>
    <m/>
    <n v="0.13"/>
    <m/>
    <m/>
    <m/>
    <m/>
    <m/>
    <m/>
    <m/>
    <m/>
    <m/>
    <m/>
    <m/>
    <m/>
    <n v="-2.7683444314271615"/>
    <n v="7.9667601130554671"/>
    <n v="9.3559806551757827"/>
    <n v="7.8318467061649644"/>
    <m/>
    <m/>
    <m/>
    <m/>
    <m/>
    <m/>
  </r>
  <r>
    <x v="55"/>
    <x v="11"/>
    <x v="3"/>
    <n v="4.6813049599335566"/>
    <n v="5.6"/>
    <n v="5.465034471362948"/>
    <n v="0.12"/>
    <m/>
    <n v="4.9380502642410828"/>
    <n v="4.7030044503364463"/>
    <n v="4.6930345324291594"/>
    <m/>
    <m/>
    <m/>
    <m/>
    <m/>
    <m/>
    <m/>
    <m/>
    <m/>
    <m/>
    <n v="0.21"/>
    <m/>
    <m/>
    <m/>
    <m/>
    <m/>
    <m/>
    <m/>
    <m/>
    <m/>
    <m/>
    <m/>
    <m/>
    <n v="-2.4207480028736268"/>
    <n v="7.9787565339420645"/>
    <n v="9.3615839731992754"/>
    <n v="7.8658403325132698"/>
    <m/>
    <m/>
    <m/>
    <m/>
    <m/>
    <m/>
  </r>
  <r>
    <x v="56"/>
    <x v="0"/>
    <x v="0"/>
    <n v="4.6784234358278862"/>
    <n v="5.7"/>
    <n v="5.4582101006113692"/>
    <n v="0.11"/>
    <m/>
    <n v="4.9378136737243912"/>
    <n v="4.7016978062291575"/>
    <n v="4.6944165635022861"/>
    <m/>
    <m/>
    <m/>
    <m/>
    <m/>
    <m/>
    <m/>
    <m/>
    <m/>
    <m/>
    <n v="0.2"/>
    <m/>
    <m/>
    <m/>
    <m/>
    <m/>
    <m/>
    <m/>
    <m/>
    <m/>
    <m/>
    <m/>
    <m/>
    <n v="-2.2687550625078954"/>
    <n v="7.9847352675231331"/>
    <n v="9.3680532709887956"/>
    <n v="7.8949550719454136"/>
    <m/>
    <m/>
    <m/>
    <m/>
    <m/>
    <m/>
  </r>
  <r>
    <x v="56"/>
    <x v="1"/>
    <x v="0"/>
    <n v="4.6769027677059034"/>
    <n v="5.5"/>
    <n v="5.4603766904433355"/>
    <n v="0.11"/>
    <m/>
    <n v="4.9316930917556361"/>
    <n v="4.6986787438457878"/>
    <n v="4.6968556225226017"/>
    <m/>
    <m/>
    <m/>
    <m/>
    <m/>
    <m/>
    <m/>
    <m/>
    <m/>
    <m/>
    <n v="0.22"/>
    <m/>
    <m/>
    <m/>
    <m/>
    <m/>
    <m/>
    <m/>
    <m/>
    <m/>
    <m/>
    <m/>
    <m/>
    <n v="-1.9736478336880323"/>
    <n v="8.0056339652964947"/>
    <n v="9.3781995171065748"/>
    <n v="7.8227924254463295"/>
    <m/>
    <m/>
    <m/>
    <m/>
    <m/>
    <m/>
  </r>
  <r>
    <x v="56"/>
    <x v="2"/>
    <x v="0"/>
    <n v="4.6750450683890321"/>
    <n v="5.5"/>
    <n v="5.4627295027984237"/>
    <n v="0.11"/>
    <m/>
    <n v="4.9507012670976502"/>
    <n v="4.7075281986416613"/>
    <n v="4.69537645387424"/>
    <m/>
    <m/>
    <m/>
    <m/>
    <m/>
    <m/>
    <m/>
    <m/>
    <m/>
    <m/>
    <n v="0.25"/>
    <m/>
    <m/>
    <m/>
    <m/>
    <m/>
    <m/>
    <m/>
    <m/>
    <m/>
    <m/>
    <m/>
    <m/>
    <n v="-1.808445105124542"/>
    <n v="8.0039646830339368"/>
    <n v="9.3800240730885154"/>
    <n v="7.8917801704977588"/>
    <m/>
    <m/>
    <m/>
    <m/>
    <m/>
    <m/>
  </r>
  <r>
    <x v="56"/>
    <x v="3"/>
    <x v="1"/>
    <n v="4.6733884909091294"/>
    <n v="5.4"/>
    <n v="5.4637555309303742"/>
    <n v="0.12"/>
    <m/>
    <n v="4.9531897802235072"/>
    <n v="4.7055764495807786"/>
    <n v="4.6996982418313769"/>
    <m/>
    <m/>
    <m/>
    <m/>
    <m/>
    <m/>
    <m/>
    <m/>
    <m/>
    <m/>
    <n v="0.23"/>
    <m/>
    <m/>
    <m/>
    <m/>
    <m/>
    <m/>
    <m/>
    <m/>
    <m/>
    <m/>
    <m/>
    <m/>
    <n v="-1.5949531795239589"/>
    <n v="8.0065675476529137"/>
    <n v="9.3843188888658862"/>
    <n v="7.9006217926043663"/>
    <m/>
    <m/>
    <m/>
    <m/>
    <m/>
    <m/>
  </r>
  <r>
    <x v="56"/>
    <x v="4"/>
    <x v="1"/>
    <n v="4.6696949570311306"/>
    <n v="5.5"/>
    <n v="5.4681909342691002"/>
    <n v="0.12"/>
    <m/>
    <n v="4.9674702790681824"/>
    <n v="4.715736129865685"/>
    <n v="4.7022878222674782"/>
    <m/>
    <m/>
    <m/>
    <m/>
    <m/>
    <m/>
    <m/>
    <m/>
    <m/>
    <m/>
    <n v="0.24"/>
    <m/>
    <m/>
    <m/>
    <m/>
    <m/>
    <m/>
    <m/>
    <m/>
    <m/>
    <m/>
    <m/>
    <m/>
    <n v="-1.433637128784105"/>
    <n v="8.0015895041971472"/>
    <n v="9.3869204781410236"/>
    <n v="7.8572327871408962"/>
    <m/>
    <m/>
    <m/>
    <m/>
    <m/>
    <m/>
  </r>
  <r>
    <x v="56"/>
    <x v="5"/>
    <x v="1"/>
    <n v="4.6694014724339175"/>
    <n v="5.3"/>
    <n v="5.4713711095210753"/>
    <n v="0.13"/>
    <m/>
    <n v="4.957361091636761"/>
    <n v="4.717909411883741"/>
    <n v="4.7043456133618937"/>
    <m/>
    <m/>
    <m/>
    <m/>
    <m/>
    <m/>
    <m/>
    <m/>
    <m/>
    <m/>
    <n v="0.28000000000000003"/>
    <m/>
    <m/>
    <m/>
    <m/>
    <m/>
    <m/>
    <m/>
    <m/>
    <m/>
    <m/>
    <m/>
    <m/>
    <n v="-1.3878834770410342"/>
    <n v="8.0095624585467657"/>
    <n v="9.3903592797074609"/>
    <n v="7.8450784698346698"/>
    <m/>
    <m/>
    <m/>
    <m/>
    <m/>
    <m/>
  </r>
  <r>
    <x v="56"/>
    <x v="6"/>
    <x v="2"/>
    <n v="4.6770098016511232"/>
    <n v="5.3"/>
    <n v="5.4726865535679954"/>
    <n v="0.13"/>
    <m/>
    <n v="4.9699591222766868"/>
    <n v="4.7203097306990571"/>
    <n v="4.7052326919446177"/>
    <m/>
    <m/>
    <m/>
    <m/>
    <m/>
    <m/>
    <m/>
    <m/>
    <m/>
    <m/>
    <n v="0.3"/>
    <m/>
    <m/>
    <m/>
    <m/>
    <m/>
    <m/>
    <m/>
    <m/>
    <m/>
    <m/>
    <m/>
    <m/>
    <n v="-1.2799435565376225"/>
    <n v="8.0203690872860598"/>
    <n v="9.3964547270088339"/>
    <n v="7.8597378124112733"/>
    <m/>
    <m/>
    <m/>
    <m/>
    <m/>
    <m/>
  </r>
  <r>
    <x v="56"/>
    <x v="7"/>
    <x v="2"/>
    <n v="4.6755401089043627"/>
    <n v="5.0999999999999996"/>
    <n v="5.4719807156713296"/>
    <n v="0.14000000000000001"/>
    <m/>
    <n v="4.9754639710848148"/>
    <n v="4.7237617835590582"/>
    <n v="4.7087551262444673"/>
    <m/>
    <m/>
    <m/>
    <m/>
    <m/>
    <m/>
    <m/>
    <m/>
    <m/>
    <m/>
    <n v="0.38"/>
    <m/>
    <m/>
    <m/>
    <m/>
    <m/>
    <m/>
    <m/>
    <m/>
    <m/>
    <m/>
    <m/>
    <m/>
    <n v="-0.91556597816121155"/>
    <n v="8.0262355522877122"/>
    <n v="9.4026370117922156"/>
    <n v="7.8664397615204562"/>
    <m/>
    <m/>
    <m/>
    <m/>
    <m/>
    <m/>
  </r>
  <r>
    <x v="56"/>
    <x v="8"/>
    <x v="2"/>
    <n v="4.673685476784871"/>
    <n v="5.0999999999999996"/>
    <n v="5.4704454796059476"/>
    <n v="0.14000000000000001"/>
    <m/>
    <n v="4.9815085318453258"/>
    <n v="4.7207463438355735"/>
    <n v="4.7117889097699956"/>
    <m/>
    <m/>
    <m/>
    <m/>
    <m/>
    <m/>
    <m/>
    <m/>
    <m/>
    <m/>
    <n v="0.37"/>
    <m/>
    <m/>
    <m/>
    <m/>
    <m/>
    <m/>
    <m/>
    <m/>
    <m/>
    <m/>
    <m/>
    <m/>
    <n v="-0.7392731258776446"/>
    <n v="8.02319190804055"/>
    <n v="9.4081579101442347"/>
    <n v="7.8800323158227155"/>
    <m/>
    <m/>
    <m/>
    <m/>
    <m/>
    <m/>
  </r>
  <r>
    <x v="56"/>
    <x v="9"/>
    <x v="3"/>
    <m/>
    <m/>
    <m/>
    <m/>
    <m/>
    <m/>
    <m/>
    <m/>
    <m/>
    <m/>
    <m/>
    <m/>
    <m/>
    <m/>
    <m/>
    <m/>
    <m/>
    <m/>
    <n v="0.26"/>
    <m/>
    <m/>
    <m/>
    <m/>
    <m/>
    <m/>
    <m/>
    <m/>
    <m/>
    <m/>
    <m/>
    <m/>
    <n v="-0.53065731410348427"/>
    <n v="8.0181314345704884"/>
    <n v="9.4092240170691159"/>
    <n v="7.8891567432497718"/>
    <m/>
    <m/>
    <m/>
    <m/>
    <m/>
    <m/>
  </r>
  <r>
    <x v="56"/>
    <x v="10"/>
    <x v="3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</r>
  <r>
    <x v="56"/>
    <x v="11"/>
    <x v="3"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636BB-0ED1-4871-9C73-804BF619D9F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232" firstHeaderRow="0" firstDataRow="1" firstDataCol="2"/>
  <pivotFields count="44">
    <pivotField axis="axisRow" compact="0" outline="0" showAll="0" defaultSubtota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2"/>
  </rowFields>
  <rowItems count="229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r="1">
      <x v="3"/>
    </i>
    <i>
      <x v="6"/>
      <x/>
    </i>
    <i r="1">
      <x v="1"/>
    </i>
    <i r="1">
      <x v="2"/>
    </i>
    <i r="1">
      <x v="3"/>
    </i>
    <i>
      <x v="7"/>
      <x/>
    </i>
    <i r="1">
      <x v="1"/>
    </i>
    <i r="1">
      <x v="2"/>
    </i>
    <i r="1">
      <x v="3"/>
    </i>
    <i>
      <x v="8"/>
      <x/>
    </i>
    <i r="1">
      <x v="1"/>
    </i>
    <i r="1">
      <x v="2"/>
    </i>
    <i r="1">
      <x v="3"/>
    </i>
    <i>
      <x v="9"/>
      <x/>
    </i>
    <i r="1">
      <x v="1"/>
    </i>
    <i r="1">
      <x v="2"/>
    </i>
    <i r="1">
      <x v="3"/>
    </i>
    <i>
      <x v="10"/>
      <x/>
    </i>
    <i r="1">
      <x v="1"/>
    </i>
    <i r="1">
      <x v="2"/>
    </i>
    <i r="1">
      <x v="3"/>
    </i>
    <i>
      <x v="11"/>
      <x/>
    </i>
    <i r="1">
      <x v="1"/>
    </i>
    <i r="1">
      <x v="2"/>
    </i>
    <i r="1">
      <x v="3"/>
    </i>
    <i>
      <x v="12"/>
      <x/>
    </i>
    <i r="1">
      <x v="1"/>
    </i>
    <i r="1">
      <x v="2"/>
    </i>
    <i r="1">
      <x v="3"/>
    </i>
    <i>
      <x v="13"/>
      <x/>
    </i>
    <i r="1">
      <x v="1"/>
    </i>
    <i r="1">
      <x v="2"/>
    </i>
    <i r="1">
      <x v="3"/>
    </i>
    <i>
      <x v="14"/>
      <x/>
    </i>
    <i r="1">
      <x v="1"/>
    </i>
    <i r="1">
      <x v="2"/>
    </i>
    <i r="1">
      <x v="3"/>
    </i>
    <i>
      <x v="15"/>
      <x/>
    </i>
    <i r="1">
      <x v="1"/>
    </i>
    <i r="1">
      <x v="2"/>
    </i>
    <i r="1">
      <x v="3"/>
    </i>
    <i>
      <x v="16"/>
      <x/>
    </i>
    <i r="1">
      <x v="1"/>
    </i>
    <i r="1">
      <x v="2"/>
    </i>
    <i r="1">
      <x v="3"/>
    </i>
    <i>
      <x v="17"/>
      <x/>
    </i>
    <i r="1">
      <x v="1"/>
    </i>
    <i r="1">
      <x v="2"/>
    </i>
    <i r="1">
      <x v="3"/>
    </i>
    <i>
      <x v="18"/>
      <x/>
    </i>
    <i r="1">
      <x v="1"/>
    </i>
    <i r="1">
      <x v="2"/>
    </i>
    <i r="1">
      <x v="3"/>
    </i>
    <i>
      <x v="19"/>
      <x/>
    </i>
    <i r="1">
      <x v="1"/>
    </i>
    <i r="1">
      <x v="2"/>
    </i>
    <i r="1">
      <x v="3"/>
    </i>
    <i>
      <x v="20"/>
      <x/>
    </i>
    <i r="1">
      <x v="1"/>
    </i>
    <i r="1">
      <x v="2"/>
    </i>
    <i r="1">
      <x v="3"/>
    </i>
    <i>
      <x v="21"/>
      <x/>
    </i>
    <i r="1">
      <x v="1"/>
    </i>
    <i r="1">
      <x v="2"/>
    </i>
    <i r="1">
      <x v="3"/>
    </i>
    <i>
      <x v="22"/>
      <x/>
    </i>
    <i r="1">
      <x v="1"/>
    </i>
    <i r="1">
      <x v="2"/>
    </i>
    <i r="1">
      <x v="3"/>
    </i>
    <i>
      <x v="23"/>
      <x/>
    </i>
    <i r="1">
      <x v="1"/>
    </i>
    <i r="1">
      <x v="2"/>
    </i>
    <i r="1">
      <x v="3"/>
    </i>
    <i>
      <x v="24"/>
      <x/>
    </i>
    <i r="1">
      <x v="1"/>
    </i>
    <i r="1">
      <x v="2"/>
    </i>
    <i r="1">
      <x v="3"/>
    </i>
    <i>
      <x v="25"/>
      <x/>
    </i>
    <i r="1">
      <x v="1"/>
    </i>
    <i r="1">
      <x v="2"/>
    </i>
    <i r="1">
      <x v="3"/>
    </i>
    <i>
      <x v="26"/>
      <x/>
    </i>
    <i r="1">
      <x v="1"/>
    </i>
    <i r="1">
      <x v="2"/>
    </i>
    <i r="1">
      <x v="3"/>
    </i>
    <i>
      <x v="27"/>
      <x/>
    </i>
    <i r="1">
      <x v="1"/>
    </i>
    <i r="1">
      <x v="2"/>
    </i>
    <i r="1">
      <x v="3"/>
    </i>
    <i>
      <x v="28"/>
      <x/>
    </i>
    <i r="1">
      <x v="1"/>
    </i>
    <i r="1">
      <x v="2"/>
    </i>
    <i r="1">
      <x v="3"/>
    </i>
    <i>
      <x v="29"/>
      <x/>
    </i>
    <i r="1">
      <x v="1"/>
    </i>
    <i r="1">
      <x v="2"/>
    </i>
    <i r="1">
      <x v="3"/>
    </i>
    <i>
      <x v="30"/>
      <x/>
    </i>
    <i r="1">
      <x v="1"/>
    </i>
    <i r="1">
      <x v="2"/>
    </i>
    <i r="1">
      <x v="3"/>
    </i>
    <i>
      <x v="31"/>
      <x/>
    </i>
    <i r="1">
      <x v="1"/>
    </i>
    <i r="1">
      <x v="2"/>
    </i>
    <i r="1">
      <x v="3"/>
    </i>
    <i>
      <x v="32"/>
      <x/>
    </i>
    <i r="1">
      <x v="1"/>
    </i>
    <i r="1">
      <x v="2"/>
    </i>
    <i r="1">
      <x v="3"/>
    </i>
    <i>
      <x v="33"/>
      <x/>
    </i>
    <i r="1">
      <x v="1"/>
    </i>
    <i r="1">
      <x v="2"/>
    </i>
    <i r="1">
      <x v="3"/>
    </i>
    <i>
      <x v="34"/>
      <x/>
    </i>
    <i r="1">
      <x v="1"/>
    </i>
    <i r="1">
      <x v="2"/>
    </i>
    <i r="1">
      <x v="3"/>
    </i>
    <i>
      <x v="35"/>
      <x/>
    </i>
    <i r="1">
      <x v="1"/>
    </i>
    <i r="1">
      <x v="2"/>
    </i>
    <i r="1">
      <x v="3"/>
    </i>
    <i>
      <x v="36"/>
      <x/>
    </i>
    <i r="1">
      <x v="1"/>
    </i>
    <i r="1">
      <x v="2"/>
    </i>
    <i r="1">
      <x v="3"/>
    </i>
    <i>
      <x v="37"/>
      <x/>
    </i>
    <i r="1">
      <x v="1"/>
    </i>
    <i r="1">
      <x v="2"/>
    </i>
    <i r="1">
      <x v="3"/>
    </i>
    <i>
      <x v="38"/>
      <x/>
    </i>
    <i r="1">
      <x v="1"/>
    </i>
    <i r="1">
      <x v="2"/>
    </i>
    <i r="1">
      <x v="3"/>
    </i>
    <i>
      <x v="39"/>
      <x/>
    </i>
    <i r="1">
      <x v="1"/>
    </i>
    <i r="1">
      <x v="2"/>
    </i>
    <i r="1">
      <x v="3"/>
    </i>
    <i>
      <x v="40"/>
      <x/>
    </i>
    <i r="1">
      <x v="1"/>
    </i>
    <i r="1">
      <x v="2"/>
    </i>
    <i r="1">
      <x v="3"/>
    </i>
    <i>
      <x v="41"/>
      <x/>
    </i>
    <i r="1">
      <x v="1"/>
    </i>
    <i r="1">
      <x v="2"/>
    </i>
    <i r="1">
      <x v="3"/>
    </i>
    <i>
      <x v="42"/>
      <x/>
    </i>
    <i r="1">
      <x v="1"/>
    </i>
    <i r="1">
      <x v="2"/>
    </i>
    <i r="1">
      <x v="3"/>
    </i>
    <i>
      <x v="43"/>
      <x/>
    </i>
    <i r="1">
      <x v="1"/>
    </i>
    <i r="1">
      <x v="2"/>
    </i>
    <i r="1">
      <x v="3"/>
    </i>
    <i>
      <x v="44"/>
      <x/>
    </i>
    <i r="1">
      <x v="1"/>
    </i>
    <i r="1">
      <x v="2"/>
    </i>
    <i r="1">
      <x v="3"/>
    </i>
    <i>
      <x v="45"/>
      <x/>
    </i>
    <i r="1">
      <x v="1"/>
    </i>
    <i r="1">
      <x v="2"/>
    </i>
    <i r="1">
      <x v="3"/>
    </i>
    <i>
      <x v="46"/>
      <x/>
    </i>
    <i r="1">
      <x v="1"/>
    </i>
    <i r="1">
      <x v="2"/>
    </i>
    <i r="1">
      <x v="3"/>
    </i>
    <i>
      <x v="47"/>
      <x/>
    </i>
    <i r="1">
      <x v="1"/>
    </i>
    <i r="1">
      <x v="2"/>
    </i>
    <i r="1">
      <x v="3"/>
    </i>
    <i>
      <x v="48"/>
      <x/>
    </i>
    <i r="1">
      <x v="1"/>
    </i>
    <i r="1">
      <x v="2"/>
    </i>
    <i r="1">
      <x v="3"/>
    </i>
    <i>
      <x v="49"/>
      <x/>
    </i>
    <i r="1">
      <x v="1"/>
    </i>
    <i r="1">
      <x v="2"/>
    </i>
    <i r="1">
      <x v="3"/>
    </i>
    <i>
      <x v="50"/>
      <x/>
    </i>
    <i r="1">
      <x v="1"/>
    </i>
    <i r="1">
      <x v="2"/>
    </i>
    <i r="1">
      <x v="3"/>
    </i>
    <i>
      <x v="51"/>
      <x/>
    </i>
    <i r="1">
      <x v="1"/>
    </i>
    <i r="1">
      <x v="2"/>
    </i>
    <i r="1">
      <x v="3"/>
    </i>
    <i>
      <x v="52"/>
      <x/>
    </i>
    <i r="1">
      <x v="1"/>
    </i>
    <i r="1">
      <x v="2"/>
    </i>
    <i r="1">
      <x v="3"/>
    </i>
    <i>
      <x v="53"/>
      <x/>
    </i>
    <i r="1">
      <x v="1"/>
    </i>
    <i r="1">
      <x v="2"/>
    </i>
    <i r="1">
      <x v="3"/>
    </i>
    <i>
      <x v="54"/>
      <x/>
    </i>
    <i r="1">
      <x v="1"/>
    </i>
    <i r="1">
      <x v="2"/>
    </i>
    <i r="1">
      <x v="3"/>
    </i>
    <i>
      <x v="55"/>
      <x/>
    </i>
    <i r="1">
      <x v="1"/>
    </i>
    <i r="1">
      <x v="2"/>
    </i>
    <i r="1">
      <x v="3"/>
    </i>
    <i>
      <x v="56"/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RRSHOCK" fld="11" subtotal="average" baseField="2" baseItem="1"/>
    <dataField name="Promedio de BCSHOCK" fld="14" subtotal="average" baseField="2" baseItem="1"/>
    <dataField name="Promedio de MP1_TC" fld="16" subtotal="average" baseField="2" baseItem="1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6B61-A21D-43F5-B2B6-CAF9B10E131B}">
  <dimension ref="A1:Y221"/>
  <sheetViews>
    <sheetView tabSelected="1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Y109" sqref="Y109:Y203"/>
    </sheetView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3" t="s">
        <v>53</v>
      </c>
      <c r="S1" t="s">
        <v>54</v>
      </c>
      <c r="T1" s="4" t="s">
        <v>67</v>
      </c>
      <c r="U1" t="s">
        <v>68</v>
      </c>
      <c r="V1" t="s">
        <v>69</v>
      </c>
      <c r="W1" t="s">
        <v>80</v>
      </c>
      <c r="X1" t="s">
        <v>83</v>
      </c>
      <c r="Y1" t="s">
        <v>85</v>
      </c>
    </row>
    <row r="2" spans="1:25" x14ac:dyDescent="0.25">
      <c r="A2" s="1">
        <v>22647</v>
      </c>
      <c r="B2">
        <v>-0.16754781469999999</v>
      </c>
      <c r="C2">
        <v>-0.49770634699999999</v>
      </c>
      <c r="H2" s="2">
        <v>-0.38839475891417702</v>
      </c>
      <c r="I2" s="2">
        <v>-3.7447329610586166E-2</v>
      </c>
      <c r="J2" s="2">
        <v>-1.3386848382651806E-2</v>
      </c>
      <c r="K2" s="2">
        <v>-0.30939196336227698</v>
      </c>
      <c r="L2" s="2">
        <v>-0.88242795984997902</v>
      </c>
      <c r="M2" s="2">
        <v>0.40874744399544</v>
      </c>
      <c r="N2" s="2">
        <v>1.1976828477722199</v>
      </c>
      <c r="O2" s="2">
        <v>1.2185999999999999</v>
      </c>
      <c r="P2" s="2">
        <v>1.1174999999999999</v>
      </c>
      <c r="Q2" s="2">
        <v>0.22650000000000001</v>
      </c>
      <c r="R2">
        <v>2</v>
      </c>
      <c r="S2">
        <v>-0.217608188329207</v>
      </c>
      <c r="T2">
        <v>0</v>
      </c>
      <c r="U2">
        <v>0</v>
      </c>
      <c r="V2">
        <v>0</v>
      </c>
    </row>
    <row r="3" spans="1:25" x14ac:dyDescent="0.25">
      <c r="A3" s="1">
        <v>22737</v>
      </c>
      <c r="B3">
        <v>-1.2308380009</v>
      </c>
      <c r="C3">
        <v>-2.0486322100000001</v>
      </c>
      <c r="H3" s="2">
        <v>0.43328991240130599</v>
      </c>
      <c r="I3" s="2">
        <v>-0.10418499261140823</v>
      </c>
      <c r="J3" s="2">
        <v>-2.9122084379196167E-2</v>
      </c>
      <c r="K3" s="2">
        <v>-0.188159584076946</v>
      </c>
      <c r="L3" s="2">
        <v>-0.52672564795660903</v>
      </c>
      <c r="M3" s="2">
        <v>-6.2923451814311096E-2</v>
      </c>
      <c r="N3" s="2">
        <v>0.52190100465494904</v>
      </c>
      <c r="O3" s="2">
        <v>-1.2696000000000001</v>
      </c>
      <c r="P3" s="2">
        <v>-5.4584999999999999</v>
      </c>
      <c r="Q3" s="2">
        <v>0.60880000000000001</v>
      </c>
      <c r="R3">
        <v>0</v>
      </c>
      <c r="S3">
        <v>-0.37902270858926401</v>
      </c>
      <c r="T3">
        <v>0</v>
      </c>
      <c r="U3">
        <v>0</v>
      </c>
      <c r="V3">
        <v>0</v>
      </c>
    </row>
    <row r="4" spans="1:25" x14ac:dyDescent="0.25">
      <c r="A4" s="1">
        <v>22828</v>
      </c>
      <c r="B4">
        <v>-0.29228118250000001</v>
      </c>
      <c r="C4">
        <v>2.4419690090000001</v>
      </c>
      <c r="H4" s="2">
        <v>1.10995459528069</v>
      </c>
      <c r="I4" s="2">
        <v>-4.8486262559890747E-2</v>
      </c>
      <c r="J4" s="2">
        <v>-7.9175028949975967E-3</v>
      </c>
      <c r="K4" s="2">
        <v>1.0084220194798501</v>
      </c>
      <c r="L4" s="2">
        <v>-0.75991085477584497</v>
      </c>
      <c r="M4" s="2">
        <v>0.26203595031936</v>
      </c>
      <c r="N4" s="2">
        <v>1.3440163878418501</v>
      </c>
      <c r="O4" s="2">
        <v>1.0760000000000001</v>
      </c>
      <c r="P4" s="2">
        <v>-1.0591999999999999</v>
      </c>
      <c r="Q4" s="2">
        <v>-2.2700000000000001E-2</v>
      </c>
      <c r="R4">
        <v>0</v>
      </c>
      <c r="S4">
        <v>-0.24413931936873201</v>
      </c>
      <c r="T4">
        <v>-0.228813559</v>
      </c>
      <c r="U4">
        <v>-0.23148148099999999</v>
      </c>
      <c r="V4">
        <v>-0.68644067799999997</v>
      </c>
    </row>
    <row r="5" spans="1:25" x14ac:dyDescent="0.25">
      <c r="A5" s="1">
        <v>22920</v>
      </c>
      <c r="B5">
        <v>-1.6223220011999999</v>
      </c>
      <c r="C5">
        <v>-2.1015990580000001</v>
      </c>
      <c r="H5" s="2">
        <v>1.34189353531684</v>
      </c>
      <c r="I5" s="2">
        <v>3.0249997973442078E-2</v>
      </c>
      <c r="J5" s="2">
        <v>1.3076683506369591E-2</v>
      </c>
      <c r="K5" s="2">
        <v>0.44258019857742797</v>
      </c>
      <c r="L5" s="2">
        <v>1.53568703958298</v>
      </c>
      <c r="M5" s="2">
        <v>1.4885033397443299</v>
      </c>
      <c r="N5" s="2">
        <v>-0.13494135284338199</v>
      </c>
      <c r="O5" s="2">
        <v>0.24390000000000001</v>
      </c>
      <c r="P5" s="2">
        <v>-4.1729000000000003</v>
      </c>
      <c r="Q5" s="2">
        <v>0.61180000000000001</v>
      </c>
      <c r="R5">
        <v>0</v>
      </c>
      <c r="S5">
        <v>-6.6219849795604003E-4</v>
      </c>
      <c r="T5">
        <v>-0.15169391500000001</v>
      </c>
      <c r="U5">
        <v>-0.152538436</v>
      </c>
      <c r="V5">
        <v>-0.15168999999999999</v>
      </c>
    </row>
    <row r="6" spans="1:25" x14ac:dyDescent="0.25">
      <c r="A6" s="1">
        <v>23012</v>
      </c>
      <c r="B6">
        <v>0.85148657839999997</v>
      </c>
      <c r="C6">
        <v>0.72464601500000003</v>
      </c>
      <c r="H6" s="2">
        <v>2.6744609215220198E-2</v>
      </c>
      <c r="I6" s="2">
        <v>7.099837064743042E-2</v>
      </c>
      <c r="J6" s="2">
        <v>1.8690606579184532E-2</v>
      </c>
      <c r="K6" s="2">
        <v>-1.90571448083265</v>
      </c>
      <c r="L6" s="2">
        <v>-0.29812973681598898</v>
      </c>
      <c r="M6" s="2">
        <v>-0.43167863217283697</v>
      </c>
      <c r="N6" s="2">
        <v>9.60635218140235E-2</v>
      </c>
      <c r="O6" s="2">
        <v>0.184</v>
      </c>
      <c r="P6" s="2">
        <v>4.8788999999999998</v>
      </c>
      <c r="Q6" s="2">
        <v>0.15</v>
      </c>
      <c r="R6">
        <v>0</v>
      </c>
      <c r="S6">
        <v>0.75692088662160595</v>
      </c>
      <c r="T6">
        <v>0.43160690600000001</v>
      </c>
      <c r="U6">
        <v>0.10155064900000001</v>
      </c>
      <c r="V6">
        <v>0.54781000000000002</v>
      </c>
    </row>
    <row r="7" spans="1:25" x14ac:dyDescent="0.25">
      <c r="A7" s="1">
        <v>23102</v>
      </c>
      <c r="B7">
        <v>0.51938932729999998</v>
      </c>
      <c r="C7">
        <v>-0.78760610399999997</v>
      </c>
      <c r="H7" s="2">
        <v>-3.11408542307978E-2</v>
      </c>
      <c r="I7" s="2">
        <v>2.550668828189373E-2</v>
      </c>
      <c r="J7" s="2">
        <v>7.7001079916954041E-3</v>
      </c>
      <c r="K7" s="2">
        <v>-1.1582526114054199</v>
      </c>
      <c r="L7" s="2">
        <v>-0.319119102476079</v>
      </c>
      <c r="M7" s="2">
        <v>-1.4239094091200999</v>
      </c>
      <c r="N7" s="2">
        <v>-0.113516360120854</v>
      </c>
      <c r="O7" s="2">
        <v>0.23469999999999999</v>
      </c>
      <c r="P7" s="2">
        <v>-3.2387999999999999</v>
      </c>
      <c r="Q7" s="2">
        <v>-0.46850000000000003</v>
      </c>
      <c r="R7">
        <v>0</v>
      </c>
      <c r="S7">
        <v>-1.6992944969196001E-2</v>
      </c>
      <c r="T7">
        <v>0</v>
      </c>
      <c r="U7">
        <v>0</v>
      </c>
      <c r="V7">
        <v>0</v>
      </c>
    </row>
    <row r="8" spans="1:25" x14ac:dyDescent="0.25">
      <c r="A8" s="1">
        <v>23193</v>
      </c>
      <c r="B8">
        <v>-2.9161409694999998</v>
      </c>
      <c r="C8">
        <v>-1.9098074999999999E-2</v>
      </c>
      <c r="H8" s="2">
        <v>1.3322144768049</v>
      </c>
      <c r="I8" s="2">
        <v>-1.9038975238800049E-2</v>
      </c>
      <c r="J8" s="2">
        <v>-9.4327627448365092E-4</v>
      </c>
      <c r="K8" s="2">
        <v>0.52506965071243905</v>
      </c>
      <c r="L8" s="2">
        <v>0.43390781953201502</v>
      </c>
      <c r="M8" s="2">
        <v>0.28533824420026799</v>
      </c>
      <c r="N8" s="2">
        <v>1.45192989698069</v>
      </c>
      <c r="O8" s="2">
        <v>0.97850000000000004</v>
      </c>
      <c r="P8" s="2">
        <v>0.36130000000000001</v>
      </c>
      <c r="Q8" s="2">
        <v>0.45</v>
      </c>
      <c r="R8">
        <v>-7.1</v>
      </c>
      <c r="S8">
        <v>-1.0414809277658099</v>
      </c>
      <c r="T8">
        <v>0</v>
      </c>
      <c r="U8">
        <v>0</v>
      </c>
      <c r="V8">
        <v>0</v>
      </c>
    </row>
    <row r="9" spans="1:25" x14ac:dyDescent="0.25">
      <c r="A9" s="1">
        <v>23285</v>
      </c>
      <c r="B9">
        <v>0.87521747729999999</v>
      </c>
      <c r="C9">
        <v>-0.241701047</v>
      </c>
      <c r="H9" s="2">
        <v>-0.241565839982054</v>
      </c>
      <c r="I9" s="2">
        <v>2.1606979891657829E-2</v>
      </c>
      <c r="J9" s="2">
        <v>4.003454465419054E-3</v>
      </c>
      <c r="K9" s="2">
        <v>0.24988154667460599</v>
      </c>
      <c r="L9" s="2">
        <v>-0.15170575883093601</v>
      </c>
      <c r="M9" s="2">
        <v>-0.50074406693263396</v>
      </c>
      <c r="N9" s="2">
        <v>-0.51418490153892504</v>
      </c>
      <c r="O9" s="2">
        <v>-0.38519999999999999</v>
      </c>
      <c r="P9" s="2">
        <v>-0.95799999999999996</v>
      </c>
      <c r="Q9" s="2">
        <v>-0.77110000000000001</v>
      </c>
      <c r="R9">
        <v>0</v>
      </c>
      <c r="S9">
        <v>-0.55445493261799195</v>
      </c>
      <c r="T9">
        <v>0</v>
      </c>
      <c r="U9">
        <v>0</v>
      </c>
      <c r="V9">
        <v>0</v>
      </c>
    </row>
    <row r="10" spans="1:25" x14ac:dyDescent="0.25">
      <c r="A10" s="1">
        <v>23377</v>
      </c>
      <c r="B10">
        <v>5.8671154699999999E-2</v>
      </c>
      <c r="C10">
        <v>-0.77643307699999997</v>
      </c>
      <c r="H10" s="2">
        <v>1.42327436842889</v>
      </c>
      <c r="I10" s="2">
        <v>2.9437193647027016E-2</v>
      </c>
      <c r="J10" s="2">
        <v>1.0694921016693115E-2</v>
      </c>
      <c r="K10" s="2">
        <v>-0.54112356601198996</v>
      </c>
      <c r="L10" s="2">
        <v>1.3484673065535999</v>
      </c>
      <c r="M10" s="2">
        <v>0.125415424000207</v>
      </c>
      <c r="N10" s="2">
        <v>1.0059458353250299</v>
      </c>
      <c r="O10" s="2">
        <v>-0.28210000000000002</v>
      </c>
      <c r="P10" s="2">
        <v>2.3715000000000002</v>
      </c>
      <c r="Q10" s="2">
        <v>0.81579999999999997</v>
      </c>
      <c r="R10">
        <v>-4.5999999999999996</v>
      </c>
      <c r="S10">
        <v>-1.9922529071390999E-2</v>
      </c>
      <c r="T10">
        <v>0</v>
      </c>
      <c r="U10">
        <v>0</v>
      </c>
      <c r="V10">
        <v>0</v>
      </c>
    </row>
    <row r="11" spans="1:25" x14ac:dyDescent="0.25">
      <c r="A11" s="1">
        <v>23468</v>
      </c>
      <c r="B11">
        <v>0.41502381469999999</v>
      </c>
      <c r="C11">
        <v>-1.6778231219999999</v>
      </c>
      <c r="H11" s="2">
        <v>0.203115291155331</v>
      </c>
      <c r="I11" s="2">
        <v>5.7044443674385548E-3</v>
      </c>
      <c r="J11" s="2">
        <v>9.9658651743084192E-4</v>
      </c>
      <c r="K11" s="2">
        <v>-0.53822452933509402</v>
      </c>
      <c r="L11" s="2">
        <v>1.0250927322112999</v>
      </c>
      <c r="M11" s="2">
        <v>-0.25106503104636901</v>
      </c>
      <c r="N11" s="2">
        <v>-1.6894396018163799E-2</v>
      </c>
      <c r="O11" s="2">
        <v>0.3805</v>
      </c>
      <c r="P11" s="2">
        <v>-5.1955999999999998</v>
      </c>
      <c r="Q11" s="2">
        <v>-0.24279999999999999</v>
      </c>
      <c r="R11">
        <v>0</v>
      </c>
      <c r="S11">
        <v>-1.3027581847416101</v>
      </c>
      <c r="T11">
        <v>-1.275045537</v>
      </c>
      <c r="U11">
        <v>-1.2931034480000001</v>
      </c>
      <c r="V11">
        <v>-2.5500910750000001</v>
      </c>
    </row>
    <row r="12" spans="1:25" x14ac:dyDescent="0.25">
      <c r="A12" s="1">
        <v>23559</v>
      </c>
      <c r="B12">
        <v>7.6026449100000004E-2</v>
      </c>
      <c r="C12">
        <v>3.3507576000000001</v>
      </c>
      <c r="H12" s="2">
        <v>0.74853076597988799</v>
      </c>
      <c r="I12" s="2">
        <v>1.5203535556793213E-2</v>
      </c>
      <c r="J12" s="2">
        <v>6.503645796328783E-3</v>
      </c>
      <c r="K12" s="2">
        <v>1.5885774826172401</v>
      </c>
      <c r="L12" s="2">
        <v>0.114346066814381</v>
      </c>
      <c r="M12" s="2">
        <v>0.13349029250241301</v>
      </c>
      <c r="N12" s="2">
        <v>0.217352050702943</v>
      </c>
      <c r="O12" s="2">
        <v>0.25600000000000001</v>
      </c>
      <c r="P12" s="2">
        <v>1.1102000000000001</v>
      </c>
      <c r="Q12" s="2">
        <v>0.62070000000000003</v>
      </c>
      <c r="R12">
        <v>0</v>
      </c>
      <c r="S12">
        <v>0.11870868497303801</v>
      </c>
      <c r="T12">
        <v>0</v>
      </c>
      <c r="U12">
        <v>0</v>
      </c>
      <c r="V12">
        <v>0</v>
      </c>
    </row>
    <row r="13" spans="1:25" x14ac:dyDescent="0.25">
      <c r="A13" s="1">
        <v>23651</v>
      </c>
      <c r="B13">
        <v>-1.4519218515000001</v>
      </c>
      <c r="C13">
        <v>-0.68720189700000001</v>
      </c>
      <c r="H13" s="2">
        <v>-1.0898715062159601</v>
      </c>
      <c r="I13" s="2">
        <v>1.1295819655060768E-2</v>
      </c>
      <c r="J13" s="2">
        <v>-4.9762323033064604E-4</v>
      </c>
      <c r="K13" s="2">
        <v>0.34710536954029902</v>
      </c>
      <c r="L13" s="2">
        <v>-0.79898107671757701</v>
      </c>
      <c r="M13" s="2">
        <v>4.1430715428059702E-3</v>
      </c>
      <c r="N13" s="2">
        <v>-1.2415814472711999</v>
      </c>
      <c r="O13" s="2">
        <v>-1.4638</v>
      </c>
      <c r="P13" s="2">
        <v>-3.8704000000000001</v>
      </c>
      <c r="Q13" s="2">
        <v>-0.55889999999999995</v>
      </c>
      <c r="R13">
        <v>0</v>
      </c>
      <c r="S13">
        <v>0.79243349002556596</v>
      </c>
      <c r="T13">
        <v>0</v>
      </c>
      <c r="U13">
        <v>0</v>
      </c>
      <c r="V13">
        <v>0</v>
      </c>
    </row>
    <row r="14" spans="1:25" x14ac:dyDescent="0.25">
      <c r="A14" s="1">
        <v>23743</v>
      </c>
      <c r="B14">
        <v>-1.0439021345999999</v>
      </c>
      <c r="C14">
        <v>0.49217347900000002</v>
      </c>
      <c r="H14" s="2">
        <v>-0.153253898574577</v>
      </c>
      <c r="I14" s="2">
        <v>-9.7023723646998405E-3</v>
      </c>
      <c r="J14" s="2">
        <v>3.4556686878204346E-3</v>
      </c>
      <c r="K14" s="2">
        <v>-0.65695660022842794</v>
      </c>
      <c r="L14" s="2">
        <v>1.2090671282159999</v>
      </c>
      <c r="M14" s="2">
        <v>-3.1909015500915898E-2</v>
      </c>
      <c r="N14" s="2">
        <v>0.61649032645597401</v>
      </c>
      <c r="O14" s="2">
        <v>1.1274</v>
      </c>
      <c r="P14" s="2">
        <v>11.559100000000001</v>
      </c>
      <c r="Q14" s="2">
        <v>-3.7600000000000001E-2</v>
      </c>
      <c r="R14">
        <v>2.2000000000000002</v>
      </c>
      <c r="S14">
        <v>0.55113847786655101</v>
      </c>
      <c r="T14">
        <v>-0.64683053000000001</v>
      </c>
      <c r="U14">
        <v>0</v>
      </c>
      <c r="V14">
        <v>0</v>
      </c>
    </row>
    <row r="15" spans="1:25" x14ac:dyDescent="0.25">
      <c r="A15" s="1">
        <v>23833</v>
      </c>
      <c r="B15">
        <v>0.98741200250000005</v>
      </c>
      <c r="C15">
        <v>-0.767910439</v>
      </c>
      <c r="H15" s="2">
        <v>0.70471161221106804</v>
      </c>
      <c r="I15" s="2">
        <v>-2.6357853785157204E-3</v>
      </c>
      <c r="J15" s="2">
        <v>-2.6319930329918861E-3</v>
      </c>
      <c r="K15" s="2">
        <v>-0.59986184519639796</v>
      </c>
      <c r="L15" s="2">
        <v>-5.9415243625477503E-2</v>
      </c>
      <c r="M15" s="2">
        <v>0.58228199958442906</v>
      </c>
      <c r="N15" s="2">
        <v>-0.73906657172895596</v>
      </c>
      <c r="O15" s="2">
        <v>-0.67479999999999996</v>
      </c>
      <c r="P15" s="2">
        <v>-10.5595</v>
      </c>
      <c r="Q15" s="2">
        <v>0.52170000000000005</v>
      </c>
      <c r="R15">
        <v>1.4</v>
      </c>
      <c r="S15">
        <v>4.4234108613654198E-2</v>
      </c>
      <c r="T15">
        <v>0</v>
      </c>
      <c r="U15">
        <v>0</v>
      </c>
      <c r="V15">
        <v>0</v>
      </c>
    </row>
    <row r="16" spans="1:25" x14ac:dyDescent="0.25">
      <c r="A16" s="1">
        <v>23924</v>
      </c>
      <c r="B16">
        <v>-0.79605823799999997</v>
      </c>
      <c r="C16">
        <v>-1.0100347199999999</v>
      </c>
      <c r="H16" s="2">
        <v>1.9559433761565499</v>
      </c>
      <c r="I16" s="2">
        <v>-2.5173777714371681E-2</v>
      </c>
      <c r="J16" s="2">
        <v>-2.2228113375604153E-3</v>
      </c>
      <c r="K16" s="2">
        <v>2.6955131826924501</v>
      </c>
      <c r="L16" s="2">
        <v>0.68276079721984195</v>
      </c>
      <c r="M16" s="2">
        <v>0.261647851279254</v>
      </c>
      <c r="N16" s="2">
        <v>1.1643665938929499</v>
      </c>
      <c r="O16" s="2">
        <v>1.5799000000000001</v>
      </c>
      <c r="P16" s="2">
        <v>1.5880000000000001</v>
      </c>
      <c r="Q16" s="2">
        <v>0.54569999999999996</v>
      </c>
      <c r="R16">
        <v>14</v>
      </c>
      <c r="S16">
        <v>-0.410995409072137</v>
      </c>
      <c r="T16">
        <v>-0.241312741</v>
      </c>
      <c r="U16">
        <v>-0.24714023399999999</v>
      </c>
      <c r="V16">
        <v>-0.241312741</v>
      </c>
    </row>
    <row r="17" spans="1:23" x14ac:dyDescent="0.25">
      <c r="A17" s="1">
        <v>24016</v>
      </c>
      <c r="B17">
        <v>-0.2303985033</v>
      </c>
      <c r="C17">
        <v>0.46284403200000002</v>
      </c>
      <c r="H17" s="2">
        <v>2.1846460187575398</v>
      </c>
      <c r="I17" s="2">
        <v>2.5256624445319176E-2</v>
      </c>
      <c r="J17" s="2">
        <v>1.2156867422163486E-2</v>
      </c>
      <c r="K17" s="2">
        <v>-0.35707773226406198</v>
      </c>
      <c r="L17" s="2">
        <v>1.4577221371803599</v>
      </c>
      <c r="M17" s="2">
        <v>0.511480666266102</v>
      </c>
      <c r="N17" s="2">
        <v>1.5081978166334</v>
      </c>
      <c r="O17" s="2">
        <v>1.0387</v>
      </c>
      <c r="P17" s="2">
        <v>-2.9670000000000001</v>
      </c>
      <c r="Q17" s="2">
        <v>-0.44069999999999998</v>
      </c>
      <c r="R17">
        <v>0</v>
      </c>
      <c r="S17">
        <v>0.51313798894086704</v>
      </c>
      <c r="T17">
        <v>0</v>
      </c>
      <c r="U17">
        <v>0</v>
      </c>
      <c r="V17">
        <v>0</v>
      </c>
    </row>
    <row r="18" spans="1:23" x14ac:dyDescent="0.25">
      <c r="A18" s="1">
        <v>24108</v>
      </c>
      <c r="B18">
        <v>0.19177980389999999</v>
      </c>
      <c r="C18">
        <v>-3.4020149E-2</v>
      </c>
      <c r="H18" s="2">
        <v>0.557257417462525</v>
      </c>
      <c r="I18" s="2">
        <v>-3.6498390138149261E-2</v>
      </c>
      <c r="J18" s="2">
        <v>-5.7196826674044132E-3</v>
      </c>
      <c r="K18" s="2">
        <v>-0.57292355727720701</v>
      </c>
      <c r="L18" s="2">
        <v>-0.521092948376085</v>
      </c>
      <c r="M18" s="2">
        <v>0.45430953265231</v>
      </c>
      <c r="N18" s="2">
        <v>1.3071716125266499</v>
      </c>
      <c r="O18" s="2">
        <v>-0.10299999999999999</v>
      </c>
      <c r="P18" s="2">
        <v>6.2293000000000003</v>
      </c>
      <c r="Q18" s="2">
        <v>1.0486</v>
      </c>
      <c r="R18">
        <v>0</v>
      </c>
      <c r="S18">
        <v>0.110934277693143</v>
      </c>
      <c r="T18">
        <v>-0.22703684499999999</v>
      </c>
      <c r="U18">
        <v>0</v>
      </c>
      <c r="V18">
        <v>0</v>
      </c>
    </row>
    <row r="19" spans="1:23" x14ac:dyDescent="0.25">
      <c r="A19" s="1">
        <v>24198</v>
      </c>
      <c r="B19">
        <v>0.70248789010000001</v>
      </c>
      <c r="C19">
        <v>0.68108709899999997</v>
      </c>
      <c r="H19" s="2">
        <v>-0.78283395223166896</v>
      </c>
      <c r="I19" s="2">
        <v>-3.2927200198173523E-2</v>
      </c>
      <c r="J19" s="2">
        <v>-1.543399877846241E-2</v>
      </c>
      <c r="K19" s="2">
        <v>-0.209786848103267</v>
      </c>
      <c r="L19" s="2">
        <v>4.59253720162301E-2</v>
      </c>
      <c r="M19" s="2">
        <v>-0.36902425718537502</v>
      </c>
      <c r="N19" s="2">
        <v>-0.78122270754204304</v>
      </c>
      <c r="O19" s="2">
        <v>-1.6347</v>
      </c>
      <c r="P19" s="2">
        <v>-10.1936</v>
      </c>
      <c r="Q19" s="2">
        <v>-0.31019999999999998</v>
      </c>
      <c r="R19">
        <v>1</v>
      </c>
      <c r="S19">
        <v>-0.40067705203270498</v>
      </c>
      <c r="T19">
        <v>0.11539940999999999</v>
      </c>
      <c r="U19">
        <v>0.116761806</v>
      </c>
      <c r="V19">
        <v>0.11539940999999999</v>
      </c>
    </row>
    <row r="20" spans="1:23" x14ac:dyDescent="0.25">
      <c r="A20" s="1">
        <v>24289</v>
      </c>
      <c r="B20">
        <v>-0.101482714</v>
      </c>
      <c r="C20">
        <v>-1.4163581169999999</v>
      </c>
      <c r="H20" s="2">
        <v>-0.33185733753229602</v>
      </c>
      <c r="I20" s="2">
        <v>-5.4380610585212708E-2</v>
      </c>
      <c r="J20" s="2">
        <v>-1.779419369995594E-2</v>
      </c>
      <c r="K20" s="2">
        <v>-0.67449107875911296</v>
      </c>
      <c r="L20" s="2">
        <v>-0.204470341759833</v>
      </c>
      <c r="M20" s="2">
        <v>0.61170482510377699</v>
      </c>
      <c r="N20" s="2">
        <v>-0.42356994485117</v>
      </c>
      <c r="O20" s="2">
        <v>0.3196</v>
      </c>
      <c r="P20" s="2">
        <v>2.1053999999999999</v>
      </c>
      <c r="Q20" s="2">
        <v>0.1225</v>
      </c>
      <c r="R20">
        <v>11</v>
      </c>
      <c r="S20">
        <v>-0.63539488150065504</v>
      </c>
      <c r="T20">
        <v>0</v>
      </c>
      <c r="U20">
        <v>0</v>
      </c>
      <c r="V20">
        <v>0</v>
      </c>
    </row>
    <row r="21" spans="1:23" x14ac:dyDescent="0.25">
      <c r="A21" s="1">
        <v>24381</v>
      </c>
      <c r="B21">
        <v>-0.29622125160000001</v>
      </c>
      <c r="C21">
        <v>-1.2778460869999999</v>
      </c>
      <c r="H21" s="2">
        <v>8.9123090250378401E-2</v>
      </c>
      <c r="I21" s="2">
        <v>-1.6179285943508148E-2</v>
      </c>
      <c r="J21" s="2">
        <v>-2.4877453688532114E-3</v>
      </c>
      <c r="K21" s="2">
        <v>0.56164389632995404</v>
      </c>
      <c r="L21" s="2">
        <v>0.14391137223653999</v>
      </c>
      <c r="M21" s="2">
        <v>-0.81953206522835198</v>
      </c>
      <c r="N21" s="2">
        <v>0.63170453311334895</v>
      </c>
      <c r="O21" s="2">
        <v>0.84499999999999997</v>
      </c>
      <c r="P21" s="2">
        <v>-1.6308</v>
      </c>
      <c r="Q21" s="2">
        <v>-0.43630000000000002</v>
      </c>
      <c r="R21">
        <v>21.8</v>
      </c>
      <c r="S21">
        <v>0.55493056934907503</v>
      </c>
      <c r="T21">
        <v>0</v>
      </c>
      <c r="U21">
        <v>0</v>
      </c>
      <c r="V21">
        <v>0</v>
      </c>
    </row>
    <row r="22" spans="1:23" x14ac:dyDescent="0.25">
      <c r="A22" s="1">
        <v>24473</v>
      </c>
      <c r="B22">
        <v>1.0552908579</v>
      </c>
      <c r="C22">
        <v>0.69790683799999997</v>
      </c>
      <c r="H22" s="2">
        <v>0.15928479866464401</v>
      </c>
      <c r="I22" s="2">
        <v>8.7126046419143677E-2</v>
      </c>
      <c r="J22" s="2">
        <v>2.5695441290736198E-2</v>
      </c>
      <c r="K22" s="2">
        <v>0.28637270269058501</v>
      </c>
      <c r="L22" s="2">
        <v>0.74559517130820596</v>
      </c>
      <c r="M22" s="2">
        <v>7.8745760723588298E-2</v>
      </c>
      <c r="N22" s="2">
        <v>0.78643026476398104</v>
      </c>
      <c r="O22" s="2">
        <v>0.50800000000000001</v>
      </c>
      <c r="P22" s="2">
        <v>-6.8569000000000004</v>
      </c>
      <c r="Q22" s="2">
        <v>0.18459999999999999</v>
      </c>
      <c r="R22">
        <v>38.799999999999997</v>
      </c>
      <c r="S22">
        <v>0.99385089625856005</v>
      </c>
      <c r="T22">
        <v>0</v>
      </c>
      <c r="U22">
        <v>0</v>
      </c>
      <c r="V22">
        <v>0</v>
      </c>
    </row>
    <row r="23" spans="1:23" x14ac:dyDescent="0.25">
      <c r="A23" s="1">
        <v>24563</v>
      </c>
      <c r="B23">
        <v>-7.21099464E-2</v>
      </c>
      <c r="C23">
        <v>-1.157635969</v>
      </c>
      <c r="H23" s="2">
        <v>0.28831324166251299</v>
      </c>
      <c r="I23" s="2">
        <v>4.1344133205711842E-3</v>
      </c>
      <c r="J23" s="2">
        <v>-7.0403184508904815E-4</v>
      </c>
      <c r="K23" s="2">
        <v>1.1359960459013601</v>
      </c>
      <c r="L23" s="2">
        <v>-0.75847329968146504</v>
      </c>
      <c r="M23" s="2">
        <v>-0.75039940495171498</v>
      </c>
      <c r="N23" s="2">
        <v>0.18361025222625599</v>
      </c>
      <c r="O23" s="2">
        <v>0.10050000000000001</v>
      </c>
      <c r="P23" s="2">
        <v>-2.2536999999999998</v>
      </c>
      <c r="Q23" s="2">
        <v>0.14599999999999999</v>
      </c>
      <c r="R23">
        <v>6</v>
      </c>
      <c r="S23">
        <v>0.92696815665502996</v>
      </c>
      <c r="T23">
        <v>0</v>
      </c>
      <c r="U23">
        <v>0</v>
      </c>
      <c r="V23">
        <v>0</v>
      </c>
    </row>
    <row r="24" spans="1:23" x14ac:dyDescent="0.25">
      <c r="A24" s="1">
        <v>24654</v>
      </c>
      <c r="B24">
        <v>-0.39306266769999998</v>
      </c>
      <c r="C24">
        <v>-0.13000653100000001</v>
      </c>
      <c r="H24" s="2">
        <v>-0.83306290426043905</v>
      </c>
      <c r="I24" s="2">
        <v>1.1293595656752586E-2</v>
      </c>
      <c r="J24" s="2">
        <v>-3.3495153184048831E-4</v>
      </c>
      <c r="K24" s="2">
        <v>-0.73135273443939097</v>
      </c>
      <c r="L24" s="2">
        <v>-0.64205610498431798</v>
      </c>
      <c r="M24" s="2">
        <v>-1.4125338771254099</v>
      </c>
      <c r="N24" s="2">
        <v>-0.596874416630784</v>
      </c>
      <c r="O24" s="2">
        <v>5.8700000000000002E-2</v>
      </c>
      <c r="P24" s="2">
        <v>1.4588000000000001</v>
      </c>
      <c r="Q24" s="2">
        <v>-0.33579999999999999</v>
      </c>
      <c r="R24">
        <v>3.8</v>
      </c>
      <c r="S24">
        <v>0.84222402274133801</v>
      </c>
      <c r="T24">
        <v>-0.19113606499999999</v>
      </c>
      <c r="U24">
        <v>-0.19457618900000001</v>
      </c>
      <c r="V24">
        <v>-0.65703022300000002</v>
      </c>
    </row>
    <row r="25" spans="1:23" x14ac:dyDescent="0.25">
      <c r="A25" s="1">
        <v>24746</v>
      </c>
      <c r="B25">
        <v>-0.32530662539999999</v>
      </c>
      <c r="C25">
        <v>0.86933415000000003</v>
      </c>
      <c r="H25" s="2">
        <v>-1.02718971111879</v>
      </c>
      <c r="I25" s="2">
        <v>-1.5663521364331245E-2</v>
      </c>
      <c r="J25" s="2">
        <v>-6.2347115017473698E-3</v>
      </c>
      <c r="K25" s="2">
        <v>-0.89690684844305801</v>
      </c>
      <c r="L25" s="2">
        <v>-0.77168377449729897</v>
      </c>
      <c r="M25" s="2">
        <v>-0.73101951839576695</v>
      </c>
      <c r="N25" s="2">
        <v>-0.64283794882676104</v>
      </c>
      <c r="O25" s="2">
        <v>0.1157</v>
      </c>
      <c r="P25" s="2">
        <v>-0.82230000000000003</v>
      </c>
      <c r="Q25" s="2">
        <v>-0.4224</v>
      </c>
      <c r="R25">
        <v>-10</v>
      </c>
      <c r="S25">
        <v>1.0975099527058101E-2</v>
      </c>
      <c r="T25">
        <v>0</v>
      </c>
      <c r="U25">
        <v>0</v>
      </c>
      <c r="V25">
        <v>0</v>
      </c>
    </row>
    <row r="26" spans="1:23" x14ac:dyDescent="0.25">
      <c r="A26" s="1">
        <v>24838</v>
      </c>
      <c r="B26">
        <v>-0.59180019029999997</v>
      </c>
      <c r="C26">
        <v>-0.182880826</v>
      </c>
      <c r="H26" s="2">
        <v>1.7934629978590799</v>
      </c>
      <c r="I26" s="2">
        <v>-7.0009082555770874E-2</v>
      </c>
      <c r="J26" s="2">
        <v>-1.4494839124381542E-2</v>
      </c>
      <c r="K26" s="2">
        <v>0.69296036568031805</v>
      </c>
      <c r="L26" s="2">
        <v>1.59994293593708</v>
      </c>
      <c r="M26" s="2">
        <v>0.63641414848472699</v>
      </c>
      <c r="N26" s="2">
        <v>1.8672526697732801</v>
      </c>
      <c r="O26" s="2">
        <v>1.6675</v>
      </c>
      <c r="P26" s="2">
        <v>2.4935</v>
      </c>
      <c r="Q26" s="2">
        <v>7.0300000000000001E-2</v>
      </c>
      <c r="R26">
        <v>5</v>
      </c>
      <c r="S26">
        <v>0.46102619341861101</v>
      </c>
      <c r="T26">
        <v>0</v>
      </c>
      <c r="U26">
        <v>0</v>
      </c>
      <c r="V26">
        <v>0</v>
      </c>
    </row>
    <row r="27" spans="1:23" x14ac:dyDescent="0.25">
      <c r="A27" s="1">
        <v>24929</v>
      </c>
      <c r="B27">
        <v>4.0199917299999999E-2</v>
      </c>
      <c r="C27">
        <v>-1.758721762</v>
      </c>
      <c r="H27" s="2">
        <v>0.92007931679010602</v>
      </c>
      <c r="I27" s="2">
        <v>5.702437087893486E-2</v>
      </c>
      <c r="J27" s="2">
        <v>1.9440019503235817E-2</v>
      </c>
      <c r="K27" s="2">
        <v>9.0317697310890899E-2</v>
      </c>
      <c r="L27" s="2">
        <v>0.63807148855330897</v>
      </c>
      <c r="M27" s="2">
        <v>-0.57133192570009705</v>
      </c>
      <c r="N27" s="2">
        <v>0.73180132818286203</v>
      </c>
      <c r="O27" s="2">
        <v>-0.20480000000000001</v>
      </c>
      <c r="P27" s="2">
        <v>0.98729999999999996</v>
      </c>
      <c r="Q27" s="2">
        <v>0.41449999999999998</v>
      </c>
      <c r="R27">
        <v>-23.3</v>
      </c>
      <c r="S27">
        <v>-0.57846907382588497</v>
      </c>
      <c r="T27">
        <v>0</v>
      </c>
      <c r="U27">
        <v>0</v>
      </c>
      <c r="V27">
        <v>0</v>
      </c>
    </row>
    <row r="28" spans="1:23" x14ac:dyDescent="0.25">
      <c r="A28" s="1">
        <v>25020</v>
      </c>
      <c r="B28">
        <v>5.3007321900000001E-2</v>
      </c>
      <c r="C28">
        <v>1.3651096570000001</v>
      </c>
      <c r="H28" s="2">
        <v>0.24047143893918899</v>
      </c>
      <c r="I28" s="2">
        <v>-1.2468921951949596E-2</v>
      </c>
      <c r="J28" s="2">
        <v>-5.909929983317852E-3</v>
      </c>
      <c r="K28" s="2">
        <v>3.2230655398858901E-2</v>
      </c>
      <c r="L28" s="2">
        <v>-3.0787292435144099E-2</v>
      </c>
      <c r="M28" s="2">
        <v>-0.90606842768769902</v>
      </c>
      <c r="N28" s="2">
        <v>-0.91276930310876003</v>
      </c>
      <c r="O28" s="2">
        <v>-0.77280000000000004</v>
      </c>
      <c r="P28" s="2">
        <v>-4.9805000000000001</v>
      </c>
      <c r="Q28" s="2">
        <v>0.10150000000000001</v>
      </c>
      <c r="R28">
        <v>0</v>
      </c>
      <c r="S28">
        <v>1.3827166179668899</v>
      </c>
      <c r="T28">
        <v>0</v>
      </c>
      <c r="U28">
        <v>0</v>
      </c>
      <c r="V28">
        <v>0</v>
      </c>
    </row>
    <row r="29" spans="1:23" x14ac:dyDescent="0.25">
      <c r="A29" s="1">
        <v>25112</v>
      </c>
      <c r="B29">
        <v>1.1912991491</v>
      </c>
      <c r="C29">
        <v>0.71092579099999997</v>
      </c>
      <c r="H29" s="2">
        <v>-0.55483027133364504</v>
      </c>
      <c r="I29" s="2">
        <v>4.1806235909461975E-2</v>
      </c>
      <c r="J29" s="2">
        <v>8.3473650738596916E-3</v>
      </c>
      <c r="K29" s="2">
        <v>1.3756525960832899</v>
      </c>
      <c r="L29" s="2">
        <v>-1.1411971263962</v>
      </c>
      <c r="M29" s="2">
        <v>-0.53616135811396204</v>
      </c>
      <c r="N29" s="2">
        <v>-1.07570516990224</v>
      </c>
      <c r="O29" s="2">
        <v>-0.32419999999999999</v>
      </c>
      <c r="P29" s="2">
        <v>0.2266</v>
      </c>
      <c r="Q29" s="2">
        <v>-0.84440000000000004</v>
      </c>
      <c r="R29">
        <v>0</v>
      </c>
      <c r="S29">
        <v>0.14135678282172401</v>
      </c>
      <c r="T29">
        <v>0</v>
      </c>
      <c r="U29">
        <v>0</v>
      </c>
      <c r="V29">
        <v>0</v>
      </c>
    </row>
    <row r="30" spans="1:23" x14ac:dyDescent="0.25">
      <c r="A30" s="1">
        <v>25204</v>
      </c>
      <c r="B30">
        <v>-1.1927124679000001</v>
      </c>
      <c r="C30">
        <v>-2.2145196789999999</v>
      </c>
      <c r="H30" s="2">
        <v>-1.1581569154276801</v>
      </c>
      <c r="I30" s="2">
        <v>-5.9694793075323105E-2</v>
      </c>
      <c r="J30" s="2">
        <v>-1.9268503412604332E-2</v>
      </c>
      <c r="K30" s="2">
        <v>-1.1034727887242699</v>
      </c>
      <c r="L30" s="2">
        <v>1.2118476515049801</v>
      </c>
      <c r="M30" s="2">
        <v>0.40502362178397999</v>
      </c>
      <c r="N30" s="2">
        <v>-0.407886696896263</v>
      </c>
      <c r="O30" s="2">
        <v>0.36120000000000002</v>
      </c>
      <c r="P30" s="2">
        <v>5.3118999999999996</v>
      </c>
      <c r="Q30" s="2">
        <v>4.5600000000000002E-2</v>
      </c>
      <c r="R30">
        <v>0</v>
      </c>
      <c r="S30">
        <v>-0.10273872906473901</v>
      </c>
      <c r="T30">
        <v>0</v>
      </c>
      <c r="U30">
        <v>0</v>
      </c>
      <c r="V30">
        <v>0</v>
      </c>
      <c r="W30" s="7">
        <v>-0.23169790000000001</v>
      </c>
    </row>
    <row r="31" spans="1:23" x14ac:dyDescent="0.25">
      <c r="A31" s="1">
        <v>25294</v>
      </c>
      <c r="B31">
        <v>8.6334186500000007E-2</v>
      </c>
      <c r="C31">
        <v>2.7561641539999999</v>
      </c>
      <c r="H31" s="2">
        <v>-0.42987940999589103</v>
      </c>
      <c r="I31" s="2">
        <v>1.5736250206828117E-2</v>
      </c>
      <c r="J31" s="2">
        <v>2.6829482521861792E-3</v>
      </c>
      <c r="K31" s="2">
        <v>0.942618775814559</v>
      </c>
      <c r="L31" s="2">
        <v>-0.84644466970994703</v>
      </c>
      <c r="M31" s="2">
        <v>8.33392437689481E-3</v>
      </c>
      <c r="N31" s="2">
        <v>-0.85553824259653399</v>
      </c>
      <c r="O31" s="2">
        <v>-1.5629999999999999</v>
      </c>
      <c r="P31" s="2">
        <v>-3.3363999999999998</v>
      </c>
      <c r="Q31" s="2">
        <v>0.40949999999999998</v>
      </c>
      <c r="R31">
        <v>0</v>
      </c>
      <c r="S31">
        <v>5.7725069962283097E-2</v>
      </c>
      <c r="T31">
        <v>0</v>
      </c>
      <c r="U31">
        <v>0</v>
      </c>
      <c r="V31">
        <v>0</v>
      </c>
      <c r="W31" s="7">
        <v>0.22283403333333332</v>
      </c>
    </row>
    <row r="32" spans="1:23" x14ac:dyDescent="0.25">
      <c r="A32" s="1">
        <v>25385</v>
      </c>
      <c r="B32">
        <v>-0.365114671</v>
      </c>
      <c r="C32">
        <v>-0.90173459600000005</v>
      </c>
      <c r="H32" s="2">
        <v>-0.66497497414029405</v>
      </c>
      <c r="I32" s="2">
        <v>-8.7203152477741241E-2</v>
      </c>
      <c r="J32" s="2">
        <v>-2.6805352419614792E-2</v>
      </c>
      <c r="K32" s="2">
        <v>-0.81823632349271203</v>
      </c>
      <c r="L32" s="2">
        <v>8.3870762449529401E-2</v>
      </c>
      <c r="M32" s="2">
        <v>0.30201303035890997</v>
      </c>
      <c r="N32" s="2">
        <v>-0.197295285974289</v>
      </c>
      <c r="O32" s="2">
        <v>0.1047</v>
      </c>
      <c r="P32" s="2">
        <v>2.2595000000000001</v>
      </c>
      <c r="Q32" s="2">
        <v>0.55569999999999997</v>
      </c>
      <c r="R32">
        <v>0</v>
      </c>
      <c r="S32">
        <v>0.334617770537531</v>
      </c>
      <c r="T32">
        <v>0</v>
      </c>
      <c r="U32">
        <v>0</v>
      </c>
      <c r="V32">
        <v>0</v>
      </c>
      <c r="W32" s="7">
        <v>0.15518293333333333</v>
      </c>
    </row>
    <row r="33" spans="1:23" x14ac:dyDescent="0.25">
      <c r="A33" s="1">
        <v>25477</v>
      </c>
      <c r="B33">
        <v>-0.45210953570000001</v>
      </c>
      <c r="C33">
        <v>-3.0831160309999999</v>
      </c>
      <c r="H33" s="2">
        <v>-0.44490509335808298</v>
      </c>
      <c r="I33" s="2">
        <v>2.2072197869420052E-2</v>
      </c>
      <c r="J33" s="2">
        <v>1.7357981996610761E-3</v>
      </c>
      <c r="K33" s="2">
        <v>0.87203470222361401</v>
      </c>
      <c r="L33" s="2">
        <v>-0.25294287608980898</v>
      </c>
      <c r="M33" s="2">
        <v>2.64559977597555E-2</v>
      </c>
      <c r="N33" s="2">
        <v>-1.0244064104756301</v>
      </c>
      <c r="O33" s="2">
        <v>-0.68679999999999997</v>
      </c>
      <c r="P33" s="2">
        <v>-6.3478000000000003</v>
      </c>
      <c r="Q33" s="2">
        <v>-0.28549999999999998</v>
      </c>
      <c r="R33">
        <v>0</v>
      </c>
      <c r="S33">
        <v>0.25170884727503801</v>
      </c>
      <c r="T33">
        <v>0</v>
      </c>
      <c r="U33">
        <v>0</v>
      </c>
      <c r="V33">
        <v>0</v>
      </c>
      <c r="W33" s="7">
        <v>5.2923333333333329E-2</v>
      </c>
    </row>
    <row r="34" spans="1:23" x14ac:dyDescent="0.25">
      <c r="A34" s="1">
        <v>25569</v>
      </c>
      <c r="B34">
        <v>-1.1473458318</v>
      </c>
      <c r="C34">
        <v>2.2485097180000002</v>
      </c>
      <c r="H34" s="2">
        <v>0.41916989426434698</v>
      </c>
      <c r="I34" s="2">
        <v>-6.4053647220134735E-2</v>
      </c>
      <c r="J34" s="2">
        <v>-2.3052316159009933E-2</v>
      </c>
      <c r="K34" s="2">
        <v>5.5272404050850502E-2</v>
      </c>
      <c r="L34" s="2">
        <v>0.187926687753383</v>
      </c>
      <c r="M34" s="2">
        <v>0.53171671847105295</v>
      </c>
      <c r="N34" s="2">
        <v>-0.24141338563418399</v>
      </c>
      <c r="O34" s="2">
        <v>5.8000000000000003E-2</v>
      </c>
      <c r="P34" s="2">
        <v>-0.99299999999999999</v>
      </c>
      <c r="Q34" s="2">
        <v>0.50900000000000001</v>
      </c>
      <c r="R34">
        <v>-5</v>
      </c>
      <c r="S34">
        <v>0.11520158863777399</v>
      </c>
      <c r="T34">
        <v>0</v>
      </c>
      <c r="U34">
        <v>0</v>
      </c>
      <c r="V34">
        <v>0</v>
      </c>
      <c r="W34" s="7">
        <v>-0.19017169999999997</v>
      </c>
    </row>
    <row r="35" spans="1:23" x14ac:dyDescent="0.25">
      <c r="A35" s="1">
        <v>25659</v>
      </c>
      <c r="B35">
        <v>-2.5970610923000002</v>
      </c>
      <c r="C35">
        <v>-0.65377332799999999</v>
      </c>
      <c r="H35" s="2">
        <v>8.7624584585882501E-2</v>
      </c>
      <c r="I35" s="2">
        <v>-0.11844002455472946</v>
      </c>
      <c r="J35" s="2">
        <v>-3.3270608633756638E-2</v>
      </c>
      <c r="K35" s="2">
        <v>-0.21477198508824699</v>
      </c>
      <c r="L35" s="2">
        <v>-0.69943601601056105</v>
      </c>
      <c r="M35" s="2">
        <v>-5.07044790599398E-2</v>
      </c>
      <c r="N35" s="2">
        <v>0.53180489812665999</v>
      </c>
      <c r="O35" s="2">
        <v>1.5672999999999999</v>
      </c>
      <c r="P35" s="2">
        <v>1.0684</v>
      </c>
      <c r="Q35" s="2">
        <v>-0.3387</v>
      </c>
      <c r="R35">
        <v>-3</v>
      </c>
      <c r="S35">
        <v>1.2499935820138199</v>
      </c>
      <c r="T35">
        <v>0</v>
      </c>
      <c r="U35">
        <v>0</v>
      </c>
      <c r="V35">
        <v>0</v>
      </c>
      <c r="W35" s="7">
        <v>-1.7055800000000006E-2</v>
      </c>
    </row>
    <row r="36" spans="1:23" x14ac:dyDescent="0.25">
      <c r="A36" s="1">
        <v>25750</v>
      </c>
      <c r="B36">
        <v>0.87778423299999997</v>
      </c>
      <c r="C36">
        <v>-1.817048786</v>
      </c>
      <c r="H36" s="2">
        <v>1.4438503869057</v>
      </c>
      <c r="I36" s="2">
        <v>8.3931945264339447E-3</v>
      </c>
      <c r="J36" s="2">
        <v>9.0941227972507477E-3</v>
      </c>
      <c r="K36" s="2">
        <v>1.00298650166301</v>
      </c>
      <c r="L36" s="2">
        <v>-0.66205158622267402</v>
      </c>
      <c r="M36" s="2">
        <v>-0.26494868643309499</v>
      </c>
      <c r="N36" s="2">
        <v>1.1606692053665899</v>
      </c>
      <c r="O36" s="2">
        <v>0.48849999999999999</v>
      </c>
      <c r="P36" s="2">
        <v>-1.4413</v>
      </c>
      <c r="Q36" s="2">
        <v>0.78249999999999997</v>
      </c>
      <c r="R36">
        <v>0</v>
      </c>
      <c r="S36">
        <v>1.0075688697991501</v>
      </c>
      <c r="T36">
        <v>0</v>
      </c>
      <c r="U36">
        <v>0</v>
      </c>
      <c r="V36">
        <v>0</v>
      </c>
      <c r="W36" s="7">
        <v>-0.3111010666666667</v>
      </c>
    </row>
    <row r="37" spans="1:23" x14ac:dyDescent="0.25">
      <c r="A37" s="1">
        <v>25842</v>
      </c>
      <c r="B37">
        <v>2.1226311279000001</v>
      </c>
      <c r="C37">
        <v>-0.18145498299999999</v>
      </c>
      <c r="H37" s="2">
        <v>-1.0311174677678201</v>
      </c>
      <c r="I37" s="2">
        <v>7.8983046114444733E-2</v>
      </c>
      <c r="J37" s="2">
        <v>1.3971405103802681E-2</v>
      </c>
      <c r="K37" s="2">
        <v>-0.16171930683916499</v>
      </c>
      <c r="L37" s="2">
        <v>-1.34997625991248</v>
      </c>
      <c r="M37" s="2">
        <v>-0.84095062328946901</v>
      </c>
      <c r="N37" s="2">
        <v>-1.5665967571452699</v>
      </c>
      <c r="O37" s="2">
        <v>-1.1303000000000001</v>
      </c>
      <c r="P37" s="2">
        <v>-11.276899999999999</v>
      </c>
      <c r="Q37" s="2">
        <v>-0.45679999999999998</v>
      </c>
      <c r="R37">
        <v>0</v>
      </c>
      <c r="S37">
        <v>-0.64770954481655296</v>
      </c>
      <c r="T37">
        <v>0</v>
      </c>
      <c r="U37">
        <v>0</v>
      </c>
      <c r="V37">
        <v>0</v>
      </c>
      <c r="W37" s="7">
        <v>-0.20890163333333334</v>
      </c>
    </row>
    <row r="38" spans="1:23" x14ac:dyDescent="0.25">
      <c r="A38" s="1">
        <v>25934</v>
      </c>
      <c r="B38">
        <v>9.3033133200000007E-2</v>
      </c>
      <c r="C38">
        <v>-0.19504339700000001</v>
      </c>
      <c r="H38" s="2">
        <v>0.75989032593578199</v>
      </c>
      <c r="I38" s="2">
        <v>4.0487904101610184E-2</v>
      </c>
      <c r="J38" s="2">
        <v>1.9871341064572334E-2</v>
      </c>
      <c r="K38" s="2">
        <v>-0.35126382470233403</v>
      </c>
      <c r="L38" s="2">
        <v>1.13020082267411</v>
      </c>
      <c r="M38" s="2">
        <v>-0.868140901048853</v>
      </c>
      <c r="N38" s="2">
        <v>2.0219955062214301</v>
      </c>
      <c r="O38" s="2">
        <v>3.4291</v>
      </c>
      <c r="P38" s="2">
        <v>17.027100000000001</v>
      </c>
      <c r="Q38" s="2">
        <v>-0.98440000000000005</v>
      </c>
      <c r="R38">
        <v>0</v>
      </c>
      <c r="S38">
        <v>0.51874359574127404</v>
      </c>
      <c r="T38">
        <v>-1.8209961E-2</v>
      </c>
      <c r="U38">
        <v>-0.26593427600000002</v>
      </c>
      <c r="V38">
        <v>-0.25493945200000001</v>
      </c>
      <c r="W38" s="7">
        <v>-0.28818503333333334</v>
      </c>
    </row>
    <row r="39" spans="1:23" x14ac:dyDescent="0.25">
      <c r="A39" s="1">
        <v>26024</v>
      </c>
      <c r="B39">
        <v>8.7380105200000002E-2</v>
      </c>
      <c r="C39">
        <v>1.5985745730000001</v>
      </c>
      <c r="H39" s="2">
        <v>-0.44018189041886402</v>
      </c>
      <c r="I39" s="2">
        <v>-4.7017810866236687E-3</v>
      </c>
      <c r="J39" s="2">
        <v>-4.3522310443222523E-3</v>
      </c>
      <c r="K39" s="2">
        <v>-0.80862218262804897</v>
      </c>
      <c r="L39" s="2">
        <v>-0.78275369726922595</v>
      </c>
      <c r="M39" s="2">
        <v>0.28533608672562499</v>
      </c>
      <c r="N39" s="2">
        <v>-0.73846407223453903</v>
      </c>
      <c r="O39" s="2">
        <v>-1.0760000000000001</v>
      </c>
      <c r="P39" s="2">
        <v>-6.9405999999999999</v>
      </c>
      <c r="Q39" s="2">
        <v>0.15989999999999999</v>
      </c>
      <c r="R39">
        <v>0</v>
      </c>
      <c r="S39">
        <v>0.91843754839124803</v>
      </c>
      <c r="T39">
        <v>0</v>
      </c>
      <c r="U39">
        <v>0</v>
      </c>
      <c r="V39">
        <v>0</v>
      </c>
      <c r="W39" s="7">
        <v>0.30735063333333335</v>
      </c>
    </row>
    <row r="40" spans="1:23" x14ac:dyDescent="0.25">
      <c r="A40" s="1">
        <v>26115</v>
      </c>
      <c r="B40">
        <v>-0.69125208439999997</v>
      </c>
      <c r="C40">
        <v>-1.016767523</v>
      </c>
      <c r="H40" s="2">
        <v>0.44064993431215999</v>
      </c>
      <c r="I40" s="2">
        <v>-4.6460472047328949E-2</v>
      </c>
      <c r="J40" s="2">
        <v>-1.1973237618803978E-2</v>
      </c>
      <c r="K40" s="2">
        <v>1.1558303682996001</v>
      </c>
      <c r="L40" s="2">
        <v>-0.57972238962632605</v>
      </c>
      <c r="M40" s="2">
        <v>1.4970681504129899</v>
      </c>
      <c r="N40" s="2">
        <v>-0.473991360428204</v>
      </c>
      <c r="O40" s="2">
        <v>0.24709999999999999</v>
      </c>
      <c r="P40" s="2">
        <v>-0.3599</v>
      </c>
      <c r="Q40" s="2">
        <v>0.30890000000000001</v>
      </c>
      <c r="R40">
        <v>0</v>
      </c>
      <c r="S40">
        <v>-1.1586713752386899</v>
      </c>
      <c r="T40">
        <v>0</v>
      </c>
      <c r="U40">
        <v>0</v>
      </c>
      <c r="V40">
        <v>0</v>
      </c>
      <c r="W40" s="7">
        <v>-3.6539533333333332E-2</v>
      </c>
    </row>
    <row r="41" spans="1:23" x14ac:dyDescent="0.25">
      <c r="A41" s="1">
        <v>26207</v>
      </c>
      <c r="B41">
        <v>-0.32593364809999997</v>
      </c>
      <c r="C41">
        <v>0.43511965800000002</v>
      </c>
      <c r="H41" s="2">
        <v>1.57109828476267E-2</v>
      </c>
      <c r="I41" s="2">
        <v>-2.7339033782482147E-2</v>
      </c>
      <c r="J41" s="2">
        <v>-9.9894469603896141E-3</v>
      </c>
      <c r="K41" s="2">
        <v>-1.1586062679411</v>
      </c>
      <c r="L41" s="2">
        <v>0.90017084564273397</v>
      </c>
      <c r="M41" s="2">
        <v>0.82890233070660502</v>
      </c>
      <c r="N41" s="2">
        <v>-1.5196991433570199</v>
      </c>
      <c r="O41" s="2">
        <v>-1.6043000000000001</v>
      </c>
      <c r="P41" s="2">
        <v>-3.9304000000000001</v>
      </c>
      <c r="Q41" s="2">
        <v>0.22489999999999999</v>
      </c>
      <c r="R41">
        <v>0</v>
      </c>
      <c r="S41">
        <v>0.24926643505395499</v>
      </c>
      <c r="T41">
        <v>0</v>
      </c>
      <c r="U41">
        <v>0</v>
      </c>
      <c r="V41">
        <v>0</v>
      </c>
      <c r="W41" s="7">
        <v>-0.51233110000000004</v>
      </c>
    </row>
    <row r="42" spans="1:23" x14ac:dyDescent="0.25">
      <c r="A42" s="1">
        <v>26299</v>
      </c>
      <c r="B42">
        <v>1.0289856800999999</v>
      </c>
      <c r="C42">
        <v>-0.32535217300000002</v>
      </c>
      <c r="H42" s="2">
        <v>-0.77703874158267805</v>
      </c>
      <c r="I42" s="2">
        <v>6.8696342408657074E-2</v>
      </c>
      <c r="J42" s="2">
        <v>2.4203084409236908E-2</v>
      </c>
      <c r="K42" s="2">
        <v>1.1264354805813299</v>
      </c>
      <c r="L42" s="2">
        <v>-0.72008055836695695</v>
      </c>
      <c r="M42" s="2">
        <v>-1.47561225237739</v>
      </c>
      <c r="N42" s="2">
        <v>-0.54861667685169901</v>
      </c>
      <c r="O42" s="2">
        <v>1.1968000000000001</v>
      </c>
      <c r="P42" s="2">
        <v>3.8536000000000001</v>
      </c>
      <c r="Q42" s="2">
        <v>0.1013</v>
      </c>
      <c r="R42">
        <v>0</v>
      </c>
      <c r="S42">
        <v>-0.67105490820108904</v>
      </c>
      <c r="T42">
        <v>-0.75592138399999997</v>
      </c>
      <c r="U42">
        <v>-0.694806323</v>
      </c>
      <c r="V42">
        <v>-1.2346715939999999</v>
      </c>
      <c r="W42" s="7">
        <v>-4.0621733333333326E-2</v>
      </c>
    </row>
    <row r="43" spans="1:23" x14ac:dyDescent="0.25">
      <c r="A43" s="1">
        <v>26390</v>
      </c>
      <c r="B43">
        <v>6.9697449999999994E-2</v>
      </c>
      <c r="C43">
        <v>-0.32895898099999998</v>
      </c>
      <c r="H43" s="2">
        <v>1.53411294653122</v>
      </c>
      <c r="I43" s="2">
        <v>-4.1522182524204254E-2</v>
      </c>
      <c r="J43" s="2">
        <v>-5.6615062057971954E-3</v>
      </c>
      <c r="K43" s="2">
        <v>0.29835274107381499</v>
      </c>
      <c r="L43" s="2">
        <v>0.70575432010214101</v>
      </c>
      <c r="M43" s="2">
        <v>-0.93376722047574101</v>
      </c>
      <c r="N43" s="2">
        <v>1.5704238504435999</v>
      </c>
      <c r="O43" s="2">
        <v>1.2229000000000001</v>
      </c>
      <c r="P43" s="2">
        <v>-0.93579999999999997</v>
      </c>
      <c r="Q43" s="2">
        <v>-0.25819999999999999</v>
      </c>
      <c r="R43">
        <v>0</v>
      </c>
      <c r="S43">
        <v>-0.64127644172264298</v>
      </c>
      <c r="T43">
        <v>0</v>
      </c>
      <c r="U43">
        <v>0</v>
      </c>
      <c r="V43">
        <v>0</v>
      </c>
      <c r="W43" s="7">
        <v>-0.12436226666666667</v>
      </c>
    </row>
    <row r="44" spans="1:23" x14ac:dyDescent="0.25">
      <c r="A44" s="1">
        <v>26481</v>
      </c>
      <c r="B44">
        <v>-0.96600648180000004</v>
      </c>
      <c r="C44">
        <v>1.280259136</v>
      </c>
      <c r="H44" s="2">
        <v>0.26811484528103102</v>
      </c>
      <c r="I44" s="2">
        <v>-4.572330042719841E-3</v>
      </c>
      <c r="J44" s="2">
        <v>1.2336071813479066E-4</v>
      </c>
      <c r="K44" s="2">
        <v>0.97685430275582896</v>
      </c>
      <c r="L44" s="2">
        <v>1.03690846676404</v>
      </c>
      <c r="M44" s="2">
        <v>0.51426382203912602</v>
      </c>
      <c r="N44" s="2">
        <v>-0.97976172667797801</v>
      </c>
      <c r="O44" s="2">
        <v>-0.52890000000000004</v>
      </c>
      <c r="P44" s="2">
        <v>-3.2368000000000001</v>
      </c>
      <c r="Q44" s="2">
        <v>-0.26500000000000001</v>
      </c>
      <c r="R44">
        <v>0</v>
      </c>
      <c r="S44">
        <v>0.33948184228516698</v>
      </c>
      <c r="T44">
        <v>0</v>
      </c>
      <c r="U44">
        <v>0</v>
      </c>
      <c r="V44">
        <v>0</v>
      </c>
      <c r="W44" s="7">
        <v>0</v>
      </c>
    </row>
    <row r="45" spans="1:23" x14ac:dyDescent="0.25">
      <c r="A45" s="1">
        <v>26573</v>
      </c>
      <c r="B45">
        <v>-1.0432085745999999</v>
      </c>
      <c r="C45">
        <v>1.2152345339999999</v>
      </c>
      <c r="H45" s="2">
        <v>1.50744491273232</v>
      </c>
      <c r="I45" s="2">
        <v>1.0836206376552582E-2</v>
      </c>
      <c r="J45" s="2">
        <v>9.634154848754406E-3</v>
      </c>
      <c r="K45" s="2">
        <v>0.56782803455210995</v>
      </c>
      <c r="L45" s="2">
        <v>1.07111281996798</v>
      </c>
      <c r="M45" s="2">
        <v>1.05098032126128</v>
      </c>
      <c r="N45" s="2">
        <v>-0.26459162190199398</v>
      </c>
      <c r="O45" s="2">
        <v>0.55959999999999999</v>
      </c>
      <c r="P45" s="2">
        <v>9.5999999999999992E-3</v>
      </c>
      <c r="Q45" s="2">
        <v>-0.48470000000000002</v>
      </c>
      <c r="R45">
        <v>0</v>
      </c>
      <c r="S45">
        <v>0.74847495253096996</v>
      </c>
      <c r="T45">
        <v>0</v>
      </c>
      <c r="U45">
        <v>0</v>
      </c>
      <c r="V45">
        <v>0</v>
      </c>
      <c r="W45" s="7">
        <v>-3.4122333333333334E-3</v>
      </c>
    </row>
    <row r="46" spans="1:23" x14ac:dyDescent="0.25">
      <c r="A46" s="1">
        <v>26665</v>
      </c>
      <c r="B46">
        <v>1.4187237640000001</v>
      </c>
      <c r="C46">
        <v>-0.57637439099999999</v>
      </c>
      <c r="H46" s="2">
        <v>1.77327822720728</v>
      </c>
      <c r="I46" s="2">
        <v>-4.3811794370412827E-2</v>
      </c>
      <c r="J46" s="2">
        <v>-7.2469627484679222E-3</v>
      </c>
      <c r="K46" s="2">
        <v>-2.19614123592461</v>
      </c>
      <c r="L46" s="2">
        <v>-1.67711786838209</v>
      </c>
      <c r="M46" s="2">
        <v>-0.34844534097069602</v>
      </c>
      <c r="N46" s="2">
        <v>1.38825253261606</v>
      </c>
      <c r="O46" s="2">
        <v>0.38059999999999999</v>
      </c>
      <c r="P46" s="2">
        <v>6.0605000000000002</v>
      </c>
      <c r="Q46" s="2">
        <v>1.0297000000000001</v>
      </c>
      <c r="R46">
        <v>0</v>
      </c>
      <c r="S46">
        <v>0.449291337043975</v>
      </c>
      <c r="T46">
        <v>0</v>
      </c>
      <c r="U46">
        <v>0</v>
      </c>
      <c r="V46">
        <v>0</v>
      </c>
      <c r="W46" s="7">
        <v>0.16854783333333334</v>
      </c>
    </row>
    <row r="47" spans="1:23" x14ac:dyDescent="0.25">
      <c r="A47" s="1">
        <v>26755</v>
      </c>
      <c r="B47">
        <v>0.25845506639999999</v>
      </c>
      <c r="C47">
        <v>1.209179596</v>
      </c>
      <c r="H47" s="2">
        <v>-0.53450465244885004</v>
      </c>
      <c r="I47" s="2">
        <v>-6.8686887621879578E-2</v>
      </c>
      <c r="J47" s="2">
        <v>-2.137855626642704E-2</v>
      </c>
      <c r="K47" s="2">
        <v>-1.41289125588412</v>
      </c>
      <c r="L47" s="2">
        <v>-0.54730312579007101</v>
      </c>
      <c r="M47" s="2">
        <v>1.2142491391962</v>
      </c>
      <c r="N47" s="2">
        <v>-0.73229514998362</v>
      </c>
      <c r="O47" s="2">
        <v>-1.3533999999999999</v>
      </c>
      <c r="P47" s="2">
        <v>-1.4493</v>
      </c>
      <c r="Q47" s="2">
        <v>0.80300000000000005</v>
      </c>
      <c r="R47">
        <v>0</v>
      </c>
      <c r="S47">
        <v>-0.80134132101718603</v>
      </c>
      <c r="T47">
        <v>0</v>
      </c>
      <c r="U47">
        <v>0</v>
      </c>
      <c r="V47">
        <v>0</v>
      </c>
      <c r="W47" s="7">
        <v>0.18453966666666669</v>
      </c>
    </row>
    <row r="48" spans="1:23" x14ac:dyDescent="0.25">
      <c r="A48" s="1">
        <v>26846</v>
      </c>
      <c r="B48">
        <v>0.35498138060000001</v>
      </c>
      <c r="C48">
        <v>0.36144905799999999</v>
      </c>
      <c r="H48" s="2">
        <v>-1.9116796073550899</v>
      </c>
      <c r="I48" s="2">
        <v>1.100476086139679E-2</v>
      </c>
      <c r="J48" s="2">
        <v>-2.1035319659858942E-3</v>
      </c>
      <c r="K48" s="2">
        <v>-0.39491906943753602</v>
      </c>
      <c r="L48" s="2">
        <v>-0.13013357735084499</v>
      </c>
      <c r="M48" s="2">
        <v>1.8792831864359401</v>
      </c>
      <c r="N48" s="2">
        <v>-2.3786031409628898</v>
      </c>
      <c r="O48" s="2">
        <v>-1.9469000000000001</v>
      </c>
      <c r="P48" s="2">
        <v>-2.1339999999999999</v>
      </c>
      <c r="Q48" s="2">
        <v>5.9900000000000002E-2</v>
      </c>
      <c r="R48">
        <v>-5</v>
      </c>
      <c r="S48">
        <v>7.6854107429233195E-2</v>
      </c>
      <c r="T48">
        <v>0</v>
      </c>
      <c r="U48">
        <v>0</v>
      </c>
      <c r="V48">
        <v>0</v>
      </c>
      <c r="W48" s="7">
        <v>-9.1643633333333321E-2</v>
      </c>
    </row>
    <row r="49" spans="1:23" x14ac:dyDescent="0.25">
      <c r="A49" s="1">
        <v>26938</v>
      </c>
      <c r="B49">
        <v>0.17574010339999999</v>
      </c>
      <c r="C49">
        <v>0.33314114500000003</v>
      </c>
      <c r="H49" s="2">
        <v>-0.240632270580798</v>
      </c>
      <c r="I49" s="2">
        <v>-5.302075669169426E-2</v>
      </c>
      <c r="J49" s="2">
        <v>-1.3794838450849056E-2</v>
      </c>
      <c r="K49" s="2">
        <v>-1.64079198416953</v>
      </c>
      <c r="L49" s="2">
        <v>-0.100749729145917</v>
      </c>
      <c r="M49" s="2">
        <v>1.9149158348428601</v>
      </c>
      <c r="N49" s="2">
        <v>0.210622339946999</v>
      </c>
      <c r="O49" s="2">
        <v>0.14199999999999999</v>
      </c>
      <c r="P49" s="2">
        <v>4.2511999999999999</v>
      </c>
      <c r="Q49" s="2">
        <v>0.32879999999999998</v>
      </c>
      <c r="R49">
        <v>5</v>
      </c>
      <c r="S49">
        <v>-0.64749915823770499</v>
      </c>
      <c r="T49">
        <v>0</v>
      </c>
      <c r="U49">
        <v>0</v>
      </c>
      <c r="V49">
        <v>0</v>
      </c>
      <c r="W49" s="7">
        <v>-0.397094</v>
      </c>
    </row>
    <row r="50" spans="1:23" x14ac:dyDescent="0.25">
      <c r="A50" s="1">
        <v>27030</v>
      </c>
      <c r="B50">
        <v>-1.5165169948999999</v>
      </c>
      <c r="C50">
        <v>1.256705883</v>
      </c>
      <c r="H50" s="2">
        <v>-1.5607253228437501</v>
      </c>
      <c r="I50" s="2">
        <v>-4.8296257853507996E-2</v>
      </c>
      <c r="J50" s="2">
        <v>-2.2652948275208473E-2</v>
      </c>
      <c r="K50" s="2">
        <v>-1.1247386753100801</v>
      </c>
      <c r="L50" s="2">
        <v>-2.2334537485019301</v>
      </c>
      <c r="M50" s="2">
        <v>2.1554860667161102</v>
      </c>
      <c r="N50" s="2">
        <v>-1.5872873477101299</v>
      </c>
      <c r="O50" s="2">
        <v>-2.6846999999999999</v>
      </c>
      <c r="P50" s="2">
        <v>-7.9947999999999997</v>
      </c>
      <c r="Q50" s="2">
        <v>1.7915000000000001</v>
      </c>
      <c r="R50">
        <v>0</v>
      </c>
      <c r="S50">
        <v>-0.17137108426912101</v>
      </c>
      <c r="T50">
        <v>0</v>
      </c>
      <c r="U50">
        <v>0</v>
      </c>
      <c r="V50">
        <v>0</v>
      </c>
      <c r="W50" s="7">
        <v>0.25065120000000002</v>
      </c>
    </row>
    <row r="51" spans="1:23" x14ac:dyDescent="0.25">
      <c r="A51" s="1">
        <v>27120</v>
      </c>
      <c r="B51">
        <v>1.3477792883999999</v>
      </c>
      <c r="C51">
        <v>0.281694842</v>
      </c>
      <c r="H51" s="2">
        <v>-0.37820524715152098</v>
      </c>
      <c r="I51" s="2">
        <v>-5.2838053554296494E-2</v>
      </c>
      <c r="J51" s="2">
        <v>-1.7365645617246628E-2</v>
      </c>
      <c r="K51" s="2">
        <v>-1.28015598001414</v>
      </c>
      <c r="L51" s="2">
        <v>-0.99569665624655701</v>
      </c>
      <c r="M51" s="2">
        <v>-1.1251699718444901</v>
      </c>
      <c r="N51" s="2">
        <v>0.68347519925892197</v>
      </c>
      <c r="O51" s="2">
        <v>-0.35720000000000002</v>
      </c>
      <c r="P51" s="2">
        <v>8.7772000000000006</v>
      </c>
      <c r="Q51" s="2">
        <v>-0.98570000000000002</v>
      </c>
      <c r="R51">
        <v>0</v>
      </c>
      <c r="S51">
        <v>-0.97394251314680902</v>
      </c>
      <c r="T51">
        <v>0</v>
      </c>
      <c r="U51">
        <v>0</v>
      </c>
      <c r="V51">
        <v>0</v>
      </c>
      <c r="W51" s="7">
        <v>0.32321996666666669</v>
      </c>
    </row>
    <row r="52" spans="1:23" x14ac:dyDescent="0.25">
      <c r="A52" s="1">
        <v>27211</v>
      </c>
      <c r="B52">
        <v>-2.5191938629999999</v>
      </c>
      <c r="C52">
        <v>1.4820990270000001</v>
      </c>
      <c r="H52" s="2">
        <v>-1.28363114667119</v>
      </c>
      <c r="I52" s="2">
        <v>-0.20331710577011108</v>
      </c>
      <c r="J52" s="2">
        <v>-6.4781852066516876E-2</v>
      </c>
      <c r="K52" s="2">
        <v>-0.32895579348431703</v>
      </c>
      <c r="L52" s="2">
        <v>-1.1154527586597001</v>
      </c>
      <c r="M52" s="2">
        <v>-2.9719358299470802</v>
      </c>
      <c r="N52" s="2">
        <v>-4.7680364085604603E-2</v>
      </c>
      <c r="O52" s="2">
        <v>-0.6048</v>
      </c>
      <c r="P52" s="2">
        <v>-1.8813</v>
      </c>
      <c r="Q52" s="2">
        <v>-0.84379999999999999</v>
      </c>
      <c r="R52">
        <v>0</v>
      </c>
      <c r="S52">
        <v>0.67091321007126903</v>
      </c>
      <c r="T52">
        <v>0</v>
      </c>
      <c r="U52">
        <v>0</v>
      </c>
      <c r="V52">
        <v>0</v>
      </c>
      <c r="W52" s="7">
        <v>-0.20521473333333332</v>
      </c>
    </row>
    <row r="53" spans="1:23" x14ac:dyDescent="0.25">
      <c r="A53" s="1">
        <v>27303</v>
      </c>
      <c r="B53">
        <v>1.1549907625</v>
      </c>
      <c r="C53">
        <v>7.5516184E-2</v>
      </c>
      <c r="H53" s="2">
        <v>-0.93247757620751404</v>
      </c>
      <c r="I53" s="2">
        <v>-1.9020719453692436E-2</v>
      </c>
      <c r="J53" s="2">
        <v>-5.5477074347436428E-3</v>
      </c>
      <c r="K53" s="2">
        <v>0.70689830131906894</v>
      </c>
      <c r="L53" s="2">
        <v>-1.0503708320087299</v>
      </c>
      <c r="M53" s="2">
        <v>-1.52521133718248</v>
      </c>
      <c r="N53" s="2">
        <v>0.48084459187435002</v>
      </c>
      <c r="O53" s="2">
        <v>1.8560000000000001</v>
      </c>
      <c r="P53" s="2">
        <v>-3.5158999999999998</v>
      </c>
      <c r="Q53" s="2">
        <v>-0.76170000000000004</v>
      </c>
      <c r="R53">
        <v>0</v>
      </c>
      <c r="S53">
        <v>-0.61149427998556705</v>
      </c>
      <c r="T53">
        <v>0</v>
      </c>
      <c r="U53">
        <v>0</v>
      </c>
      <c r="V53">
        <v>0</v>
      </c>
      <c r="W53" s="7">
        <v>-9.1492766666666669E-2</v>
      </c>
    </row>
    <row r="54" spans="1:23" x14ac:dyDescent="0.25">
      <c r="A54" s="1">
        <v>27395</v>
      </c>
      <c r="B54">
        <v>-1.1637362871000001</v>
      </c>
      <c r="C54">
        <v>-0.13148234</v>
      </c>
      <c r="F54">
        <v>-0.48162119668027475</v>
      </c>
      <c r="G54">
        <v>-1.262677859840259</v>
      </c>
      <c r="H54" s="2">
        <v>2.58496084538461</v>
      </c>
      <c r="I54" s="2">
        <v>9.2192515730857849E-2</v>
      </c>
      <c r="J54" s="2">
        <v>2.7458921074867249E-2</v>
      </c>
      <c r="K54" s="2">
        <v>3.2421835404973698</v>
      </c>
      <c r="L54" s="2">
        <v>-0.227561366049326</v>
      </c>
      <c r="M54" s="2">
        <v>-0.42242129524592398</v>
      </c>
      <c r="N54" s="2">
        <v>1.22065459994418</v>
      </c>
      <c r="O54" s="2">
        <v>1.8156000000000001</v>
      </c>
      <c r="P54" s="2">
        <v>-16.810600000000001</v>
      </c>
      <c r="Q54" s="2">
        <v>-1.0508999999999999</v>
      </c>
      <c r="R54">
        <v>0</v>
      </c>
      <c r="S54">
        <v>-0.11745678980758199</v>
      </c>
      <c r="T54">
        <v>0</v>
      </c>
      <c r="U54">
        <v>0</v>
      </c>
      <c r="V54">
        <v>0</v>
      </c>
      <c r="W54" s="7">
        <v>-0.18308706666666666</v>
      </c>
    </row>
    <row r="55" spans="1:23" x14ac:dyDescent="0.25">
      <c r="A55" s="1">
        <v>27485</v>
      </c>
      <c r="B55">
        <v>2.6254041611000001</v>
      </c>
      <c r="C55">
        <v>-1.1776756669999999</v>
      </c>
      <c r="F55">
        <v>-3.1457202324220085E-2</v>
      </c>
      <c r="G55">
        <v>1.1701251326347286</v>
      </c>
      <c r="H55" s="2">
        <v>0.98871455019324295</v>
      </c>
      <c r="I55" s="2">
        <v>3.6843009293079376E-2</v>
      </c>
      <c r="J55" s="2">
        <v>1.3283097185194492E-2</v>
      </c>
      <c r="K55" s="2">
        <v>0.44689752342107503</v>
      </c>
      <c r="L55" s="2">
        <v>1.86188022167929</v>
      </c>
      <c r="M55" s="2">
        <v>-0.88127897569688296</v>
      </c>
      <c r="N55" s="2">
        <v>1.0779808480762501</v>
      </c>
      <c r="O55" s="2">
        <v>1.5255000000000001</v>
      </c>
      <c r="P55" s="2">
        <v>8.1893999999999991</v>
      </c>
      <c r="Q55" s="2">
        <v>-1.1867000000000001</v>
      </c>
      <c r="R55">
        <v>0</v>
      </c>
      <c r="S55">
        <v>-1.0506799068519099</v>
      </c>
      <c r="T55">
        <v>0</v>
      </c>
      <c r="U55">
        <v>0</v>
      </c>
      <c r="V55">
        <v>0</v>
      </c>
      <c r="W55" s="7">
        <v>-8.6221866666666647E-2</v>
      </c>
    </row>
    <row r="56" spans="1:23" x14ac:dyDescent="0.25">
      <c r="A56" s="1">
        <v>27576</v>
      </c>
      <c r="B56">
        <v>0.423261316</v>
      </c>
      <c r="C56">
        <v>1.320159525</v>
      </c>
      <c r="F56">
        <v>-0.20550591094239054</v>
      </c>
      <c r="G56">
        <v>3.1864754180856067</v>
      </c>
      <c r="H56" s="2">
        <v>-0.43862344016909799</v>
      </c>
      <c r="I56" s="2">
        <v>-8.7486259639263153E-2</v>
      </c>
      <c r="J56" s="2">
        <v>-2.1817328408360481E-2</v>
      </c>
      <c r="K56" s="2">
        <v>-0.74252775957738903</v>
      </c>
      <c r="L56" s="2">
        <v>-0.10577948337873699</v>
      </c>
      <c r="M56" s="2">
        <v>0.81433956111283501</v>
      </c>
      <c r="N56" s="2">
        <v>0.28261846255265499</v>
      </c>
      <c r="O56" s="2">
        <v>-0.16259999999999999</v>
      </c>
      <c r="P56" s="2">
        <v>12.242900000000001</v>
      </c>
      <c r="Q56" s="2">
        <v>0.91469999999999996</v>
      </c>
      <c r="R56">
        <v>0</v>
      </c>
      <c r="S56">
        <v>1.4364712784354601</v>
      </c>
      <c r="T56">
        <v>0</v>
      </c>
      <c r="U56">
        <v>0</v>
      </c>
      <c r="V56">
        <v>0</v>
      </c>
      <c r="W56" s="7">
        <v>-7.0292733333333343E-2</v>
      </c>
    </row>
    <row r="57" spans="1:23" x14ac:dyDescent="0.25">
      <c r="A57" s="1">
        <v>27668</v>
      </c>
      <c r="B57">
        <v>-0.4423173292</v>
      </c>
      <c r="C57">
        <v>0.92892297899999998</v>
      </c>
      <c r="F57">
        <v>-0.21887872550863019</v>
      </c>
      <c r="G57">
        <v>-1.7989596007899831</v>
      </c>
      <c r="H57" s="2">
        <v>-0.91053010021438796</v>
      </c>
      <c r="I57" s="2">
        <v>1.3241127133369446E-2</v>
      </c>
      <c r="J57" s="2">
        <v>3.3320484217256308E-3</v>
      </c>
      <c r="K57" s="2">
        <v>-1.1524818796226599</v>
      </c>
      <c r="L57" s="2">
        <v>-0.90543644442896898</v>
      </c>
      <c r="M57" s="2">
        <v>-0.50812761458053501</v>
      </c>
      <c r="N57" s="2">
        <v>-0.314509853232257</v>
      </c>
      <c r="O57" s="2">
        <v>-0.99509999999999998</v>
      </c>
      <c r="P57" s="2">
        <v>-4.3518999999999997</v>
      </c>
      <c r="Q57" s="2">
        <v>-2.58E-2</v>
      </c>
      <c r="R57">
        <v>0</v>
      </c>
      <c r="S57">
        <v>-0.27926112773557699</v>
      </c>
      <c r="T57">
        <v>0</v>
      </c>
      <c r="U57">
        <v>0</v>
      </c>
      <c r="V57">
        <v>0</v>
      </c>
      <c r="W57" s="7">
        <v>-9.2161966666666692E-2</v>
      </c>
    </row>
    <row r="58" spans="1:23" x14ac:dyDescent="0.25">
      <c r="A58" s="1">
        <v>27760</v>
      </c>
      <c r="B58">
        <v>-0.23743360159999999</v>
      </c>
      <c r="C58">
        <v>0.40289588999999998</v>
      </c>
      <c r="F58">
        <v>-0.39889365631671941</v>
      </c>
      <c r="G58">
        <v>0.82165458715625661</v>
      </c>
      <c r="H58" s="2">
        <v>-0.127878484132329</v>
      </c>
      <c r="I58" s="2">
        <v>5.8227621018886566E-2</v>
      </c>
      <c r="J58" s="2">
        <v>2.3210169747471809E-2</v>
      </c>
      <c r="K58" s="2">
        <v>0.56556944643016904</v>
      </c>
      <c r="L58" s="2">
        <v>1.1118835998926799</v>
      </c>
      <c r="M58" s="2">
        <v>-0.77721374188595005</v>
      </c>
      <c r="N58" s="2">
        <v>1.77770163427287</v>
      </c>
      <c r="O58" s="2">
        <v>0.60429999999999995</v>
      </c>
      <c r="P58" s="2">
        <v>5.5994999999999999</v>
      </c>
      <c r="Q58" s="2">
        <v>-1.2699999999999999E-2</v>
      </c>
      <c r="R58">
        <v>4</v>
      </c>
      <c r="S58">
        <v>8.1286732108221099E-2</v>
      </c>
      <c r="T58">
        <v>0</v>
      </c>
      <c r="U58">
        <v>0</v>
      </c>
      <c r="V58">
        <v>0</v>
      </c>
      <c r="W58" s="7">
        <v>-0.27568350000000003</v>
      </c>
    </row>
    <row r="59" spans="1:23" x14ac:dyDescent="0.25">
      <c r="A59" s="1">
        <v>27851</v>
      </c>
      <c r="B59">
        <v>0.32689728019999997</v>
      </c>
      <c r="C59">
        <v>1.2432328669999999</v>
      </c>
      <c r="F59">
        <v>0.3140979292994317</v>
      </c>
      <c r="G59">
        <v>0.38861078196371074</v>
      </c>
      <c r="H59" s="2">
        <v>0.46279385698917203</v>
      </c>
      <c r="I59" s="2">
        <v>-4.1636288166046143E-2</v>
      </c>
      <c r="J59" s="2">
        <v>-1.1617949232459068E-2</v>
      </c>
      <c r="K59" s="2">
        <v>1.80974233044996</v>
      </c>
      <c r="L59" s="2">
        <v>-0.15195054202517499</v>
      </c>
      <c r="M59" s="2">
        <v>-0.53529029493923697</v>
      </c>
      <c r="N59" s="2">
        <v>0.625953088151045</v>
      </c>
      <c r="O59" s="2">
        <v>0.4975</v>
      </c>
      <c r="P59" s="2">
        <v>-5.3742999999999999</v>
      </c>
      <c r="Q59" s="2">
        <v>-0.89329999999999998</v>
      </c>
      <c r="R59">
        <v>0</v>
      </c>
      <c r="S59">
        <v>-1.3492078333415401E-2</v>
      </c>
      <c r="T59">
        <v>0</v>
      </c>
      <c r="U59">
        <v>0</v>
      </c>
      <c r="V59">
        <v>0</v>
      </c>
      <c r="W59" s="7">
        <v>-4.9360899999999992E-2</v>
      </c>
    </row>
    <row r="60" spans="1:23" x14ac:dyDescent="0.25">
      <c r="A60" s="1">
        <v>27942</v>
      </c>
      <c r="B60">
        <v>-0.35807558830000003</v>
      </c>
      <c r="C60">
        <v>0.197443333</v>
      </c>
      <c r="F60">
        <v>0.53589237185256244</v>
      </c>
      <c r="G60">
        <v>0.88633583579060637</v>
      </c>
      <c r="H60" s="2">
        <v>0.139011374225437</v>
      </c>
      <c r="I60" s="2">
        <v>2.210458368062973E-2</v>
      </c>
      <c r="J60" s="2">
        <v>7.5769987888634205E-3</v>
      </c>
      <c r="K60" s="2">
        <v>1.79117857776839</v>
      </c>
      <c r="L60" s="2">
        <v>-0.91883206610046597</v>
      </c>
      <c r="M60" s="2">
        <v>0.38325754727037298</v>
      </c>
      <c r="N60" s="2">
        <v>-0.116671327041817</v>
      </c>
      <c r="O60" s="2">
        <v>-0.83040000000000003</v>
      </c>
      <c r="P60" s="2">
        <v>-1.6294999999999999</v>
      </c>
      <c r="Q60" s="2">
        <v>0.1394</v>
      </c>
      <c r="R60">
        <v>0</v>
      </c>
      <c r="S60">
        <v>-0.394321965171535</v>
      </c>
      <c r="T60">
        <v>0</v>
      </c>
      <c r="U60">
        <v>0</v>
      </c>
      <c r="V60">
        <v>0</v>
      </c>
      <c r="W60" s="7">
        <v>-6.7410366666666666E-2</v>
      </c>
    </row>
    <row r="61" spans="1:23" x14ac:dyDescent="0.25">
      <c r="A61" s="1">
        <v>28034</v>
      </c>
      <c r="B61">
        <v>-0.71241307269999998</v>
      </c>
      <c r="C61">
        <v>-0.82114412599999997</v>
      </c>
      <c r="F61">
        <v>0.34436177010958086</v>
      </c>
      <c r="G61">
        <v>2.4909313102399069</v>
      </c>
      <c r="H61" s="2">
        <v>0.11319582742006901</v>
      </c>
      <c r="I61" s="2">
        <v>-5.2336860448122025E-2</v>
      </c>
      <c r="J61" s="2">
        <v>-1.4346983283758163E-2</v>
      </c>
      <c r="K61" s="2">
        <v>2.4760307717824701</v>
      </c>
      <c r="L61" s="2">
        <v>-1.0842330198678301</v>
      </c>
      <c r="M61" s="2">
        <v>-1.0135597677606301</v>
      </c>
      <c r="N61" s="2">
        <v>0.79242172844829795</v>
      </c>
      <c r="O61" s="2">
        <v>0.2039</v>
      </c>
      <c r="P61" s="2">
        <v>0.1148</v>
      </c>
      <c r="Q61" s="2">
        <v>-0.61409999999999998</v>
      </c>
      <c r="R61">
        <v>0</v>
      </c>
      <c r="S61">
        <v>-4.9573334785049397E-2</v>
      </c>
      <c r="T61">
        <v>0.12730069499999999</v>
      </c>
      <c r="U61">
        <v>0.130542613</v>
      </c>
      <c r="V61">
        <v>0.12730069499999999</v>
      </c>
      <c r="W61" s="7">
        <v>-6.6702266666666662E-2</v>
      </c>
    </row>
    <row r="62" spans="1:23" x14ac:dyDescent="0.25">
      <c r="A62" s="1">
        <v>28126</v>
      </c>
      <c r="B62">
        <v>-0.4089295288</v>
      </c>
      <c r="C62">
        <v>0.80599888500000005</v>
      </c>
      <c r="F62">
        <v>-0.4745818493882667</v>
      </c>
      <c r="G62">
        <v>-0.8806465200472795</v>
      </c>
      <c r="H62" s="2">
        <v>-8.6380842241426101E-2</v>
      </c>
      <c r="I62" s="2">
        <v>-2.3657472804188728E-2</v>
      </c>
      <c r="J62" s="2">
        <v>-3.7862509489059448E-3</v>
      </c>
      <c r="K62" s="2">
        <v>-0.248245417483794</v>
      </c>
      <c r="L62" s="2">
        <v>-0.576865182908186</v>
      </c>
      <c r="M62" s="2">
        <v>0.97587243800999601</v>
      </c>
      <c r="N62" s="2">
        <v>0.25323803120742899</v>
      </c>
      <c r="O62" s="2">
        <v>-0.66559999999999997</v>
      </c>
      <c r="P62" s="2">
        <v>4.6784999999999997</v>
      </c>
      <c r="Q62" s="2">
        <v>0.14330000000000001</v>
      </c>
      <c r="R62">
        <v>0</v>
      </c>
      <c r="S62">
        <v>-0.32687679327084901</v>
      </c>
      <c r="T62">
        <v>-4.1251997999999998E-2</v>
      </c>
      <c r="U62">
        <v>-4.2434065999999999E-2</v>
      </c>
      <c r="V62">
        <v>-4.1251997999999998E-2</v>
      </c>
      <c r="W62" s="7">
        <v>-0.16994283333333335</v>
      </c>
    </row>
    <row r="63" spans="1:23" x14ac:dyDescent="0.25">
      <c r="A63" s="1">
        <v>28216</v>
      </c>
      <c r="B63">
        <v>0.10246485130000001</v>
      </c>
      <c r="C63">
        <v>0.104440508</v>
      </c>
      <c r="F63">
        <v>9.320078900544421E-3</v>
      </c>
      <c r="G63">
        <v>-1.3474086988513256</v>
      </c>
      <c r="H63" s="2">
        <v>-0.88863281578058195</v>
      </c>
      <c r="I63" s="2">
        <v>-6.0932077467441559E-2</v>
      </c>
      <c r="J63" s="2">
        <v>-1.1526072397828102E-2</v>
      </c>
      <c r="K63" s="2">
        <v>-2.2987856085950198</v>
      </c>
      <c r="L63" s="2">
        <v>0.56060250566235204</v>
      </c>
      <c r="M63" s="2">
        <v>1.59626907033387</v>
      </c>
      <c r="N63" s="2">
        <v>0.112587301041459</v>
      </c>
      <c r="O63" s="2">
        <v>-0.80369999999999997</v>
      </c>
      <c r="P63" s="2">
        <v>3.3317000000000001</v>
      </c>
      <c r="Q63" s="2">
        <v>0.96150000000000002</v>
      </c>
      <c r="R63">
        <v>0</v>
      </c>
      <c r="S63">
        <v>-0.66326132471408805</v>
      </c>
      <c r="T63">
        <v>0</v>
      </c>
      <c r="U63">
        <v>0</v>
      </c>
      <c r="V63">
        <v>0</v>
      </c>
      <c r="W63" s="7">
        <v>-0.11015789999999999</v>
      </c>
    </row>
    <row r="64" spans="1:23" x14ac:dyDescent="0.25">
      <c r="A64" s="1">
        <v>28307</v>
      </c>
      <c r="B64">
        <v>0.14789714740000001</v>
      </c>
      <c r="C64">
        <v>0.68924289500000002</v>
      </c>
      <c r="F64">
        <v>-0.11167319628484407</v>
      </c>
      <c r="G64">
        <v>0.58385780169020307</v>
      </c>
      <c r="H64" s="2">
        <v>0.17318283889806399</v>
      </c>
      <c r="I64" s="2">
        <v>-3.8725666701793671E-2</v>
      </c>
      <c r="J64" s="2">
        <v>-4.3905642814934254E-3</v>
      </c>
      <c r="K64" s="2">
        <v>-5.2955872511082303E-2</v>
      </c>
      <c r="L64" s="2">
        <v>0.25800135225244297</v>
      </c>
      <c r="M64" s="2">
        <v>-0.11810867949743201</v>
      </c>
      <c r="N64" s="2">
        <v>1.13186914290398</v>
      </c>
      <c r="O64" s="2">
        <v>0.1033</v>
      </c>
      <c r="P64" s="2">
        <v>-0.43099999999999999</v>
      </c>
      <c r="Q64" s="2">
        <v>0.1792</v>
      </c>
      <c r="R64">
        <v>-5</v>
      </c>
      <c r="S64">
        <v>-1.0594627893716899</v>
      </c>
      <c r="T64">
        <v>-0.338687827</v>
      </c>
      <c r="U64">
        <v>-0.34909235999999999</v>
      </c>
      <c r="V64">
        <v>-1.02</v>
      </c>
      <c r="W64" s="7">
        <v>-7.3694066666666655E-2</v>
      </c>
    </row>
    <row r="65" spans="1:23" x14ac:dyDescent="0.25">
      <c r="A65" s="1">
        <v>28399</v>
      </c>
      <c r="B65">
        <v>-0.86208100909999996</v>
      </c>
      <c r="C65">
        <v>-0.37885152700000002</v>
      </c>
      <c r="F65">
        <v>-0.46884274259815262</v>
      </c>
      <c r="G65">
        <v>1.4442853630560155</v>
      </c>
      <c r="H65" s="2">
        <v>-1.53290433614899</v>
      </c>
      <c r="I65" s="2">
        <v>-4.6624302864074707E-2</v>
      </c>
      <c r="J65" s="2">
        <v>-1.7830630764365196E-2</v>
      </c>
      <c r="K65" s="2">
        <v>-0.75389103322858297</v>
      </c>
      <c r="L65" s="2">
        <v>1.0454430673155499</v>
      </c>
      <c r="M65" s="2">
        <v>-0.82730192259068602</v>
      </c>
      <c r="N65" s="2">
        <v>-1.7287706047045299</v>
      </c>
      <c r="O65" s="2">
        <v>-0.97119999999999995</v>
      </c>
      <c r="P65" s="2">
        <v>-3.6137000000000001</v>
      </c>
      <c r="Q65" s="2">
        <v>-2.3660000000000001</v>
      </c>
      <c r="R65">
        <v>0</v>
      </c>
      <c r="S65">
        <v>0.17220361040855001</v>
      </c>
      <c r="T65">
        <v>0</v>
      </c>
      <c r="U65">
        <v>0</v>
      </c>
      <c r="V65">
        <v>0.66</v>
      </c>
      <c r="W65" s="7">
        <v>-7.2842799999999999E-2</v>
      </c>
    </row>
    <row r="66" spans="1:23" x14ac:dyDescent="0.25">
      <c r="A66" s="1">
        <v>28491</v>
      </c>
      <c r="B66">
        <v>-0.90726105820000003</v>
      </c>
      <c r="C66">
        <v>0.34851908700000001</v>
      </c>
      <c r="F66">
        <v>-2.7995207067277889E-2</v>
      </c>
      <c r="G66">
        <v>-1.9556937666358545</v>
      </c>
      <c r="H66" s="2">
        <v>-0.41121840976642798</v>
      </c>
      <c r="I66" s="2">
        <v>-4.2620807886123657E-2</v>
      </c>
      <c r="J66" s="2">
        <v>-1.3584640808403492E-2</v>
      </c>
      <c r="K66" s="2">
        <v>0.60114719964867203</v>
      </c>
      <c r="L66" s="2">
        <v>-3.8628029925473498E-2</v>
      </c>
      <c r="M66" s="2">
        <v>-0.55880940924619904</v>
      </c>
      <c r="N66" s="2">
        <v>-1.7816682777687201</v>
      </c>
      <c r="O66" s="2">
        <v>-0.70989999999999998</v>
      </c>
      <c r="P66" s="2">
        <v>2.9064999999999999</v>
      </c>
      <c r="Q66" s="2">
        <v>0.75770000000000004</v>
      </c>
      <c r="R66">
        <v>0</v>
      </c>
      <c r="S66">
        <v>0.33895877746465702</v>
      </c>
      <c r="T66">
        <v>0.13488372100000001</v>
      </c>
      <c r="U66">
        <v>0</v>
      </c>
      <c r="V66">
        <v>0</v>
      </c>
      <c r="W66" s="7">
        <v>-5.3526566666666657E-2</v>
      </c>
    </row>
    <row r="67" spans="1:23" x14ac:dyDescent="0.25">
      <c r="A67" s="1">
        <v>28581</v>
      </c>
      <c r="B67">
        <v>0.8704864873</v>
      </c>
      <c r="C67">
        <v>0.76261738000000001</v>
      </c>
      <c r="F67">
        <v>0.12889869133012608</v>
      </c>
      <c r="G67">
        <v>0.30457547174431671</v>
      </c>
      <c r="H67" s="2">
        <v>1.22602074566349</v>
      </c>
      <c r="I67" s="2">
        <v>3.0925612896680832E-2</v>
      </c>
      <c r="J67" s="2">
        <v>2.163139171898365E-2</v>
      </c>
      <c r="K67" s="2">
        <v>-2.5571518218895299</v>
      </c>
      <c r="L67" s="2">
        <v>-1.1154030188630499</v>
      </c>
      <c r="M67" s="2">
        <v>1.9964731976557501E-2</v>
      </c>
      <c r="N67" s="2">
        <v>2.2433886148134898</v>
      </c>
      <c r="O67" s="2">
        <v>0.61050000000000004</v>
      </c>
      <c r="P67" s="2">
        <v>8.766</v>
      </c>
      <c r="Q67" s="2">
        <v>0.31190000000000001</v>
      </c>
      <c r="R67">
        <v>0</v>
      </c>
      <c r="S67">
        <v>1.93623257647161</v>
      </c>
      <c r="T67">
        <v>0</v>
      </c>
      <c r="U67">
        <v>0</v>
      </c>
      <c r="V67">
        <v>0</v>
      </c>
      <c r="W67" s="7">
        <v>-4.4116133333333328E-2</v>
      </c>
    </row>
    <row r="68" spans="1:23" x14ac:dyDescent="0.25">
      <c r="A68" s="1">
        <v>28672</v>
      </c>
      <c r="B68">
        <v>0.96945781559999999</v>
      </c>
      <c r="C68">
        <v>0.69829344800000004</v>
      </c>
      <c r="F68">
        <v>0.41407256771991729</v>
      </c>
      <c r="G68">
        <v>1.2174548672362442</v>
      </c>
      <c r="H68" s="2">
        <v>-0.17565209171354301</v>
      </c>
      <c r="I68" s="2">
        <v>7.3390244506299496E-3</v>
      </c>
      <c r="J68" s="2">
        <v>1.0436297161504626E-3</v>
      </c>
      <c r="K68" s="2">
        <v>0.50705385659774205</v>
      </c>
      <c r="L68" s="2">
        <v>-9.4922871281346993E-2</v>
      </c>
      <c r="M68" s="2">
        <v>0.278496113977096</v>
      </c>
      <c r="N68" s="2">
        <v>0.15522485735497499</v>
      </c>
      <c r="O68" s="2">
        <v>-0.74619999999999997</v>
      </c>
      <c r="P68" s="2">
        <v>-4.1957000000000004</v>
      </c>
      <c r="Q68" s="2">
        <v>-6.25E-2</v>
      </c>
      <c r="R68">
        <v>0</v>
      </c>
      <c r="S68">
        <v>-0.99803378162075995</v>
      </c>
      <c r="T68">
        <v>0</v>
      </c>
      <c r="U68">
        <v>0</v>
      </c>
      <c r="V68">
        <v>0</v>
      </c>
      <c r="W68" s="7">
        <v>-0.14035823333333333</v>
      </c>
    </row>
    <row r="69" spans="1:23" x14ac:dyDescent="0.25">
      <c r="A69" s="1">
        <v>28764</v>
      </c>
      <c r="B69">
        <v>0.20477989539999999</v>
      </c>
      <c r="C69">
        <v>-1.026913711</v>
      </c>
      <c r="F69">
        <v>-0.57666919959398932</v>
      </c>
      <c r="G69">
        <v>-0.1160937150753673</v>
      </c>
      <c r="H69" s="2">
        <v>-0.46535792011553101</v>
      </c>
      <c r="I69" s="2">
        <v>-7.8239604830741882E-2</v>
      </c>
      <c r="J69" s="2">
        <v>-2.4054117500782013E-2</v>
      </c>
      <c r="K69" s="2">
        <v>-0.870933908116031</v>
      </c>
      <c r="L69" s="2">
        <v>0.57279483290260302</v>
      </c>
      <c r="M69" s="2">
        <v>0.76794684723093598</v>
      </c>
      <c r="N69" s="2">
        <v>0.35541835975680802</v>
      </c>
      <c r="O69" s="2">
        <v>-8.0500000000000002E-2</v>
      </c>
      <c r="P69" s="2">
        <v>3.0968</v>
      </c>
      <c r="Q69" s="2">
        <v>-0.47420000000000001</v>
      </c>
      <c r="R69">
        <v>0</v>
      </c>
      <c r="S69">
        <v>-0.294690905955381</v>
      </c>
      <c r="T69">
        <v>0</v>
      </c>
      <c r="U69">
        <v>0</v>
      </c>
      <c r="V69">
        <v>0</v>
      </c>
      <c r="W69" s="7">
        <v>7.0896899999999999E-2</v>
      </c>
    </row>
    <row r="70" spans="1:23" x14ac:dyDescent="0.25">
      <c r="A70" s="1">
        <v>28856</v>
      </c>
      <c r="B70">
        <v>1.727217E-4</v>
      </c>
      <c r="C70">
        <v>-0.33741354800000001</v>
      </c>
      <c r="F70">
        <v>-3.7967752654153801E-2</v>
      </c>
      <c r="G70">
        <v>-0.38082420701336428</v>
      </c>
      <c r="H70" s="2">
        <v>-0.32419050098339802</v>
      </c>
      <c r="I70" s="2">
        <v>2.2366484627127647E-2</v>
      </c>
      <c r="J70" s="2">
        <v>6.3231843523681164E-3</v>
      </c>
      <c r="K70" s="2">
        <v>-0.51481628034855897</v>
      </c>
      <c r="L70" s="2">
        <v>-0.50320692759161501</v>
      </c>
      <c r="M70" s="2">
        <v>-0.65539872933691801</v>
      </c>
      <c r="N70" s="2">
        <v>0.17064107769185699</v>
      </c>
      <c r="O70" s="2">
        <v>-1.4054</v>
      </c>
      <c r="P70" s="2">
        <v>-2.2200000000000001E-2</v>
      </c>
      <c r="Q70" s="2">
        <v>8.3400000000000002E-2</v>
      </c>
      <c r="R70">
        <v>11</v>
      </c>
      <c r="S70">
        <v>-0.25799884147747598</v>
      </c>
      <c r="T70">
        <v>-0.409836066</v>
      </c>
      <c r="U70">
        <v>-0.78228476800000002</v>
      </c>
      <c r="V70">
        <v>-0.76692095400000004</v>
      </c>
      <c r="W70" s="7">
        <v>-3.6023433333333334E-2</v>
      </c>
    </row>
    <row r="71" spans="1:23" x14ac:dyDescent="0.25">
      <c r="A71" s="1">
        <v>28946</v>
      </c>
      <c r="B71">
        <v>-0.68960606719999995</v>
      </c>
      <c r="C71">
        <v>-6.4442362000000003E-2</v>
      </c>
      <c r="F71">
        <v>0.94864277218645365</v>
      </c>
      <c r="G71">
        <v>0.2992804773389926</v>
      </c>
      <c r="H71" s="2">
        <v>-0.23969985028585</v>
      </c>
      <c r="I71" s="2">
        <v>-5.2095623686909676E-3</v>
      </c>
      <c r="J71" s="2">
        <v>-7.004887331277132E-3</v>
      </c>
      <c r="K71" s="2">
        <v>-0.56019110943333394</v>
      </c>
      <c r="L71" s="2">
        <v>-0.97898012410602397</v>
      </c>
      <c r="M71" s="2">
        <v>1.21166761721921</v>
      </c>
      <c r="N71" s="2">
        <v>-0.163461019076237</v>
      </c>
      <c r="O71" s="2">
        <v>-1.0958000000000001</v>
      </c>
      <c r="P71" s="2">
        <v>1.1640999999999999</v>
      </c>
      <c r="Q71" s="2">
        <v>0.28310000000000002</v>
      </c>
      <c r="R71">
        <v>0</v>
      </c>
      <c r="S71">
        <v>0.33689665486734599</v>
      </c>
      <c r="T71">
        <v>0</v>
      </c>
      <c r="U71">
        <v>0</v>
      </c>
      <c r="V71">
        <v>0</v>
      </c>
      <c r="W71" s="7">
        <v>-1.1110133333333333E-2</v>
      </c>
    </row>
    <row r="72" spans="1:23" x14ac:dyDescent="0.25">
      <c r="A72" s="1">
        <v>29037</v>
      </c>
      <c r="B72">
        <v>-1.4231429617</v>
      </c>
      <c r="C72">
        <v>-0.76146634000000002</v>
      </c>
      <c r="F72">
        <v>0.45003298471277164</v>
      </c>
      <c r="G72">
        <v>5.3681791811781975E-2</v>
      </c>
      <c r="H72" s="2">
        <v>-1.1767697402231001</v>
      </c>
      <c r="I72" s="2">
        <v>2.4144276976585388E-2</v>
      </c>
      <c r="J72" s="2">
        <v>5.7065021246671677E-3</v>
      </c>
      <c r="K72" s="2">
        <v>-1.6983190892603099</v>
      </c>
      <c r="L72" s="2">
        <v>1.13422403551543E-2</v>
      </c>
      <c r="M72" s="2">
        <v>1.3515265670196399</v>
      </c>
      <c r="N72" s="2">
        <v>0.80145922934610303</v>
      </c>
      <c r="O72" s="2">
        <v>-0.94669999999999999</v>
      </c>
      <c r="P72" s="2">
        <v>2.6932999999999998</v>
      </c>
      <c r="Q72" s="2">
        <v>3.5799999999999998E-2</v>
      </c>
      <c r="R72">
        <v>0</v>
      </c>
      <c r="S72">
        <v>1.10418837754541</v>
      </c>
      <c r="T72">
        <v>0</v>
      </c>
      <c r="U72">
        <v>0</v>
      </c>
      <c r="V72">
        <v>0</v>
      </c>
      <c r="W72" s="7">
        <v>0.3046741</v>
      </c>
    </row>
    <row r="73" spans="1:23" x14ac:dyDescent="0.25">
      <c r="A73" s="1">
        <v>29129</v>
      </c>
      <c r="B73">
        <v>-1.0789590801</v>
      </c>
      <c r="C73">
        <v>0.15904797200000001</v>
      </c>
      <c r="F73">
        <v>0.17144142764537507</v>
      </c>
      <c r="G73">
        <v>0.17254846252829104</v>
      </c>
      <c r="H73" s="2">
        <v>-0.420773528422836</v>
      </c>
      <c r="I73" s="2">
        <v>-4.2617302387952805E-2</v>
      </c>
      <c r="J73" s="2">
        <v>-1.397035364061594E-2</v>
      </c>
      <c r="K73" s="2">
        <v>-0.35911726153700002</v>
      </c>
      <c r="L73" s="2">
        <v>-0.16104756099301101</v>
      </c>
      <c r="M73" s="2">
        <v>0.53992843883445796</v>
      </c>
      <c r="N73" s="2">
        <v>-0.121770480774398</v>
      </c>
      <c r="O73" s="2">
        <v>-0.73719999999999997</v>
      </c>
      <c r="P73" s="2">
        <v>2.3618000000000001</v>
      </c>
      <c r="Q73" s="2">
        <v>0.2316</v>
      </c>
      <c r="R73">
        <v>0</v>
      </c>
      <c r="S73">
        <v>0.33919749679699002</v>
      </c>
      <c r="T73">
        <v>0</v>
      </c>
      <c r="U73">
        <v>0</v>
      </c>
      <c r="V73">
        <v>0</v>
      </c>
      <c r="W73" s="7">
        <v>3.4617633333333335E-2</v>
      </c>
    </row>
    <row r="74" spans="1:23" x14ac:dyDescent="0.25">
      <c r="A74" s="1">
        <v>29221</v>
      </c>
      <c r="B74">
        <v>0.67048112069999999</v>
      </c>
      <c r="C74">
        <v>-0.68359958499999995</v>
      </c>
      <c r="F74">
        <v>0.25095515511177768</v>
      </c>
      <c r="G74">
        <v>-1.2994932401650621</v>
      </c>
      <c r="H74" s="2">
        <v>0.36869045601042999</v>
      </c>
      <c r="I74" s="2">
        <v>2.3926384747028351E-2</v>
      </c>
      <c r="J74" s="2">
        <v>6.2234788201749325E-3</v>
      </c>
      <c r="K74" s="2">
        <v>0.18776488817583301</v>
      </c>
      <c r="L74" s="2">
        <v>-1.74695435248248</v>
      </c>
      <c r="M74" s="2">
        <v>-0.121340976061383</v>
      </c>
      <c r="N74" s="2">
        <v>0.417402169631303</v>
      </c>
      <c r="O74" s="2">
        <v>-0.65180000000000005</v>
      </c>
      <c r="P74" s="2">
        <v>5.4744999999999999</v>
      </c>
      <c r="Q74" s="2">
        <v>0.5343</v>
      </c>
      <c r="R74">
        <v>169.1</v>
      </c>
      <c r="S74">
        <v>2.3282098209189299</v>
      </c>
      <c r="T74">
        <v>6.2378454E-2</v>
      </c>
      <c r="U74">
        <v>0</v>
      </c>
      <c r="V74">
        <v>0</v>
      </c>
      <c r="W74" s="7">
        <v>0.60029089999999996</v>
      </c>
    </row>
    <row r="75" spans="1:23" x14ac:dyDescent="0.25">
      <c r="A75" s="1">
        <v>29312</v>
      </c>
      <c r="B75">
        <v>1.3874589253</v>
      </c>
      <c r="C75">
        <v>0.65733894800000003</v>
      </c>
      <c r="F75">
        <v>-0.21396820696597943</v>
      </c>
      <c r="G75">
        <v>-0.68227109140587494</v>
      </c>
      <c r="H75" s="2">
        <v>-0.88908787613461104</v>
      </c>
      <c r="I75" s="2">
        <v>-3.2743386924266815E-2</v>
      </c>
      <c r="J75" s="2">
        <v>-2.2154657170176506E-2</v>
      </c>
      <c r="K75" s="2">
        <v>1.6849462250470399</v>
      </c>
      <c r="L75" s="2">
        <v>-0.77181379359177305</v>
      </c>
      <c r="M75" s="2">
        <v>0.114821354212313</v>
      </c>
      <c r="N75" s="2">
        <v>-2.0865353553084498</v>
      </c>
      <c r="O75" s="2">
        <v>-1.0341</v>
      </c>
      <c r="P75" s="2">
        <v>-12.763400000000001</v>
      </c>
      <c r="Q75" s="2">
        <v>-0.1694</v>
      </c>
      <c r="R75">
        <v>0</v>
      </c>
      <c r="S75">
        <v>-1.8466673340859401</v>
      </c>
      <c r="T75">
        <v>0.30044333699999998</v>
      </c>
      <c r="U75">
        <v>0.300873471</v>
      </c>
      <c r="V75">
        <v>0.30044333699999998</v>
      </c>
      <c r="W75" s="7">
        <v>-1.3488163</v>
      </c>
    </row>
    <row r="76" spans="1:23" x14ac:dyDescent="0.25">
      <c r="A76" s="1">
        <v>29403</v>
      </c>
      <c r="B76">
        <v>2.2387399620999999</v>
      </c>
      <c r="C76">
        <v>-0.40623268299999998</v>
      </c>
      <c r="F76">
        <v>-0.5121060892680549</v>
      </c>
      <c r="G76">
        <v>-0.92564931141664497</v>
      </c>
      <c r="H76" s="2">
        <v>-0.41926465301049398</v>
      </c>
      <c r="I76" s="2">
        <v>0.12098599970340729</v>
      </c>
      <c r="J76" s="2">
        <v>3.522786870598793E-2</v>
      </c>
      <c r="K76" s="2">
        <v>-0.32141110226307901</v>
      </c>
      <c r="L76" s="2">
        <v>1.32798067308768</v>
      </c>
      <c r="M76" s="2">
        <v>1.2338271637574401</v>
      </c>
      <c r="N76" s="2">
        <v>-0.32552797192432498</v>
      </c>
      <c r="O76" s="2">
        <v>0.13719999999999999</v>
      </c>
      <c r="P76" s="2">
        <v>3.2858999999999998</v>
      </c>
      <c r="Q76" s="2">
        <v>0.2452</v>
      </c>
      <c r="R76">
        <v>0</v>
      </c>
      <c r="S76">
        <v>1.31030768356002</v>
      </c>
      <c r="T76">
        <v>0</v>
      </c>
      <c r="U76">
        <v>0</v>
      </c>
      <c r="V76">
        <v>0</v>
      </c>
      <c r="W76" s="7">
        <v>0.39278213333333339</v>
      </c>
    </row>
    <row r="77" spans="1:23" x14ac:dyDescent="0.25">
      <c r="A77" s="1">
        <v>29495</v>
      </c>
      <c r="B77">
        <v>-0.33145871490000001</v>
      </c>
      <c r="C77">
        <v>0.179685505</v>
      </c>
      <c r="F77">
        <v>-2.4053740462567745E-2</v>
      </c>
      <c r="G77">
        <v>-0.90577690166797398</v>
      </c>
      <c r="H77" s="2">
        <v>-0.96345597096896696</v>
      </c>
      <c r="I77" s="2">
        <v>-3.0550342053174973E-2</v>
      </c>
      <c r="J77" s="2">
        <v>-2.5991809088736773E-3</v>
      </c>
      <c r="K77" s="2">
        <v>-0.30499539085894201</v>
      </c>
      <c r="L77" s="2">
        <v>1.06094156418357</v>
      </c>
      <c r="M77" s="2">
        <v>0.90531105862378602</v>
      </c>
      <c r="N77" s="2">
        <v>6.6060078671899503E-2</v>
      </c>
      <c r="O77" s="2">
        <v>0.69799999999999995</v>
      </c>
      <c r="P77" s="2">
        <v>23.509899999999998</v>
      </c>
      <c r="Q77" s="2">
        <v>0.51200000000000001</v>
      </c>
      <c r="R77">
        <v>0</v>
      </c>
      <c r="S77">
        <v>2.0301909911161098</v>
      </c>
      <c r="T77">
        <v>0</v>
      </c>
      <c r="U77">
        <v>0</v>
      </c>
      <c r="V77">
        <v>0</v>
      </c>
      <c r="W77" s="7">
        <v>0.83793903333333331</v>
      </c>
    </row>
    <row r="78" spans="1:23" x14ac:dyDescent="0.25">
      <c r="A78" s="1">
        <v>29587</v>
      </c>
      <c r="B78">
        <v>-0.43596470700000001</v>
      </c>
      <c r="C78">
        <v>0.255596989</v>
      </c>
      <c r="F78">
        <v>0.3128297368894597</v>
      </c>
      <c r="G78">
        <v>0.30548189017945565</v>
      </c>
      <c r="H78" s="2">
        <v>0.12186307588954801</v>
      </c>
      <c r="I78" s="2">
        <v>-7.5580373406410217E-2</v>
      </c>
      <c r="J78" s="2">
        <v>-1.8968800082802773E-2</v>
      </c>
      <c r="K78" s="2">
        <v>0.36256443127798699</v>
      </c>
      <c r="L78" s="2">
        <v>0.69505941012776795</v>
      </c>
      <c r="M78" s="2">
        <v>0.37396201915430399</v>
      </c>
      <c r="N78" s="2">
        <v>1.5447640425120801</v>
      </c>
      <c r="O78" s="2">
        <v>0.7853</v>
      </c>
      <c r="P78" s="2">
        <v>6.2755000000000001</v>
      </c>
      <c r="Q78" s="2">
        <v>0.1409</v>
      </c>
      <c r="R78">
        <v>74.5</v>
      </c>
      <c r="S78">
        <v>-0.1876406873002</v>
      </c>
      <c r="T78">
        <v>0.69774298199999996</v>
      </c>
      <c r="U78">
        <v>0</v>
      </c>
      <c r="V78">
        <v>0</v>
      </c>
      <c r="W78" s="7">
        <v>-0.14538219999999999</v>
      </c>
    </row>
    <row r="79" spans="1:23" x14ac:dyDescent="0.25">
      <c r="A79" s="1">
        <v>29677</v>
      </c>
      <c r="B79">
        <v>0.2963761352</v>
      </c>
      <c r="C79">
        <v>-0.56153278100000004</v>
      </c>
      <c r="F79">
        <v>0.38254123377183125</v>
      </c>
      <c r="G79">
        <v>-0.19071397151507274</v>
      </c>
      <c r="H79" s="2">
        <v>-0.54325622200264601</v>
      </c>
      <c r="I79" s="2">
        <v>1.6841407865285873E-2</v>
      </c>
      <c r="J79" s="2">
        <v>-1.0577024659141898E-3</v>
      </c>
      <c r="K79" s="2">
        <v>0.744717865392305</v>
      </c>
      <c r="L79" s="2">
        <v>-0.50939871454809205</v>
      </c>
      <c r="M79" s="2">
        <v>-1.03208335400124</v>
      </c>
      <c r="N79" s="2">
        <v>-0.40506756962495599</v>
      </c>
      <c r="O79" s="2">
        <v>-1.7291000000000001</v>
      </c>
      <c r="P79" s="2">
        <v>-7.5616000000000003</v>
      </c>
      <c r="Q79" s="2">
        <v>-1.1012999999999999</v>
      </c>
      <c r="R79">
        <v>0</v>
      </c>
      <c r="S79">
        <v>0.397470692038222</v>
      </c>
      <c r="T79">
        <v>0</v>
      </c>
      <c r="U79">
        <v>0</v>
      </c>
      <c r="V79">
        <v>0</v>
      </c>
      <c r="W79" s="7">
        <v>0.50278266666666671</v>
      </c>
    </row>
    <row r="80" spans="1:23" x14ac:dyDescent="0.25">
      <c r="A80" s="1">
        <v>29768</v>
      </c>
      <c r="B80">
        <v>-0.3814124156</v>
      </c>
      <c r="C80">
        <v>0.578422302</v>
      </c>
      <c r="F80">
        <v>0.17044906344995786</v>
      </c>
      <c r="G80">
        <v>-0.99657348717312999</v>
      </c>
      <c r="H80" s="2">
        <v>1.2890579616734399</v>
      </c>
      <c r="I80" s="2">
        <v>-0.10251159220933914</v>
      </c>
      <c r="J80" s="2">
        <v>-2.56390031427145E-2</v>
      </c>
      <c r="K80" s="2">
        <v>-1.00552856659783</v>
      </c>
      <c r="L80" s="2">
        <v>0.21065911683707</v>
      </c>
      <c r="M80" s="2">
        <v>-0.300949706472598</v>
      </c>
      <c r="N80" s="2">
        <v>1.5089602513664699</v>
      </c>
      <c r="O80" s="2">
        <v>1.5389999999999999</v>
      </c>
      <c r="P80" s="2">
        <v>13.8995</v>
      </c>
      <c r="Q80" s="2">
        <v>0.32969999999999999</v>
      </c>
      <c r="R80">
        <v>0</v>
      </c>
      <c r="S80">
        <v>-8.3095829217462003E-2</v>
      </c>
      <c r="T80">
        <v>-0.27998867500000002</v>
      </c>
      <c r="U80">
        <v>-0.28841552399999998</v>
      </c>
      <c r="V80">
        <v>-0.83996602399999998</v>
      </c>
      <c r="W80" s="7">
        <v>-0.24833829999999998</v>
      </c>
    </row>
    <row r="81" spans="1:23" x14ac:dyDescent="0.25">
      <c r="A81" s="1">
        <v>29860</v>
      </c>
      <c r="B81">
        <v>-0.89983064690000003</v>
      </c>
      <c r="C81">
        <v>9.8305021000000006E-2</v>
      </c>
      <c r="F81">
        <v>0.16565107562079431</v>
      </c>
      <c r="G81">
        <v>0.35052442176233106</v>
      </c>
      <c r="H81" s="2">
        <v>-2.7569674597012201</v>
      </c>
      <c r="I81" s="2">
        <v>1.9648578017950058E-3</v>
      </c>
      <c r="J81" s="2">
        <v>-7.1534579619765282E-3</v>
      </c>
      <c r="K81" s="2">
        <v>-9.2482885536653396E-3</v>
      </c>
      <c r="L81" s="2">
        <v>0.67489558906152303</v>
      </c>
      <c r="M81" s="2">
        <v>-0.54429839330333396</v>
      </c>
      <c r="N81" s="2">
        <v>-0.81560605027045197</v>
      </c>
      <c r="O81" s="2">
        <v>-1.6633</v>
      </c>
      <c r="P81" s="2">
        <v>-11.9032</v>
      </c>
      <c r="Q81" s="2">
        <v>-0.96460000000000001</v>
      </c>
      <c r="R81">
        <v>0</v>
      </c>
      <c r="S81">
        <v>-1.19004423216521</v>
      </c>
      <c r="T81">
        <v>0</v>
      </c>
      <c r="U81">
        <v>0</v>
      </c>
      <c r="V81">
        <v>0.55687648599999995</v>
      </c>
      <c r="W81" s="7">
        <v>-0.28286923333333336</v>
      </c>
    </row>
    <row r="82" spans="1:23" x14ac:dyDescent="0.25">
      <c r="A82" s="1">
        <v>29952</v>
      </c>
      <c r="B82">
        <v>-1.4614320755000001</v>
      </c>
      <c r="C82">
        <v>0.27178693799999998</v>
      </c>
      <c r="F82">
        <v>-0.68755098106371271</v>
      </c>
      <c r="G82">
        <v>-0.83821353614725247</v>
      </c>
      <c r="H82" s="2">
        <v>-0.102251671461075</v>
      </c>
      <c r="I82" s="2">
        <v>-4.480385035276413E-2</v>
      </c>
      <c r="J82" s="2">
        <v>-1.7488140612840652E-2</v>
      </c>
      <c r="K82" s="2">
        <v>0.67705289405871305</v>
      </c>
      <c r="L82" s="2">
        <v>-0.125886647668535</v>
      </c>
      <c r="M82" s="2">
        <v>-1.3163363287275199E-2</v>
      </c>
      <c r="N82" s="2">
        <v>-0.89369598503296099</v>
      </c>
      <c r="O82" s="2">
        <v>-4.19E-2</v>
      </c>
      <c r="P82" s="2">
        <v>0.14530000000000001</v>
      </c>
      <c r="Q82" s="2">
        <v>-5.91E-2</v>
      </c>
      <c r="R82">
        <v>0</v>
      </c>
      <c r="S82">
        <v>-0.73001167031361303</v>
      </c>
      <c r="T82">
        <v>-1.355591816</v>
      </c>
      <c r="U82">
        <v>0</v>
      </c>
      <c r="V82">
        <v>0</v>
      </c>
      <c r="W82" s="7">
        <v>0.20081693333333336</v>
      </c>
    </row>
    <row r="83" spans="1:23" x14ac:dyDescent="0.25">
      <c r="A83" s="1">
        <v>30042</v>
      </c>
      <c r="B83">
        <v>-0.16191154869999999</v>
      </c>
      <c r="C83">
        <v>0.18381022999999999</v>
      </c>
      <c r="F83">
        <v>0.68835189989446888</v>
      </c>
      <c r="G83">
        <v>1.1220299837289403</v>
      </c>
      <c r="H83" s="2">
        <v>-0.56823890029310997</v>
      </c>
      <c r="I83" s="2">
        <v>-9.5353759825229645E-3</v>
      </c>
      <c r="J83" s="2">
        <v>-1.9342690939083695E-3</v>
      </c>
      <c r="K83" s="2">
        <v>-1.2559481013467999</v>
      </c>
      <c r="L83" s="2">
        <v>-0.65926965555316597</v>
      </c>
      <c r="M83" s="2">
        <v>-0.80925987902613705</v>
      </c>
      <c r="N83" s="2">
        <v>-7.6308321841192794E-2</v>
      </c>
      <c r="O83" s="2">
        <v>0.2878</v>
      </c>
      <c r="P83" s="2">
        <v>10.208299999999999</v>
      </c>
      <c r="Q83" s="2">
        <v>-0.46339999999999998</v>
      </c>
      <c r="R83">
        <v>0</v>
      </c>
      <c r="S83">
        <v>-0.185726304092864</v>
      </c>
      <c r="T83">
        <v>0</v>
      </c>
      <c r="U83">
        <v>0</v>
      </c>
      <c r="V83">
        <v>0</v>
      </c>
      <c r="W83" s="7">
        <v>-3.2626999999999996E-2</v>
      </c>
    </row>
    <row r="84" spans="1:23" x14ac:dyDescent="0.25">
      <c r="A84" s="1">
        <v>30133</v>
      </c>
      <c r="B84">
        <v>-0.21001101280000001</v>
      </c>
      <c r="C84">
        <v>-0.63339194600000004</v>
      </c>
      <c r="F84">
        <v>-0.12226574344475459</v>
      </c>
      <c r="G84">
        <v>-3.4913420306868899E-2</v>
      </c>
      <c r="H84" s="2">
        <v>-0.79064121902292595</v>
      </c>
      <c r="I84" s="2">
        <v>-9.6281943842768669E-3</v>
      </c>
      <c r="J84" s="2">
        <v>-4.9848868511617184E-3</v>
      </c>
      <c r="K84" s="2">
        <v>1.3196119358894101</v>
      </c>
      <c r="L84" s="2">
        <v>1.49656188121425</v>
      </c>
      <c r="M84" s="2">
        <v>0.93159062090153999</v>
      </c>
      <c r="N84" s="2">
        <v>-1.0675583321409501</v>
      </c>
      <c r="O84" s="2">
        <v>-0.40539999999999998</v>
      </c>
      <c r="P84" s="2">
        <v>-1.4323999999999999</v>
      </c>
      <c r="Q84" s="2">
        <v>0.56100000000000005</v>
      </c>
      <c r="R84">
        <v>0</v>
      </c>
      <c r="S84">
        <v>8.6255627779890404E-2</v>
      </c>
      <c r="T84">
        <v>0</v>
      </c>
      <c r="U84">
        <v>0</v>
      </c>
      <c r="V84">
        <v>0</v>
      </c>
      <c r="W84" s="7">
        <v>-0.14732463333333334</v>
      </c>
    </row>
    <row r="85" spans="1:23" x14ac:dyDescent="0.25">
      <c r="A85" s="1">
        <v>30225</v>
      </c>
      <c r="B85">
        <v>1.786434477</v>
      </c>
      <c r="C85">
        <v>-0.43136249399999999</v>
      </c>
      <c r="F85">
        <v>-0.24758964776492742</v>
      </c>
      <c r="G85">
        <v>1.9698600930870522</v>
      </c>
      <c r="H85" s="2">
        <v>2.1929270105227698</v>
      </c>
      <c r="I85" s="2">
        <v>0.15963611006736755</v>
      </c>
      <c r="J85" s="2">
        <v>4.5352190732955933E-2</v>
      </c>
      <c r="K85" s="2">
        <v>2.6045325553091301</v>
      </c>
      <c r="L85" s="2">
        <v>0.95735742437648996</v>
      </c>
      <c r="M85" s="2">
        <v>-4.8512179514221598E-2</v>
      </c>
      <c r="N85" s="2">
        <v>-0.35481152054700899</v>
      </c>
      <c r="O85" s="2">
        <v>0.8266</v>
      </c>
      <c r="P85" s="2">
        <v>-6.7196999999999996</v>
      </c>
      <c r="Q85" s="2">
        <v>0.26119999999999999</v>
      </c>
      <c r="R85">
        <v>0</v>
      </c>
      <c r="S85">
        <v>-0.823321387145862</v>
      </c>
      <c r="T85">
        <v>0</v>
      </c>
      <c r="U85">
        <v>0</v>
      </c>
      <c r="V85">
        <v>0</v>
      </c>
      <c r="W85" s="7">
        <v>0.15404573333333332</v>
      </c>
    </row>
    <row r="86" spans="1:23" x14ac:dyDescent="0.25">
      <c r="A86" s="1">
        <v>30317</v>
      </c>
      <c r="B86">
        <v>0.1831598834</v>
      </c>
      <c r="C86">
        <v>0.39486943299999999</v>
      </c>
      <c r="D86">
        <v>0</v>
      </c>
      <c r="F86">
        <v>-0.33721719531866712</v>
      </c>
      <c r="G86">
        <v>-1.5942157948332467</v>
      </c>
      <c r="H86" s="2">
        <v>0.421876252313231</v>
      </c>
      <c r="I86" s="2">
        <v>-1.101683359593153E-2</v>
      </c>
      <c r="J86" s="2">
        <v>-4.786068107932806E-3</v>
      </c>
      <c r="K86" s="2">
        <v>3.8315575424979702E-2</v>
      </c>
      <c r="L86" s="2">
        <v>1.0423870430401501</v>
      </c>
      <c r="M86" s="2">
        <v>-9.0850725726324605E-2</v>
      </c>
      <c r="N86" s="2">
        <v>-1.76668735982264</v>
      </c>
      <c r="O86" s="2">
        <v>0.33979999999999999</v>
      </c>
      <c r="P86" s="2">
        <v>8.609</v>
      </c>
      <c r="Q86" s="2">
        <v>0.45910000000000001</v>
      </c>
      <c r="R86">
        <v>0</v>
      </c>
      <c r="S86">
        <v>0.158959870455709</v>
      </c>
      <c r="T86">
        <v>-0.91341748199999995</v>
      </c>
      <c r="U86">
        <v>0</v>
      </c>
      <c r="V86">
        <v>0</v>
      </c>
      <c r="W86" s="7">
        <v>0.11608323333333333</v>
      </c>
    </row>
    <row r="87" spans="1:23" x14ac:dyDescent="0.25">
      <c r="A87" s="1">
        <v>30407</v>
      </c>
      <c r="B87">
        <v>1.6446382059</v>
      </c>
      <c r="C87">
        <v>-2.2786067E-2</v>
      </c>
      <c r="D87">
        <v>0</v>
      </c>
      <c r="F87">
        <v>2.0176575607487524E-2</v>
      </c>
      <c r="G87">
        <v>1.3071993523512546</v>
      </c>
      <c r="H87" s="2">
        <v>0.192779614572888</v>
      </c>
      <c r="I87" s="2">
        <v>5.0977952778339386E-2</v>
      </c>
      <c r="J87" s="2">
        <v>1.9634531810879707E-2</v>
      </c>
      <c r="K87" s="2">
        <v>1.3317852885931101</v>
      </c>
      <c r="L87" s="2">
        <v>-0.68963528696445398</v>
      </c>
      <c r="M87" s="2">
        <v>4.6515352639046097E-2</v>
      </c>
      <c r="N87" s="2">
        <v>-0.10584087787544499</v>
      </c>
      <c r="O87" s="2">
        <v>0.66400000000000003</v>
      </c>
      <c r="P87" s="2">
        <v>10.1187</v>
      </c>
      <c r="Q87" s="2">
        <v>0.47039999999999998</v>
      </c>
      <c r="R87">
        <v>0</v>
      </c>
      <c r="S87">
        <v>0.25646468062461297</v>
      </c>
      <c r="T87">
        <v>0</v>
      </c>
      <c r="U87">
        <v>0</v>
      </c>
      <c r="V87">
        <v>0</v>
      </c>
      <c r="W87" s="7">
        <v>-1.2884366666666668E-2</v>
      </c>
    </row>
    <row r="88" spans="1:23" x14ac:dyDescent="0.25">
      <c r="A88" s="1">
        <v>30498</v>
      </c>
      <c r="B88">
        <v>1.4454236082</v>
      </c>
      <c r="C88">
        <v>-0.38702613000000002</v>
      </c>
      <c r="D88">
        <v>6.127166941085483E-2</v>
      </c>
      <c r="F88">
        <v>0.22199985404082051</v>
      </c>
      <c r="G88">
        <v>1.6157188224096355</v>
      </c>
      <c r="H88" s="2">
        <v>0.247813436262805</v>
      </c>
      <c r="I88" s="2">
        <v>-3.4934211522340775E-2</v>
      </c>
      <c r="J88" s="2">
        <v>-1.1191347613930702E-2</v>
      </c>
      <c r="K88" s="2">
        <v>-2.6658708554926198E-2</v>
      </c>
      <c r="L88" s="2">
        <v>0.65598837308547397</v>
      </c>
      <c r="M88" s="2">
        <v>0.82573621230773897</v>
      </c>
      <c r="N88" s="2">
        <v>-0.37069841774366202</v>
      </c>
      <c r="O88" s="2">
        <v>-1.0618000000000001</v>
      </c>
      <c r="P88" s="2">
        <v>1.8926000000000001</v>
      </c>
      <c r="Q88" s="2">
        <v>0.65210000000000001</v>
      </c>
      <c r="R88">
        <v>0</v>
      </c>
      <c r="S88">
        <v>-0.241398835609203</v>
      </c>
      <c r="T88">
        <v>0</v>
      </c>
      <c r="U88">
        <v>0</v>
      </c>
      <c r="V88">
        <v>0</v>
      </c>
      <c r="W88" s="7">
        <v>-6.9111366666666674E-2</v>
      </c>
    </row>
    <row r="89" spans="1:23" x14ac:dyDescent="0.25">
      <c r="A89" s="1">
        <v>30590</v>
      </c>
      <c r="B89">
        <v>-2.9809548299999999E-2</v>
      </c>
      <c r="C89">
        <v>-0.34208808299999999</v>
      </c>
      <c r="D89">
        <v>-6.8797009611839446E-2</v>
      </c>
      <c r="F89">
        <v>-0.3177537076207817</v>
      </c>
      <c r="G89">
        <v>0.24534836320707964</v>
      </c>
      <c r="H89" s="2">
        <v>0.40558992994794901</v>
      </c>
      <c r="I89" s="2">
        <v>-2.6392528787255287E-2</v>
      </c>
      <c r="J89" s="2">
        <v>-3.587427781894803E-3</v>
      </c>
      <c r="K89" s="2">
        <v>0.53794972435917898</v>
      </c>
      <c r="L89" s="2">
        <v>-0.19524337251196</v>
      </c>
      <c r="M89" s="2">
        <v>-0.75839532285465405</v>
      </c>
      <c r="N89" s="2">
        <v>-0.24709606920591701</v>
      </c>
      <c r="O89" s="2">
        <v>0.15479999999999999</v>
      </c>
      <c r="P89" s="2">
        <v>6.6943000000000001</v>
      </c>
      <c r="Q89" s="2">
        <v>-0.48480000000000001</v>
      </c>
      <c r="R89">
        <v>0</v>
      </c>
      <c r="S89">
        <v>-0.72477550116874501</v>
      </c>
      <c r="T89">
        <v>0</v>
      </c>
      <c r="U89">
        <v>0</v>
      </c>
      <c r="V89">
        <v>0</v>
      </c>
      <c r="W89" s="7">
        <v>8.7572766666666677E-2</v>
      </c>
    </row>
    <row r="90" spans="1:23" x14ac:dyDescent="0.25">
      <c r="A90" s="1">
        <v>30682</v>
      </c>
      <c r="B90">
        <v>-1.1633019987</v>
      </c>
      <c r="C90">
        <v>3.2657826000000001E-2</v>
      </c>
      <c r="D90">
        <v>0</v>
      </c>
      <c r="F90">
        <v>9.3747928492153312E-2</v>
      </c>
      <c r="G90">
        <v>4.3042021361563059E-3</v>
      </c>
      <c r="H90" s="2">
        <v>-0.45136017604641598</v>
      </c>
      <c r="I90" s="2">
        <v>-6.4668014645576477E-2</v>
      </c>
      <c r="J90" s="2">
        <v>-1.1284683831036091E-2</v>
      </c>
      <c r="K90" s="2">
        <v>-0.31256446492803902</v>
      </c>
      <c r="L90" s="2">
        <v>-1.0571221135607001</v>
      </c>
      <c r="M90" s="2">
        <v>1.0379956446102601</v>
      </c>
      <c r="N90" s="2">
        <v>0.49780824128527101</v>
      </c>
      <c r="O90" s="2">
        <v>-0.3659</v>
      </c>
      <c r="P90" s="2">
        <v>4.9104000000000001</v>
      </c>
      <c r="Q90" s="2">
        <v>0.51429999999999998</v>
      </c>
      <c r="R90">
        <v>0</v>
      </c>
      <c r="S90">
        <v>8.8204640979976101E-2</v>
      </c>
      <c r="T90">
        <v>-0.62998739999999998</v>
      </c>
      <c r="U90">
        <v>0</v>
      </c>
      <c r="V90">
        <v>0</v>
      </c>
      <c r="W90" s="7">
        <v>4.6121866666666671E-2</v>
      </c>
    </row>
    <row r="91" spans="1:23" x14ac:dyDescent="0.25">
      <c r="A91" s="1">
        <v>30773</v>
      </c>
      <c r="B91">
        <v>-0.19803505590000001</v>
      </c>
      <c r="C91">
        <v>-0.92749047200000001</v>
      </c>
      <c r="D91">
        <v>0</v>
      </c>
      <c r="F91">
        <v>0.20611761978029539</v>
      </c>
      <c r="G91">
        <v>0.26270885431368468</v>
      </c>
      <c r="H91" s="2">
        <v>0.35939619495906999</v>
      </c>
      <c r="I91" s="2">
        <v>-3.9809413254261017E-2</v>
      </c>
      <c r="J91" s="2">
        <v>-6.1719613149762154E-3</v>
      </c>
      <c r="K91" s="2">
        <v>-6.5967139694882396E-2</v>
      </c>
      <c r="L91" s="2">
        <v>1.50163111746575</v>
      </c>
      <c r="M91" s="2">
        <v>6.9735786345243203E-2</v>
      </c>
      <c r="N91" s="2">
        <v>1.4991226522845</v>
      </c>
      <c r="O91" s="2">
        <v>-0.14050000000000001</v>
      </c>
      <c r="P91" s="2">
        <v>-0.92679999999999996</v>
      </c>
      <c r="Q91" s="2">
        <v>4.4999999999999997E-3</v>
      </c>
      <c r="R91">
        <v>0</v>
      </c>
      <c r="S91">
        <v>5.9903784524861399E-2</v>
      </c>
      <c r="T91">
        <v>0</v>
      </c>
      <c r="U91">
        <v>0</v>
      </c>
      <c r="V91">
        <v>0</v>
      </c>
      <c r="W91" s="7">
        <v>4.2103700000000001E-2</v>
      </c>
    </row>
    <row r="92" spans="1:23" x14ac:dyDescent="0.25">
      <c r="A92" s="1">
        <v>30864</v>
      </c>
      <c r="B92">
        <v>-0.20378990899999999</v>
      </c>
      <c r="C92">
        <v>0.95605713000000003</v>
      </c>
      <c r="D92">
        <v>3.3105372684822068E-2</v>
      </c>
      <c r="F92">
        <v>2.2820008579388269E-2</v>
      </c>
      <c r="G92">
        <v>-1.1015220250883322</v>
      </c>
      <c r="H92" s="2">
        <v>0.91948146209211001</v>
      </c>
      <c r="I92" s="2">
        <v>2.6670347899198532E-2</v>
      </c>
      <c r="J92" s="2">
        <v>9.2520443722605705E-3</v>
      </c>
      <c r="K92" s="2">
        <v>0.76831845466138704</v>
      </c>
      <c r="L92" s="2">
        <v>1.1175206258782</v>
      </c>
      <c r="M92" s="2">
        <v>0.29137546866874903</v>
      </c>
      <c r="N92" s="2">
        <v>0.33786964794683</v>
      </c>
      <c r="O92" s="2">
        <v>9.9099999999999994E-2</v>
      </c>
      <c r="P92" s="2">
        <v>2.0541999999999998</v>
      </c>
      <c r="Q92" s="2">
        <v>7.3899999999999993E-2</v>
      </c>
      <c r="R92">
        <v>0</v>
      </c>
      <c r="S92">
        <v>0.52176978235049098</v>
      </c>
      <c r="T92">
        <v>0.20109597300000001</v>
      </c>
      <c r="U92">
        <v>0.204684123</v>
      </c>
      <c r="V92">
        <v>0.20109597300000001</v>
      </c>
      <c r="W92" s="7">
        <v>8.9877899999999997E-2</v>
      </c>
    </row>
    <row r="93" spans="1:23" x14ac:dyDescent="0.25">
      <c r="A93" s="1">
        <v>30956</v>
      </c>
      <c r="B93">
        <v>-0.37140977689999999</v>
      </c>
      <c r="C93">
        <v>-1.0767550560000001</v>
      </c>
      <c r="D93">
        <v>-0.10753781922070001</v>
      </c>
      <c r="F93">
        <v>-0.35238193623159719</v>
      </c>
      <c r="G93">
        <v>0.14855620207602332</v>
      </c>
      <c r="H93" s="2">
        <v>1.0424121578111301</v>
      </c>
      <c r="I93" s="2">
        <v>9.8549947142601013E-3</v>
      </c>
      <c r="J93" s="2">
        <v>2.4565001949667931E-3</v>
      </c>
      <c r="K93" s="2">
        <v>-0.61291901454531905</v>
      </c>
      <c r="L93" s="2">
        <v>1.92266231690544</v>
      </c>
      <c r="M93" s="2">
        <v>-1.12151739248856</v>
      </c>
      <c r="N93" s="2">
        <v>4.0534403027331502E-2</v>
      </c>
      <c r="O93" s="2">
        <v>-0.40660000000000002</v>
      </c>
      <c r="P93" s="2">
        <v>-2.3538999999999999</v>
      </c>
      <c r="Q93" s="2">
        <v>-0.26469999999999999</v>
      </c>
      <c r="R93">
        <v>0</v>
      </c>
      <c r="S93">
        <v>-0.24167066544087201</v>
      </c>
      <c r="T93">
        <v>0</v>
      </c>
      <c r="U93">
        <v>0</v>
      </c>
      <c r="V93">
        <v>0</v>
      </c>
      <c r="W93" s="7">
        <v>-0.2473756</v>
      </c>
    </row>
    <row r="94" spans="1:23" x14ac:dyDescent="0.25">
      <c r="A94" s="1">
        <v>31048</v>
      </c>
      <c r="B94">
        <v>-0.48637245379999999</v>
      </c>
      <c r="C94">
        <v>6.5511204000000003E-2</v>
      </c>
      <c r="D94">
        <v>0.16817381663722406</v>
      </c>
      <c r="F94">
        <v>0.5524410044185587</v>
      </c>
      <c r="G94">
        <v>0.18328764019810753</v>
      </c>
      <c r="H94" s="2">
        <v>1.2139357840565499</v>
      </c>
      <c r="I94" s="2">
        <v>3.9989206939935684E-2</v>
      </c>
      <c r="J94" s="2">
        <v>1.4507247135043144E-2</v>
      </c>
      <c r="K94" s="2">
        <v>-0.32501874492430499</v>
      </c>
      <c r="L94" s="2">
        <v>-0.39127857159709001</v>
      </c>
      <c r="M94" s="2">
        <v>-0.35886741703057901</v>
      </c>
      <c r="N94" s="2">
        <v>1.1227392991985199</v>
      </c>
      <c r="O94" s="2">
        <v>-0.22559999999999999</v>
      </c>
      <c r="P94" s="2">
        <v>-0.56459999999999999</v>
      </c>
      <c r="Q94" s="2">
        <v>0.39689999999999998</v>
      </c>
      <c r="R94">
        <v>0</v>
      </c>
      <c r="S94">
        <v>0.55866690592534896</v>
      </c>
      <c r="T94">
        <v>0.213618158</v>
      </c>
      <c r="U94">
        <v>0</v>
      </c>
      <c r="V94">
        <v>0</v>
      </c>
      <c r="W94" s="7">
        <v>2.879113333333333E-2</v>
      </c>
    </row>
    <row r="95" spans="1:23" x14ac:dyDescent="0.25">
      <c r="A95" s="1">
        <v>31138</v>
      </c>
      <c r="B95">
        <v>0.47338537429999999</v>
      </c>
      <c r="C95">
        <v>-2.7297436000000001E-2</v>
      </c>
      <c r="D95">
        <v>0</v>
      </c>
      <c r="F95">
        <v>5.9702641910895998E-2</v>
      </c>
      <c r="G95">
        <v>-2.0558682962163197</v>
      </c>
      <c r="H95" s="2">
        <v>-0.223209028571038</v>
      </c>
      <c r="I95" s="2">
        <v>1.277641300112009E-2</v>
      </c>
      <c r="J95" s="2">
        <v>1.9958827178925276E-3</v>
      </c>
      <c r="K95" s="2">
        <v>0.43051062192077599</v>
      </c>
      <c r="L95" s="2">
        <v>0.87303144091995699</v>
      </c>
      <c r="M95" s="2">
        <v>-0.99782378825099904</v>
      </c>
      <c r="N95" s="2">
        <v>-0.45709926682340501</v>
      </c>
      <c r="O95" s="2">
        <v>-0.3987</v>
      </c>
      <c r="P95" s="2">
        <v>3.5495000000000001</v>
      </c>
      <c r="Q95" s="2">
        <v>-0.1653</v>
      </c>
      <c r="R95">
        <v>0</v>
      </c>
      <c r="S95">
        <v>-0.56530886198230901</v>
      </c>
      <c r="T95">
        <v>0</v>
      </c>
      <c r="U95">
        <v>0</v>
      </c>
      <c r="V95">
        <v>0</v>
      </c>
      <c r="W95" s="7">
        <v>-4.8820499999999996E-2</v>
      </c>
    </row>
    <row r="96" spans="1:23" x14ac:dyDescent="0.25">
      <c r="A96" s="1">
        <v>31229</v>
      </c>
      <c r="B96">
        <v>-0.41353387009999998</v>
      </c>
      <c r="C96">
        <v>-0.33277706699999998</v>
      </c>
      <c r="D96">
        <v>-9.6384270566265695E-2</v>
      </c>
      <c r="F96">
        <v>7.1334822512046842E-2</v>
      </c>
      <c r="G96">
        <v>1.3974145210866951</v>
      </c>
      <c r="H96" s="2">
        <v>1.86317250370499</v>
      </c>
      <c r="I96" s="2">
        <v>-2.200724370777607E-2</v>
      </c>
      <c r="J96" s="2">
        <v>-1.8817605450749397E-3</v>
      </c>
      <c r="K96" s="2">
        <v>0.86755574631307797</v>
      </c>
      <c r="L96" s="2">
        <v>-0.34524204691211902</v>
      </c>
      <c r="M96" s="2">
        <v>0.28183886773490102</v>
      </c>
      <c r="N96" s="2">
        <v>1.5891001089619801</v>
      </c>
      <c r="O96" s="2">
        <v>0.85189999999999999</v>
      </c>
      <c r="P96" s="2">
        <v>0.6603</v>
      </c>
      <c r="Q96" s="2">
        <v>0.23930000000000001</v>
      </c>
      <c r="R96">
        <v>0</v>
      </c>
      <c r="S96">
        <v>-0.35345805012379899</v>
      </c>
      <c r="T96">
        <v>0</v>
      </c>
      <c r="U96">
        <v>0</v>
      </c>
      <c r="V96">
        <v>0</v>
      </c>
      <c r="W96" s="7">
        <v>8.3586833333333332E-2</v>
      </c>
    </row>
    <row r="97" spans="1:25" x14ac:dyDescent="0.25">
      <c r="A97" s="1">
        <v>31321</v>
      </c>
      <c r="B97">
        <v>0.6549420654</v>
      </c>
      <c r="C97">
        <v>-1.043056845</v>
      </c>
      <c r="D97">
        <v>-1.770321712964412</v>
      </c>
      <c r="F97">
        <v>-0.29050132814506158</v>
      </c>
      <c r="G97">
        <v>1.8484697822203966</v>
      </c>
      <c r="H97" s="2">
        <v>-0.43115070368029401</v>
      </c>
      <c r="I97" s="2">
        <v>3.0326671898365021E-2</v>
      </c>
      <c r="J97" s="2">
        <v>8.069230243563652E-3</v>
      </c>
      <c r="K97" s="2">
        <v>0.40190846136026898</v>
      </c>
      <c r="L97" s="2">
        <v>-0.84767986038724996</v>
      </c>
      <c r="M97" s="2">
        <v>-0.17131647742105599</v>
      </c>
      <c r="N97" s="2">
        <v>0.42367517284620498</v>
      </c>
      <c r="O97" s="2">
        <v>-0.56950000000000001</v>
      </c>
      <c r="P97" s="2">
        <v>2.7665999999999999</v>
      </c>
      <c r="Q97" s="2">
        <v>-0.41839999999999999</v>
      </c>
      <c r="R97">
        <v>0</v>
      </c>
      <c r="S97">
        <v>0.29380360363109898</v>
      </c>
      <c r="T97">
        <v>0</v>
      </c>
      <c r="U97">
        <v>0</v>
      </c>
      <c r="V97">
        <v>0</v>
      </c>
      <c r="W97" s="7">
        <v>2.4412633333333333E-2</v>
      </c>
    </row>
    <row r="98" spans="1:25" x14ac:dyDescent="0.25">
      <c r="A98" s="1">
        <v>31413</v>
      </c>
      <c r="B98">
        <v>-1.0159210961</v>
      </c>
      <c r="C98">
        <v>8.7970406000000001E-2</v>
      </c>
      <c r="D98">
        <v>0</v>
      </c>
      <c r="E98">
        <v>-0.11388159100094353</v>
      </c>
      <c r="F98">
        <v>-0.92121158169732686</v>
      </c>
      <c r="G98">
        <v>0.65076104483033403</v>
      </c>
      <c r="H98" s="2">
        <v>1.31590750593758</v>
      </c>
      <c r="I98" s="2">
        <v>7.4777349829673767E-2</v>
      </c>
      <c r="J98" s="2">
        <v>2.3658197373151779E-2</v>
      </c>
      <c r="K98" s="2">
        <v>0.94970205923659701</v>
      </c>
      <c r="L98" s="2">
        <v>0.43929224547375501</v>
      </c>
      <c r="M98" s="2">
        <v>-4.1817022222412098E-2</v>
      </c>
      <c r="N98" s="2">
        <v>0.62771456684062799</v>
      </c>
      <c r="O98" s="2">
        <v>0.60609999999999997</v>
      </c>
      <c r="P98" s="2">
        <v>0.21859999999999999</v>
      </c>
      <c r="Q98" s="2">
        <v>2.2599999999999999E-2</v>
      </c>
      <c r="R98">
        <v>0</v>
      </c>
      <c r="S98">
        <v>0.165139569145627</v>
      </c>
      <c r="T98">
        <v>9.5767967999999995E-2</v>
      </c>
      <c r="U98">
        <v>0</v>
      </c>
      <c r="V98">
        <v>0</v>
      </c>
      <c r="W98" s="7">
        <v>-3.1645666666666662E-2</v>
      </c>
    </row>
    <row r="99" spans="1:25" x14ac:dyDescent="0.25">
      <c r="A99" s="1">
        <v>31503</v>
      </c>
      <c r="B99">
        <v>2.6365179760999999</v>
      </c>
      <c r="C99">
        <v>-1.50653119</v>
      </c>
      <c r="D99">
        <v>0.16484514630735342</v>
      </c>
      <c r="E99">
        <v>5.0048226680192071E-2</v>
      </c>
      <c r="F99">
        <v>-1.0336510641005914</v>
      </c>
      <c r="G99">
        <v>2.1161557215348199</v>
      </c>
      <c r="H99" s="2">
        <v>0.194293583947802</v>
      </c>
      <c r="I99" s="2">
        <v>4.3348792940378189E-2</v>
      </c>
      <c r="J99" s="2">
        <v>1.0218800976872444E-2</v>
      </c>
      <c r="K99" s="2">
        <v>0.41531953537145</v>
      </c>
      <c r="L99" s="2">
        <v>-0.162081695923883</v>
      </c>
      <c r="M99" s="2">
        <v>-2.11427608357369</v>
      </c>
      <c r="N99" s="2">
        <v>0.47094561208911001</v>
      </c>
      <c r="O99" s="2">
        <v>0.82410000000000005</v>
      </c>
      <c r="P99" s="2">
        <v>-1.2307999999999999</v>
      </c>
      <c r="Q99" s="2">
        <v>-1.2871999999999999</v>
      </c>
      <c r="R99">
        <v>0</v>
      </c>
      <c r="S99">
        <v>-0.44817335515184498</v>
      </c>
      <c r="T99">
        <v>0</v>
      </c>
      <c r="U99">
        <v>0</v>
      </c>
      <c r="V99">
        <v>0</v>
      </c>
      <c r="W99" s="7">
        <v>9.234106666666668E-2</v>
      </c>
    </row>
    <row r="100" spans="1:25" x14ac:dyDescent="0.25">
      <c r="A100" s="1">
        <v>31594</v>
      </c>
      <c r="B100">
        <v>0.2754254055</v>
      </c>
      <c r="C100">
        <v>0.92558368499999999</v>
      </c>
      <c r="D100">
        <v>3.119361526881935</v>
      </c>
      <c r="E100">
        <v>-5.7819084196188341E-3</v>
      </c>
      <c r="F100">
        <v>-0.81007430505278943</v>
      </c>
      <c r="G100">
        <v>-1.1369429040626127</v>
      </c>
      <c r="H100" s="2">
        <v>1.2350041455119201</v>
      </c>
      <c r="I100" s="2">
        <v>-2.3825256153941154E-2</v>
      </c>
      <c r="J100" s="2">
        <v>-7.5380755588412285E-3</v>
      </c>
      <c r="K100" s="2">
        <v>-1.2590333318222999</v>
      </c>
      <c r="L100" s="2">
        <v>-0.73128616480327402</v>
      </c>
      <c r="M100" s="2">
        <v>-1.26055509043472</v>
      </c>
      <c r="N100" s="2">
        <v>0.23982754468598599</v>
      </c>
      <c r="O100" s="2">
        <v>-0.28789999999999999</v>
      </c>
      <c r="P100" s="2">
        <v>2.8509000000000002</v>
      </c>
      <c r="Q100" s="2">
        <v>-0.25359999999999999</v>
      </c>
      <c r="R100">
        <v>0</v>
      </c>
      <c r="S100">
        <v>-9.5275011038020205E-2</v>
      </c>
      <c r="T100">
        <v>0</v>
      </c>
      <c r="U100">
        <v>0</v>
      </c>
      <c r="V100">
        <v>0</v>
      </c>
      <c r="W100" s="7">
        <v>-0.1301011</v>
      </c>
    </row>
    <row r="101" spans="1:25" x14ac:dyDescent="0.25">
      <c r="A101" s="1">
        <v>31686</v>
      </c>
      <c r="B101">
        <v>0.1163912918</v>
      </c>
      <c r="C101">
        <v>-0.28195389700000001</v>
      </c>
      <c r="D101">
        <v>0.62171254161525125</v>
      </c>
      <c r="E101">
        <v>-1.1750841248817147E-2</v>
      </c>
      <c r="F101">
        <v>0.11262843173364795</v>
      </c>
      <c r="G101">
        <v>6.6551877082965324E-2</v>
      </c>
      <c r="H101" s="2">
        <v>-0.80226201474737002</v>
      </c>
      <c r="I101" s="2">
        <v>7.1454732678830624E-3</v>
      </c>
      <c r="J101" s="2">
        <v>1.6528079868294299E-4</v>
      </c>
      <c r="K101" s="2">
        <v>-0.28568206880192498</v>
      </c>
      <c r="L101" s="2">
        <v>-0.43475292221381701</v>
      </c>
      <c r="M101" s="2">
        <v>-0.66050717673011705</v>
      </c>
      <c r="N101" s="2">
        <v>-0.45720969379682402</v>
      </c>
      <c r="O101" s="2">
        <v>-0.83620000000000005</v>
      </c>
      <c r="P101" s="2">
        <v>0.56799999999999995</v>
      </c>
      <c r="Q101" s="2">
        <v>-0.25140000000000001</v>
      </c>
      <c r="R101">
        <v>-89.4</v>
      </c>
      <c r="S101">
        <v>0.39789867050250199</v>
      </c>
      <c r="T101">
        <v>0.499329095</v>
      </c>
      <c r="U101">
        <v>0.505421593</v>
      </c>
      <c r="V101">
        <v>0.499329095</v>
      </c>
      <c r="W101" s="7">
        <v>-4.938666666666665E-3</v>
      </c>
    </row>
    <row r="102" spans="1:25" x14ac:dyDescent="0.25">
      <c r="A102" s="1">
        <v>31778</v>
      </c>
      <c r="B102">
        <v>1.1708871391</v>
      </c>
      <c r="C102">
        <v>0.60032533600000004</v>
      </c>
      <c r="D102">
        <v>0</v>
      </c>
      <c r="E102">
        <v>-1.2402674295024868E-2</v>
      </c>
      <c r="F102">
        <v>0.35163800524622069</v>
      </c>
      <c r="G102">
        <v>-2.1380161282034766</v>
      </c>
      <c r="H102" s="2">
        <v>-2.1645574770465599</v>
      </c>
      <c r="I102" s="2">
        <v>0.12521134316921234</v>
      </c>
      <c r="J102" s="2">
        <v>3.3913973718881607E-2</v>
      </c>
      <c r="K102" s="2">
        <v>-0.68161492570208504</v>
      </c>
      <c r="L102" s="2">
        <v>-3.9175234953952101E-2</v>
      </c>
      <c r="M102" s="2">
        <v>0.89033037001300697</v>
      </c>
      <c r="N102" s="2">
        <v>-1.69074086953962</v>
      </c>
      <c r="O102" s="2">
        <v>-1.3016000000000001</v>
      </c>
      <c r="P102" s="2">
        <v>2.0756999999999999</v>
      </c>
      <c r="Q102" s="2">
        <v>-8.5400000000000004E-2</v>
      </c>
      <c r="R102">
        <v>0</v>
      </c>
      <c r="S102">
        <v>0.84535612307796204</v>
      </c>
      <c r="T102">
        <v>-0.156053578</v>
      </c>
      <c r="U102">
        <v>-0.158475117</v>
      </c>
      <c r="V102">
        <v>-0.16</v>
      </c>
      <c r="W102" s="7">
        <v>0.14581219999999998</v>
      </c>
    </row>
    <row r="103" spans="1:25" x14ac:dyDescent="0.25">
      <c r="A103" s="1">
        <v>31868</v>
      </c>
      <c r="B103">
        <v>0.78693928849999994</v>
      </c>
      <c r="C103">
        <v>-4.7066091999999997E-2</v>
      </c>
      <c r="D103">
        <v>0.39980903414356356</v>
      </c>
      <c r="E103">
        <v>-9.7649198109518009E-3</v>
      </c>
      <c r="F103">
        <v>0.44429446697045727</v>
      </c>
      <c r="G103">
        <v>0.22135104709682465</v>
      </c>
      <c r="H103" s="2">
        <v>0.70202239552948198</v>
      </c>
      <c r="I103" s="2">
        <v>-3.18300761282444E-2</v>
      </c>
      <c r="J103" s="2">
        <v>-5.8135990984737873E-3</v>
      </c>
      <c r="K103" s="2">
        <v>0.73636463278379005</v>
      </c>
      <c r="L103" s="2">
        <v>-0.69354273607194805</v>
      </c>
      <c r="M103" s="2">
        <v>-0.34848392886315099</v>
      </c>
      <c r="N103" s="2">
        <v>4.4101515449825698E-2</v>
      </c>
      <c r="O103" s="2">
        <v>0.28029999999999999</v>
      </c>
      <c r="P103" s="2">
        <v>3.3845000000000001</v>
      </c>
      <c r="Q103" s="2">
        <v>-0.10349999999999999</v>
      </c>
      <c r="R103">
        <v>0</v>
      </c>
      <c r="S103">
        <v>-1.0252049221303099</v>
      </c>
      <c r="T103">
        <v>0</v>
      </c>
      <c r="U103">
        <v>0</v>
      </c>
      <c r="V103">
        <v>0</v>
      </c>
      <c r="W103" s="7">
        <v>8.7096566666666667E-2</v>
      </c>
    </row>
    <row r="104" spans="1:25" x14ac:dyDescent="0.25">
      <c r="A104" s="1">
        <v>31959</v>
      </c>
      <c r="B104">
        <v>-0.16479309319999999</v>
      </c>
      <c r="C104">
        <v>-0.78988437199999995</v>
      </c>
      <c r="D104">
        <v>0</v>
      </c>
      <c r="E104">
        <v>-2.8463666698580831E-2</v>
      </c>
      <c r="F104">
        <v>0.15167981580807299</v>
      </c>
      <c r="G104">
        <v>1.8394598863606815</v>
      </c>
      <c r="H104" s="2">
        <v>0.86759229250152203</v>
      </c>
      <c r="I104" s="2">
        <v>6.2793567776679993E-2</v>
      </c>
      <c r="J104" s="2">
        <v>1.8705587834119797E-2</v>
      </c>
      <c r="K104" s="2">
        <v>0.73215995950957402</v>
      </c>
      <c r="L104" s="2">
        <v>0.36683581460071402</v>
      </c>
      <c r="M104" s="2">
        <v>0.49514406721877802</v>
      </c>
      <c r="N104" s="2">
        <v>-0.73677918096328099</v>
      </c>
      <c r="O104" s="2">
        <v>-0.4874</v>
      </c>
      <c r="P104" s="2">
        <v>2.2915999999999999</v>
      </c>
      <c r="Q104" s="2">
        <v>0.16009999999999999</v>
      </c>
      <c r="R104">
        <v>0</v>
      </c>
      <c r="S104">
        <v>9.2668858034118395E-2</v>
      </c>
      <c r="T104">
        <v>-0.41948068300000002</v>
      </c>
      <c r="U104">
        <v>0</v>
      </c>
      <c r="V104">
        <v>0</v>
      </c>
      <c r="W104" s="7">
        <v>-5.8273133333333338E-2</v>
      </c>
    </row>
    <row r="105" spans="1:25" x14ac:dyDescent="0.25">
      <c r="A105" s="1">
        <v>32051</v>
      </c>
      <c r="B105">
        <v>-1.1007509693999999</v>
      </c>
      <c r="C105">
        <v>-0.29036182999999999</v>
      </c>
      <c r="D105">
        <v>-1.4311197740270065</v>
      </c>
      <c r="E105">
        <v>-2.8178009518169355E-2</v>
      </c>
      <c r="F105">
        <v>-0.74250995658040087</v>
      </c>
      <c r="G105">
        <v>0.48427947064352894</v>
      </c>
      <c r="H105" s="2">
        <v>-1.13409898243343</v>
      </c>
      <c r="I105" s="2">
        <v>-0.2584136426448822</v>
      </c>
      <c r="J105" s="2">
        <v>-7.5605466961860657E-2</v>
      </c>
      <c r="K105" s="2">
        <v>-2.1786461697948498</v>
      </c>
      <c r="L105" s="2">
        <v>0.70420670374636396</v>
      </c>
      <c r="M105" s="2">
        <v>-0.27987983744954498</v>
      </c>
      <c r="N105" s="2">
        <v>0.219300984906768</v>
      </c>
      <c r="O105" s="2">
        <v>0.38329999999999997</v>
      </c>
      <c r="P105" s="2">
        <v>4.9226999999999999</v>
      </c>
      <c r="Q105" s="2">
        <v>-0.46929999999999999</v>
      </c>
      <c r="R105">
        <v>0</v>
      </c>
      <c r="S105">
        <v>-1.13493358807547E-2</v>
      </c>
      <c r="T105">
        <v>0</v>
      </c>
      <c r="U105">
        <v>0</v>
      </c>
      <c r="V105">
        <v>0</v>
      </c>
      <c r="W105" s="7">
        <v>-6.1863933333333336E-2</v>
      </c>
    </row>
    <row r="106" spans="1:25" x14ac:dyDescent="0.25">
      <c r="A106" s="1">
        <v>32143</v>
      </c>
      <c r="B106">
        <v>6.4237269700000002E-2</v>
      </c>
      <c r="C106">
        <v>-0.57862235799999995</v>
      </c>
      <c r="D106">
        <v>0</v>
      </c>
      <c r="E106">
        <v>2.5995242237983867E-2</v>
      </c>
      <c r="F106">
        <v>-0.76890825745266389</v>
      </c>
      <c r="G106">
        <v>-0.22715025824871971</v>
      </c>
      <c r="H106" s="2">
        <v>0.73988439378249504</v>
      </c>
      <c r="I106" s="2">
        <v>7.0676989853382111E-2</v>
      </c>
      <c r="J106" s="2">
        <v>2.516627311706543E-2</v>
      </c>
      <c r="K106" s="2">
        <v>1.6308269561381199</v>
      </c>
      <c r="L106" s="2">
        <v>-0.176213754033203</v>
      </c>
      <c r="M106" s="2">
        <v>0.40383918742548802</v>
      </c>
      <c r="N106" s="2">
        <v>0.37252973689135599</v>
      </c>
      <c r="O106" s="2">
        <v>-0.2447</v>
      </c>
      <c r="P106" s="2">
        <v>-5.2272999999999996</v>
      </c>
      <c r="Q106" s="2">
        <v>-8.9999999999999993E-3</v>
      </c>
      <c r="R106">
        <v>-242</v>
      </c>
      <c r="S106">
        <v>-0.32638202325478199</v>
      </c>
      <c r="T106">
        <v>0.38571053500000002</v>
      </c>
      <c r="U106">
        <v>0.22117097699999999</v>
      </c>
      <c r="V106">
        <v>0.218102508</v>
      </c>
      <c r="W106" s="7">
        <v>-2.9208099999999997E-2</v>
      </c>
    </row>
    <row r="107" spans="1:25" x14ac:dyDescent="0.25">
      <c r="A107" s="1">
        <v>32234</v>
      </c>
      <c r="B107">
        <v>0.1102293218</v>
      </c>
      <c r="C107">
        <v>1.3844252669999999</v>
      </c>
      <c r="D107">
        <v>0.77163182659441754</v>
      </c>
      <c r="E107">
        <v>2.9117456480953416E-4</v>
      </c>
      <c r="F107">
        <v>-0.47540863646869291</v>
      </c>
      <c r="G107">
        <v>-0.76432053717904569</v>
      </c>
      <c r="H107" s="2">
        <v>-0.57081467191470603</v>
      </c>
      <c r="I107" s="2">
        <v>-1.0712800547480583E-2</v>
      </c>
      <c r="J107" s="2">
        <v>-2.5282811839133501E-3</v>
      </c>
      <c r="K107" s="2">
        <v>-2.1582557716150301</v>
      </c>
      <c r="L107" s="2">
        <v>-0.104132345475965</v>
      </c>
      <c r="M107" s="2">
        <v>0.160637041234133</v>
      </c>
      <c r="N107" s="2">
        <v>0.22099085563743801</v>
      </c>
      <c r="O107" s="2">
        <v>-0.74150000000000005</v>
      </c>
      <c r="P107" s="2">
        <v>6.8337000000000003</v>
      </c>
      <c r="Q107" s="2">
        <v>0.1323</v>
      </c>
      <c r="R107">
        <v>0</v>
      </c>
      <c r="S107">
        <v>1.5125777748670901</v>
      </c>
      <c r="T107">
        <v>0</v>
      </c>
      <c r="U107">
        <v>0</v>
      </c>
      <c r="V107">
        <v>0</v>
      </c>
      <c r="W107" s="7">
        <v>0.19337883333333336</v>
      </c>
    </row>
    <row r="108" spans="1:25" x14ac:dyDescent="0.25">
      <c r="A108" s="1">
        <v>32325</v>
      </c>
      <c r="B108">
        <v>8.9390347300000006E-2</v>
      </c>
      <c r="C108">
        <v>0.66084247600000001</v>
      </c>
      <c r="D108">
        <v>0</v>
      </c>
      <c r="E108">
        <v>-3.664735594957047E-2</v>
      </c>
      <c r="F108">
        <v>-0.28307241392413779</v>
      </c>
      <c r="G108">
        <v>0.87458569464463576</v>
      </c>
      <c r="H108" s="2">
        <v>5.0191353173180998E-2</v>
      </c>
      <c r="I108" s="2">
        <v>-1.3045408762991428E-2</v>
      </c>
      <c r="J108" s="2">
        <v>-3.5770470276474953E-3</v>
      </c>
      <c r="K108" s="2">
        <v>1.4783186685580501</v>
      </c>
      <c r="L108" s="2">
        <v>0.268222081602979</v>
      </c>
      <c r="M108" s="2">
        <v>0.25690626537007999</v>
      </c>
      <c r="N108" s="2">
        <v>2.3033461707738501E-2</v>
      </c>
      <c r="O108" s="2">
        <v>-9.3299999999999994E-2</v>
      </c>
      <c r="P108" s="2">
        <v>0.83299999999999996</v>
      </c>
      <c r="Q108" s="2">
        <v>0.42399999999999999</v>
      </c>
      <c r="R108">
        <v>0</v>
      </c>
      <c r="S108">
        <v>6.8626322972736298E-2</v>
      </c>
      <c r="T108">
        <v>0</v>
      </c>
      <c r="U108">
        <v>0</v>
      </c>
      <c r="V108">
        <v>0</v>
      </c>
      <c r="W108" s="7">
        <v>-7.0152133333333325E-2</v>
      </c>
    </row>
    <row r="109" spans="1:25" x14ac:dyDescent="0.25">
      <c r="A109" s="1">
        <v>32417</v>
      </c>
      <c r="B109">
        <v>-1.8547976368000001</v>
      </c>
      <c r="C109">
        <v>-0.54676930400000001</v>
      </c>
      <c r="D109">
        <v>1.9730986499497882</v>
      </c>
      <c r="E109">
        <v>-1.9101693005413565E-2</v>
      </c>
      <c r="F109">
        <v>0.59939329713015732</v>
      </c>
      <c r="G109">
        <v>1.3189555034999614</v>
      </c>
      <c r="H109" s="2">
        <v>-0.114162377454214</v>
      </c>
      <c r="I109" s="2">
        <v>2.412249892950058E-2</v>
      </c>
      <c r="J109" s="2">
        <v>8.9494651183485985E-3</v>
      </c>
      <c r="K109" s="2">
        <v>-0.80343763012543601</v>
      </c>
      <c r="L109" s="2">
        <v>0.78168437916506806</v>
      </c>
      <c r="M109" s="2">
        <v>-0.935040203212266</v>
      </c>
      <c r="N109" s="2">
        <v>0.272476083088805</v>
      </c>
      <c r="O109" s="2">
        <v>-0.29780000000000001</v>
      </c>
      <c r="P109" s="2">
        <v>4.7811000000000003</v>
      </c>
      <c r="Q109" s="2">
        <v>-0.3861</v>
      </c>
      <c r="R109">
        <v>-58.8</v>
      </c>
      <c r="S109">
        <v>-0.36841612434076099</v>
      </c>
      <c r="T109">
        <v>0</v>
      </c>
      <c r="U109">
        <v>0</v>
      </c>
      <c r="V109">
        <v>0</v>
      </c>
      <c r="W109" s="7">
        <v>0.13711280000000001</v>
      </c>
      <c r="X109" s="7">
        <v>2.9336769999999999</v>
      </c>
      <c r="Y109" s="7">
        <v>4.0131150000000004E-2</v>
      </c>
    </row>
    <row r="110" spans="1:25" x14ac:dyDescent="0.25">
      <c r="A110" s="1">
        <v>32509</v>
      </c>
      <c r="B110">
        <v>-1.6535841902999999</v>
      </c>
      <c r="C110">
        <v>-0.71467154300000002</v>
      </c>
      <c r="D110">
        <v>0</v>
      </c>
      <c r="E110">
        <v>2.9268395896351299E-3</v>
      </c>
      <c r="F110">
        <v>0.13519059967032668</v>
      </c>
      <c r="G110">
        <v>-2.2704538678036692</v>
      </c>
      <c r="H110" s="2">
        <v>-0.96038063646998795</v>
      </c>
      <c r="I110" s="2">
        <v>3.3308360725641251E-2</v>
      </c>
      <c r="J110" s="2">
        <v>6.3481330871582031E-3</v>
      </c>
      <c r="K110" s="2">
        <v>-0.53799209844989204</v>
      </c>
      <c r="L110" s="2">
        <v>0.58462467331777301</v>
      </c>
      <c r="M110" s="2">
        <v>1.0817667300640501</v>
      </c>
      <c r="N110" s="2">
        <v>0.104115543404252</v>
      </c>
      <c r="O110" s="2">
        <v>-0.55989999999999995</v>
      </c>
      <c r="P110" s="2">
        <v>4.3407</v>
      </c>
      <c r="Q110" s="2">
        <v>-8.7599999999999997E-2</v>
      </c>
      <c r="R110">
        <v>0</v>
      </c>
      <c r="S110">
        <v>0.695385231474279</v>
      </c>
      <c r="T110">
        <v>0</v>
      </c>
      <c r="U110">
        <v>0</v>
      </c>
      <c r="V110">
        <v>0</v>
      </c>
      <c r="W110" s="7">
        <v>0.10740546666666666</v>
      </c>
      <c r="X110" s="7">
        <v>-0.33056493333333331</v>
      </c>
      <c r="Y110" s="7">
        <v>4.6041200000000004E-2</v>
      </c>
    </row>
    <row r="111" spans="1:25" x14ac:dyDescent="0.25">
      <c r="A111" s="1">
        <v>32599</v>
      </c>
      <c r="B111">
        <v>-0.50330127680000003</v>
      </c>
      <c r="C111">
        <v>-1.0019887030000001</v>
      </c>
      <c r="D111">
        <v>-1.0601367385750693</v>
      </c>
      <c r="E111">
        <v>-9.5450842988919673E-3</v>
      </c>
      <c r="F111">
        <v>-0.4912109844602755</v>
      </c>
      <c r="G111">
        <v>-0.24877173451120901</v>
      </c>
      <c r="H111" s="2">
        <v>-0.187172160157733</v>
      </c>
      <c r="I111" s="2">
        <v>5.3711369633674622E-2</v>
      </c>
      <c r="J111" s="2">
        <v>9.7846966236829758E-3</v>
      </c>
      <c r="K111" s="2">
        <v>1.0798734074970199E-2</v>
      </c>
      <c r="L111" s="2">
        <v>-0.25070519544540398</v>
      </c>
      <c r="M111" s="2">
        <v>1.5948899941433601</v>
      </c>
      <c r="N111" s="2">
        <v>0.11836877443633601</v>
      </c>
      <c r="O111" s="2">
        <v>-0.43740000000000001</v>
      </c>
      <c r="P111" s="2">
        <v>-0.66420000000000001</v>
      </c>
      <c r="Q111" s="2">
        <v>0.58130000000000004</v>
      </c>
      <c r="R111">
        <v>0</v>
      </c>
      <c r="S111">
        <v>2.1305662427660101E-2</v>
      </c>
      <c r="T111">
        <v>0</v>
      </c>
      <c r="U111">
        <v>0</v>
      </c>
      <c r="V111">
        <v>0</v>
      </c>
      <c r="W111" s="7">
        <v>4.6758399999999999E-2</v>
      </c>
      <c r="X111" s="7">
        <v>-7.3707800000000004E-2</v>
      </c>
      <c r="Y111" s="7">
        <v>-3.1927499999999998E-2</v>
      </c>
    </row>
    <row r="112" spans="1:25" x14ac:dyDescent="0.25">
      <c r="A112" s="1">
        <v>32690</v>
      </c>
      <c r="B112">
        <v>-0.87407654379999999</v>
      </c>
      <c r="C112">
        <v>-1.303159266</v>
      </c>
      <c r="D112">
        <v>0.31200703207631891</v>
      </c>
      <c r="E112">
        <v>-3.0280557288916408E-2</v>
      </c>
      <c r="F112">
        <v>0.72008327467219035</v>
      </c>
      <c r="G112">
        <v>0.77561862033852869</v>
      </c>
      <c r="H112" s="2">
        <v>0.72313796798757501</v>
      </c>
      <c r="I112" s="2">
        <v>5.6731164455413818E-2</v>
      </c>
      <c r="J112" s="2">
        <v>1.47283636033535E-2</v>
      </c>
      <c r="K112" s="2">
        <v>-0.20201510630960501</v>
      </c>
      <c r="L112" s="2">
        <v>-3.8924710619858603E-2</v>
      </c>
      <c r="M112" s="2">
        <v>-1.4765913352942901</v>
      </c>
      <c r="N112" s="2">
        <v>0.69421813316085301</v>
      </c>
      <c r="O112" s="2">
        <v>0.55169999999999997</v>
      </c>
      <c r="P112" s="2">
        <v>-3.7100000000000001E-2</v>
      </c>
      <c r="Q112" s="2">
        <v>-0.3538</v>
      </c>
      <c r="R112">
        <v>0</v>
      </c>
      <c r="S112">
        <v>-0.44167961258738803</v>
      </c>
      <c r="T112">
        <v>0</v>
      </c>
      <c r="U112">
        <v>0</v>
      </c>
      <c r="V112">
        <v>0</v>
      </c>
      <c r="W112" s="7">
        <v>-2.1154733333333332E-2</v>
      </c>
      <c r="X112" s="7">
        <v>-0.38862993333333334</v>
      </c>
      <c r="Y112" s="7">
        <v>-1.2637799999999999E-2</v>
      </c>
    </row>
    <row r="113" spans="1:25" x14ac:dyDescent="0.25">
      <c r="A113" s="1">
        <v>32782</v>
      </c>
      <c r="B113">
        <v>-0.48202781309999998</v>
      </c>
      <c r="C113">
        <v>1.5455392E-2</v>
      </c>
      <c r="D113">
        <v>-0.61362061734574869</v>
      </c>
      <c r="E113">
        <v>-3.1495800999987278E-2</v>
      </c>
      <c r="F113">
        <v>0.29530572571112362</v>
      </c>
      <c r="G113">
        <v>0.64994258721917342</v>
      </c>
      <c r="H113" s="2">
        <v>-1.0128939796062399</v>
      </c>
      <c r="I113" s="2">
        <v>-2.2067248821258545E-2</v>
      </c>
      <c r="J113" s="2">
        <v>-1.0164085775613785E-2</v>
      </c>
      <c r="K113" s="2">
        <v>0.75688530395811304</v>
      </c>
      <c r="L113" s="2">
        <v>-0.298112156232132</v>
      </c>
      <c r="M113" s="2">
        <v>-7.2869008231300797E-2</v>
      </c>
      <c r="N113" s="2">
        <v>-0.32557426247829102</v>
      </c>
      <c r="O113" s="2">
        <v>-0.48470000000000002</v>
      </c>
      <c r="P113" s="2">
        <v>-1.5690999999999999</v>
      </c>
      <c r="Q113" s="2">
        <v>-0.25269999999999998</v>
      </c>
      <c r="R113">
        <v>-507.6</v>
      </c>
      <c r="S113">
        <v>-2.1053341539587298</v>
      </c>
      <c r="T113">
        <v>0</v>
      </c>
      <c r="U113">
        <v>0</v>
      </c>
      <c r="V113">
        <v>0</v>
      </c>
      <c r="W113" s="7">
        <v>6.8920000000000023E-3</v>
      </c>
      <c r="X113" s="7">
        <v>-0.2881186</v>
      </c>
      <c r="Y113" s="7">
        <v>-0.12067806666666668</v>
      </c>
    </row>
    <row r="114" spans="1:25" x14ac:dyDescent="0.25">
      <c r="A114" s="1">
        <v>32874</v>
      </c>
      <c r="B114">
        <v>-0.62686879470000001</v>
      </c>
      <c r="C114">
        <v>-0.23290418099999999</v>
      </c>
      <c r="D114">
        <v>0</v>
      </c>
      <c r="E114">
        <v>1.0527715018628295E-2</v>
      </c>
      <c r="F114">
        <v>7.2658016730856045E-4</v>
      </c>
      <c r="G114">
        <v>0.99223267565529516</v>
      </c>
      <c r="H114" s="2">
        <v>0.72411981915716805</v>
      </c>
      <c r="I114" s="2">
        <v>-5.5731620639562607E-2</v>
      </c>
      <c r="J114" s="2">
        <v>-1.354194525629282E-2</v>
      </c>
      <c r="K114" s="2">
        <v>0.30788865174881203</v>
      </c>
      <c r="L114" s="2">
        <v>-2.0743420215589601</v>
      </c>
      <c r="M114" s="2">
        <v>1.02202290379075</v>
      </c>
      <c r="N114" s="2">
        <v>0.46647486183308701</v>
      </c>
      <c r="O114" s="2">
        <v>0.2427</v>
      </c>
      <c r="P114" s="2">
        <v>5.7031999999999998</v>
      </c>
      <c r="Q114" s="2">
        <v>0.61970000000000003</v>
      </c>
      <c r="R114">
        <v>0</v>
      </c>
      <c r="S114">
        <v>1.1819431386482999</v>
      </c>
      <c r="T114">
        <v>0.180183332</v>
      </c>
      <c r="U114">
        <v>0</v>
      </c>
      <c r="V114">
        <v>0</v>
      </c>
      <c r="W114" s="7">
        <v>8.2381833333333335E-2</v>
      </c>
      <c r="X114" s="7">
        <v>-3.9626333333333333E-2</v>
      </c>
      <c r="Y114" s="7">
        <v>-3.9211933333333331E-2</v>
      </c>
    </row>
    <row r="115" spans="1:25" x14ac:dyDescent="0.25">
      <c r="A115" s="1">
        <v>32964</v>
      </c>
      <c r="B115">
        <v>0.69554795589999996</v>
      </c>
      <c r="C115">
        <v>1.019715355</v>
      </c>
      <c r="D115">
        <v>0</v>
      </c>
      <c r="E115">
        <v>-1.9686738287181822E-2</v>
      </c>
      <c r="F115">
        <v>0.20303708044649763</v>
      </c>
      <c r="G115">
        <v>3.3579409511297988E-2</v>
      </c>
      <c r="H115" s="2">
        <v>0.87692882467795696</v>
      </c>
      <c r="I115" s="2">
        <v>2.4969059973955154E-2</v>
      </c>
      <c r="J115" s="2">
        <v>9.2584267258644104E-3</v>
      </c>
      <c r="K115" s="2">
        <v>0.43965789170985198</v>
      </c>
      <c r="L115" s="2">
        <v>0.54801956745000802</v>
      </c>
      <c r="M115" s="2">
        <v>1.0584837311014601</v>
      </c>
      <c r="N115" s="2">
        <v>0.68816239696811898</v>
      </c>
      <c r="O115" s="2">
        <v>0.63600000000000001</v>
      </c>
      <c r="P115" s="2">
        <v>-2.956</v>
      </c>
      <c r="Q115" s="2">
        <v>0.37969999999999998</v>
      </c>
      <c r="R115">
        <v>0</v>
      </c>
      <c r="S115">
        <v>-0.88713088339878099</v>
      </c>
      <c r="T115">
        <v>0</v>
      </c>
      <c r="U115">
        <v>0</v>
      </c>
      <c r="V115">
        <v>0</v>
      </c>
      <c r="W115" s="7">
        <v>1.3720099999999999E-2</v>
      </c>
      <c r="X115" s="7">
        <v>6.1974700000000001E-2</v>
      </c>
      <c r="Y115" s="7">
        <v>0</v>
      </c>
    </row>
    <row r="116" spans="1:25" x14ac:dyDescent="0.25">
      <c r="A116" s="1">
        <v>33055</v>
      </c>
      <c r="B116">
        <v>-1.014094287</v>
      </c>
      <c r="C116">
        <v>-0.932661348</v>
      </c>
      <c r="D116">
        <v>0.14774323445885143</v>
      </c>
      <c r="E116">
        <v>7.2459919429159567E-2</v>
      </c>
      <c r="F116">
        <v>0.45005000581169641</v>
      </c>
      <c r="G116">
        <v>-2.2403561980442772</v>
      </c>
      <c r="H116" s="2">
        <v>-0.58648618301933297</v>
      </c>
      <c r="I116" s="2">
        <v>-6.1713974922895432E-2</v>
      </c>
      <c r="J116" s="2">
        <v>-2.1883118897676468E-2</v>
      </c>
      <c r="K116" s="2">
        <v>-1.15801166059212</v>
      </c>
      <c r="L116" s="2">
        <v>-1.13320636637781</v>
      </c>
      <c r="M116" s="2">
        <v>0.75354722066838198</v>
      </c>
      <c r="N116" s="2">
        <v>-0.35085819005163998</v>
      </c>
      <c r="O116" s="2">
        <v>-0.33050000000000002</v>
      </c>
      <c r="P116" s="2">
        <v>0.108</v>
      </c>
      <c r="Q116" s="2">
        <v>0.38300000000000001</v>
      </c>
      <c r="R116">
        <v>0</v>
      </c>
      <c r="S116">
        <v>-0.23852911896357001</v>
      </c>
      <c r="T116">
        <v>0</v>
      </c>
      <c r="U116">
        <v>0</v>
      </c>
      <c r="V116">
        <v>0</v>
      </c>
      <c r="W116" s="7">
        <v>2.3672266666666664E-2</v>
      </c>
      <c r="X116" s="7">
        <v>0.34472433333333335</v>
      </c>
      <c r="Y116" s="7">
        <v>-4.5923333333333337E-2</v>
      </c>
    </row>
    <row r="117" spans="1:25" x14ac:dyDescent="0.25">
      <c r="A117" s="1">
        <v>33147</v>
      </c>
      <c r="B117">
        <v>-1.5830924037</v>
      </c>
      <c r="C117">
        <v>-0.57267052799999996</v>
      </c>
      <c r="D117">
        <v>0.92057940642745206</v>
      </c>
      <c r="E117">
        <v>-3.1760823370365364E-2</v>
      </c>
      <c r="F117">
        <v>-0.31250920461995813</v>
      </c>
      <c r="G117">
        <v>0.19674046193889264</v>
      </c>
      <c r="H117" s="2">
        <v>-0.85877069505359904</v>
      </c>
      <c r="I117" s="2">
        <v>-3.080381266772747E-2</v>
      </c>
      <c r="J117" s="2">
        <v>-1.4434818178415298E-2</v>
      </c>
      <c r="K117" s="2">
        <v>-0.76161451888980303</v>
      </c>
      <c r="L117" s="2">
        <v>-1.61954987631504</v>
      </c>
      <c r="M117" s="2">
        <v>-2.93033070312189E-2</v>
      </c>
      <c r="N117" s="2">
        <v>-1.5934185292859999</v>
      </c>
      <c r="O117" s="2">
        <v>-1.5486</v>
      </c>
      <c r="P117" s="2">
        <v>-3.8249</v>
      </c>
      <c r="Q117" s="2">
        <v>0.53700000000000003</v>
      </c>
      <c r="R117">
        <v>112.1</v>
      </c>
      <c r="S117">
        <v>8.4130707123670406E-2</v>
      </c>
      <c r="T117">
        <v>0</v>
      </c>
      <c r="U117">
        <v>0</v>
      </c>
      <c r="V117">
        <v>0</v>
      </c>
      <c r="W117" s="7">
        <v>-4.1058666666666667E-2</v>
      </c>
      <c r="X117" s="7">
        <v>-0.7622960333333334</v>
      </c>
      <c r="Y117" s="7">
        <v>-5.6674833333333334E-2</v>
      </c>
    </row>
    <row r="118" spans="1:25" x14ac:dyDescent="0.25">
      <c r="A118" s="1">
        <v>33239</v>
      </c>
      <c r="B118">
        <v>0.41040304999999999</v>
      </c>
      <c r="C118">
        <v>-1.1013669129999999</v>
      </c>
      <c r="D118">
        <v>1.0338357059350971</v>
      </c>
      <c r="E118">
        <v>-7.4945579604115298E-2</v>
      </c>
      <c r="F118">
        <v>0.43793825214271437</v>
      </c>
      <c r="G118">
        <v>0.23434131612681766</v>
      </c>
      <c r="H118" s="2">
        <v>-0.62135514078544496</v>
      </c>
      <c r="I118" s="2">
        <v>0.12367428094148636</v>
      </c>
      <c r="J118" s="2">
        <v>3.4615170210599899E-2</v>
      </c>
      <c r="K118" s="2">
        <v>0.97381295618983099</v>
      </c>
      <c r="L118" s="2">
        <v>0.87142580299192696</v>
      </c>
      <c r="M118" s="2">
        <v>-1.15822831294321</v>
      </c>
      <c r="N118" s="2">
        <v>-1.11471123894062</v>
      </c>
      <c r="O118" s="2">
        <v>1.4855</v>
      </c>
      <c r="P118" s="2">
        <v>-1.556</v>
      </c>
      <c r="Q118" s="2">
        <v>-0.92359999999999998</v>
      </c>
      <c r="R118">
        <v>0</v>
      </c>
      <c r="S118">
        <v>-0.427538016546538</v>
      </c>
      <c r="T118">
        <v>0.59782608699999995</v>
      </c>
      <c r="U118">
        <v>0.60212110799999996</v>
      </c>
      <c r="V118">
        <v>0.59782608699999995</v>
      </c>
      <c r="W118" s="7">
        <v>1.0885566666666671E-2</v>
      </c>
      <c r="X118" s="7">
        <v>-0.22798776666666667</v>
      </c>
      <c r="Y118" s="7">
        <v>-0.12221856666666668</v>
      </c>
    </row>
    <row r="119" spans="1:25" x14ac:dyDescent="0.25">
      <c r="A119" s="1">
        <v>33329</v>
      </c>
      <c r="B119">
        <v>1.5839304255</v>
      </c>
      <c r="C119">
        <v>1.022681419</v>
      </c>
      <c r="D119">
        <v>-0.20662464259562949</v>
      </c>
      <c r="E119">
        <v>1.0927540887349686E-2</v>
      </c>
      <c r="F119">
        <v>-0.35558017977092971</v>
      </c>
      <c r="G119">
        <v>-0.45245995485340823</v>
      </c>
      <c r="H119" s="2">
        <v>0.28986301517540303</v>
      </c>
      <c r="I119" s="2">
        <v>-2.5621047243475914E-3</v>
      </c>
      <c r="J119" s="2">
        <v>1.425553229637444E-3</v>
      </c>
      <c r="K119" s="2">
        <v>0.35032657947881801</v>
      </c>
      <c r="L119" s="2">
        <v>0.57564585119406797</v>
      </c>
      <c r="M119" s="2">
        <v>0.92192671460022502</v>
      </c>
      <c r="N119" s="2">
        <v>0.61026945200424498</v>
      </c>
      <c r="O119" s="2">
        <v>1.2096</v>
      </c>
      <c r="P119" s="2">
        <v>3.1132</v>
      </c>
      <c r="Q119" s="2">
        <v>8.4199999999999997E-2</v>
      </c>
      <c r="R119">
        <v>0</v>
      </c>
      <c r="S119">
        <v>0.47347063690910601</v>
      </c>
      <c r="T119">
        <v>0</v>
      </c>
      <c r="U119">
        <v>0</v>
      </c>
      <c r="V119">
        <v>0</v>
      </c>
      <c r="W119" s="7">
        <v>7.7338933333333332E-2</v>
      </c>
      <c r="X119" s="7">
        <v>2.0157866666666666E-2</v>
      </c>
      <c r="Y119" s="7">
        <v>-6.1159966666666669E-2</v>
      </c>
    </row>
    <row r="120" spans="1:25" x14ac:dyDescent="0.25">
      <c r="A120" s="1">
        <v>33420</v>
      </c>
      <c r="B120">
        <v>-0.63696392390000001</v>
      </c>
      <c r="C120">
        <v>0.25392543000000001</v>
      </c>
      <c r="D120">
        <v>2.2898401292862372E-2</v>
      </c>
      <c r="E120">
        <v>6.2099570202624353E-3</v>
      </c>
      <c r="F120">
        <v>0.18960022199009963</v>
      </c>
      <c r="G120">
        <v>0.17156592213949598</v>
      </c>
      <c r="H120" s="2">
        <v>-1.11229376655131</v>
      </c>
      <c r="I120" s="2">
        <v>-1.3197878375649452E-2</v>
      </c>
      <c r="J120" s="2">
        <v>-4.564378410577774E-3</v>
      </c>
      <c r="K120" s="2">
        <v>0.177895934753448</v>
      </c>
      <c r="L120" s="2">
        <v>-0.22383384428993999</v>
      </c>
      <c r="M120" s="2">
        <v>-0.28612204368564498</v>
      </c>
      <c r="N120" s="2">
        <v>-6.3315705954563803E-2</v>
      </c>
      <c r="O120" s="2">
        <v>2.7300000000000001E-2</v>
      </c>
      <c r="P120" s="2">
        <v>3.3186</v>
      </c>
      <c r="Q120" s="2">
        <v>-4.6699999999999998E-2</v>
      </c>
      <c r="R120">
        <v>0</v>
      </c>
      <c r="S120">
        <v>8.6102845795971205E-4</v>
      </c>
      <c r="T120">
        <v>0</v>
      </c>
      <c r="U120">
        <v>0</v>
      </c>
      <c r="V120">
        <v>0</v>
      </c>
      <c r="W120" s="7">
        <v>2.0048533333333337E-2</v>
      </c>
      <c r="X120" s="7">
        <v>0.32929790000000003</v>
      </c>
      <c r="Y120" s="7">
        <v>-3.1254700000000003E-2</v>
      </c>
    </row>
    <row r="121" spans="1:25" x14ac:dyDescent="0.25">
      <c r="A121" s="1">
        <v>33512</v>
      </c>
      <c r="B121">
        <v>-0.1228537131</v>
      </c>
      <c r="C121">
        <v>0.14297597100000001</v>
      </c>
      <c r="D121">
        <v>0.53714070796078117</v>
      </c>
      <c r="E121">
        <v>-1.7221650332808633E-2</v>
      </c>
      <c r="F121">
        <v>-0.35229882739834356</v>
      </c>
      <c r="G121">
        <v>0.51500350708312037</v>
      </c>
      <c r="H121" s="2">
        <v>-1.0248274772127901</v>
      </c>
      <c r="I121" s="2">
        <v>6.1649421695619822E-4</v>
      </c>
      <c r="J121" s="2">
        <v>-2.1677983459085226E-3</v>
      </c>
      <c r="K121" s="2">
        <v>-1.3060946959311399</v>
      </c>
      <c r="L121" s="2">
        <v>-1.0444588568831901</v>
      </c>
      <c r="M121" s="2">
        <v>0.171340897514697</v>
      </c>
      <c r="N121" s="2">
        <v>-1.0311246888652399</v>
      </c>
      <c r="O121" s="2">
        <v>-4.8300000000000003E-2</v>
      </c>
      <c r="P121" s="2">
        <v>-0.252</v>
      </c>
      <c r="Q121" s="2">
        <v>0.32429999999999998</v>
      </c>
      <c r="R121">
        <v>-112.1</v>
      </c>
      <c r="S121">
        <v>0.16432047860430599</v>
      </c>
      <c r="T121">
        <v>0</v>
      </c>
      <c r="U121">
        <v>0</v>
      </c>
      <c r="V121">
        <v>0</v>
      </c>
      <c r="W121" s="7">
        <v>-2.4102333333333331E-3</v>
      </c>
      <c r="X121" s="7">
        <v>-0.19021046666666663</v>
      </c>
      <c r="Y121" s="7">
        <v>-9.4050466666666679E-2</v>
      </c>
    </row>
    <row r="122" spans="1:25" x14ac:dyDescent="0.25">
      <c r="A122" s="1">
        <v>33604</v>
      </c>
      <c r="B122">
        <v>-1.0048228984000001</v>
      </c>
      <c r="C122">
        <v>0.91002693700000004</v>
      </c>
      <c r="D122">
        <v>-1.8569641771007879</v>
      </c>
      <c r="E122">
        <v>-1.9500692818848767E-2</v>
      </c>
      <c r="F122">
        <v>-0.21658427128623423</v>
      </c>
      <c r="G122">
        <v>-0.57004315081583001</v>
      </c>
      <c r="H122" s="2">
        <v>2.0641464067649902</v>
      </c>
      <c r="I122" s="2">
        <v>1.0258697904646397E-2</v>
      </c>
      <c r="J122" s="2">
        <v>1.2874155305325985E-2</v>
      </c>
      <c r="K122" s="2">
        <v>0.77214302659593403</v>
      </c>
      <c r="L122" s="2">
        <v>-0.50157442083029502</v>
      </c>
      <c r="M122" s="2">
        <v>0.269252429563137</v>
      </c>
      <c r="N122" s="2">
        <v>1.5838754710096301</v>
      </c>
      <c r="O122" s="2">
        <v>1.2629999999999999</v>
      </c>
      <c r="P122" s="2">
        <v>-2.8772000000000002</v>
      </c>
      <c r="Q122" s="2">
        <v>0.67620000000000002</v>
      </c>
      <c r="R122">
        <v>0</v>
      </c>
      <c r="S122">
        <v>0.72046190263606302</v>
      </c>
      <c r="T122">
        <v>0</v>
      </c>
      <c r="U122">
        <v>0</v>
      </c>
      <c r="V122">
        <v>0</v>
      </c>
      <c r="W122" s="7">
        <v>-3.7516000000000008E-3</v>
      </c>
      <c r="X122" s="7">
        <v>-9.0070600000000001E-2</v>
      </c>
      <c r="Y122" s="7">
        <v>-6.1924833333333325E-2</v>
      </c>
    </row>
    <row r="123" spans="1:25" x14ac:dyDescent="0.25">
      <c r="A123" s="1">
        <v>33695</v>
      </c>
      <c r="B123">
        <v>-0.2938917673</v>
      </c>
      <c r="C123">
        <v>0.33478696099999999</v>
      </c>
      <c r="D123">
        <v>1.3641785404138982</v>
      </c>
      <c r="E123">
        <v>9.8240171417284337E-3</v>
      </c>
      <c r="F123">
        <v>0.39793724472046355</v>
      </c>
      <c r="G123">
        <v>-0.64825853217002605</v>
      </c>
      <c r="H123" s="2">
        <v>-0.34992468583351299</v>
      </c>
      <c r="I123" s="2">
        <v>-4.2512387037277222E-2</v>
      </c>
      <c r="J123" s="2">
        <v>-1.1920160613954067E-2</v>
      </c>
      <c r="K123" s="2">
        <v>-0.63781062547318002</v>
      </c>
      <c r="L123" s="2">
        <v>0.54495943381751799</v>
      </c>
      <c r="M123" s="2">
        <v>0.21256989677377899</v>
      </c>
      <c r="N123" s="2">
        <v>0.12637732700617399</v>
      </c>
      <c r="O123" s="2">
        <v>0.12180000000000001</v>
      </c>
      <c r="P123" s="2">
        <v>5.4870999999999999</v>
      </c>
      <c r="Q123" s="2">
        <v>-0.1966</v>
      </c>
      <c r="R123">
        <v>0</v>
      </c>
      <c r="S123">
        <v>-0.31206580298790398</v>
      </c>
      <c r="T123">
        <v>0</v>
      </c>
      <c r="U123">
        <v>0</v>
      </c>
      <c r="V123">
        <v>0</v>
      </c>
      <c r="W123" s="7">
        <v>5.2175866666666661E-2</v>
      </c>
      <c r="X123" s="7">
        <v>0.35944999999999999</v>
      </c>
      <c r="Y123" s="7">
        <v>-6.7979966666666669E-2</v>
      </c>
    </row>
    <row r="124" spans="1:25" x14ac:dyDescent="0.25">
      <c r="A124" s="1">
        <v>33786</v>
      </c>
      <c r="B124">
        <v>-0.13515838599999999</v>
      </c>
      <c r="C124">
        <v>-0.33473993699999999</v>
      </c>
      <c r="D124">
        <v>-0.20780157677111102</v>
      </c>
      <c r="E124">
        <v>-5.6145563917011565E-3</v>
      </c>
      <c r="F124">
        <v>2.8170794672691804E-2</v>
      </c>
      <c r="G124">
        <v>2.8847842485211328E-2</v>
      </c>
      <c r="H124" s="2">
        <v>0.94328513851642204</v>
      </c>
      <c r="I124" s="2">
        <v>2.5740696117281914E-2</v>
      </c>
      <c r="J124" s="2">
        <v>6.8994872272014618E-3</v>
      </c>
      <c r="K124" s="2">
        <v>0.24834190965570699</v>
      </c>
      <c r="L124" s="2">
        <v>-4.28996881908284E-2</v>
      </c>
      <c r="M124" s="2">
        <v>-9.1265871777547594E-2</v>
      </c>
      <c r="N124" s="2">
        <v>-3.0581461068168801E-2</v>
      </c>
      <c r="O124" s="2">
        <v>0.31690000000000002</v>
      </c>
      <c r="P124" s="2">
        <v>-2.5398999999999998</v>
      </c>
      <c r="Q124" s="2">
        <v>-6.1800000000000001E-2</v>
      </c>
      <c r="R124">
        <v>0</v>
      </c>
      <c r="S124">
        <v>-1.4866952038664401</v>
      </c>
      <c r="T124">
        <v>0</v>
      </c>
      <c r="U124">
        <v>0</v>
      </c>
      <c r="V124">
        <v>0</v>
      </c>
      <c r="W124" s="7">
        <v>-1.1364766666666666E-2</v>
      </c>
      <c r="X124" s="7">
        <v>-1.7196549333333333</v>
      </c>
      <c r="Y124" s="7">
        <v>-1.9896666666666663E-2</v>
      </c>
    </row>
    <row r="125" spans="1:25" x14ac:dyDescent="0.25">
      <c r="A125" s="1">
        <v>33878</v>
      </c>
      <c r="B125">
        <v>-0.61549972639999995</v>
      </c>
      <c r="C125">
        <v>-0.30139114</v>
      </c>
      <c r="D125">
        <v>-0.50463868559205804</v>
      </c>
      <c r="E125">
        <v>-1.3427108872609735E-2</v>
      </c>
      <c r="F125">
        <v>0.43466887950050731</v>
      </c>
      <c r="G125">
        <v>0.61733567095170339</v>
      </c>
      <c r="H125" s="2">
        <v>0.119447408088803</v>
      </c>
      <c r="I125" s="2">
        <v>-9.123876690864563E-3</v>
      </c>
      <c r="J125" s="2">
        <v>-2.5468561798334122E-3</v>
      </c>
      <c r="K125" s="2">
        <v>0.25353028802656302</v>
      </c>
      <c r="L125" s="2">
        <v>-0.34921522186273601</v>
      </c>
      <c r="M125" s="2">
        <v>0.174203032046547</v>
      </c>
      <c r="N125" s="2">
        <v>0.55115510001755197</v>
      </c>
      <c r="O125" s="2">
        <v>-1.44E-2</v>
      </c>
      <c r="P125" s="2">
        <v>1.9822</v>
      </c>
      <c r="Q125" s="2">
        <v>-0.11550000000000001</v>
      </c>
      <c r="R125">
        <v>0</v>
      </c>
      <c r="S125">
        <v>0.11269382150266601</v>
      </c>
      <c r="T125">
        <v>0</v>
      </c>
      <c r="U125">
        <v>0</v>
      </c>
      <c r="V125">
        <v>0</v>
      </c>
      <c r="W125" s="7">
        <v>-8.7206599999999981E-2</v>
      </c>
      <c r="X125" s="7">
        <v>0.11196096666666666</v>
      </c>
      <c r="Y125" s="7">
        <v>-1.2915299999999999E-2</v>
      </c>
    </row>
    <row r="126" spans="1:25" x14ac:dyDescent="0.25">
      <c r="A126" s="1">
        <v>33970</v>
      </c>
      <c r="B126">
        <v>-0.43208840259999998</v>
      </c>
      <c r="C126">
        <v>1.030953974</v>
      </c>
      <c r="D126">
        <v>-5.8036281952134929E-2</v>
      </c>
      <c r="E126">
        <v>-1.6838341643565603E-2</v>
      </c>
      <c r="F126">
        <v>2.1469638066171956E-2</v>
      </c>
      <c r="G126">
        <v>-0.12494102184196965</v>
      </c>
      <c r="H126" s="2">
        <v>-1.47525203260473</v>
      </c>
      <c r="I126" s="2">
        <v>5.559762567281723E-2</v>
      </c>
      <c r="J126" s="2">
        <v>9.3626612797379494E-3</v>
      </c>
      <c r="K126" s="2">
        <v>0.17694663406105701</v>
      </c>
      <c r="L126" s="2">
        <v>0.17687185336924199</v>
      </c>
      <c r="M126" s="2">
        <v>-0.69141074504765998</v>
      </c>
      <c r="N126" s="2">
        <v>-1.4322956049919999</v>
      </c>
      <c r="O126" s="2">
        <v>-1.0638000000000001</v>
      </c>
      <c r="P126" s="2">
        <v>0.246</v>
      </c>
      <c r="Q126" s="2">
        <v>-0.2354</v>
      </c>
      <c r="R126">
        <v>0</v>
      </c>
      <c r="S126">
        <v>-0.60822637037042704</v>
      </c>
      <c r="T126">
        <v>0</v>
      </c>
      <c r="U126">
        <v>0</v>
      </c>
      <c r="V126">
        <v>0</v>
      </c>
      <c r="W126" s="7">
        <v>-1.1017666666666658E-3</v>
      </c>
      <c r="X126" s="7">
        <v>-2.4954166666666666E-2</v>
      </c>
      <c r="Y126" s="7">
        <v>9.1619333333333337E-3</v>
      </c>
    </row>
    <row r="127" spans="1:25" x14ac:dyDescent="0.25">
      <c r="A127" s="1">
        <v>34060</v>
      </c>
      <c r="B127">
        <v>0.49063564599999998</v>
      </c>
      <c r="C127">
        <v>-0.73109876699999998</v>
      </c>
      <c r="D127">
        <v>-0.44479883809564025</v>
      </c>
      <c r="E127">
        <v>9.6451688154121796E-3</v>
      </c>
      <c r="F127">
        <v>-0.30797138519053602</v>
      </c>
      <c r="G127">
        <v>-0.26904584630859468</v>
      </c>
      <c r="H127" s="2">
        <v>-1.45155853731435</v>
      </c>
      <c r="I127" s="2">
        <v>-1.4765068888664246E-2</v>
      </c>
      <c r="J127" s="2">
        <v>-4.1223103180527687E-3</v>
      </c>
      <c r="K127" s="2">
        <v>-1.9724242503274401</v>
      </c>
      <c r="L127" s="2">
        <v>-0.126557566386829</v>
      </c>
      <c r="M127" s="2">
        <v>-0.22680285028569699</v>
      </c>
      <c r="N127" s="2">
        <v>-0.970054647995516</v>
      </c>
      <c r="O127" s="2">
        <v>-0.65369999999999995</v>
      </c>
      <c r="P127" s="2">
        <v>0.98029999999999995</v>
      </c>
      <c r="Q127" s="2">
        <v>-0.4168</v>
      </c>
      <c r="R127">
        <v>0</v>
      </c>
      <c r="S127">
        <v>0.25121396193159301</v>
      </c>
      <c r="T127">
        <v>0</v>
      </c>
      <c r="U127">
        <v>0</v>
      </c>
      <c r="V127">
        <v>0</v>
      </c>
      <c r="W127" s="7">
        <v>0.11021783333333333</v>
      </c>
      <c r="X127" s="7">
        <v>-0.17162370000000002</v>
      </c>
      <c r="Y127" s="7">
        <v>-8.6099999999999996E-3</v>
      </c>
    </row>
    <row r="128" spans="1:25" x14ac:dyDescent="0.25">
      <c r="A128" s="1">
        <v>34151</v>
      </c>
      <c r="B128">
        <v>-0.1057452369</v>
      </c>
      <c r="C128">
        <v>1.203614781</v>
      </c>
      <c r="D128">
        <v>7.3525954742324193E-2</v>
      </c>
      <c r="E128">
        <v>-1.0147024126053566E-2</v>
      </c>
      <c r="F128">
        <v>-0.25550863631155124</v>
      </c>
      <c r="G128">
        <v>0.29979060543907371</v>
      </c>
      <c r="H128" s="2">
        <v>0.129214761928652</v>
      </c>
      <c r="I128" s="2">
        <v>1.0438889265060425E-2</v>
      </c>
      <c r="J128" s="2">
        <v>-2.9920804081484675E-4</v>
      </c>
      <c r="K128" s="2">
        <v>-0.23269346313082301</v>
      </c>
      <c r="L128" s="2">
        <v>0.73941930862022798</v>
      </c>
      <c r="M128" s="2">
        <v>-1.0340258496630801</v>
      </c>
      <c r="N128" s="2">
        <v>-0.767638774998186</v>
      </c>
      <c r="O128" s="2">
        <v>0.21310000000000001</v>
      </c>
      <c r="P128" s="2">
        <v>-1.5780000000000001</v>
      </c>
      <c r="Q128" s="2">
        <v>-0.49819999999999998</v>
      </c>
      <c r="R128">
        <v>0</v>
      </c>
      <c r="S128">
        <v>0.10801857664865699</v>
      </c>
      <c r="T128">
        <v>0.34159350399999999</v>
      </c>
      <c r="U128">
        <v>0.344270464</v>
      </c>
      <c r="V128">
        <v>1.0247805109999999</v>
      </c>
      <c r="W128" s="7">
        <v>9.6039300000000008E-2</v>
      </c>
      <c r="X128" s="7">
        <v>0.12285086666666667</v>
      </c>
      <c r="Y128" s="7">
        <v>8.986633333333334E-3</v>
      </c>
    </row>
    <row r="129" spans="1:25" x14ac:dyDescent="0.25">
      <c r="A129" s="1">
        <v>34243</v>
      </c>
      <c r="B129">
        <v>-0.30904344680000001</v>
      </c>
      <c r="C129">
        <v>1.028914152</v>
      </c>
      <c r="D129">
        <v>-1.7640798066095504</v>
      </c>
      <c r="E129">
        <v>-1.8722798475897955E-2</v>
      </c>
      <c r="F129">
        <v>-0.59453767759354548</v>
      </c>
      <c r="G129">
        <v>0.61559681059298998</v>
      </c>
      <c r="H129" s="2">
        <v>-0.21440919324739799</v>
      </c>
      <c r="I129" s="2">
        <v>-7.1732797659933567E-3</v>
      </c>
      <c r="J129" s="2">
        <v>3.3521822188049555E-3</v>
      </c>
      <c r="K129" s="2">
        <v>-0.397821983483439</v>
      </c>
      <c r="L129" s="2">
        <v>-0.65970785960840395</v>
      </c>
      <c r="M129" s="2">
        <v>-0.32569045668888902</v>
      </c>
      <c r="N129" s="2">
        <v>6.63849444096095E-2</v>
      </c>
      <c r="O129" s="2">
        <v>0.40579999999999999</v>
      </c>
      <c r="P129" s="2">
        <v>4.9417999999999997</v>
      </c>
      <c r="Q129" s="2">
        <v>-0.42899999999999999</v>
      </c>
      <c r="R129">
        <v>0</v>
      </c>
      <c r="S129">
        <v>0.340580695030331</v>
      </c>
      <c r="T129">
        <v>7.7938884E-2</v>
      </c>
      <c r="U129">
        <v>7.9242857E-2</v>
      </c>
      <c r="V129">
        <v>-0.59262962900000005</v>
      </c>
      <c r="W129" s="7">
        <v>-5.9439166666666661E-2</v>
      </c>
      <c r="X129" s="7">
        <v>4.9901966666666665E-2</v>
      </c>
      <c r="Y129" s="7">
        <v>7.6933666666666664E-3</v>
      </c>
    </row>
    <row r="130" spans="1:25" x14ac:dyDescent="0.25">
      <c r="A130" s="1">
        <v>34335</v>
      </c>
      <c r="B130">
        <v>-0.81931185350000002</v>
      </c>
      <c r="C130">
        <v>0.42557104600000001</v>
      </c>
      <c r="D130">
        <v>-1.6608504857358957</v>
      </c>
      <c r="E130">
        <v>-1.6388855488771989E-2</v>
      </c>
      <c r="F130">
        <v>-0.48811892234361248</v>
      </c>
      <c r="G130">
        <v>0.1150911292169506</v>
      </c>
      <c r="H130" s="2">
        <v>-0.43371205279608499</v>
      </c>
      <c r="I130" s="2">
        <v>-5.8677271008491516E-3</v>
      </c>
      <c r="J130" s="2">
        <v>-6.5871700644493103E-3</v>
      </c>
      <c r="K130" s="2">
        <v>0.60497788800149299</v>
      </c>
      <c r="L130" s="2">
        <v>1.02227960482369</v>
      </c>
      <c r="M130" s="2">
        <v>-1.1085961507998101</v>
      </c>
      <c r="N130" s="2">
        <v>-0.93081637189365796</v>
      </c>
      <c r="O130" s="2">
        <v>0.40100000000000002</v>
      </c>
      <c r="P130" s="2">
        <v>1.3942000000000001</v>
      </c>
      <c r="Q130" s="2">
        <v>-0.44550000000000001</v>
      </c>
      <c r="R130">
        <v>0</v>
      </c>
      <c r="S130">
        <v>0.27584872476116201</v>
      </c>
      <c r="T130">
        <v>0.19389379300000001</v>
      </c>
      <c r="U130">
        <v>0</v>
      </c>
      <c r="V130">
        <v>0</v>
      </c>
      <c r="W130" s="7">
        <v>0.19913126666666667</v>
      </c>
      <c r="X130" s="7">
        <v>0.40216363333333333</v>
      </c>
      <c r="Y130" s="7">
        <v>5.4442266666666662E-2</v>
      </c>
    </row>
    <row r="131" spans="1:25" x14ac:dyDescent="0.25">
      <c r="A131" s="1">
        <v>34425</v>
      </c>
      <c r="B131">
        <v>-0.85576785850000003</v>
      </c>
      <c r="C131">
        <v>-0.42941609800000002</v>
      </c>
      <c r="D131">
        <v>-0.21352506014907802</v>
      </c>
      <c r="E131">
        <v>8.4460727463791328E-3</v>
      </c>
      <c r="F131">
        <v>-0.14769522045183223</v>
      </c>
      <c r="G131">
        <v>-0.42091117360045233</v>
      </c>
      <c r="H131" s="2">
        <v>-1.31851157033574</v>
      </c>
      <c r="I131" s="2">
        <v>-4.4886469841003418E-2</v>
      </c>
      <c r="J131" s="2">
        <v>-1.3557166792452335E-2</v>
      </c>
      <c r="K131" s="2">
        <v>-2.0182136474731101</v>
      </c>
      <c r="L131" s="2">
        <v>-0.34672523993509902</v>
      </c>
      <c r="M131" s="2">
        <v>-1.13043541989691</v>
      </c>
      <c r="N131" s="2">
        <v>-0.78097262562492198</v>
      </c>
      <c r="O131" s="2">
        <v>-0.91500000000000004</v>
      </c>
      <c r="P131" s="2">
        <v>3.6918000000000002</v>
      </c>
      <c r="Q131" s="2">
        <v>-0.34339999999999998</v>
      </c>
      <c r="R131">
        <v>0</v>
      </c>
      <c r="S131">
        <v>0.73025211188183803</v>
      </c>
      <c r="T131">
        <v>0</v>
      </c>
      <c r="U131">
        <v>0</v>
      </c>
      <c r="V131">
        <v>0</v>
      </c>
      <c r="W131" s="7">
        <v>0.107207</v>
      </c>
      <c r="X131" s="7">
        <v>-0.36461699999999997</v>
      </c>
      <c r="Y131" s="7">
        <v>8.6907733333333348E-2</v>
      </c>
    </row>
    <row r="132" spans="1:25" x14ac:dyDescent="0.25">
      <c r="A132" s="1">
        <v>34516</v>
      </c>
      <c r="B132">
        <v>0.34091348449999997</v>
      </c>
      <c r="C132">
        <v>-0.54729846900000001</v>
      </c>
      <c r="D132">
        <v>0</v>
      </c>
      <c r="E132">
        <v>-1.4428507713957574E-2</v>
      </c>
      <c r="F132">
        <v>-0.19402233826939855</v>
      </c>
      <c r="G132">
        <v>-0.49256890940805104</v>
      </c>
      <c r="H132" s="2">
        <v>-0.57572073090790798</v>
      </c>
      <c r="I132" s="2">
        <v>2.6844985783100128E-2</v>
      </c>
      <c r="J132" s="2">
        <v>4.9227955751121044E-3</v>
      </c>
      <c r="K132" s="2">
        <v>-0.98410032394414004</v>
      </c>
      <c r="L132" s="2">
        <v>-6.9868374398359995E-2</v>
      </c>
      <c r="M132" s="2">
        <v>-0.41414068703200901</v>
      </c>
      <c r="N132" s="2">
        <v>-0.91326763747777495</v>
      </c>
      <c r="O132" s="2">
        <v>-1.1208</v>
      </c>
      <c r="P132" s="2">
        <v>-3.5693000000000001</v>
      </c>
      <c r="Q132" s="2">
        <v>-0.30520000000000003</v>
      </c>
      <c r="R132">
        <v>0</v>
      </c>
      <c r="S132">
        <v>-0.447911413285011</v>
      </c>
      <c r="T132">
        <v>0</v>
      </c>
      <c r="U132">
        <v>0</v>
      </c>
      <c r="V132">
        <v>0</v>
      </c>
      <c r="W132" s="7">
        <v>0.19364229999999996</v>
      </c>
      <c r="X132" s="7">
        <v>0.12381796666666667</v>
      </c>
      <c r="Y132" s="7">
        <v>2.0796700000000001E-2</v>
      </c>
    </row>
    <row r="133" spans="1:25" x14ac:dyDescent="0.25">
      <c r="A133" s="1">
        <v>34608</v>
      </c>
      <c r="B133">
        <v>-0.75397136659999997</v>
      </c>
      <c r="C133">
        <v>2.8208005520000001</v>
      </c>
      <c r="D133">
        <v>0.56837635488988159</v>
      </c>
      <c r="E133">
        <v>-1.5498410509508613E-2</v>
      </c>
      <c r="F133">
        <v>-0.64283870494877315</v>
      </c>
      <c r="G133">
        <v>0.15539981019219867</v>
      </c>
      <c r="H133" s="2">
        <v>-0.23646789095794099</v>
      </c>
      <c r="I133" s="2">
        <v>-2.9863609001040459E-2</v>
      </c>
      <c r="J133" s="2">
        <v>-4.1356850415468216E-3</v>
      </c>
      <c r="K133" s="2">
        <v>0.11221405248518</v>
      </c>
      <c r="L133" s="2">
        <v>0.36847344490607198</v>
      </c>
      <c r="M133" s="2">
        <v>0.38657421617108101</v>
      </c>
      <c r="N133" s="2">
        <v>0.93716575619991105</v>
      </c>
      <c r="O133" s="2">
        <v>0.6724</v>
      </c>
      <c r="P133" s="2">
        <v>7.0960000000000001</v>
      </c>
      <c r="Q133" s="2">
        <v>-0.18629999999999999</v>
      </c>
      <c r="R133">
        <v>0</v>
      </c>
      <c r="S133">
        <v>0.77134364812424505</v>
      </c>
      <c r="T133">
        <v>0</v>
      </c>
      <c r="U133">
        <v>0</v>
      </c>
      <c r="V133">
        <v>0</v>
      </c>
      <c r="W133" s="7">
        <v>0.12992506666666667</v>
      </c>
      <c r="X133" s="7">
        <v>0.15348626666666668</v>
      </c>
      <c r="Y133" s="7">
        <v>-1.5091666666666668E-2</v>
      </c>
    </row>
    <row r="134" spans="1:25" x14ac:dyDescent="0.25">
      <c r="A134" s="1">
        <v>34700</v>
      </c>
      <c r="B134">
        <v>-0.19855571129999999</v>
      </c>
      <c r="C134">
        <v>-0.46219890499999999</v>
      </c>
      <c r="D134">
        <v>0</v>
      </c>
      <c r="E134">
        <v>4.9599109255542007E-3</v>
      </c>
      <c r="F134">
        <v>-0.27318556335303223</v>
      </c>
      <c r="G134">
        <v>-0.65979599834958735</v>
      </c>
      <c r="H134" s="2">
        <v>-1.3513916350253501</v>
      </c>
      <c r="I134" s="2">
        <v>4.0183279663324356E-2</v>
      </c>
      <c r="J134" s="2">
        <v>7.577200885862112E-3</v>
      </c>
      <c r="K134" s="2">
        <v>-0.76829431444489804</v>
      </c>
      <c r="L134" s="2">
        <v>0.83000158413162495</v>
      </c>
      <c r="M134" s="2">
        <v>-0.89543016647332796</v>
      </c>
      <c r="N134" s="2">
        <v>-0.68600363106525397</v>
      </c>
      <c r="O134" s="2">
        <v>-1.0071000000000001</v>
      </c>
      <c r="P134" s="2">
        <v>-1.8419000000000001</v>
      </c>
      <c r="Q134" s="2">
        <v>-0.3206</v>
      </c>
      <c r="R134">
        <v>0</v>
      </c>
      <c r="S134">
        <v>0.99674213519241395</v>
      </c>
      <c r="T134">
        <v>0</v>
      </c>
      <c r="U134">
        <v>0</v>
      </c>
      <c r="V134">
        <v>0</v>
      </c>
      <c r="W134" s="7">
        <v>0.25272863333333334</v>
      </c>
      <c r="X134" s="7">
        <v>0.59999576666666676</v>
      </c>
      <c r="Y134" s="7">
        <v>-2.5748466666666664E-2</v>
      </c>
    </row>
    <row r="135" spans="1:25" x14ac:dyDescent="0.25">
      <c r="A135" s="1">
        <v>34790</v>
      </c>
      <c r="B135">
        <v>0.81707187920000002</v>
      </c>
      <c r="C135">
        <v>-9.5953449999999996E-2</v>
      </c>
      <c r="D135">
        <v>0.1242218486748634</v>
      </c>
      <c r="E135">
        <v>-1.4483237500121945E-2</v>
      </c>
      <c r="F135">
        <v>-0.42777872443239739</v>
      </c>
      <c r="G135">
        <v>-0.14886470819256595</v>
      </c>
      <c r="H135" s="2">
        <v>-0.33254486230198099</v>
      </c>
      <c r="I135" s="2">
        <v>7.5553782284259796E-2</v>
      </c>
      <c r="J135" s="2">
        <v>1.9233230501413345E-2</v>
      </c>
      <c r="K135" s="2">
        <v>-0.44630407920196102</v>
      </c>
      <c r="L135" s="2">
        <v>0.16574979395690201</v>
      </c>
      <c r="M135" s="2">
        <v>-0.25063647323583399</v>
      </c>
      <c r="N135" s="2">
        <v>-0.74811756700286802</v>
      </c>
      <c r="O135" s="2">
        <v>-0.20569999999999999</v>
      </c>
      <c r="P135" s="2">
        <v>-0.75829999999999997</v>
      </c>
      <c r="Q135" s="2">
        <v>-1.8100000000000002E-2</v>
      </c>
      <c r="R135">
        <v>0</v>
      </c>
      <c r="S135">
        <v>6.9605516763731499E-3</v>
      </c>
      <c r="T135">
        <v>0</v>
      </c>
      <c r="U135">
        <v>0</v>
      </c>
      <c r="V135">
        <v>0</v>
      </c>
      <c r="W135" s="7">
        <v>7.4879299999999996E-2</v>
      </c>
      <c r="X135" s="7">
        <v>-8.7860033333333323E-2</v>
      </c>
      <c r="Y135" s="7">
        <v>-2.8998966666666671E-3</v>
      </c>
    </row>
    <row r="136" spans="1:25" x14ac:dyDescent="0.25">
      <c r="A136" s="1">
        <v>34881</v>
      </c>
      <c r="B136">
        <v>-0.57867325989999996</v>
      </c>
      <c r="C136">
        <v>0.48281448399999999</v>
      </c>
      <c r="D136">
        <v>0</v>
      </c>
      <c r="E136">
        <v>-3.0257885219976705E-2</v>
      </c>
      <c r="F136">
        <v>0.37302723746314609</v>
      </c>
      <c r="G136">
        <v>0.57945537266655678</v>
      </c>
      <c r="H136" s="2">
        <v>-0.26396864398219899</v>
      </c>
      <c r="I136" s="2">
        <v>2.6640152558684349E-2</v>
      </c>
      <c r="J136" s="2">
        <v>6.5828827209770679E-3</v>
      </c>
      <c r="K136" s="2">
        <v>-0.86849300931613105</v>
      </c>
      <c r="L136" s="2">
        <v>-7.3181631428048496E-2</v>
      </c>
      <c r="M136" s="2">
        <v>-0.48735520745991401</v>
      </c>
      <c r="N136" s="2">
        <v>0.65032714352408505</v>
      </c>
      <c r="O136" s="2">
        <v>-0.49809999999999999</v>
      </c>
      <c r="P136" s="2">
        <v>2.5329999999999999</v>
      </c>
      <c r="Q136" s="2">
        <v>-0.19059999999999999</v>
      </c>
      <c r="R136">
        <v>0</v>
      </c>
      <c r="S136">
        <v>0.55038129147995596</v>
      </c>
      <c r="T136">
        <v>0</v>
      </c>
      <c r="U136">
        <v>0</v>
      </c>
      <c r="V136">
        <v>0</v>
      </c>
      <c r="W136" s="7">
        <v>1.0570000000000001E-2</v>
      </c>
      <c r="X136" s="7">
        <v>-0.2836998</v>
      </c>
      <c r="Y136" s="7">
        <v>-2.40561E-2</v>
      </c>
    </row>
    <row r="137" spans="1:25" x14ac:dyDescent="0.25">
      <c r="A137" s="1">
        <v>34973</v>
      </c>
      <c r="B137">
        <v>0.99835982609999996</v>
      </c>
      <c r="C137">
        <v>0.93441531600000005</v>
      </c>
      <c r="D137">
        <v>-3.7465298207591334E-2</v>
      </c>
      <c r="E137">
        <v>-2.4996816257347232E-2</v>
      </c>
      <c r="F137">
        <v>1.743847884418142E-2</v>
      </c>
      <c r="G137">
        <v>-0.24008742539106867</v>
      </c>
      <c r="H137" s="2">
        <v>-0.11946190127765299</v>
      </c>
      <c r="I137" s="2">
        <v>3.0965255573391914E-2</v>
      </c>
      <c r="J137" s="2">
        <v>8.3343982696533203E-3</v>
      </c>
      <c r="K137" s="2">
        <v>9.4938046339314505E-2</v>
      </c>
      <c r="L137" s="2">
        <v>0.62525967944843797</v>
      </c>
      <c r="M137" s="2">
        <v>0.46307068416892699</v>
      </c>
      <c r="N137" s="2">
        <v>0.25750429785530699</v>
      </c>
      <c r="O137" s="2">
        <v>0.55110000000000003</v>
      </c>
      <c r="P137" s="2">
        <v>2.9569000000000001</v>
      </c>
      <c r="Q137" s="2">
        <v>0.1053</v>
      </c>
      <c r="R137">
        <v>0</v>
      </c>
      <c r="S137">
        <v>0.38895589761113603</v>
      </c>
      <c r="T137">
        <v>0</v>
      </c>
      <c r="U137">
        <v>0</v>
      </c>
      <c r="V137">
        <v>0</v>
      </c>
      <c r="W137" s="7">
        <v>-5.808733333333334E-3</v>
      </c>
      <c r="X137" s="7">
        <v>-0.28499836666666661</v>
      </c>
      <c r="Y137" s="7">
        <v>9.028166666666667E-3</v>
      </c>
    </row>
    <row r="138" spans="1:25" x14ac:dyDescent="0.25">
      <c r="A138" s="1">
        <v>35065</v>
      </c>
      <c r="B138">
        <v>-0.14380693720000001</v>
      </c>
      <c r="C138">
        <v>0.38700009499999999</v>
      </c>
      <c r="D138">
        <v>0</v>
      </c>
      <c r="E138">
        <v>-6.3829240357933595E-3</v>
      </c>
      <c r="F138">
        <v>0.92467709405694642</v>
      </c>
      <c r="G138">
        <v>-0.31702274176352802</v>
      </c>
      <c r="H138" s="2">
        <v>1.0219865652333999</v>
      </c>
      <c r="I138" s="2">
        <v>2.7630103752017021E-2</v>
      </c>
      <c r="J138" s="2">
        <v>9.1776363551616669E-3</v>
      </c>
      <c r="K138" s="2">
        <v>-0.48967678903786999</v>
      </c>
      <c r="L138" s="2">
        <v>-0.60118939940004501</v>
      </c>
      <c r="M138" s="2">
        <v>9.6104269034415907E-2</v>
      </c>
      <c r="N138" s="2">
        <v>0.202347720774671</v>
      </c>
      <c r="O138" s="2">
        <v>0.4758</v>
      </c>
      <c r="P138" s="2">
        <v>-0.58289999999999997</v>
      </c>
      <c r="Q138" s="2">
        <v>0.12690000000000001</v>
      </c>
      <c r="R138">
        <v>0</v>
      </c>
      <c r="S138">
        <v>5.8147745095390301E-2</v>
      </c>
      <c r="T138">
        <v>0</v>
      </c>
      <c r="U138">
        <v>0</v>
      </c>
      <c r="V138">
        <v>0</v>
      </c>
      <c r="W138" s="7">
        <v>4.6196333333333339E-2</v>
      </c>
      <c r="X138" s="7">
        <v>-0.35964423333333334</v>
      </c>
      <c r="Y138" s="7">
        <v>-2.6856866666666663E-2</v>
      </c>
    </row>
    <row r="139" spans="1:25" x14ac:dyDescent="0.25">
      <c r="A139" s="1">
        <v>35156</v>
      </c>
      <c r="B139">
        <v>1.3970158914999999</v>
      </c>
      <c r="C139">
        <v>-0.52807824800000003</v>
      </c>
      <c r="D139">
        <v>0.32313621872435661</v>
      </c>
      <c r="E139">
        <v>-1.9306985168855133E-2</v>
      </c>
      <c r="F139">
        <v>0.36912709931189641</v>
      </c>
      <c r="G139">
        <v>-1.4079807600643065E-2</v>
      </c>
      <c r="H139" s="2">
        <v>9.5116804963942897E-2</v>
      </c>
      <c r="I139" s="2">
        <v>-9.7900936380028725E-3</v>
      </c>
      <c r="J139" s="2">
        <v>-8.1554061034694314E-4</v>
      </c>
      <c r="K139" s="2">
        <v>-0.91308796460346398</v>
      </c>
      <c r="L139" s="2">
        <v>-6.0177567446234002E-3</v>
      </c>
      <c r="M139" s="2">
        <v>1.0482824556921999</v>
      </c>
      <c r="N139" s="2">
        <v>1.0053362512669699</v>
      </c>
      <c r="O139" s="2">
        <v>6.0600000000000001E-2</v>
      </c>
      <c r="P139" s="2">
        <v>5.2138999999999998</v>
      </c>
      <c r="Q139" s="2">
        <v>0.60529999999999995</v>
      </c>
      <c r="R139">
        <v>0</v>
      </c>
      <c r="S139">
        <v>8.8047204455139499E-2</v>
      </c>
      <c r="T139">
        <v>0</v>
      </c>
      <c r="U139">
        <v>0</v>
      </c>
      <c r="V139">
        <v>0</v>
      </c>
      <c r="W139" s="7">
        <v>2.1009333333333333E-3</v>
      </c>
      <c r="X139" s="7">
        <v>0.15055176666666667</v>
      </c>
      <c r="Y139" s="7">
        <v>2.6848266666666671E-3</v>
      </c>
    </row>
    <row r="140" spans="1:25" x14ac:dyDescent="0.25">
      <c r="A140" s="1">
        <v>35247</v>
      </c>
      <c r="B140">
        <v>-0.43425386669999999</v>
      </c>
      <c r="C140">
        <v>0.37320569300000001</v>
      </c>
      <c r="D140">
        <v>0</v>
      </c>
      <c r="E140">
        <v>-1.3624920021255199E-2</v>
      </c>
      <c r="F140">
        <v>0.36771270229855602</v>
      </c>
      <c r="G140">
        <v>-0.45887071992966977</v>
      </c>
      <c r="H140" s="2">
        <v>-1.06827826220531</v>
      </c>
      <c r="I140" s="2">
        <v>-1.4352788217365742E-2</v>
      </c>
      <c r="J140" s="2">
        <v>-4.1880342178046703E-3</v>
      </c>
      <c r="K140" s="2">
        <v>0.116308394582151</v>
      </c>
      <c r="L140" s="2">
        <v>-2.0993943118344901E-2</v>
      </c>
      <c r="M140" s="2">
        <v>-0.479466780162776</v>
      </c>
      <c r="N140" s="2">
        <v>-0.18862327588344399</v>
      </c>
      <c r="O140" s="2">
        <v>-0.63590000000000002</v>
      </c>
      <c r="P140" s="2">
        <v>0.8911</v>
      </c>
      <c r="Q140" s="2">
        <v>0.4592</v>
      </c>
      <c r="R140">
        <v>0</v>
      </c>
      <c r="S140">
        <v>-1.00078590748819</v>
      </c>
      <c r="T140">
        <v>0</v>
      </c>
      <c r="U140">
        <v>0</v>
      </c>
      <c r="V140">
        <v>0</v>
      </c>
      <c r="W140" s="7">
        <v>-6.8757333333333351E-3</v>
      </c>
      <c r="X140" s="7">
        <v>-0.74878536666666662</v>
      </c>
      <c r="Y140" s="7">
        <v>-4.2720000000000001E-2</v>
      </c>
    </row>
    <row r="141" spans="1:25" x14ac:dyDescent="0.25">
      <c r="A141" s="1">
        <v>35339</v>
      </c>
      <c r="B141">
        <v>1.2073689529</v>
      </c>
      <c r="C141">
        <v>1.5845165219999999</v>
      </c>
      <c r="D141">
        <v>1.3369367415403524</v>
      </c>
      <c r="E141">
        <v>-3.2618861876119211E-3</v>
      </c>
      <c r="F141">
        <v>0.40845488303752331</v>
      </c>
      <c r="G141">
        <v>0.1689245128670159</v>
      </c>
      <c r="H141" s="2">
        <v>-0.33429042386061297</v>
      </c>
      <c r="I141" s="2">
        <v>8.8180914521217346E-2</v>
      </c>
      <c r="J141" s="2">
        <v>2.5506369769573212E-2</v>
      </c>
      <c r="K141" s="2">
        <v>-0.55805535106739401</v>
      </c>
      <c r="L141" s="2">
        <v>2.9807512609847299E-2</v>
      </c>
      <c r="M141" s="2">
        <v>0.951756980467935</v>
      </c>
      <c r="N141" s="2">
        <v>-0.49941433526645201</v>
      </c>
      <c r="O141" s="2">
        <v>-0.78069999999999995</v>
      </c>
      <c r="P141" s="2">
        <v>-1.9043000000000001</v>
      </c>
      <c r="Q141" s="2">
        <v>-1.7399999999999999E-2</v>
      </c>
      <c r="R141">
        <v>0</v>
      </c>
      <c r="S141">
        <v>0.13532437732368799</v>
      </c>
      <c r="T141">
        <v>0</v>
      </c>
      <c r="U141">
        <v>0</v>
      </c>
      <c r="V141">
        <v>0</v>
      </c>
      <c r="W141" s="7">
        <v>2.9714199999999996E-2</v>
      </c>
      <c r="X141" s="7">
        <v>0.24145646666666667</v>
      </c>
      <c r="Y141" s="7">
        <v>-3.4764466666666667E-2</v>
      </c>
    </row>
    <row r="142" spans="1:25" x14ac:dyDescent="0.25">
      <c r="A142" s="1">
        <v>35431</v>
      </c>
      <c r="B142">
        <v>-1.0323608902000001</v>
      </c>
      <c r="C142">
        <v>0.57203973600000002</v>
      </c>
      <c r="D142">
        <v>0</v>
      </c>
      <c r="E142">
        <v>-1.4570392007266548E-2</v>
      </c>
      <c r="F142">
        <v>-0.20079690247881804</v>
      </c>
      <c r="G142">
        <v>0.2851589576498369</v>
      </c>
      <c r="H142" s="2">
        <v>-0.71890361278832204</v>
      </c>
      <c r="I142" s="2">
        <v>3.853486105799675E-2</v>
      </c>
      <c r="J142" s="2">
        <v>7.0325806736946106E-3</v>
      </c>
      <c r="K142" s="2">
        <v>-0.44661934014084997</v>
      </c>
      <c r="L142" s="2">
        <v>1.16884246291845</v>
      </c>
      <c r="M142" s="2">
        <v>0.70661563392765603</v>
      </c>
      <c r="N142" s="2">
        <v>-1.0786244742721001</v>
      </c>
      <c r="O142" s="2">
        <v>-0.54249999999999998</v>
      </c>
      <c r="P142" s="2">
        <v>3.4272999999999998</v>
      </c>
      <c r="Q142" s="2">
        <v>-0.19789999999999999</v>
      </c>
      <c r="R142">
        <v>0</v>
      </c>
      <c r="S142">
        <v>0.16099833883706</v>
      </c>
      <c r="T142">
        <v>0</v>
      </c>
      <c r="U142">
        <v>0</v>
      </c>
      <c r="V142">
        <v>0</v>
      </c>
      <c r="W142" s="7">
        <v>4.082156666666667E-2</v>
      </c>
      <c r="X142" s="7">
        <v>0.35514136666666668</v>
      </c>
      <c r="Y142" s="7">
        <v>-7.2580666666666668E-3</v>
      </c>
    </row>
    <row r="143" spans="1:25" x14ac:dyDescent="0.25">
      <c r="A143" s="1">
        <v>35521</v>
      </c>
      <c r="B143">
        <v>0.88258691079999996</v>
      </c>
      <c r="C143">
        <v>0.22779342399999999</v>
      </c>
      <c r="D143">
        <v>-0.71738751440788462</v>
      </c>
      <c r="E143">
        <v>-9.0739228587110587E-3</v>
      </c>
      <c r="F143">
        <v>-1.0646233436409422</v>
      </c>
      <c r="G143">
        <v>-8.3701343538672021E-2</v>
      </c>
      <c r="H143" s="2">
        <v>0.23690711486473001</v>
      </c>
      <c r="I143" s="2">
        <v>1.4879597350955009E-2</v>
      </c>
      <c r="J143" s="2">
        <v>6.4104748889803886E-3</v>
      </c>
      <c r="K143" s="2">
        <v>0.77600322131065502</v>
      </c>
      <c r="L143" s="2">
        <v>2.0316928337758399E-2</v>
      </c>
      <c r="M143" s="2">
        <v>0.20774618247926899</v>
      </c>
      <c r="N143" s="2">
        <v>0.64193125510132898</v>
      </c>
      <c r="O143" s="2">
        <v>0.74170000000000003</v>
      </c>
      <c r="P143" s="2">
        <v>1.8317000000000001</v>
      </c>
      <c r="Q143" s="2">
        <v>1.1474</v>
      </c>
      <c r="R143">
        <v>0</v>
      </c>
      <c r="S143">
        <v>-0.16385383187071401</v>
      </c>
      <c r="T143">
        <v>0</v>
      </c>
      <c r="U143">
        <v>0</v>
      </c>
      <c r="V143">
        <v>0</v>
      </c>
      <c r="W143" s="7">
        <v>3.2814166666666665E-2</v>
      </c>
      <c r="X143" s="7">
        <v>-0.38437399999999999</v>
      </c>
      <c r="Y143" s="7">
        <v>-2.2560766666666666E-2</v>
      </c>
    </row>
    <row r="144" spans="1:25" x14ac:dyDescent="0.25">
      <c r="A144" s="1">
        <v>35612</v>
      </c>
      <c r="B144">
        <v>2.5015344417000001</v>
      </c>
      <c r="C144">
        <v>-0.339503999</v>
      </c>
      <c r="D144">
        <v>0</v>
      </c>
      <c r="E144">
        <v>2.185602357640717E-3</v>
      </c>
      <c r="F144">
        <v>-0.20980425300879924</v>
      </c>
      <c r="G144">
        <v>-0.12931200025823614</v>
      </c>
      <c r="H144" s="2">
        <v>0.166532438396164</v>
      </c>
      <c r="I144" s="2">
        <v>8.8146619498729706E-2</v>
      </c>
      <c r="J144" s="2">
        <v>2.8674622997641563E-2</v>
      </c>
      <c r="K144" s="2">
        <v>0.65620395318633795</v>
      </c>
      <c r="L144" s="2">
        <v>0.53714965789285096</v>
      </c>
      <c r="M144" s="2">
        <v>0.13786176695327801</v>
      </c>
      <c r="N144" s="2">
        <v>0.88580587343446004</v>
      </c>
      <c r="O144" s="2">
        <v>0.1774</v>
      </c>
      <c r="P144" s="2">
        <v>-0.47270000000000001</v>
      </c>
      <c r="Q144" s="2">
        <v>-0.36599999999999999</v>
      </c>
      <c r="R144">
        <v>0</v>
      </c>
      <c r="S144">
        <v>0.27146339759643201</v>
      </c>
      <c r="T144">
        <v>0</v>
      </c>
      <c r="U144">
        <v>0</v>
      </c>
      <c r="V144">
        <v>0</v>
      </c>
      <c r="W144" s="7">
        <v>-3.2153666666666671E-2</v>
      </c>
      <c r="X144" s="7">
        <v>9.8062866666666679E-2</v>
      </c>
      <c r="Y144" s="7">
        <v>-7.1299733333333335E-3</v>
      </c>
    </row>
    <row r="145" spans="1:25" x14ac:dyDescent="0.25">
      <c r="A145" s="1">
        <v>35704</v>
      </c>
      <c r="B145">
        <v>-0.58611782450000005</v>
      </c>
      <c r="C145">
        <v>-0.44257755700000001</v>
      </c>
      <c r="D145">
        <v>-0.24751430266898741</v>
      </c>
      <c r="E145">
        <v>4.7541728237883666E-3</v>
      </c>
      <c r="F145">
        <v>-0.39081484096083868</v>
      </c>
      <c r="G145">
        <v>-0.30239117488895695</v>
      </c>
      <c r="H145" s="2">
        <v>9.2525530671782596E-2</v>
      </c>
      <c r="I145" s="2">
        <v>-2.7101051062345505E-2</v>
      </c>
      <c r="J145" s="2">
        <v>-1.082119345664978E-2</v>
      </c>
      <c r="K145" s="2">
        <v>0.31109979423894601</v>
      </c>
      <c r="L145" s="2">
        <v>0.58261183821076601</v>
      </c>
      <c r="M145" s="2">
        <v>0.154041777375546</v>
      </c>
      <c r="N145" s="2">
        <v>-0.358268387777187</v>
      </c>
      <c r="O145" s="2">
        <v>-0.33539999999999998</v>
      </c>
      <c r="P145" s="2">
        <v>0.15989999999999999</v>
      </c>
      <c r="Q145" s="2">
        <v>0.27750000000000002</v>
      </c>
      <c r="R145">
        <v>0</v>
      </c>
      <c r="S145">
        <v>-0.44997680277790503</v>
      </c>
      <c r="T145">
        <v>0</v>
      </c>
      <c r="U145">
        <v>0</v>
      </c>
      <c r="V145">
        <v>0</v>
      </c>
      <c r="W145" s="7">
        <v>-2.2577866666666668E-2</v>
      </c>
      <c r="X145" s="7">
        <v>5.4727366666666666E-2</v>
      </c>
      <c r="Y145" s="7">
        <v>-1.3886666666666667E-2</v>
      </c>
    </row>
    <row r="146" spans="1:25" x14ac:dyDescent="0.25">
      <c r="A146" s="1">
        <v>35796</v>
      </c>
      <c r="B146">
        <v>0.34188233429999998</v>
      </c>
      <c r="C146">
        <v>1.666688798</v>
      </c>
      <c r="D146">
        <v>-0.806890741994713</v>
      </c>
      <c r="E146">
        <v>-2.0288780060109233E-2</v>
      </c>
      <c r="F146">
        <v>-0.59670696024388314</v>
      </c>
      <c r="G146">
        <v>1.4930979786481149</v>
      </c>
      <c r="H146" s="2">
        <v>-0.57328091753628196</v>
      </c>
      <c r="I146" s="2">
        <v>6.5217025578022003E-2</v>
      </c>
      <c r="J146" s="2">
        <v>1.8797865137457848E-2</v>
      </c>
      <c r="K146" s="2">
        <v>0.53928563896675696</v>
      </c>
      <c r="L146" s="2">
        <v>0.99664112657188997</v>
      </c>
      <c r="M146" s="2">
        <v>0.13622149878989501</v>
      </c>
      <c r="N146" s="2">
        <v>0.10993407453012199</v>
      </c>
      <c r="O146" s="2">
        <v>0.1246</v>
      </c>
      <c r="P146" s="2">
        <v>2.8816999999999999</v>
      </c>
      <c r="Q146" s="2">
        <v>0.1134</v>
      </c>
      <c r="R146">
        <v>0</v>
      </c>
      <c r="S146">
        <v>0.37973931999154897</v>
      </c>
      <c r="T146">
        <v>0</v>
      </c>
      <c r="U146">
        <v>0</v>
      </c>
      <c r="V146">
        <v>0</v>
      </c>
      <c r="W146" s="7">
        <v>-1.70609E-2</v>
      </c>
      <c r="X146" s="7">
        <v>6.6566666666666663E-2</v>
      </c>
      <c r="Y146" s="7">
        <v>-1.0753333333333332E-4</v>
      </c>
    </row>
    <row r="147" spans="1:25" x14ac:dyDescent="0.25">
      <c r="A147" s="1">
        <v>35886</v>
      </c>
      <c r="B147">
        <v>1.6917200459999999</v>
      </c>
      <c r="C147">
        <v>-0.51998133599999996</v>
      </c>
      <c r="D147">
        <v>-0.11222737041507032</v>
      </c>
      <c r="E147">
        <v>-4.3786955272374431E-3</v>
      </c>
      <c r="F147">
        <v>-0.22798209857494489</v>
      </c>
      <c r="G147">
        <v>0.15832075505604254</v>
      </c>
      <c r="H147" s="2">
        <v>0.80007949399984402</v>
      </c>
      <c r="I147" s="2">
        <v>5.1419101655483246E-2</v>
      </c>
      <c r="J147" s="2">
        <v>1.4558195136487484E-2</v>
      </c>
      <c r="K147" s="2">
        <v>-0.20707106522169799</v>
      </c>
      <c r="L147" s="2">
        <v>0.585845408969492</v>
      </c>
      <c r="M147" s="2">
        <v>9.2287562731363695E-2</v>
      </c>
      <c r="N147" s="2">
        <v>-0.118066164428758</v>
      </c>
      <c r="O147" s="2">
        <v>-6.2300000000000001E-2</v>
      </c>
      <c r="P147" s="2">
        <v>-2.0991</v>
      </c>
      <c r="Q147" s="2">
        <v>0.2576</v>
      </c>
      <c r="R147">
        <v>0</v>
      </c>
      <c r="S147">
        <v>5.0194343938354598E-2</v>
      </c>
      <c r="T147">
        <v>0</v>
      </c>
      <c r="U147">
        <v>0</v>
      </c>
      <c r="V147">
        <v>0</v>
      </c>
      <c r="W147" s="7">
        <v>-2.2258299999999998E-2</v>
      </c>
      <c r="X147" s="7">
        <v>-3.5460200000000004E-2</v>
      </c>
      <c r="Y147" s="7">
        <v>-1.1839133333333333E-2</v>
      </c>
    </row>
    <row r="148" spans="1:25" x14ac:dyDescent="0.25">
      <c r="A148" s="1">
        <v>35977</v>
      </c>
      <c r="B148">
        <v>5.6384182800000002E-2</v>
      </c>
      <c r="C148">
        <v>0.87945729900000003</v>
      </c>
      <c r="D148">
        <v>0</v>
      </c>
      <c r="E148">
        <v>-2.4589533550629861E-2</v>
      </c>
      <c r="F148">
        <v>0.59912161623833282</v>
      </c>
      <c r="G148">
        <v>-1.2941022542681067</v>
      </c>
      <c r="H148" s="2">
        <v>1.2248483768677001</v>
      </c>
      <c r="I148" s="2">
        <v>-6.8004444241523743E-2</v>
      </c>
      <c r="J148" s="2">
        <v>-1.7893075942993164E-2</v>
      </c>
      <c r="K148" s="2">
        <v>0.52237426469793902</v>
      </c>
      <c r="L148" s="2">
        <v>1.58804816052062E-2</v>
      </c>
      <c r="M148" s="2">
        <v>1.1685706022177099E-2</v>
      </c>
      <c r="N148" s="2">
        <v>0.55999648151576198</v>
      </c>
      <c r="O148" s="2">
        <v>0.87060000000000004</v>
      </c>
      <c r="P148" s="2">
        <v>2.8639000000000001</v>
      </c>
      <c r="Q148" s="2">
        <v>0.16439999999999999</v>
      </c>
      <c r="R148">
        <v>0</v>
      </c>
      <c r="S148">
        <v>-0.33467470006814198</v>
      </c>
      <c r="T148">
        <v>0</v>
      </c>
      <c r="U148">
        <v>0</v>
      </c>
      <c r="V148">
        <v>0</v>
      </c>
      <c r="W148" s="7">
        <v>-3.5650633333333327E-2</v>
      </c>
      <c r="X148" s="7">
        <v>0.3805658666666667</v>
      </c>
      <c r="Y148" s="7">
        <v>3.3678000000000002E-3</v>
      </c>
    </row>
    <row r="149" spans="1:25" x14ac:dyDescent="0.25">
      <c r="A149" s="1">
        <v>36069</v>
      </c>
      <c r="B149">
        <v>0.97149090199999999</v>
      </c>
      <c r="C149">
        <v>0.58781844800000005</v>
      </c>
      <c r="D149">
        <v>-0.90501859112505978</v>
      </c>
      <c r="E149">
        <v>-1.3459533502743343E-3</v>
      </c>
      <c r="F149">
        <v>-0.40955649514744091</v>
      </c>
      <c r="G149">
        <v>0.59577378370292167</v>
      </c>
      <c r="H149" s="2">
        <v>0.23013581671789801</v>
      </c>
      <c r="I149" s="2">
        <v>5.2095353603363037E-2</v>
      </c>
      <c r="J149" s="2">
        <v>1.4308975078165531E-2</v>
      </c>
      <c r="K149" s="2">
        <v>-1.4448613633512899</v>
      </c>
      <c r="L149" s="2">
        <v>9.4498163764375601E-2</v>
      </c>
      <c r="M149" s="2">
        <v>-6.3945540167880802E-2</v>
      </c>
      <c r="N149" s="2">
        <v>0.37494479908350198</v>
      </c>
      <c r="O149" s="2">
        <v>-0.4572</v>
      </c>
      <c r="P149" s="2">
        <v>1.9505999999999999</v>
      </c>
      <c r="Q149" s="2">
        <v>-1.21E-2</v>
      </c>
      <c r="R149">
        <v>0</v>
      </c>
      <c r="S149">
        <v>-4.8232750378837702E-2</v>
      </c>
      <c r="T149">
        <v>0</v>
      </c>
      <c r="U149">
        <v>0</v>
      </c>
      <c r="V149">
        <v>0</v>
      </c>
      <c r="W149" s="7">
        <v>-0.1031704</v>
      </c>
      <c r="X149" s="7">
        <v>-0.11733116666666667</v>
      </c>
      <c r="Y149" s="7">
        <v>-8.8251099999999985E-2</v>
      </c>
    </row>
    <row r="150" spans="1:25" x14ac:dyDescent="0.25">
      <c r="A150" s="1">
        <v>36161</v>
      </c>
      <c r="B150">
        <v>1.41499749</v>
      </c>
      <c r="C150">
        <v>-0.74998946200000005</v>
      </c>
      <c r="D150">
        <v>-0.57867350437645027</v>
      </c>
      <c r="E150">
        <v>-9.8114507486049326E-3</v>
      </c>
      <c r="F150">
        <v>0.61888799209227319</v>
      </c>
      <c r="G150">
        <v>-0.38870403603431969</v>
      </c>
      <c r="H150" s="2">
        <v>0.44628407792687902</v>
      </c>
      <c r="I150" s="2">
        <v>7.947038859128952E-2</v>
      </c>
      <c r="J150" s="2">
        <v>2.5488054379820824E-2</v>
      </c>
      <c r="K150" s="2">
        <v>1.4241696102088099</v>
      </c>
      <c r="L150" s="2">
        <v>0.59314920814297301</v>
      </c>
      <c r="M150" s="2">
        <v>-5.6689489803799301E-2</v>
      </c>
      <c r="N150" s="2">
        <v>0.34437448802210402</v>
      </c>
      <c r="O150" s="2">
        <v>0.58169999999999999</v>
      </c>
      <c r="P150" s="2">
        <v>-1.4303999999999999</v>
      </c>
      <c r="Q150" s="2">
        <v>2.52E-2</v>
      </c>
      <c r="R150">
        <v>15</v>
      </c>
      <c r="S150">
        <v>-0.18026515487127301</v>
      </c>
      <c r="T150">
        <v>0</v>
      </c>
      <c r="U150">
        <v>0</v>
      </c>
      <c r="V150">
        <v>0</v>
      </c>
      <c r="W150" s="7">
        <v>-8.9196533333333328E-2</v>
      </c>
      <c r="X150" s="7">
        <v>9.4560766666666671E-2</v>
      </c>
      <c r="Y150" s="7">
        <v>1.6516000000000002E-3</v>
      </c>
    </row>
    <row r="151" spans="1:25" x14ac:dyDescent="0.25">
      <c r="A151" s="1">
        <v>36251</v>
      </c>
      <c r="B151">
        <v>-0.19052776029999999</v>
      </c>
      <c r="C151">
        <v>9.9362690000000004E-2</v>
      </c>
      <c r="D151">
        <v>0</v>
      </c>
      <c r="E151">
        <v>7.3687259615302925E-3</v>
      </c>
      <c r="F151">
        <v>-0.21223423121282442</v>
      </c>
      <c r="G151">
        <v>-1.9185227327113836</v>
      </c>
      <c r="H151" s="2">
        <v>-0.112658719533236</v>
      </c>
      <c r="I151" s="2">
        <v>1.6089964658021927E-2</v>
      </c>
      <c r="J151" s="2">
        <v>-1.5338863013312221E-3</v>
      </c>
      <c r="K151" s="2">
        <v>-0.35263199171179999</v>
      </c>
      <c r="L151" s="2">
        <v>1.18900753075935</v>
      </c>
      <c r="M151" s="2">
        <v>0.48005776853919802</v>
      </c>
      <c r="N151" s="2">
        <v>-1.3640664753232301</v>
      </c>
      <c r="O151" s="2">
        <v>-0.93120000000000003</v>
      </c>
      <c r="P151" s="2">
        <v>-0.4592</v>
      </c>
      <c r="Q151" s="2">
        <v>0.59450000000000003</v>
      </c>
      <c r="R151">
        <v>0</v>
      </c>
      <c r="S151">
        <v>-0.17052332401157</v>
      </c>
      <c r="T151">
        <v>0</v>
      </c>
      <c r="U151">
        <v>0</v>
      </c>
      <c r="V151">
        <v>0</v>
      </c>
      <c r="W151" s="7">
        <v>4.892549999999999E-2</v>
      </c>
      <c r="X151" s="7">
        <v>-2.9800633333333309E-2</v>
      </c>
      <c r="Y151" s="7">
        <v>-7.4282333333333334E-3</v>
      </c>
    </row>
    <row r="152" spans="1:25" x14ac:dyDescent="0.25">
      <c r="A152" s="1">
        <v>36342</v>
      </c>
      <c r="B152">
        <v>2.5789838115000001</v>
      </c>
      <c r="C152">
        <v>0.45118772000000001</v>
      </c>
      <c r="D152">
        <v>-0.40761023531289942</v>
      </c>
      <c r="E152">
        <v>-2.1311570792523337E-2</v>
      </c>
      <c r="F152">
        <v>0.96642353098827771</v>
      </c>
      <c r="G152">
        <v>-0.6125307417049366</v>
      </c>
      <c r="H152" s="2">
        <v>1.1223739312958201</v>
      </c>
      <c r="I152" s="2">
        <v>3.1498617026954889E-3</v>
      </c>
      <c r="J152" s="2">
        <v>2.8407151694409549E-4</v>
      </c>
      <c r="K152" s="2">
        <v>-7.6310997284896501E-2</v>
      </c>
      <c r="L152" s="2">
        <v>-0.77295218659257003</v>
      </c>
      <c r="M152" s="2">
        <v>-0.75090384976588498</v>
      </c>
      <c r="N152" s="2">
        <v>-0.60078135888009898</v>
      </c>
      <c r="O152" s="2">
        <v>0.14979999999999999</v>
      </c>
      <c r="P152" s="2">
        <v>1.4063000000000001</v>
      </c>
      <c r="Q152" s="2">
        <v>0.16550000000000001</v>
      </c>
      <c r="R152">
        <v>0</v>
      </c>
      <c r="S152">
        <v>-1.05672216818705</v>
      </c>
      <c r="T152">
        <v>0</v>
      </c>
      <c r="U152">
        <v>0</v>
      </c>
      <c r="V152">
        <v>0</v>
      </c>
      <c r="W152" s="7">
        <v>8.0206800000000009E-2</v>
      </c>
      <c r="X152" s="7">
        <v>0.1797417</v>
      </c>
      <c r="Y152" s="7">
        <v>1.9999333333333333E-3</v>
      </c>
    </row>
    <row r="153" spans="1:25" x14ac:dyDescent="0.25">
      <c r="A153" s="1">
        <v>36434</v>
      </c>
      <c r="B153">
        <v>1.0335486627999999</v>
      </c>
      <c r="C153">
        <v>-0.94093849399999996</v>
      </c>
      <c r="D153">
        <v>0</v>
      </c>
      <c r="E153">
        <v>-3.9699222746059854E-3</v>
      </c>
      <c r="F153">
        <v>-0.19716088707860793</v>
      </c>
      <c r="G153">
        <v>-1.1693099466881547</v>
      </c>
      <c r="H153" s="2">
        <v>1.2891516778594201</v>
      </c>
      <c r="I153" s="2">
        <v>-6.6516832448542118E-3</v>
      </c>
      <c r="J153" s="2">
        <v>2.0524326246231794E-3</v>
      </c>
      <c r="K153" s="2">
        <v>1.0192658647297701</v>
      </c>
      <c r="L153" s="2">
        <v>0.784784319815094</v>
      </c>
      <c r="M153" s="2">
        <v>-0.32551133537069699</v>
      </c>
      <c r="N153" s="2">
        <v>1.1404115970978099</v>
      </c>
      <c r="O153" s="2">
        <v>0.91859999999999997</v>
      </c>
      <c r="P153" s="2">
        <v>0.64610000000000001</v>
      </c>
      <c r="Q153" s="2">
        <v>0.43530000000000002</v>
      </c>
      <c r="R153">
        <v>0</v>
      </c>
      <c r="S153">
        <v>-0.71081568799338701</v>
      </c>
      <c r="T153">
        <v>0</v>
      </c>
      <c r="U153">
        <v>0</v>
      </c>
      <c r="V153">
        <v>0</v>
      </c>
      <c r="W153" s="7">
        <v>-1.4008866666666666E-2</v>
      </c>
      <c r="X153" s="7">
        <v>0.79827169999999992</v>
      </c>
      <c r="Y153" s="7">
        <v>1.2927833333333333E-2</v>
      </c>
    </row>
    <row r="154" spans="1:25" x14ac:dyDescent="0.25">
      <c r="A154" s="1">
        <v>36526</v>
      </c>
      <c r="B154">
        <v>1.4329182427</v>
      </c>
      <c r="C154">
        <v>0.366059309</v>
      </c>
      <c r="D154">
        <v>0.24142653620251953</v>
      </c>
      <c r="E154">
        <v>9.0970599081777997E-3</v>
      </c>
      <c r="F154">
        <v>0.308119661013942</v>
      </c>
      <c r="G154">
        <v>0.19015982296226577</v>
      </c>
      <c r="H154" s="2">
        <v>-0.70163640015586404</v>
      </c>
      <c r="I154" s="2">
        <v>1.0292538208886981E-3</v>
      </c>
      <c r="J154" s="2">
        <v>-1.3491376012098044E-4</v>
      </c>
      <c r="K154" s="2">
        <v>1.5886741721514599</v>
      </c>
      <c r="L154" s="2">
        <v>-1.7577222084064701</v>
      </c>
      <c r="M154" s="2">
        <v>0.74820225992362499</v>
      </c>
      <c r="N154" s="2">
        <v>-1.39149485575466</v>
      </c>
      <c r="O154" s="2">
        <v>-1.2869999999999999</v>
      </c>
      <c r="P154" s="2">
        <v>1.5266999999999999</v>
      </c>
      <c r="Q154" s="2">
        <v>9.1499999999999998E-2</v>
      </c>
      <c r="R154">
        <v>0</v>
      </c>
      <c r="S154">
        <v>0.18378401957825899</v>
      </c>
      <c r="T154">
        <v>1.7654267000000001E-2</v>
      </c>
      <c r="U154">
        <v>0</v>
      </c>
      <c r="V154">
        <v>0</v>
      </c>
      <c r="W154" s="7">
        <v>1.8641999999999988E-3</v>
      </c>
      <c r="X154" s="7">
        <v>0.13794619999999999</v>
      </c>
      <c r="Y154" s="7">
        <v>-2.1854499999999999E-2</v>
      </c>
    </row>
    <row r="155" spans="1:25" x14ac:dyDescent="0.25">
      <c r="A155" s="1">
        <v>36617</v>
      </c>
      <c r="B155">
        <v>1.3927110112000001</v>
      </c>
      <c r="C155">
        <v>-1.8709834809999999</v>
      </c>
      <c r="D155">
        <v>-0.23692715119238661</v>
      </c>
      <c r="E155">
        <v>-1.8722884342064094E-2</v>
      </c>
      <c r="F155">
        <v>0.56768885206172381</v>
      </c>
      <c r="G155">
        <v>0.26406862103350598</v>
      </c>
      <c r="H155" s="2">
        <v>1.55235430593451</v>
      </c>
      <c r="I155" s="2">
        <v>-3.4132441505789757E-3</v>
      </c>
      <c r="J155" s="2">
        <v>1.1938561219722033E-3</v>
      </c>
      <c r="K155" s="2">
        <v>0.68179879893730699</v>
      </c>
      <c r="L155" s="2">
        <v>1.3323852617198599</v>
      </c>
      <c r="M155" s="2">
        <v>-1.26078152850654</v>
      </c>
      <c r="N155" s="2">
        <v>2.0233891434169098</v>
      </c>
      <c r="O155" s="2">
        <v>2.1076000000000001</v>
      </c>
      <c r="P155" s="2">
        <v>3.0364</v>
      </c>
      <c r="Q155" s="2">
        <v>-0.19800000000000001</v>
      </c>
      <c r="R155">
        <v>0</v>
      </c>
      <c r="S155">
        <v>-0.16685167554706301</v>
      </c>
      <c r="T155">
        <v>0</v>
      </c>
      <c r="U155">
        <v>0</v>
      </c>
      <c r="V155">
        <v>0</v>
      </c>
      <c r="W155" s="7">
        <v>0.11834466666666667</v>
      </c>
      <c r="X155" s="7">
        <v>0.21805126666666666</v>
      </c>
      <c r="Y155" s="7">
        <v>2.9432666666666676E-3</v>
      </c>
    </row>
    <row r="156" spans="1:25" x14ac:dyDescent="0.25">
      <c r="A156" s="1">
        <v>36708</v>
      </c>
      <c r="B156">
        <v>0.55843376290000002</v>
      </c>
      <c r="C156">
        <v>-0.32485671500000002</v>
      </c>
      <c r="D156">
        <v>1.3089139771148126</v>
      </c>
      <c r="E156">
        <v>-1.2953140131233335E-3</v>
      </c>
      <c r="F156">
        <v>0.8647158200807088</v>
      </c>
      <c r="G156">
        <v>0.23252409385243841</v>
      </c>
      <c r="H156" s="2">
        <v>0.22179433838691801</v>
      </c>
      <c r="I156" s="2">
        <v>1.4752772636711597E-2</v>
      </c>
      <c r="J156" s="2">
        <v>1.1910665307368618E-5</v>
      </c>
      <c r="K156" s="2">
        <v>-6.3168672496161898E-2</v>
      </c>
      <c r="L156" s="2">
        <v>1.1484211599602101</v>
      </c>
      <c r="M156" s="2">
        <v>-8.0265521451570399E-2</v>
      </c>
      <c r="N156" s="2">
        <v>-0.72182182062844502</v>
      </c>
      <c r="O156" s="2">
        <v>-1.1197999999999999</v>
      </c>
      <c r="P156" s="2">
        <v>-2.3302999999999998</v>
      </c>
      <c r="Q156" s="2">
        <v>6.6600000000000006E-2</v>
      </c>
      <c r="R156">
        <v>0</v>
      </c>
      <c r="S156">
        <v>0.23666282566435001</v>
      </c>
      <c r="T156">
        <v>0</v>
      </c>
      <c r="U156">
        <v>0</v>
      </c>
      <c r="V156">
        <v>0</v>
      </c>
      <c r="W156" s="7">
        <v>-2.2404999999999998E-2</v>
      </c>
      <c r="X156" s="7">
        <v>6.882163333333334E-2</v>
      </c>
      <c r="Y156" s="7">
        <v>-1.3236600000000001E-2</v>
      </c>
    </row>
    <row r="157" spans="1:25" x14ac:dyDescent="0.25">
      <c r="A157" s="1">
        <v>36800</v>
      </c>
      <c r="B157">
        <v>0.68782676880000004</v>
      </c>
      <c r="C157">
        <v>1.631554749</v>
      </c>
      <c r="D157">
        <v>0.21534517598525263</v>
      </c>
      <c r="E157">
        <v>7.9821076223303303E-4</v>
      </c>
      <c r="F157">
        <v>-1.1196339493798533</v>
      </c>
      <c r="G157">
        <v>0.14869538943065971</v>
      </c>
      <c r="H157" s="2">
        <v>1.0475825390104401</v>
      </c>
      <c r="I157" s="2">
        <v>-8.4087386727333069E-2</v>
      </c>
      <c r="J157" s="2">
        <v>-2.4524100124835968E-2</v>
      </c>
      <c r="K157" s="2">
        <v>0.61111845331869297</v>
      </c>
      <c r="L157" s="2">
        <v>0.56778532309137297</v>
      </c>
      <c r="M157" s="2">
        <v>-0.67808861390980602</v>
      </c>
      <c r="N157" s="2">
        <v>0.49435795565806501</v>
      </c>
      <c r="O157" s="2">
        <v>0.72489999999999999</v>
      </c>
      <c r="P157" s="2">
        <v>0.73029999999999995</v>
      </c>
      <c r="Q157" s="2">
        <v>-3.0099999999999998E-2</v>
      </c>
      <c r="R157">
        <v>0</v>
      </c>
      <c r="S157">
        <v>-0.38061182331485899</v>
      </c>
      <c r="T157">
        <v>0</v>
      </c>
      <c r="U157">
        <v>0</v>
      </c>
      <c r="V157">
        <v>0</v>
      </c>
      <c r="W157" s="7">
        <v>6.614823333333332E-2</v>
      </c>
      <c r="X157" s="7">
        <v>0.40578763333333329</v>
      </c>
      <c r="Y157" s="7">
        <v>5.6973333333333329E-3</v>
      </c>
    </row>
    <row r="158" spans="1:25" x14ac:dyDescent="0.25">
      <c r="A158" s="1">
        <v>36892</v>
      </c>
      <c r="B158">
        <v>-4.9454992400000002E-2</v>
      </c>
      <c r="C158">
        <v>0.97184030600000004</v>
      </c>
      <c r="D158">
        <v>-0.57976120396962028</v>
      </c>
      <c r="E158">
        <v>1.263079245446107E-2</v>
      </c>
      <c r="F158">
        <v>3.6938460455790295E-3</v>
      </c>
      <c r="G158">
        <v>2.9046669182018665E-2</v>
      </c>
      <c r="H158" s="2">
        <v>-9.47922441838841E-2</v>
      </c>
      <c r="I158" s="2">
        <v>-4.2784996330738068E-2</v>
      </c>
      <c r="J158" s="2">
        <v>-1.4002459123730659E-2</v>
      </c>
      <c r="K158" s="2">
        <v>-1.4199383234798499</v>
      </c>
      <c r="L158" s="2">
        <v>0.113432349524226</v>
      </c>
      <c r="M158" s="2">
        <v>0.78671444782215705</v>
      </c>
      <c r="N158" s="2">
        <v>-1.2496237969888699</v>
      </c>
      <c r="O158" s="2">
        <v>-1.0841000000000001</v>
      </c>
      <c r="P158" s="2">
        <v>-3.3569</v>
      </c>
      <c r="Q158" s="2">
        <v>0.48930000000000001</v>
      </c>
      <c r="R158">
        <v>0</v>
      </c>
      <c r="S158">
        <v>-0.33611323904101997</v>
      </c>
      <c r="T158">
        <v>0</v>
      </c>
      <c r="U158">
        <v>0</v>
      </c>
      <c r="V158">
        <v>0</v>
      </c>
      <c r="W158" s="7">
        <v>-0.14529776666666666</v>
      </c>
      <c r="X158" s="7">
        <v>-0.47116323333333332</v>
      </c>
      <c r="Y158" s="7">
        <v>-9.7755733333333331E-2</v>
      </c>
    </row>
    <row r="159" spans="1:25" x14ac:dyDescent="0.25">
      <c r="A159" s="1">
        <v>36982</v>
      </c>
      <c r="B159">
        <v>-0.40622219720000002</v>
      </c>
      <c r="C159">
        <v>0.39496579199999998</v>
      </c>
      <c r="D159">
        <v>0.32505983341890304</v>
      </c>
      <c r="E159">
        <v>-5.0847758555311812E-3</v>
      </c>
      <c r="F159">
        <v>-5.6281052638752362E-2</v>
      </c>
      <c r="G159">
        <v>-1.3033500439453733</v>
      </c>
      <c r="H159" s="2">
        <v>0.92714242243266198</v>
      </c>
      <c r="I159" s="2">
        <v>-2.4126933887600899E-2</v>
      </c>
      <c r="J159" s="2">
        <v>-4.8906644806265831E-3</v>
      </c>
      <c r="K159" s="2">
        <v>1.1472001878853</v>
      </c>
      <c r="L159" s="2">
        <v>-1.33986227772033</v>
      </c>
      <c r="M159" s="2">
        <v>-0.26317006396062498</v>
      </c>
      <c r="N159" s="2">
        <v>0.68487843281565297</v>
      </c>
      <c r="O159" s="2">
        <v>1.9827999999999999</v>
      </c>
      <c r="P159" s="2">
        <v>-0.22589999999999999</v>
      </c>
      <c r="Q159" s="2">
        <v>9.5899999999999999E-2</v>
      </c>
      <c r="R159">
        <v>0</v>
      </c>
      <c r="S159">
        <v>-1.0947773014281199</v>
      </c>
      <c r="T159">
        <v>0</v>
      </c>
      <c r="U159">
        <v>0</v>
      </c>
      <c r="V159">
        <v>0</v>
      </c>
      <c r="W159" s="7">
        <v>-0.18173963333333334</v>
      </c>
      <c r="X159" s="7">
        <v>4.214599999999994E-2</v>
      </c>
      <c r="Y159" s="7">
        <v>-0.1590616</v>
      </c>
    </row>
    <row r="160" spans="1:25" x14ac:dyDescent="0.25">
      <c r="A160" s="1">
        <v>37073</v>
      </c>
      <c r="B160">
        <v>-1.6359989775999999</v>
      </c>
      <c r="C160">
        <v>0.34404081399999997</v>
      </c>
      <c r="D160">
        <v>1.2643648130747203</v>
      </c>
      <c r="E160">
        <v>2.4268696556464324E-3</v>
      </c>
      <c r="F160">
        <v>8.4448984184793532E-2</v>
      </c>
      <c r="G160">
        <v>0.43425393668050577</v>
      </c>
      <c r="H160" s="2">
        <v>-0.57575292817382295</v>
      </c>
      <c r="I160" s="2">
        <v>-6.992805004119873E-2</v>
      </c>
      <c r="J160" s="2">
        <v>-2.3832613602280617E-2</v>
      </c>
      <c r="K160" s="2">
        <v>-0.24916537856440699</v>
      </c>
      <c r="L160" s="2">
        <v>-0.33121404984061398</v>
      </c>
      <c r="M160" s="2">
        <v>-1.1131422157597299</v>
      </c>
      <c r="N160" s="2">
        <v>-0.43298938190062802</v>
      </c>
      <c r="O160" s="2">
        <v>0.42970000000000003</v>
      </c>
      <c r="P160" s="2">
        <v>-2.6652</v>
      </c>
      <c r="Q160" s="2">
        <v>-0.53159999999999996</v>
      </c>
      <c r="R160">
        <v>97.1</v>
      </c>
      <c r="S160">
        <v>-0.48505479502186499</v>
      </c>
      <c r="T160">
        <v>0</v>
      </c>
      <c r="U160">
        <v>0</v>
      </c>
      <c r="V160">
        <v>0</v>
      </c>
      <c r="W160" s="7">
        <v>-4.2517166666666668E-2</v>
      </c>
      <c r="X160" s="7">
        <v>-0.1608308</v>
      </c>
      <c r="Y160" s="7">
        <v>3.5496633333333333E-2</v>
      </c>
    </row>
    <row r="161" spans="1:25" x14ac:dyDescent="0.25">
      <c r="A161" s="1">
        <v>37165</v>
      </c>
      <c r="B161">
        <v>-0.73654134189999998</v>
      </c>
      <c r="C161">
        <v>-4.6702199E-2</v>
      </c>
      <c r="D161">
        <v>-3.0213883396387988</v>
      </c>
      <c r="E161">
        <v>-4.2406726851225131E-2</v>
      </c>
      <c r="F161">
        <v>0.19561883312930595</v>
      </c>
      <c r="G161">
        <v>0.58894006364868867</v>
      </c>
      <c r="H161" s="2">
        <v>1.4010842526251199</v>
      </c>
      <c r="I161" s="2">
        <v>8.2930567441508174E-4</v>
      </c>
      <c r="J161" s="2">
        <v>1.4051637845113873E-3</v>
      </c>
      <c r="K161" s="2">
        <v>1.23594852071504</v>
      </c>
      <c r="L161" s="2">
        <v>3.4106235580915897E-2</v>
      </c>
      <c r="M161" s="2">
        <v>-0.56097412211335895</v>
      </c>
      <c r="N161" s="2">
        <v>0.18423936009431099</v>
      </c>
      <c r="O161" s="2">
        <v>1.4221999999999999</v>
      </c>
      <c r="P161" s="2">
        <v>-2.6333000000000002</v>
      </c>
      <c r="Q161" s="2">
        <v>-0.28050000000000003</v>
      </c>
      <c r="R161">
        <v>0</v>
      </c>
      <c r="S161">
        <v>-1.0379116949063001</v>
      </c>
      <c r="T161">
        <v>0</v>
      </c>
      <c r="U161">
        <v>0</v>
      </c>
      <c r="V161">
        <v>0</v>
      </c>
      <c r="W161" s="7">
        <v>-0.18619266666666667</v>
      </c>
      <c r="X161" s="7">
        <v>-1.4160598666666668</v>
      </c>
      <c r="Y161" s="7">
        <v>-6.4223299999999997E-2</v>
      </c>
    </row>
    <row r="162" spans="1:25" x14ac:dyDescent="0.25">
      <c r="A162" s="1">
        <v>37257</v>
      </c>
      <c r="B162">
        <v>-2.1246603947999998</v>
      </c>
      <c r="C162">
        <v>-1.953051514</v>
      </c>
      <c r="D162">
        <v>1.4558917353961696E-2</v>
      </c>
      <c r="E162">
        <v>1.0245178938187887E-2</v>
      </c>
      <c r="F162">
        <v>0.26051331362287977</v>
      </c>
      <c r="G162">
        <v>-0.81962540224373959</v>
      </c>
      <c r="H162" s="2">
        <v>0.98651959066656203</v>
      </c>
      <c r="I162" s="2">
        <v>-1.750294491648674E-2</v>
      </c>
      <c r="J162" s="2">
        <v>2.2684689611196518E-3</v>
      </c>
      <c r="K162" s="2">
        <v>0.21195696140798301</v>
      </c>
      <c r="L162" s="2">
        <v>-0.42179005549133902</v>
      </c>
      <c r="M162" s="2">
        <v>7.8996780182239795E-2</v>
      </c>
      <c r="N162" s="2">
        <v>1.24149869268636</v>
      </c>
      <c r="O162" s="2">
        <v>1.2617</v>
      </c>
      <c r="P162" s="2">
        <v>1.5362</v>
      </c>
      <c r="Q162" s="2">
        <v>0.26100000000000001</v>
      </c>
      <c r="R162">
        <v>296.3</v>
      </c>
      <c r="S162">
        <v>1.7522714075560999</v>
      </c>
      <c r="T162">
        <v>-0.79742192700000003</v>
      </c>
      <c r="U162">
        <v>0</v>
      </c>
      <c r="V162">
        <v>0</v>
      </c>
      <c r="W162" s="7">
        <v>-0.17057256666666665</v>
      </c>
      <c r="X162" s="7">
        <v>4.9171200000000005E-2</v>
      </c>
      <c r="Y162" s="7">
        <v>3.8879666666666664E-3</v>
      </c>
    </row>
    <row r="163" spans="1:25" x14ac:dyDescent="0.25">
      <c r="A163" s="1">
        <v>37347</v>
      </c>
      <c r="B163">
        <v>0.27773105209999999</v>
      </c>
      <c r="C163">
        <v>0.96759915299999999</v>
      </c>
      <c r="D163">
        <v>0.37657308536984152</v>
      </c>
      <c r="E163">
        <v>2.5597149426133337E-2</v>
      </c>
      <c r="F163">
        <v>-0.45219829889448082</v>
      </c>
      <c r="G163">
        <v>-0.16727805773007701</v>
      </c>
      <c r="H163" s="2">
        <v>-1.07702970523665</v>
      </c>
      <c r="I163" s="2">
        <v>-7.033199816942215E-2</v>
      </c>
      <c r="J163" s="2">
        <v>-2.3190120235085487E-2</v>
      </c>
      <c r="K163" s="2">
        <v>-0.68376504219923995</v>
      </c>
      <c r="L163" s="2">
        <v>0.335688087117054</v>
      </c>
      <c r="M163" s="2">
        <v>0.70677759355079295</v>
      </c>
      <c r="N163" s="2">
        <v>-1.1216048647177499</v>
      </c>
      <c r="O163" s="2">
        <v>-1.0315000000000001</v>
      </c>
      <c r="P163" s="2">
        <v>0.72499999999999998</v>
      </c>
      <c r="Q163" s="2">
        <v>0.52290000000000003</v>
      </c>
      <c r="R163">
        <v>0</v>
      </c>
      <c r="S163">
        <v>-0.38975437422419601</v>
      </c>
      <c r="T163">
        <v>0</v>
      </c>
      <c r="U163">
        <v>0</v>
      </c>
      <c r="V163">
        <v>0</v>
      </c>
      <c r="W163" s="7">
        <v>7.2436166666666663E-2</v>
      </c>
      <c r="X163" s="7">
        <v>-0.5680510333333334</v>
      </c>
      <c r="Y163" s="7">
        <v>-2.8512999999999998E-3</v>
      </c>
    </row>
    <row r="164" spans="1:25" x14ac:dyDescent="0.25">
      <c r="A164" s="1">
        <v>37438</v>
      </c>
      <c r="B164">
        <v>-1.0354236465</v>
      </c>
      <c r="C164">
        <v>0.42896045700000002</v>
      </c>
      <c r="D164">
        <v>0.266471438186073</v>
      </c>
      <c r="E164">
        <v>-1.1333669956946998E-2</v>
      </c>
      <c r="F164">
        <v>8.0954564144822605E-2</v>
      </c>
      <c r="G164">
        <v>-0.32247988083007267</v>
      </c>
      <c r="H164" s="2">
        <v>0.24372926151330401</v>
      </c>
      <c r="I164" s="2">
        <v>-0.15654143691062927</v>
      </c>
      <c r="J164" s="2">
        <v>-4.5072492212057114E-2</v>
      </c>
      <c r="K164" s="2">
        <v>-0.78210026658642096</v>
      </c>
      <c r="L164" s="2">
        <v>-1.17908492474513</v>
      </c>
      <c r="M164" s="2">
        <v>-0.72784012917526697</v>
      </c>
      <c r="N164" s="2">
        <v>-2.48850532250726E-2</v>
      </c>
      <c r="O164" s="2">
        <v>0.53649999999999998</v>
      </c>
      <c r="P164" s="2">
        <v>-0.83509999999999995</v>
      </c>
      <c r="Q164" s="2">
        <v>0.1961</v>
      </c>
      <c r="R164">
        <v>93</v>
      </c>
      <c r="S164">
        <v>-5.3567523688343201E-2</v>
      </c>
      <c r="T164">
        <v>0</v>
      </c>
      <c r="U164">
        <v>0</v>
      </c>
      <c r="V164">
        <v>0</v>
      </c>
      <c r="W164" s="7">
        <v>4.1905266666666663E-2</v>
      </c>
      <c r="X164" s="7">
        <v>-0.18799566666666667</v>
      </c>
      <c r="Y164" s="7">
        <v>1.5908866666666667E-2</v>
      </c>
    </row>
    <row r="165" spans="1:25" x14ac:dyDescent="0.25">
      <c r="A165" s="1">
        <v>37530</v>
      </c>
      <c r="B165">
        <v>1.2539414245</v>
      </c>
      <c r="C165">
        <v>0.35667369900000001</v>
      </c>
      <c r="D165">
        <v>0.55937738700003969</v>
      </c>
      <c r="E165">
        <v>-1.8557261454603933E-2</v>
      </c>
      <c r="F165">
        <v>1.0682718924342391</v>
      </c>
      <c r="G165">
        <v>-0.36873244981274561</v>
      </c>
      <c r="H165" s="2">
        <v>-0.95122021963007897</v>
      </c>
      <c r="I165" s="2">
        <v>3.9574496448040009E-2</v>
      </c>
      <c r="J165" s="2">
        <v>1.3451304286718369E-2</v>
      </c>
      <c r="K165" s="2">
        <v>-1.04469981956937</v>
      </c>
      <c r="L165" s="2">
        <v>0.649109837717601</v>
      </c>
      <c r="M165" s="2">
        <v>-0.13240787863431799</v>
      </c>
      <c r="N165" s="2">
        <v>-0.83295125367727096</v>
      </c>
      <c r="O165" s="2">
        <v>-0.65300000000000002</v>
      </c>
      <c r="P165" s="2">
        <v>-2.6473</v>
      </c>
      <c r="Q165" s="2">
        <v>-0.18809999999999999</v>
      </c>
      <c r="R165">
        <v>0</v>
      </c>
      <c r="S165">
        <v>-0.216541380799702</v>
      </c>
      <c r="T165">
        <v>0</v>
      </c>
      <c r="U165">
        <v>0</v>
      </c>
      <c r="V165">
        <v>0</v>
      </c>
      <c r="W165" s="7">
        <v>-8.8588933333333328E-2</v>
      </c>
      <c r="X165" s="7">
        <v>-0.58794519999999995</v>
      </c>
      <c r="Y165" s="7">
        <v>-6.1555533333333336E-2</v>
      </c>
    </row>
    <row r="166" spans="1:25" x14ac:dyDescent="0.25">
      <c r="A166" s="1">
        <v>37622</v>
      </c>
      <c r="B166">
        <v>-1.3731104926</v>
      </c>
      <c r="C166">
        <v>-2.6617669990000001</v>
      </c>
      <c r="D166">
        <v>0.66209325451800416</v>
      </c>
      <c r="E166">
        <v>5.3967195060681296E-2</v>
      </c>
      <c r="F166">
        <v>-0.25157602528594242</v>
      </c>
      <c r="G166">
        <v>1.1797505562780242</v>
      </c>
      <c r="H166" s="2">
        <v>0.725562358547019</v>
      </c>
      <c r="I166" s="2">
        <v>-6.0239002108573914E-2</v>
      </c>
      <c r="J166" s="2">
        <v>-1.5010610222816467E-2</v>
      </c>
      <c r="K166" s="2">
        <v>-4.81164525172483E-3</v>
      </c>
      <c r="L166" s="2">
        <v>-0.89415753713425095</v>
      </c>
      <c r="M166" s="2">
        <v>1.8857531746233001</v>
      </c>
      <c r="N166" s="2">
        <v>-0.173140907742901</v>
      </c>
      <c r="O166" s="2">
        <v>0.71609999999999996</v>
      </c>
      <c r="P166" s="2">
        <v>-0.50519999999999998</v>
      </c>
      <c r="Q166" s="2">
        <v>0.49280000000000002</v>
      </c>
      <c r="R166">
        <v>123.8</v>
      </c>
      <c r="S166">
        <v>-4.76475671926491E-2</v>
      </c>
      <c r="T166">
        <v>0</v>
      </c>
      <c r="U166">
        <v>0</v>
      </c>
      <c r="V166">
        <v>0</v>
      </c>
      <c r="W166" s="7">
        <v>1.27247E-2</v>
      </c>
      <c r="X166" s="7">
        <v>0.2648524333333333</v>
      </c>
      <c r="Y166" s="7">
        <v>6.920633333333333E-3</v>
      </c>
    </row>
    <row r="167" spans="1:25" x14ac:dyDescent="0.25">
      <c r="A167" s="1">
        <v>37712</v>
      </c>
      <c r="B167">
        <v>1.4642953449</v>
      </c>
      <c r="C167">
        <v>-0.46599308499999997</v>
      </c>
      <c r="D167">
        <v>0.55856825688381273</v>
      </c>
      <c r="E167">
        <v>-4.3422050824154901E-2</v>
      </c>
      <c r="F167">
        <v>0.29814049871788062</v>
      </c>
      <c r="G167">
        <v>-0.12770263931299838</v>
      </c>
      <c r="H167" s="2">
        <v>1.2125783233441201</v>
      </c>
      <c r="I167" s="2">
        <v>7.4968904256820679E-2</v>
      </c>
      <c r="J167" s="2">
        <v>2.7572948485612869E-2</v>
      </c>
      <c r="K167" s="2">
        <v>2.05092922533029</v>
      </c>
      <c r="L167" s="2">
        <v>1.26052370368316</v>
      </c>
      <c r="M167" s="2">
        <v>-0.65063519900291</v>
      </c>
      <c r="N167" s="2">
        <v>0.611786988962853</v>
      </c>
      <c r="O167" s="2">
        <v>0.96660000000000001</v>
      </c>
      <c r="P167" s="2">
        <v>1.0068999999999999</v>
      </c>
      <c r="Q167" s="2">
        <v>5.11E-2</v>
      </c>
      <c r="R167">
        <v>0</v>
      </c>
      <c r="S167">
        <v>-0.61392817254093002</v>
      </c>
      <c r="T167">
        <v>0</v>
      </c>
      <c r="U167">
        <v>0</v>
      </c>
      <c r="V167">
        <v>0</v>
      </c>
      <c r="W167" s="7">
        <v>-7.3467900000000003E-2</v>
      </c>
      <c r="X167" s="7">
        <v>0.61258299999999999</v>
      </c>
      <c r="Y167" s="7">
        <v>2.5755966666666668E-2</v>
      </c>
    </row>
    <row r="168" spans="1:25" x14ac:dyDescent="0.25">
      <c r="A168" s="1">
        <v>37803</v>
      </c>
      <c r="B168">
        <v>0.51788277019999995</v>
      </c>
      <c r="C168">
        <v>1.292181064</v>
      </c>
      <c r="D168">
        <v>0.82000927504102028</v>
      </c>
      <c r="E168">
        <v>6.2929440998627977E-3</v>
      </c>
      <c r="F168">
        <v>-0.75743213226973605</v>
      </c>
      <c r="G168">
        <v>0.74319554780936004</v>
      </c>
      <c r="H168" s="2">
        <v>1.0690968486824199</v>
      </c>
      <c r="I168" s="2">
        <v>1.0700293816626072E-2</v>
      </c>
      <c r="J168" s="2">
        <v>6.8634683266282082E-3</v>
      </c>
      <c r="K168" s="2">
        <v>-1.58873480129502</v>
      </c>
      <c r="L168" s="2">
        <v>-0.18853231650442701</v>
      </c>
      <c r="M168" s="2">
        <v>1.1411817750839099</v>
      </c>
      <c r="N168" s="2">
        <v>1.37673315439235</v>
      </c>
      <c r="O168" s="2">
        <v>0.85099999999999998</v>
      </c>
      <c r="P168" s="2">
        <v>2.4285000000000001</v>
      </c>
      <c r="Q168" s="2">
        <v>0.4456</v>
      </c>
      <c r="R168">
        <v>41</v>
      </c>
      <c r="S168">
        <v>-0.280851233112142</v>
      </c>
      <c r="T168">
        <v>-1.140166515</v>
      </c>
      <c r="U168">
        <v>-1.1478804170000001</v>
      </c>
      <c r="V168">
        <v>-2.8576325310000001</v>
      </c>
      <c r="W168" s="7">
        <v>-8.8190766666666656E-2</v>
      </c>
      <c r="X168" s="7">
        <v>7.3728299999999997E-2</v>
      </c>
      <c r="Y168" s="7">
        <v>3.7786733333333329E-2</v>
      </c>
    </row>
    <row r="169" spans="1:25" x14ac:dyDescent="0.25">
      <c r="A169" s="1">
        <v>37895</v>
      </c>
      <c r="B169">
        <v>-1.46183515</v>
      </c>
      <c r="C169">
        <v>-2.9421082000000001E-2</v>
      </c>
      <c r="D169">
        <v>0.29240547682877194</v>
      </c>
      <c r="E169">
        <v>-1.0766268732155934E-2</v>
      </c>
      <c r="F169">
        <v>-0.15888388951519178</v>
      </c>
      <c r="G169">
        <v>0.7221690555233603</v>
      </c>
      <c r="H169" s="2">
        <v>-0.30805254183059599</v>
      </c>
      <c r="I169" s="2">
        <v>2.2177193313837051E-2</v>
      </c>
      <c r="J169" s="2">
        <v>5.4511465132236481E-3</v>
      </c>
      <c r="K169" s="2">
        <v>0.445029555768441</v>
      </c>
      <c r="L169" s="2">
        <v>1.18738832443978</v>
      </c>
      <c r="M169" s="2">
        <v>-0.31964412110892598</v>
      </c>
      <c r="N169" s="2">
        <v>-0.34443546171206602</v>
      </c>
      <c r="O169" s="2">
        <v>-0.34820000000000001</v>
      </c>
      <c r="P169" s="2">
        <v>-0.64510000000000001</v>
      </c>
      <c r="Q169" s="2">
        <v>-0.1598</v>
      </c>
      <c r="R169">
        <v>78.2</v>
      </c>
      <c r="S169">
        <v>-0.304376868871442</v>
      </c>
      <c r="T169">
        <v>0</v>
      </c>
      <c r="U169">
        <v>0</v>
      </c>
      <c r="V169">
        <v>0</v>
      </c>
      <c r="W169" s="7">
        <v>-0.14163513333333333</v>
      </c>
      <c r="X169" s="7">
        <v>0.10953766666666666</v>
      </c>
      <c r="Y169" s="7">
        <v>1.1999999999999973E-4</v>
      </c>
    </row>
    <row r="170" spans="1:25" x14ac:dyDescent="0.25">
      <c r="A170" s="1">
        <v>37987</v>
      </c>
      <c r="B170">
        <v>0.22029339110000001</v>
      </c>
      <c r="C170">
        <v>-0.48527304999999998</v>
      </c>
      <c r="D170">
        <v>0.65035432882075572</v>
      </c>
      <c r="E170">
        <v>1.8669632650498133E-2</v>
      </c>
      <c r="F170">
        <v>0.28508191179165415</v>
      </c>
      <c r="G170">
        <v>-0.29738496261443426</v>
      </c>
      <c r="H170" s="2">
        <v>-0.407980815117513</v>
      </c>
      <c r="I170" s="2">
        <v>4.5336555689573288E-2</v>
      </c>
      <c r="J170" s="2">
        <v>1.3517829589545727E-2</v>
      </c>
      <c r="K170" s="2">
        <v>0.74151890342237203</v>
      </c>
      <c r="L170" s="2">
        <v>-0.61985241184777395</v>
      </c>
      <c r="M170" s="2">
        <v>-0.203149465763277</v>
      </c>
      <c r="N170" s="2">
        <v>0.28747699964184498</v>
      </c>
      <c r="O170" s="2">
        <v>-0.124</v>
      </c>
      <c r="P170" s="2">
        <v>-2.3605999999999998</v>
      </c>
      <c r="Q170" s="2">
        <v>-0.3241</v>
      </c>
      <c r="R170">
        <v>0</v>
      </c>
      <c r="S170">
        <v>0.71794960150392595</v>
      </c>
      <c r="T170">
        <v>0</v>
      </c>
      <c r="U170">
        <v>0</v>
      </c>
      <c r="V170">
        <v>0</v>
      </c>
      <c r="W170" s="7">
        <v>-9.8501333333333354E-3</v>
      </c>
      <c r="X170" s="7">
        <v>0.18971689999999999</v>
      </c>
      <c r="Y170" s="7">
        <v>1.6666333333333336E-3</v>
      </c>
    </row>
    <row r="171" spans="1:25" x14ac:dyDescent="0.25">
      <c r="A171" s="1">
        <v>38078</v>
      </c>
      <c r="B171">
        <v>-0.59031751190000004</v>
      </c>
      <c r="C171">
        <v>-1.162810087</v>
      </c>
      <c r="D171">
        <v>-0.30256109967740524</v>
      </c>
      <c r="E171">
        <v>1.755582972542347E-2</v>
      </c>
      <c r="F171">
        <v>-5.4949401041684456E-2</v>
      </c>
      <c r="G171">
        <v>0.74382075953657401</v>
      </c>
      <c r="H171" s="2">
        <v>-0.23039563801700699</v>
      </c>
      <c r="I171" s="2">
        <v>-5.2354928106069565E-2</v>
      </c>
      <c r="J171" s="2">
        <v>-1.3720054179430008E-2</v>
      </c>
      <c r="K171" s="2">
        <v>0.85573439946894303</v>
      </c>
      <c r="L171" s="2">
        <v>-0.53745419577398601</v>
      </c>
      <c r="M171" s="2">
        <v>-0.60169020085882696</v>
      </c>
      <c r="N171" s="2">
        <v>0.59455850933239296</v>
      </c>
      <c r="O171" s="2">
        <v>0.46379999999999999</v>
      </c>
      <c r="P171" s="2">
        <v>2.7536</v>
      </c>
      <c r="Q171" s="2">
        <v>-0.38179999999999997</v>
      </c>
      <c r="R171">
        <v>25</v>
      </c>
      <c r="S171">
        <v>-0.12552465469955201</v>
      </c>
      <c r="T171">
        <v>0</v>
      </c>
      <c r="U171">
        <v>0</v>
      </c>
      <c r="V171">
        <v>0</v>
      </c>
      <c r="W171" s="7">
        <v>1.1468399999999998E-2</v>
      </c>
      <c r="X171" s="7">
        <v>-0.21391199999999999</v>
      </c>
      <c r="Y171" s="7">
        <v>-3.8821666666666661E-3</v>
      </c>
    </row>
    <row r="172" spans="1:25" x14ac:dyDescent="0.25">
      <c r="A172" s="1">
        <v>38169</v>
      </c>
      <c r="B172">
        <v>-1.0149800141</v>
      </c>
      <c r="C172">
        <v>-0.50427436699999995</v>
      </c>
      <c r="D172">
        <v>-0.54851491281597842</v>
      </c>
      <c r="E172">
        <v>4.9012079495483656E-3</v>
      </c>
      <c r="F172">
        <v>3.2280434152924271E-3</v>
      </c>
      <c r="G172">
        <v>-0.59680849894296717</v>
      </c>
      <c r="H172" s="2">
        <v>-9.3718475753800198E-2</v>
      </c>
      <c r="I172" s="2">
        <v>-2.7196509763598442E-2</v>
      </c>
      <c r="J172" s="2">
        <v>-3.6261589266359806E-3</v>
      </c>
      <c r="K172" s="2">
        <v>-0.27064545104435</v>
      </c>
      <c r="L172" s="2">
        <v>0.54034471747407897</v>
      </c>
      <c r="M172" s="2">
        <v>0.92529038497573202</v>
      </c>
      <c r="N172" s="2">
        <v>0.60458454664324801</v>
      </c>
      <c r="O172" s="2">
        <v>-0.39829999999999999</v>
      </c>
      <c r="P172" s="2">
        <v>-0.1454</v>
      </c>
      <c r="Q172" s="2">
        <v>-0.1103</v>
      </c>
      <c r="R172">
        <v>0</v>
      </c>
      <c r="S172">
        <v>0.50131863566510304</v>
      </c>
      <c r="T172">
        <v>0</v>
      </c>
      <c r="U172">
        <v>0</v>
      </c>
      <c r="V172">
        <v>0</v>
      </c>
      <c r="W172" s="7">
        <v>0.14358990000000002</v>
      </c>
      <c r="X172" s="7">
        <v>0.47975296666666667</v>
      </c>
      <c r="Y172" s="7">
        <v>8.4883333333333338E-4</v>
      </c>
    </row>
    <row r="173" spans="1:25" x14ac:dyDescent="0.25">
      <c r="A173" s="1">
        <v>38261</v>
      </c>
      <c r="B173">
        <v>0.1062612054</v>
      </c>
      <c r="C173">
        <v>0.80048423999999996</v>
      </c>
      <c r="D173">
        <v>-1.0661537994067531</v>
      </c>
      <c r="E173">
        <v>3.1858828909613002E-2</v>
      </c>
      <c r="F173">
        <v>-0.89243266795039999</v>
      </c>
      <c r="G173">
        <v>-0.10132719871421227</v>
      </c>
      <c r="H173" s="2">
        <v>4.7832537864720297E-2</v>
      </c>
      <c r="I173" s="2">
        <v>4.5663133263587952E-2</v>
      </c>
      <c r="J173" s="2">
        <v>1.2839482165873051E-2</v>
      </c>
      <c r="K173" s="2">
        <v>0.75680640440339497</v>
      </c>
      <c r="L173" s="2">
        <v>1.17251175160597</v>
      </c>
      <c r="M173" s="2">
        <v>0.37374467255909499</v>
      </c>
      <c r="N173" s="2">
        <v>0.33367893851719399</v>
      </c>
      <c r="O173" s="2">
        <v>-0.24490000000000001</v>
      </c>
      <c r="P173" s="2">
        <v>1.8050999999999999</v>
      </c>
      <c r="Q173" s="2">
        <v>-0.32840000000000003</v>
      </c>
      <c r="R173">
        <v>0</v>
      </c>
      <c r="S173">
        <v>-0.18226574072326901</v>
      </c>
      <c r="T173">
        <v>0</v>
      </c>
      <c r="U173">
        <v>0</v>
      </c>
      <c r="V173">
        <v>0</v>
      </c>
      <c r="W173" s="7">
        <v>0.15986863333333332</v>
      </c>
      <c r="X173" s="7">
        <v>0.16385973333333334</v>
      </c>
      <c r="Y173" s="7">
        <v>-4.2670666666666671E-3</v>
      </c>
    </row>
    <row r="174" spans="1:25" x14ac:dyDescent="0.25">
      <c r="A174" s="1">
        <v>38353</v>
      </c>
      <c r="B174">
        <v>-0.23732811039999999</v>
      </c>
      <c r="C174">
        <v>0.200904095</v>
      </c>
      <c r="D174">
        <v>1.7093929234796372</v>
      </c>
      <c r="E174">
        <v>2.6567682712748003E-3</v>
      </c>
      <c r="F174">
        <v>0.51585084499609435</v>
      </c>
      <c r="G174">
        <v>-0.49353522803882194</v>
      </c>
      <c r="H174" s="2">
        <v>0.19359638884948799</v>
      </c>
      <c r="I174" s="2">
        <v>-1.2120800092816353E-2</v>
      </c>
      <c r="J174" s="2">
        <v>-2.8161352965980768E-3</v>
      </c>
      <c r="K174" s="2">
        <v>-0.22875588771602201</v>
      </c>
      <c r="L174" s="2">
        <v>0.13647295164899001</v>
      </c>
      <c r="M174" s="2">
        <v>-1.32238584731099</v>
      </c>
      <c r="N174" s="2">
        <v>0.46612021675492099</v>
      </c>
      <c r="O174" s="2">
        <v>0.93710000000000004</v>
      </c>
      <c r="P174" s="2">
        <v>0.13159999999999999</v>
      </c>
      <c r="Q174" s="2">
        <v>-0.54630000000000001</v>
      </c>
      <c r="R174">
        <v>100</v>
      </c>
      <c r="S174">
        <v>0.419551560476631</v>
      </c>
      <c r="T174">
        <v>0.560309363</v>
      </c>
      <c r="U174">
        <v>0</v>
      </c>
      <c r="V174">
        <v>0</v>
      </c>
      <c r="W174" s="7">
        <v>5.9258066666666664E-2</v>
      </c>
      <c r="X174" s="7">
        <v>0.28521023333333334</v>
      </c>
      <c r="Y174" s="7">
        <v>-1.2762666666666666E-3</v>
      </c>
    </row>
    <row r="175" spans="1:25" x14ac:dyDescent="0.25">
      <c r="A175" s="1">
        <v>38443</v>
      </c>
      <c r="B175">
        <v>9.9370051700000003E-2</v>
      </c>
      <c r="C175">
        <v>1.3546083820000001</v>
      </c>
      <c r="D175">
        <v>9.9855039098414852E-2</v>
      </c>
      <c r="E175">
        <v>-1.4089495500869067E-2</v>
      </c>
      <c r="F175">
        <v>0.45044516333127654</v>
      </c>
      <c r="G175">
        <v>0.2384591676561566</v>
      </c>
      <c r="H175" s="2">
        <v>-0.51270062601177802</v>
      </c>
      <c r="I175" s="2">
        <v>-2.133665420114994E-2</v>
      </c>
      <c r="J175" s="2">
        <v>-6.7333835177123547E-3</v>
      </c>
      <c r="K175" s="2">
        <v>-1.1864799142328899</v>
      </c>
      <c r="L175" s="2">
        <v>0.53664037987467506</v>
      </c>
      <c r="M175" s="2">
        <v>1.75725497462202E-2</v>
      </c>
      <c r="N175" s="2">
        <v>-4.9319780315559003E-2</v>
      </c>
      <c r="O175" s="2">
        <v>-0.96020000000000005</v>
      </c>
      <c r="P175" s="2">
        <v>-0.62470000000000003</v>
      </c>
      <c r="Q175" s="2">
        <v>-0.4168</v>
      </c>
      <c r="R175">
        <v>0</v>
      </c>
      <c r="S175">
        <v>0.20350366926326</v>
      </c>
      <c r="T175">
        <v>0</v>
      </c>
      <c r="U175">
        <v>0</v>
      </c>
      <c r="V175">
        <v>0</v>
      </c>
      <c r="W175" s="7">
        <v>0.17989413333333334</v>
      </c>
      <c r="X175" s="7">
        <v>0.2831924666666667</v>
      </c>
      <c r="Y175" s="7">
        <v>-1.8988333333333333E-3</v>
      </c>
    </row>
    <row r="176" spans="1:25" x14ac:dyDescent="0.25">
      <c r="A176" s="1">
        <v>38534</v>
      </c>
      <c r="B176">
        <v>0.43724575809999999</v>
      </c>
      <c r="C176">
        <v>-2.9443109789999999</v>
      </c>
      <c r="D176">
        <v>-0.56757260926390274</v>
      </c>
      <c r="E176">
        <v>3.4834100999380412E-2</v>
      </c>
      <c r="F176">
        <v>1.1434785080340051</v>
      </c>
      <c r="G176">
        <v>-0.72046201131932064</v>
      </c>
      <c r="H176" s="2">
        <v>0.17880199769732699</v>
      </c>
      <c r="I176" s="2">
        <v>2.0797912031412125E-2</v>
      </c>
      <c r="J176" s="2">
        <v>9.2999944463372231E-3</v>
      </c>
      <c r="K176" s="2">
        <v>-0.20263975102560999</v>
      </c>
      <c r="L176" s="2">
        <v>-1.6230917170446599</v>
      </c>
      <c r="M176" s="2">
        <v>2.5778082350994702</v>
      </c>
      <c r="N176" s="2">
        <v>0.71157362344280095</v>
      </c>
      <c r="O176" s="2">
        <v>9.1700000000000004E-2</v>
      </c>
      <c r="P176" s="2">
        <v>3.1640999999999999</v>
      </c>
      <c r="Q176" s="2">
        <v>0.27900000000000003</v>
      </c>
      <c r="R176">
        <v>0</v>
      </c>
      <c r="S176">
        <v>-0.15878906774918899</v>
      </c>
      <c r="T176">
        <v>0</v>
      </c>
      <c r="U176">
        <v>0</v>
      </c>
      <c r="V176">
        <v>0</v>
      </c>
      <c r="W176" s="7">
        <v>0.10363903333333334</v>
      </c>
      <c r="X176" s="7">
        <v>0.47750336666666665</v>
      </c>
      <c r="Y176" s="7">
        <v>1.5388000000000005E-3</v>
      </c>
    </row>
    <row r="177" spans="1:25" x14ac:dyDescent="0.25">
      <c r="A177" s="1">
        <v>38626</v>
      </c>
      <c r="B177">
        <v>-1.0265725793</v>
      </c>
      <c r="C177">
        <v>-0.26534891199999999</v>
      </c>
      <c r="D177">
        <v>0.97188327722262535</v>
      </c>
      <c r="E177">
        <v>-1.29036482424382E-2</v>
      </c>
      <c r="F177">
        <v>-8.064604339986188E-2</v>
      </c>
      <c r="G177">
        <v>-4.2672555488545393E-2</v>
      </c>
      <c r="H177" s="2">
        <v>-0.69404280547785602</v>
      </c>
      <c r="I177" s="2">
        <v>-2.978658489882946E-2</v>
      </c>
      <c r="J177" s="2">
        <v>-8.659028448164463E-3</v>
      </c>
      <c r="K177" s="2">
        <v>0.172660170440395</v>
      </c>
      <c r="L177" s="2">
        <v>2.4835589524061699</v>
      </c>
      <c r="M177" s="2">
        <v>-0.66821189534006298</v>
      </c>
      <c r="N177" s="2">
        <v>-0.74906520040563496</v>
      </c>
      <c r="O177" s="2">
        <v>-0.73270000000000002</v>
      </c>
      <c r="P177" s="2">
        <v>2.5356000000000001</v>
      </c>
      <c r="Q177" s="2">
        <v>-0.49030000000000001</v>
      </c>
      <c r="R177">
        <v>0</v>
      </c>
      <c r="S177">
        <v>0.388771333891127</v>
      </c>
      <c r="T177">
        <v>0</v>
      </c>
      <c r="U177">
        <v>0</v>
      </c>
      <c r="V177">
        <v>0</v>
      </c>
      <c r="W177" s="7">
        <v>9.049723333333333E-2</v>
      </c>
      <c r="X177" s="7">
        <v>0.11979723333333335</v>
      </c>
      <c r="Y177" s="7">
        <v>6.0142666666666671E-3</v>
      </c>
    </row>
    <row r="178" spans="1:25" x14ac:dyDescent="0.25">
      <c r="A178" s="1">
        <v>38718</v>
      </c>
      <c r="B178">
        <v>0.61202955599999997</v>
      </c>
      <c r="C178">
        <v>0.20627219199999999</v>
      </c>
      <c r="D178">
        <v>-0.68518747636450306</v>
      </c>
      <c r="E178">
        <v>9.8135413269381019E-3</v>
      </c>
      <c r="F178">
        <v>-0.11264786671979114</v>
      </c>
      <c r="G178">
        <v>-0.91839516804619103</v>
      </c>
      <c r="H178" s="2">
        <v>-0.13335985693452099</v>
      </c>
      <c r="I178" s="2">
        <v>2.2563546895980835E-2</v>
      </c>
      <c r="J178" s="2">
        <v>1.0795014910399914E-2</v>
      </c>
      <c r="K178" s="2">
        <v>-0.86383875243346298</v>
      </c>
      <c r="L178" s="2">
        <v>0.30037337645281997</v>
      </c>
      <c r="M178" s="2">
        <v>-0.281215534372105</v>
      </c>
      <c r="N178" s="2">
        <v>-0.15022591920811501</v>
      </c>
      <c r="O178" s="2">
        <v>0.4385</v>
      </c>
      <c r="P178" s="2">
        <v>2.5983000000000001</v>
      </c>
      <c r="Q178" s="2">
        <v>-0.69040000000000001</v>
      </c>
      <c r="R178">
        <v>0</v>
      </c>
      <c r="S178">
        <v>7.8250712352908192E-3</v>
      </c>
      <c r="T178">
        <v>0</v>
      </c>
      <c r="U178">
        <v>0</v>
      </c>
      <c r="V178">
        <v>0</v>
      </c>
      <c r="W178" s="7">
        <v>7.4050933333333332E-2</v>
      </c>
      <c r="X178" s="7">
        <v>0.36177566666666666</v>
      </c>
      <c r="Y178" s="7">
        <v>5.557666666666665E-4</v>
      </c>
    </row>
    <row r="179" spans="1:25" x14ac:dyDescent="0.25">
      <c r="A179" s="1">
        <v>38808</v>
      </c>
      <c r="B179">
        <v>0.3891694912</v>
      </c>
      <c r="C179">
        <v>1.19939236</v>
      </c>
      <c r="D179">
        <v>-0.4071966271364138</v>
      </c>
      <c r="E179">
        <v>2.4795183683211774E-2</v>
      </c>
      <c r="F179">
        <v>-0.3503326629747921</v>
      </c>
      <c r="G179">
        <v>-0.43356236106113505</v>
      </c>
      <c r="H179" s="2">
        <v>-0.36315977889232698</v>
      </c>
      <c r="I179" s="2">
        <v>-2.1458558738231659E-2</v>
      </c>
      <c r="J179" s="2">
        <v>-1.0080873966217041E-2</v>
      </c>
      <c r="K179" s="2">
        <v>-0.14187771861800499</v>
      </c>
      <c r="L179" s="2">
        <v>0.52065356331882595</v>
      </c>
      <c r="M179" s="2">
        <v>0.32456656429366598</v>
      </c>
      <c r="N179" s="2">
        <v>-0.113547623421913</v>
      </c>
      <c r="O179" s="2">
        <v>-0.30570000000000003</v>
      </c>
      <c r="P179" s="2">
        <v>-1.3344</v>
      </c>
      <c r="Q179" s="2">
        <v>4.8999999999999998E-3</v>
      </c>
      <c r="R179">
        <v>227.7</v>
      </c>
      <c r="S179">
        <v>-1.49368851489356E-2</v>
      </c>
      <c r="T179">
        <v>0</v>
      </c>
      <c r="U179">
        <v>0</v>
      </c>
      <c r="V179">
        <v>0</v>
      </c>
      <c r="W179" s="7">
        <v>0.2037981666666667</v>
      </c>
      <c r="X179" s="7">
        <v>-0.15837929999999997</v>
      </c>
      <c r="Y179" s="7">
        <v>-3.3329999999999997E-4</v>
      </c>
    </row>
    <row r="180" spans="1:25" x14ac:dyDescent="0.25">
      <c r="A180" s="1">
        <v>38899</v>
      </c>
      <c r="B180">
        <v>-0.8377249832</v>
      </c>
      <c r="C180">
        <v>-1.5434125599999999</v>
      </c>
      <c r="D180">
        <v>-0.38829445641404864</v>
      </c>
      <c r="E180">
        <v>-8.1745438018606656E-4</v>
      </c>
      <c r="F180">
        <v>-1.0101219865140658</v>
      </c>
      <c r="G180">
        <v>-6.8873502707897008E-2</v>
      </c>
      <c r="H180" s="2">
        <v>-1.1706271356108</v>
      </c>
      <c r="I180" s="2">
        <v>1.4418851584196091E-2</v>
      </c>
      <c r="J180" s="2">
        <v>3.9454945363104343E-4</v>
      </c>
      <c r="K180" s="2">
        <v>0.14396140528634399</v>
      </c>
      <c r="L180" s="2">
        <v>4.1547094570067403E-2</v>
      </c>
      <c r="M180" s="2">
        <v>-0.14499727065633999</v>
      </c>
      <c r="N180" s="2">
        <v>-0.72857304360251396</v>
      </c>
      <c r="O180" s="2">
        <v>-1.0306</v>
      </c>
      <c r="P180" s="2">
        <v>0.78369999999999995</v>
      </c>
      <c r="Q180" s="2">
        <v>5.0599999999999999E-2</v>
      </c>
      <c r="R180">
        <v>0</v>
      </c>
      <c r="S180">
        <v>0.11066141732033601</v>
      </c>
      <c r="T180">
        <v>0</v>
      </c>
      <c r="U180">
        <v>0</v>
      </c>
      <c r="V180">
        <v>0</v>
      </c>
      <c r="W180" s="7">
        <v>4.0715666666666671E-2</v>
      </c>
      <c r="X180" s="7">
        <v>-7.1052000000000004E-2</v>
      </c>
      <c r="Y180" s="7">
        <v>-2.2225466666666666E-2</v>
      </c>
    </row>
    <row r="181" spans="1:25" x14ac:dyDescent="0.25">
      <c r="A181" s="1">
        <v>38991</v>
      </c>
      <c r="B181">
        <v>0.89423767269999999</v>
      </c>
      <c r="C181">
        <v>0.95851640599999999</v>
      </c>
      <c r="D181">
        <v>0.22307960455598064</v>
      </c>
      <c r="E181">
        <v>-2.3045123781669678E-2</v>
      </c>
      <c r="F181">
        <v>9.5275765173573737E-2</v>
      </c>
      <c r="G181">
        <v>-0.652726484843976</v>
      </c>
      <c r="H181" s="2">
        <v>0.241492567007281</v>
      </c>
      <c r="I181" s="2">
        <v>6.1145558953285217E-2</v>
      </c>
      <c r="J181" s="2">
        <v>1.9280102103948593E-2</v>
      </c>
      <c r="K181" s="2">
        <v>1.05628315967436</v>
      </c>
      <c r="L181" s="2">
        <v>0.53313039806721296</v>
      </c>
      <c r="M181" s="2">
        <v>-1.68358054514897</v>
      </c>
      <c r="N181" s="2">
        <v>0.29273248781672401</v>
      </c>
      <c r="O181" s="2">
        <v>0.877</v>
      </c>
      <c r="P181" s="2">
        <v>-0.90149999999999997</v>
      </c>
      <c r="Q181" s="2">
        <v>-0.96250000000000002</v>
      </c>
      <c r="R181">
        <v>0</v>
      </c>
      <c r="S181">
        <v>-8.0745968114812203E-2</v>
      </c>
      <c r="T181">
        <v>0</v>
      </c>
      <c r="U181">
        <v>0</v>
      </c>
      <c r="V181">
        <v>0</v>
      </c>
      <c r="W181" s="7">
        <v>-4.790933333333333E-3</v>
      </c>
      <c r="X181" s="7">
        <v>2.0595233333333334E-2</v>
      </c>
      <c r="Y181" s="7">
        <v>-4.831233333333333E-3</v>
      </c>
    </row>
    <row r="182" spans="1:25" x14ac:dyDescent="0.25">
      <c r="A182" s="1">
        <v>39083</v>
      </c>
      <c r="B182">
        <v>-1.4595805417000001</v>
      </c>
      <c r="C182">
        <v>0.48269499799999999</v>
      </c>
      <c r="D182">
        <v>-0.24243978899681992</v>
      </c>
      <c r="E182">
        <v>1.1963464110747467E-2</v>
      </c>
      <c r="F182">
        <v>-1.7337854372236082E-2</v>
      </c>
      <c r="G182">
        <v>-0.66801779085197699</v>
      </c>
      <c r="H182" s="2">
        <v>-0.49838860667754897</v>
      </c>
      <c r="I182" s="2">
        <v>-1.0198311880230904E-2</v>
      </c>
      <c r="J182" s="2">
        <v>-7.3269074782729149E-3</v>
      </c>
      <c r="K182" s="2">
        <v>1.00760299544295</v>
      </c>
      <c r="L182" s="2">
        <v>0.19396821268928299</v>
      </c>
      <c r="M182" s="2">
        <v>1.52651105778368</v>
      </c>
      <c r="N182" s="2">
        <v>-0.73138049541434702</v>
      </c>
      <c r="O182" s="2">
        <v>-0.20799999999999999</v>
      </c>
      <c r="P182" s="2">
        <v>2.4165999999999999</v>
      </c>
      <c r="Q182" s="2">
        <v>0.31359999999999999</v>
      </c>
      <c r="R182">
        <v>0</v>
      </c>
      <c r="S182">
        <v>0.33412736006652999</v>
      </c>
      <c r="T182">
        <v>0</v>
      </c>
      <c r="U182">
        <v>0</v>
      </c>
      <c r="V182">
        <v>0</v>
      </c>
      <c r="W182" s="7">
        <v>2.9791999999999996E-2</v>
      </c>
      <c r="X182" s="7">
        <v>-2.8520066666666666E-2</v>
      </c>
      <c r="Y182" s="7">
        <v>-1.6666999999999999E-3</v>
      </c>
    </row>
    <row r="183" spans="1:25" x14ac:dyDescent="0.25">
      <c r="A183" s="1">
        <v>39173</v>
      </c>
      <c r="B183">
        <v>0.97006476320000001</v>
      </c>
      <c r="C183">
        <v>0.38848637600000002</v>
      </c>
      <c r="D183">
        <v>0</v>
      </c>
      <c r="E183">
        <v>2.8939899092334832E-3</v>
      </c>
      <c r="F183">
        <v>0.22518920973775466</v>
      </c>
      <c r="G183">
        <v>-0.91883522556030373</v>
      </c>
      <c r="H183" s="2">
        <v>-0.154019668241101</v>
      </c>
      <c r="I183" s="2">
        <v>4.1229274123907089E-2</v>
      </c>
      <c r="J183" s="2">
        <v>1.0443791747093201E-2</v>
      </c>
      <c r="K183" s="2">
        <v>-0.23452683558419399</v>
      </c>
      <c r="L183" s="2">
        <v>-0.44639785587103598</v>
      </c>
      <c r="M183" s="2">
        <v>-0.17982500874183799</v>
      </c>
      <c r="N183" s="2">
        <v>0.280547007303864</v>
      </c>
      <c r="O183" s="2">
        <v>-0.14649999999999999</v>
      </c>
      <c r="P183" s="2">
        <v>2.5710000000000002</v>
      </c>
      <c r="Q183" s="2">
        <v>0.34200000000000003</v>
      </c>
      <c r="R183">
        <v>0</v>
      </c>
      <c r="S183">
        <v>-0.17393043037060099</v>
      </c>
      <c r="T183">
        <v>0</v>
      </c>
      <c r="U183">
        <v>0</v>
      </c>
      <c r="V183">
        <v>0</v>
      </c>
      <c r="W183" s="7">
        <v>-2.8210733333333335E-2</v>
      </c>
      <c r="X183" s="7">
        <v>0.21181176666666665</v>
      </c>
      <c r="Y183" s="7">
        <v>-2.3465666666666668E-3</v>
      </c>
    </row>
    <row r="184" spans="1:25" x14ac:dyDescent="0.25">
      <c r="A184" s="1">
        <v>39264</v>
      </c>
      <c r="B184">
        <v>-0.5753109045</v>
      </c>
      <c r="C184">
        <v>0.74547256699999997</v>
      </c>
      <c r="D184">
        <v>0.38282324735621004</v>
      </c>
      <c r="E184">
        <v>3.5582724489883102E-2</v>
      </c>
      <c r="F184">
        <v>0.86684895564139341</v>
      </c>
      <c r="G184">
        <v>-0.38622625783316261</v>
      </c>
      <c r="H184" s="2">
        <v>0.96100208051265401</v>
      </c>
      <c r="I184" s="2">
        <v>-2.3037590086460114E-2</v>
      </c>
      <c r="J184" s="2">
        <v>-1.0880921967327595E-2</v>
      </c>
      <c r="K184" s="2">
        <v>0.20218220234559101</v>
      </c>
      <c r="L184" s="2">
        <v>-0.359075212247363</v>
      </c>
      <c r="M184" s="2">
        <v>0.35298584210357598</v>
      </c>
      <c r="N184" s="2">
        <v>0.54067219804824596</v>
      </c>
      <c r="O184" s="2">
        <v>0.85509999999999997</v>
      </c>
      <c r="P184" s="2">
        <v>-0.70209999999999995</v>
      </c>
      <c r="Q184" s="2">
        <v>0.17319999999999999</v>
      </c>
      <c r="R184">
        <v>0</v>
      </c>
      <c r="S184">
        <v>0.472480113089005</v>
      </c>
      <c r="T184">
        <v>0</v>
      </c>
      <c r="U184">
        <v>0</v>
      </c>
      <c r="V184">
        <v>0</v>
      </c>
      <c r="W184" s="7">
        <v>-0.19021613333333331</v>
      </c>
      <c r="X184" s="7">
        <v>-0.52999666666666667</v>
      </c>
      <c r="Y184" s="7">
        <v>-2.6735533333333335E-2</v>
      </c>
    </row>
    <row r="185" spans="1:25" x14ac:dyDescent="0.25">
      <c r="A185" s="1">
        <v>39356</v>
      </c>
      <c r="B185">
        <v>-0.61598285180000001</v>
      </c>
      <c r="C185">
        <v>0.224134626</v>
      </c>
      <c r="D185">
        <v>-0.29003897507776649</v>
      </c>
      <c r="E185">
        <v>4.9225638502321235E-2</v>
      </c>
      <c r="F185">
        <v>-0.26516761901989105</v>
      </c>
      <c r="G185">
        <v>-0.39397299052701951</v>
      </c>
      <c r="H185" s="2">
        <v>0.11885310077352999</v>
      </c>
      <c r="I185" s="2">
        <v>1.5887758927419782E-3</v>
      </c>
      <c r="J185" s="2">
        <v>-1.5978169394657016E-3</v>
      </c>
      <c r="K185" s="2"/>
      <c r="L185" s="2">
        <v>-1.25248632459854</v>
      </c>
      <c r="M185" s="2">
        <v>1.27823552115252</v>
      </c>
      <c r="N185" s="2">
        <v>0.19964367359766599</v>
      </c>
      <c r="O185" s="2">
        <v>-0.67459999999999998</v>
      </c>
      <c r="P185" s="2">
        <v>-0.62129999999999996</v>
      </c>
      <c r="Q185" s="2">
        <v>0.74409999999999998</v>
      </c>
      <c r="R185">
        <v>739.3</v>
      </c>
      <c r="S185">
        <v>0.73610004164229703</v>
      </c>
      <c r="T185">
        <v>0</v>
      </c>
      <c r="U185">
        <v>0</v>
      </c>
      <c r="V185">
        <v>0</v>
      </c>
      <c r="W185" s="7">
        <v>-0.12707216666666668</v>
      </c>
      <c r="X185" s="7">
        <v>0.38876863333333334</v>
      </c>
      <c r="Y185" s="7">
        <v>-3.9105599999999997E-2</v>
      </c>
    </row>
    <row r="186" spans="1:25" x14ac:dyDescent="0.25">
      <c r="A186" s="1">
        <v>39448</v>
      </c>
      <c r="B186">
        <v>-1.0085784892</v>
      </c>
      <c r="C186">
        <v>1.8347031819999999</v>
      </c>
      <c r="D186">
        <v>0.55707845172520642</v>
      </c>
      <c r="E186">
        <v>1.4043668436222871E-2</v>
      </c>
      <c r="F186">
        <v>0.95779425917922567</v>
      </c>
      <c r="G186">
        <v>-0.4067931015884681</v>
      </c>
      <c r="H186" s="2">
        <v>-0.69302161223651804</v>
      </c>
      <c r="I186" s="2">
        <v>-9.0094693005084991E-2</v>
      </c>
      <c r="J186" s="2">
        <v>-3.308139368891716E-2</v>
      </c>
      <c r="K186" s="2"/>
      <c r="L186" s="2">
        <v>2.5970606930176901E-2</v>
      </c>
      <c r="M186" s="2">
        <v>-5.4196436404507699E-2</v>
      </c>
      <c r="N186" s="2">
        <v>-1.0111584891088301</v>
      </c>
      <c r="O186" s="2">
        <v>-0.76070000000000004</v>
      </c>
      <c r="P186" s="2">
        <v>-3.3487</v>
      </c>
      <c r="Q186" s="2">
        <v>0.73760000000000003</v>
      </c>
      <c r="R186">
        <v>0</v>
      </c>
      <c r="X186" s="7">
        <v>0.77291299999999996</v>
      </c>
      <c r="Y186" s="7">
        <v>-0.1756424</v>
      </c>
    </row>
    <row r="187" spans="1:25" x14ac:dyDescent="0.25">
      <c r="A187" s="1">
        <v>39539</v>
      </c>
      <c r="B187">
        <v>2.5424903108999999</v>
      </c>
      <c r="C187">
        <v>-2.1302949359999999</v>
      </c>
      <c r="D187">
        <v>0</v>
      </c>
      <c r="E187">
        <v>4.4376397227582604E-2</v>
      </c>
      <c r="F187">
        <v>1.0997775156932637</v>
      </c>
      <c r="G187">
        <v>-4.2767370153327024E-2</v>
      </c>
      <c r="H187" s="2">
        <v>0.12477546834255999</v>
      </c>
      <c r="I187" s="2">
        <v>4.1758853942155838E-2</v>
      </c>
      <c r="J187" s="2">
        <v>1.3163681142032146E-2</v>
      </c>
      <c r="K187" s="2"/>
      <c r="L187" s="2">
        <v>-2.84522545635493</v>
      </c>
      <c r="M187" s="2">
        <v>1.0859228381422401</v>
      </c>
      <c r="N187" s="2">
        <v>0.79021337635382405</v>
      </c>
      <c r="O187" s="2">
        <v>0.1515</v>
      </c>
      <c r="P187" s="2">
        <v>-3.02</v>
      </c>
      <c r="Q187" s="2">
        <v>0.1618</v>
      </c>
      <c r="R187">
        <v>0</v>
      </c>
      <c r="X187" s="7">
        <v>-0.4169216</v>
      </c>
      <c r="Y187" s="7">
        <v>-4.8964999999999989E-3</v>
      </c>
    </row>
    <row r="188" spans="1:25" x14ac:dyDescent="0.25">
      <c r="A188" s="1">
        <v>39630</v>
      </c>
      <c r="B188">
        <v>-8.6196586199999994E-2</v>
      </c>
      <c r="C188">
        <v>1.6128654929999999</v>
      </c>
      <c r="D188">
        <v>-0.26441312654368587</v>
      </c>
      <c r="E188">
        <v>-5.4432160176489429E-3</v>
      </c>
      <c r="F188">
        <v>0.24616969182316453</v>
      </c>
      <c r="G188">
        <v>4.5990485737634666E-2</v>
      </c>
      <c r="H188" s="2">
        <v>-0.59605817495424196</v>
      </c>
      <c r="I188" s="2">
        <v>-0.11544431746006012</v>
      </c>
      <c r="J188" s="2">
        <v>-3.658716008067131E-2</v>
      </c>
      <c r="K188" s="2"/>
      <c r="L188" s="2">
        <v>-0.85096717703681601</v>
      </c>
      <c r="M188" s="2">
        <v>6.3112449268236601E-2</v>
      </c>
      <c r="N188" s="2">
        <v>0.31237744782893601</v>
      </c>
      <c r="O188" s="2">
        <v>0.15540000000000001</v>
      </c>
      <c r="P188" s="2">
        <v>-0.85589999999999999</v>
      </c>
      <c r="Q188" s="2">
        <v>0.27489999999999998</v>
      </c>
      <c r="R188">
        <v>0</v>
      </c>
      <c r="Y188" s="7">
        <v>1.4194966666666664E-2</v>
      </c>
    </row>
    <row r="189" spans="1:25" x14ac:dyDescent="0.25">
      <c r="A189" s="1">
        <v>39722</v>
      </c>
      <c r="B189">
        <v>-1.4446997934000001</v>
      </c>
      <c r="C189">
        <v>-0.92606342500000005</v>
      </c>
      <c r="D189">
        <v>-2.5040038081092661</v>
      </c>
      <c r="E189">
        <v>-7.7430508453353433E-2</v>
      </c>
      <c r="F189">
        <v>-0.30590331071103699</v>
      </c>
      <c r="G189">
        <v>2.4574656804925032</v>
      </c>
      <c r="H189" s="2">
        <v>-1.51290427771355</v>
      </c>
      <c r="I189" s="2">
        <v>-0.25802364945411682</v>
      </c>
      <c r="J189" s="2">
        <v>-8.3060652017593384E-2</v>
      </c>
      <c r="K189" s="2"/>
      <c r="L189" s="2">
        <v>2.1390446665785299</v>
      </c>
      <c r="M189" s="2">
        <v>-3.27931792552755</v>
      </c>
      <c r="N189" s="2">
        <v>-1.0024964843661099</v>
      </c>
      <c r="O189" s="2">
        <v>2.6869000000000001</v>
      </c>
      <c r="P189" s="2">
        <v>-10.9236</v>
      </c>
      <c r="Q189" s="2">
        <v>-2.4561000000000002</v>
      </c>
      <c r="R189">
        <v>-243.6</v>
      </c>
      <c r="Y189" s="7">
        <v>-6.1801133333333334E-2</v>
      </c>
    </row>
    <row r="190" spans="1:25" x14ac:dyDescent="0.25">
      <c r="A190" s="1">
        <v>39814</v>
      </c>
      <c r="B190">
        <v>-0.26686110740000002</v>
      </c>
      <c r="C190">
        <v>0.33472236</v>
      </c>
      <c r="D190">
        <v>0.62751867263971584</v>
      </c>
      <c r="E190">
        <v>-9.8318184608369344E-2</v>
      </c>
      <c r="F190">
        <v>1.1947170086351491</v>
      </c>
      <c r="G190">
        <v>0.63830663784493413</v>
      </c>
      <c r="H190" s="2">
        <v>0.55461889726154301</v>
      </c>
      <c r="I190" s="2">
        <v>-6.2964991666376591E-3</v>
      </c>
      <c r="J190" s="2">
        <v>-2.1049375936854631E-4</v>
      </c>
      <c r="K190" s="2"/>
      <c r="L190" s="2">
        <v>-0.85702352107482105</v>
      </c>
      <c r="M190" s="2">
        <v>0.78581836615179101</v>
      </c>
      <c r="N190" s="2">
        <v>-8.6205416599256499E-2</v>
      </c>
      <c r="O190" s="2">
        <v>1.1982999999999999</v>
      </c>
      <c r="P190" s="2">
        <v>-10.677</v>
      </c>
      <c r="Q190" s="2">
        <v>-0.18529999999999999</v>
      </c>
      <c r="R190">
        <v>0</v>
      </c>
      <c r="Y190" s="7">
        <v>-2.41672E-2</v>
      </c>
    </row>
    <row r="191" spans="1:25" x14ac:dyDescent="0.25">
      <c r="A191" s="1">
        <v>39904</v>
      </c>
      <c r="B191">
        <v>1.9368193273000001</v>
      </c>
      <c r="C191">
        <v>-1.873848323</v>
      </c>
      <c r="D191">
        <v>0.96895315608885479</v>
      </c>
      <c r="E191">
        <v>9.2822274967393134E-3</v>
      </c>
      <c r="F191">
        <v>0.92146630778951233</v>
      </c>
      <c r="G191">
        <v>0.29498155119128083</v>
      </c>
      <c r="H191" s="2">
        <v>1.0103266186386399</v>
      </c>
      <c r="I191" s="2">
        <v>8.6709693074226379E-2</v>
      </c>
      <c r="J191" s="2">
        <v>3.0672138556838036E-2</v>
      </c>
      <c r="K191" s="2"/>
      <c r="L191" s="2">
        <v>-1.54035994646304</v>
      </c>
      <c r="M191" s="2">
        <v>-0.13124475117283599</v>
      </c>
      <c r="N191" s="2">
        <v>1.0345904546971501</v>
      </c>
      <c r="O191" s="2"/>
      <c r="P191" s="2"/>
      <c r="Q191" s="2"/>
      <c r="R191">
        <v>0</v>
      </c>
      <c r="Y191" s="7">
        <v>1.6666999999999999E-3</v>
      </c>
    </row>
    <row r="192" spans="1:25" x14ac:dyDescent="0.25">
      <c r="A192" s="1">
        <v>39995</v>
      </c>
      <c r="B192">
        <v>1.7102333399</v>
      </c>
      <c r="C192">
        <v>1.0990145280000001</v>
      </c>
      <c r="D192">
        <v>0.23929982765551253</v>
      </c>
      <c r="E192">
        <v>-1.0780794636748033E-2</v>
      </c>
      <c r="F192">
        <v>0.23848562269949752</v>
      </c>
      <c r="G192">
        <v>-0.17768315058726003</v>
      </c>
      <c r="H192" s="2">
        <v>0.56669922760213698</v>
      </c>
      <c r="I192" s="2">
        <v>3.985036164522171E-2</v>
      </c>
      <c r="J192" s="2">
        <v>1.4629781246185303E-2</v>
      </c>
      <c r="K192" s="2"/>
      <c r="L192" s="2">
        <v>-0.91422346937981303</v>
      </c>
      <c r="M192" s="2">
        <v>0.53960047934334099</v>
      </c>
      <c r="N192" s="2">
        <v>0.64315214001614995</v>
      </c>
      <c r="O192" s="2"/>
      <c r="P192" s="2"/>
      <c r="Q192" s="2"/>
      <c r="R192">
        <v>0</v>
      </c>
      <c r="Y192" s="7">
        <v>-4.4440000000000001E-4</v>
      </c>
    </row>
    <row r="193" spans="1:25" x14ac:dyDescent="0.25">
      <c r="A193" s="1">
        <v>40087</v>
      </c>
      <c r="B193">
        <v>0.1057805648</v>
      </c>
      <c r="C193">
        <v>-0.82170380600000004</v>
      </c>
      <c r="D193">
        <v>0.41470023819192431</v>
      </c>
      <c r="E193">
        <v>1.7245134248270927E-2</v>
      </c>
      <c r="F193">
        <v>-0.76196197782566633</v>
      </c>
      <c r="G193">
        <v>-0.50766846671451338</v>
      </c>
      <c r="H193" s="2">
        <v>-0.38603756576556297</v>
      </c>
      <c r="I193" s="2">
        <v>3.8997270166873932E-2</v>
      </c>
      <c r="J193" s="2">
        <v>1.4411050826311111E-2</v>
      </c>
      <c r="K193" s="2"/>
      <c r="L193" s="2">
        <v>-0.15697193553927</v>
      </c>
      <c r="M193" s="2">
        <v>0.13319396209786999</v>
      </c>
      <c r="N193" s="2">
        <v>0.45110140108469698</v>
      </c>
      <c r="O193" s="2"/>
      <c r="P193" s="2"/>
      <c r="Q193" s="2"/>
      <c r="R193">
        <v>0</v>
      </c>
      <c r="Y193" s="7">
        <v>-8.4789666666666656E-3</v>
      </c>
    </row>
    <row r="194" spans="1:25" x14ac:dyDescent="0.25">
      <c r="A194" s="1">
        <v>40179</v>
      </c>
      <c r="B194">
        <v>-0.70167064260000001</v>
      </c>
      <c r="C194">
        <v>0.25600358299999998</v>
      </c>
      <c r="D194">
        <v>0.5056674791927992</v>
      </c>
      <c r="E194">
        <v>3.7558675774567903E-2</v>
      </c>
      <c r="F194">
        <v>-0.5225530660415959</v>
      </c>
      <c r="G194">
        <v>-8.2689865714205349E-2</v>
      </c>
      <c r="M194" s="2">
        <v>1.13213619993264</v>
      </c>
      <c r="N194" s="2">
        <v>0.50136236859223005</v>
      </c>
      <c r="R194">
        <v>0</v>
      </c>
      <c r="Y194" s="7">
        <v>-7.5561333333333336E-3</v>
      </c>
    </row>
    <row r="195" spans="1:25" x14ac:dyDescent="0.25">
      <c r="A195" s="1">
        <v>40269</v>
      </c>
      <c r="B195">
        <v>-1.1313475334</v>
      </c>
      <c r="C195">
        <v>0.46517311</v>
      </c>
      <c r="D195">
        <v>0</v>
      </c>
      <c r="E195">
        <v>2.053789672725008E-4</v>
      </c>
      <c r="F195">
        <v>0.51698852566648468</v>
      </c>
      <c r="G195">
        <v>-0.5406083900019657</v>
      </c>
      <c r="M195" s="2">
        <v>-0.517269334325827</v>
      </c>
      <c r="N195" s="2">
        <v>3.0837297150363999E-2</v>
      </c>
      <c r="R195">
        <v>0</v>
      </c>
      <c r="Y195" s="7">
        <v>-3.8943333333333322E-4</v>
      </c>
    </row>
    <row r="196" spans="1:25" x14ac:dyDescent="0.25">
      <c r="A196" s="1">
        <v>40360</v>
      </c>
      <c r="B196">
        <v>-0.60867869450000001</v>
      </c>
      <c r="C196">
        <v>0.53491358300000003</v>
      </c>
      <c r="D196">
        <v>0</v>
      </c>
      <c r="E196">
        <v>1.4876610504094981E-2</v>
      </c>
      <c r="F196">
        <v>-0.13319215507240478</v>
      </c>
      <c r="G196">
        <v>-0.38498606927922735</v>
      </c>
      <c r="M196" s="2">
        <v>-0.29319468189777798</v>
      </c>
      <c r="N196" s="2">
        <v>-0.43895998813499798</v>
      </c>
      <c r="R196">
        <v>0</v>
      </c>
      <c r="Y196" s="7">
        <v>2.452233333333333E-3</v>
      </c>
    </row>
    <row r="197" spans="1:25" x14ac:dyDescent="0.25">
      <c r="A197" s="1">
        <v>40452</v>
      </c>
      <c r="B197">
        <v>0.56904311320000001</v>
      </c>
      <c r="C197">
        <v>-0.63722799500000005</v>
      </c>
      <c r="D197">
        <v>0.18515510768729762</v>
      </c>
      <c r="E197">
        <v>4.0259101397657066E-3</v>
      </c>
      <c r="F197">
        <v>-0.1387789929938037</v>
      </c>
      <c r="G197">
        <v>-0.58873724064311039</v>
      </c>
      <c r="M197" s="2">
        <v>0.72965194663393396</v>
      </c>
      <c r="N197" s="2">
        <v>-0.741431402273801</v>
      </c>
      <c r="R197">
        <v>-97.8</v>
      </c>
      <c r="Y197" s="7">
        <v>2.7766333333333333E-3</v>
      </c>
    </row>
    <row r="198" spans="1:25" x14ac:dyDescent="0.25">
      <c r="A198" s="1">
        <v>40544</v>
      </c>
      <c r="B198">
        <v>0.74021514160000002</v>
      </c>
      <c r="C198">
        <v>-9.3985157E-2</v>
      </c>
      <c r="D198">
        <v>0</v>
      </c>
      <c r="E198">
        <v>-3.7957804547020246E-4</v>
      </c>
      <c r="F198">
        <v>1.0323956447084679</v>
      </c>
      <c r="G198">
        <v>-1.2874465208034935</v>
      </c>
      <c r="M198" s="2">
        <v>0.26338606159054301</v>
      </c>
      <c r="N198" s="2">
        <v>-1.0904199381861699</v>
      </c>
      <c r="R198">
        <v>0</v>
      </c>
      <c r="Y198" s="7">
        <v>-1.6665333333333334E-3</v>
      </c>
    </row>
    <row r="199" spans="1:25" x14ac:dyDescent="0.25">
      <c r="A199" s="1">
        <v>40634</v>
      </c>
      <c r="B199">
        <v>-1.32768342E-2</v>
      </c>
      <c r="C199">
        <v>0.481890394</v>
      </c>
      <c r="D199">
        <v>0.49976669209415897</v>
      </c>
      <c r="E199">
        <v>-1.4704361079624436E-2</v>
      </c>
      <c r="F199">
        <v>-0.48034771189247233</v>
      </c>
      <c r="G199">
        <v>-0.13831104880651432</v>
      </c>
      <c r="M199" s="2">
        <v>-0.92752366162240696</v>
      </c>
      <c r="N199" s="2">
        <v>-0.66528642730528498</v>
      </c>
      <c r="R199">
        <v>0</v>
      </c>
      <c r="Y199" s="7">
        <v>0</v>
      </c>
    </row>
    <row r="200" spans="1:25" x14ac:dyDescent="0.25">
      <c r="A200" s="1">
        <v>40725</v>
      </c>
      <c r="B200">
        <v>-0.60267745179999999</v>
      </c>
      <c r="C200">
        <v>-0.90472806100000003</v>
      </c>
      <c r="D200">
        <v>0</v>
      </c>
      <c r="E200">
        <v>-2.9076542385208057E-2</v>
      </c>
      <c r="F200">
        <v>0.36090692840166005</v>
      </c>
      <c r="G200">
        <v>-0.35279415492624616</v>
      </c>
      <c r="M200" s="2">
        <v>0.303153611876398</v>
      </c>
      <c r="N200" s="2">
        <v>-0.35917248737260998</v>
      </c>
      <c r="R200">
        <v>-389</v>
      </c>
      <c r="Y200" s="7">
        <v>-1.4200333333333334E-3</v>
      </c>
    </row>
    <row r="201" spans="1:25" x14ac:dyDescent="0.25">
      <c r="A201" s="1">
        <v>40817</v>
      </c>
      <c r="B201">
        <v>-4.39913532E-2</v>
      </c>
      <c r="C201">
        <v>1.018366852</v>
      </c>
      <c r="D201">
        <v>-1.6520116038110781</v>
      </c>
      <c r="E201">
        <v>4.1024747602266966E-2</v>
      </c>
      <c r="F201">
        <v>-0.3153809091820623</v>
      </c>
      <c r="G201">
        <v>4.1580128629761348E-2</v>
      </c>
      <c r="M201" s="2">
        <v>-0.17651546464782999</v>
      </c>
      <c r="N201" s="2">
        <v>0.50926728001902499</v>
      </c>
      <c r="R201">
        <v>-48.6</v>
      </c>
      <c r="Y201" s="7">
        <v>2.7338666666666665E-3</v>
      </c>
    </row>
    <row r="202" spans="1:25" x14ac:dyDescent="0.25">
      <c r="A202" s="1">
        <v>40909</v>
      </c>
      <c r="B202">
        <v>1.3675345380999999</v>
      </c>
      <c r="C202">
        <v>1.72769E-3</v>
      </c>
      <c r="D202">
        <v>0</v>
      </c>
      <c r="E202">
        <v>2.4408491745371796E-2</v>
      </c>
      <c r="F202">
        <v>0.78720256926820864</v>
      </c>
      <c r="G202">
        <v>-9.4556758096017809E-2</v>
      </c>
      <c r="M202" s="2">
        <v>-0.20962418419647399</v>
      </c>
      <c r="N202" s="2">
        <v>0.17913000061148501</v>
      </c>
      <c r="R202">
        <v>0</v>
      </c>
      <c r="Y202" s="7">
        <v>-1.1105666666666666E-3</v>
      </c>
    </row>
    <row r="203" spans="1:25" x14ac:dyDescent="0.25">
      <c r="A203" s="1">
        <v>41000</v>
      </c>
      <c r="B203">
        <v>0.1456148589</v>
      </c>
      <c r="C203">
        <v>-1.2522382219999999</v>
      </c>
      <c r="D203">
        <v>0.48445645354844097</v>
      </c>
      <c r="E203">
        <v>-1.0754616112297265E-2</v>
      </c>
      <c r="F203">
        <v>-0.36796911001361349</v>
      </c>
      <c r="G203">
        <v>0.90403521789336405</v>
      </c>
      <c r="R203">
        <v>0</v>
      </c>
      <c r="Y203" s="7">
        <v>9.1790000000000003E-4</v>
      </c>
    </row>
    <row r="204" spans="1:25" x14ac:dyDescent="0.25">
      <c r="A204" s="1">
        <v>41091</v>
      </c>
      <c r="B204">
        <v>0.40753453309999998</v>
      </c>
      <c r="C204">
        <v>-0.531205394</v>
      </c>
      <c r="D204">
        <v>0</v>
      </c>
      <c r="E204">
        <v>1.8050447202361375E-2</v>
      </c>
      <c r="F204">
        <v>0.35286080781266388</v>
      </c>
      <c r="G204">
        <v>-0.16172369495126676</v>
      </c>
      <c r="R204">
        <v>0</v>
      </c>
    </row>
    <row r="205" spans="1:25" x14ac:dyDescent="0.25">
      <c r="A205" s="1">
        <v>41183</v>
      </c>
      <c r="B205">
        <v>-2.0942040662000001</v>
      </c>
      <c r="C205">
        <v>-1.028812397</v>
      </c>
      <c r="D205">
        <v>0.31892335242209829</v>
      </c>
      <c r="E205">
        <v>-1.6779757888241268E-3</v>
      </c>
      <c r="F205">
        <v>-0.2583057464683492</v>
      </c>
      <c r="G205">
        <v>0.26750749243917454</v>
      </c>
      <c r="R205">
        <v>0</v>
      </c>
    </row>
    <row r="206" spans="1:25" x14ac:dyDescent="0.25">
      <c r="A206" s="1">
        <v>41275</v>
      </c>
      <c r="B206">
        <v>0.55773856710000003</v>
      </c>
      <c r="C206">
        <v>0.27429653399999998</v>
      </c>
      <c r="D206">
        <v>0</v>
      </c>
      <c r="E206">
        <v>2.3220598259357506E-2</v>
      </c>
      <c r="F206">
        <v>-0.37173817602230053</v>
      </c>
      <c r="G206">
        <v>-0.54933803896848055</v>
      </c>
      <c r="R206">
        <v>-486.5</v>
      </c>
    </row>
    <row r="207" spans="1:25" x14ac:dyDescent="0.25">
      <c r="A207" s="1">
        <v>41365</v>
      </c>
      <c r="B207">
        <v>1.4679523837999999</v>
      </c>
      <c r="C207">
        <v>1.1016550629999999</v>
      </c>
      <c r="D207">
        <v>-0.46633785668361316</v>
      </c>
      <c r="E207">
        <v>3.1223924797011356E-2</v>
      </c>
      <c r="F207">
        <v>0.15759945719001742</v>
      </c>
      <c r="G207">
        <v>0.4796993356006653</v>
      </c>
      <c r="R207">
        <v>0</v>
      </c>
    </row>
    <row r="208" spans="1:25" x14ac:dyDescent="0.25">
      <c r="A208" s="1">
        <v>41456</v>
      </c>
      <c r="B208">
        <v>0.5221701218</v>
      </c>
      <c r="C208">
        <v>-1.109282455</v>
      </c>
      <c r="D208">
        <v>0</v>
      </c>
      <c r="E208">
        <v>4.3497924335977566E-2</v>
      </c>
      <c r="F208">
        <v>9.8739846315764157E-2</v>
      </c>
      <c r="G208">
        <v>-0.65120908375676334</v>
      </c>
      <c r="R208">
        <v>0</v>
      </c>
    </row>
    <row r="209" spans="1:18" x14ac:dyDescent="0.25">
      <c r="A209" s="1">
        <v>41548</v>
      </c>
      <c r="B209">
        <v>1.3240182193000001</v>
      </c>
      <c r="C209">
        <v>-0.90608637999999997</v>
      </c>
      <c r="D209">
        <v>0.32295429255519165</v>
      </c>
      <c r="E209">
        <v>1.8513299124035768E-2</v>
      </c>
      <c r="F209">
        <v>0.60601099007819048</v>
      </c>
      <c r="G209">
        <v>0.24557001344478024</v>
      </c>
      <c r="R209">
        <v>0</v>
      </c>
    </row>
    <row r="210" spans="1:18" x14ac:dyDescent="0.25">
      <c r="A210" s="1">
        <v>41640</v>
      </c>
      <c r="B210">
        <v>-1.3269268565000001</v>
      </c>
      <c r="C210">
        <v>-0.103665859</v>
      </c>
      <c r="D210">
        <v>0</v>
      </c>
      <c r="E210">
        <v>3.5319374849521468E-2</v>
      </c>
      <c r="F210">
        <v>5.2358562418315525E-2</v>
      </c>
      <c r="G210">
        <v>-7.9680457177376332E-2</v>
      </c>
    </row>
    <row r="211" spans="1:18" x14ac:dyDescent="0.25">
      <c r="A211" s="1">
        <v>41730</v>
      </c>
      <c r="B211">
        <v>0.92121555990000004</v>
      </c>
      <c r="C211">
        <v>0.38948264599999999</v>
      </c>
      <c r="D211">
        <v>0.13026427375185631</v>
      </c>
      <c r="E211">
        <v>3.8619547001354365E-2</v>
      </c>
      <c r="F211">
        <v>0.33559359163109809</v>
      </c>
      <c r="G211">
        <v>0.20165031494383101</v>
      </c>
    </row>
    <row r="212" spans="1:18" x14ac:dyDescent="0.25">
      <c r="A212" s="1">
        <v>41821</v>
      </c>
      <c r="B212">
        <v>0.55361641569999998</v>
      </c>
      <c r="C212">
        <v>8.7106740000000002E-2</v>
      </c>
      <c r="D212">
        <v>0</v>
      </c>
      <c r="E212">
        <v>1.8011638455990086E-2</v>
      </c>
      <c r="F212">
        <v>-0.20470292784308733</v>
      </c>
      <c r="G212">
        <v>0.49610543811460311</v>
      </c>
    </row>
    <row r="213" spans="1:18" x14ac:dyDescent="0.25">
      <c r="A213" s="1">
        <v>41913</v>
      </c>
      <c r="B213">
        <v>-1.0859401205999999</v>
      </c>
      <c r="C213">
        <v>8.0701990000000001E-3</v>
      </c>
      <c r="D213">
        <v>-3.2790051092113033</v>
      </c>
      <c r="E213">
        <v>-2.485003093009093E-3</v>
      </c>
      <c r="F213">
        <v>-1.2077065501575532</v>
      </c>
      <c r="G213">
        <v>1.4492014041741978</v>
      </c>
    </row>
    <row r="214" spans="1:18" x14ac:dyDescent="0.25">
      <c r="A214" s="1">
        <v>42005</v>
      </c>
      <c r="B214">
        <v>0.3913054997</v>
      </c>
      <c r="C214">
        <v>-0.215588697</v>
      </c>
      <c r="D214">
        <v>0</v>
      </c>
      <c r="E214">
        <v>-2.6883353617663534E-2</v>
      </c>
      <c r="F214">
        <v>-0.21759955494867733</v>
      </c>
      <c r="G214">
        <v>0.73487539829692172</v>
      </c>
    </row>
    <row r="215" spans="1:18" x14ac:dyDescent="0.25">
      <c r="A215" s="1">
        <v>42095</v>
      </c>
      <c r="B215">
        <v>0.27640798680000001</v>
      </c>
      <c r="C215">
        <v>-1.267413498</v>
      </c>
      <c r="D215">
        <v>0.78952300949088894</v>
      </c>
      <c r="E215">
        <v>2.8221428387813847E-2</v>
      </c>
      <c r="F215">
        <v>-0.38435091400298227</v>
      </c>
      <c r="G215">
        <v>0.47344676986719203</v>
      </c>
    </row>
    <row r="216" spans="1:18" x14ac:dyDescent="0.25">
      <c r="A216" s="1">
        <v>42186</v>
      </c>
      <c r="B216">
        <v>-0.25885617649999998</v>
      </c>
      <c r="C216">
        <v>0.113143984</v>
      </c>
      <c r="D216">
        <v>0</v>
      </c>
      <c r="E216">
        <v>-2.8698149101492699E-2</v>
      </c>
      <c r="F216">
        <v>0.41999854096193029</v>
      </c>
      <c r="G216">
        <v>0.51306732749605632</v>
      </c>
    </row>
    <row r="217" spans="1:18" x14ac:dyDescent="0.25">
      <c r="A217" s="1">
        <v>42278</v>
      </c>
      <c r="B217">
        <v>0.38726123769999998</v>
      </c>
      <c r="C217">
        <v>0.40463230700000002</v>
      </c>
      <c r="D217">
        <v>-0.66841110958348626</v>
      </c>
      <c r="E217">
        <v>-1.0613079490332911E-2</v>
      </c>
      <c r="F217">
        <v>-0.86230765980790602</v>
      </c>
      <c r="G217">
        <v>0.74314279388745985</v>
      </c>
    </row>
    <row r="218" spans="1:18" x14ac:dyDescent="0.25">
      <c r="A218" s="1">
        <v>42370</v>
      </c>
      <c r="B218">
        <v>-0.26330304869999999</v>
      </c>
      <c r="C218">
        <v>0.75080539199999996</v>
      </c>
      <c r="D218">
        <v>0</v>
      </c>
      <c r="E218">
        <v>-3.9483628666694102E-2</v>
      </c>
      <c r="F218">
        <v>1.0166178149798011</v>
      </c>
      <c r="G218">
        <v>-0.1793546054496673</v>
      </c>
    </row>
    <row r="219" spans="1:18" x14ac:dyDescent="0.25">
      <c r="A219" s="1">
        <v>42461</v>
      </c>
      <c r="B219">
        <v>0.85496632650000004</v>
      </c>
      <c r="C219">
        <v>-1.1408511859999999</v>
      </c>
      <c r="D219">
        <v>0.18163170543752302</v>
      </c>
      <c r="E219">
        <v>2.1520560929826616E-2</v>
      </c>
      <c r="F219">
        <v>-0.18075693190657627</v>
      </c>
      <c r="G219">
        <v>-0.58783437352315482</v>
      </c>
    </row>
    <row r="220" spans="1:18" x14ac:dyDescent="0.25">
      <c r="A220" s="1">
        <v>42552</v>
      </c>
      <c r="B220">
        <v>0.32005070260000001</v>
      </c>
      <c r="C220">
        <v>0.69954846699999995</v>
      </c>
      <c r="D220">
        <v>0.47841431678172835</v>
      </c>
      <c r="E220">
        <v>-2.2308830940261423E-2</v>
      </c>
      <c r="F220">
        <v>0.23260383975060472</v>
      </c>
      <c r="G220">
        <v>8.1254965672982113E-2</v>
      </c>
    </row>
    <row r="221" spans="1:18" x14ac:dyDescent="0.25">
      <c r="A221" s="1">
        <v>42644</v>
      </c>
      <c r="B221">
        <v>-5.3893732999999999E-3</v>
      </c>
      <c r="C221">
        <v>0.40403334899999999</v>
      </c>
      <c r="D221">
        <v>3.2938530468579237</v>
      </c>
      <c r="E221">
        <v>-3.4227788392217483E-2</v>
      </c>
      <c r="F221">
        <v>0.65933688327668749</v>
      </c>
      <c r="G221">
        <v>-2.3049472890497968E-2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1BD4-FC9E-4C55-9287-913206B4578D}">
  <dimension ref="A1:AT276"/>
  <sheetViews>
    <sheetView workbookViewId="0">
      <pane xSplit="1" ySplit="1" topLeftCell="X241" activePane="bottomRight" state="frozen"/>
      <selection pane="topRight" activeCell="B1" sqref="B1"/>
      <selection pane="bottomLeft" activeCell="A2" sqref="A2"/>
      <selection pane="bottomRight" activeCell="AD1" sqref="AD1:AE1"/>
    </sheetView>
  </sheetViews>
  <sheetFormatPr baseColWidth="10" defaultRowHeight="15" x14ac:dyDescent="0.25"/>
  <sheetData>
    <row r="1" spans="1:46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</row>
    <row r="2" spans="1:46" hidden="1" x14ac:dyDescent="0.25">
      <c r="A2" s="2">
        <v>1947</v>
      </c>
      <c r="B2" s="2">
        <v>243.1</v>
      </c>
      <c r="C2" s="2">
        <v>1934.5853891453125</v>
      </c>
      <c r="D2" s="2">
        <v>12.566000000000001</v>
      </c>
      <c r="E2" s="2">
        <v>156.30000000000001</v>
      </c>
      <c r="F2" s="2">
        <v>35.9</v>
      </c>
      <c r="G2" s="2">
        <v>1199.5395241749811</v>
      </c>
      <c r="H2" s="2">
        <v>132.46448029056725</v>
      </c>
      <c r="I2" s="2">
        <v>122.24350052862738</v>
      </c>
      <c r="J2" s="2">
        <v>12.205</v>
      </c>
      <c r="K2" s="2">
        <v>21.478999999999999</v>
      </c>
      <c r="L2" s="2">
        <v>56.822000000000003</v>
      </c>
      <c r="M2" s="2">
        <v>0</v>
      </c>
      <c r="N2" s="2">
        <v>0</v>
      </c>
      <c r="O2" s="2">
        <v>0</v>
      </c>
      <c r="P2" s="2">
        <v>0</v>
      </c>
      <c r="Q2" s="2">
        <v>12.043347659015168</v>
      </c>
      <c r="R2" s="2">
        <v>142985.578125</v>
      </c>
      <c r="S2" s="2">
        <v>101203.33590000001</v>
      </c>
      <c r="T2" s="2">
        <v>3.13</v>
      </c>
      <c r="U2" s="2"/>
      <c r="V2" s="2">
        <v>0.38</v>
      </c>
      <c r="W2" s="2">
        <v>15.39</v>
      </c>
      <c r="X2" s="2">
        <v>3.2017581462860107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idden="1" x14ac:dyDescent="0.25">
      <c r="A3" s="2">
        <v>1947.25</v>
      </c>
      <c r="B3" s="2">
        <v>246.3</v>
      </c>
      <c r="C3" s="2">
        <v>1932.5225578658299</v>
      </c>
      <c r="D3" s="2">
        <v>12.744999999999999</v>
      </c>
      <c r="E3" s="2">
        <v>160.19999999999999</v>
      </c>
      <c r="F3" s="2">
        <v>34.5</v>
      </c>
      <c r="G3" s="2">
        <v>1219.6421773886561</v>
      </c>
      <c r="H3" s="2">
        <v>130.6511820821236</v>
      </c>
      <c r="I3" s="2">
        <v>121.19525272094127</v>
      </c>
      <c r="J3" s="2">
        <v>12.244999999999999</v>
      </c>
      <c r="K3" s="2">
        <v>21.581</v>
      </c>
      <c r="L3" s="2">
        <v>56.74</v>
      </c>
      <c r="M3" s="2">
        <v>-1.4963189057307202E-4</v>
      </c>
      <c r="N3" s="2">
        <v>-9.465941029509874E-3</v>
      </c>
      <c r="O3" s="2">
        <v>-3.0573464663582297E-3</v>
      </c>
      <c r="P3" s="2">
        <v>-1.0397956549566713E-2</v>
      </c>
      <c r="Q3" s="2">
        <v>12.43607041218592</v>
      </c>
      <c r="R3" s="2">
        <v>143669.828125</v>
      </c>
      <c r="S3" s="2">
        <v>101662</v>
      </c>
      <c r="T3" s="2">
        <v>3.18</v>
      </c>
      <c r="U3" s="2"/>
      <c r="V3" s="2">
        <v>0.38</v>
      </c>
      <c r="W3" s="2">
        <v>14.593333333333334</v>
      </c>
      <c r="X3" s="2">
        <v>3.0387825965881348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idden="1" x14ac:dyDescent="0.25">
      <c r="A4" s="2">
        <v>1947.5</v>
      </c>
      <c r="B4" s="2">
        <v>250.1</v>
      </c>
      <c r="C4" s="2">
        <v>1930.2307632939724</v>
      </c>
      <c r="D4" s="2">
        <v>12.957000000000001</v>
      </c>
      <c r="E4" s="2">
        <v>163.69999999999999</v>
      </c>
      <c r="F4" s="2">
        <v>34.9</v>
      </c>
      <c r="G4" s="2">
        <v>1223.4678624813153</v>
      </c>
      <c r="H4" s="2">
        <v>128.30226802040713</v>
      </c>
      <c r="I4" s="2">
        <v>122.14460067818699</v>
      </c>
      <c r="J4" s="2">
        <v>12.23</v>
      </c>
      <c r="K4" s="2">
        <v>21.388000000000002</v>
      </c>
      <c r="L4" s="2">
        <v>57.182000000000002</v>
      </c>
      <c r="M4" s="2">
        <v>-8.8909321858140333E-3</v>
      </c>
      <c r="N4" s="2">
        <v>-7.2494257796683215E-3</v>
      </c>
      <c r="O4" s="2">
        <v>1.4419369702623032E-3</v>
      </c>
      <c r="P4" s="2">
        <v>1.4833493611755901E-2</v>
      </c>
      <c r="Q4" s="2">
        <v>12.419780189210899</v>
      </c>
      <c r="R4" s="2">
        <v>144334.75</v>
      </c>
      <c r="S4" s="2">
        <v>102060</v>
      </c>
      <c r="T4" s="2">
        <v>3.19</v>
      </c>
      <c r="U4" s="2"/>
      <c r="V4" s="2">
        <v>0.74</v>
      </c>
      <c r="W4" s="2">
        <v>15.43</v>
      </c>
      <c r="X4" s="2">
        <v>3.223299503326416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idden="1" x14ac:dyDescent="0.25">
      <c r="A5" s="2">
        <v>1947.75</v>
      </c>
      <c r="B5" s="2">
        <v>260.3</v>
      </c>
      <c r="C5" s="2">
        <v>1960.6809279903587</v>
      </c>
      <c r="D5" s="2">
        <v>13.276</v>
      </c>
      <c r="E5" s="2">
        <v>167.8</v>
      </c>
      <c r="F5" s="2">
        <v>43.2</v>
      </c>
      <c r="G5" s="2">
        <v>1223.6563844527093</v>
      </c>
      <c r="H5" s="2">
        <v>131.4810220788886</v>
      </c>
      <c r="I5" s="2">
        <v>122.9164862646482</v>
      </c>
      <c r="J5" s="2">
        <v>12.484</v>
      </c>
      <c r="K5" s="2">
        <v>21.667000000000002</v>
      </c>
      <c r="L5" s="2">
        <v>57.619</v>
      </c>
      <c r="M5" s="2">
        <v>-1.3720889515947817E-3</v>
      </c>
      <c r="N5" s="2">
        <v>1.0933041875274501E-2</v>
      </c>
      <c r="O5" s="2">
        <v>-3.8368736296843509E-3</v>
      </c>
      <c r="P5" s="2">
        <v>1.8250516112374923E-4</v>
      </c>
      <c r="Q5" s="2">
        <v>12.151655448971928</v>
      </c>
      <c r="R5" s="2">
        <v>144961</v>
      </c>
      <c r="S5" s="2">
        <v>102386.33590000001</v>
      </c>
      <c r="T5" s="2">
        <v>3.44</v>
      </c>
      <c r="U5" s="2"/>
      <c r="V5" s="2">
        <v>0.91</v>
      </c>
      <c r="W5" s="2">
        <v>15.25</v>
      </c>
      <c r="X5" s="2">
        <v>3.2665114402770996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idden="1" x14ac:dyDescent="0.25">
      <c r="A6" s="2">
        <v>1948</v>
      </c>
      <c r="B6" s="2">
        <v>266.2</v>
      </c>
      <c r="C6" s="2">
        <v>1989.6853277524478</v>
      </c>
      <c r="D6" s="2">
        <v>13.379</v>
      </c>
      <c r="E6" s="2">
        <v>170.5</v>
      </c>
      <c r="F6" s="2">
        <v>47.2</v>
      </c>
      <c r="G6" s="2">
        <v>1229.7151099891814</v>
      </c>
      <c r="H6" s="2">
        <v>139.17678412792418</v>
      </c>
      <c r="I6" s="2">
        <v>121.87289296292272</v>
      </c>
      <c r="J6" s="2">
        <v>12.702</v>
      </c>
      <c r="K6" s="2">
        <v>22.158999999999999</v>
      </c>
      <c r="L6" s="2">
        <v>57.323</v>
      </c>
      <c r="M6" s="2">
        <v>2.2388729265826402E-2</v>
      </c>
      <c r="N6" s="2">
        <v>4.4516031275415674E-2</v>
      </c>
      <c r="O6" s="2">
        <v>2.5753745367927277E-2</v>
      </c>
      <c r="P6" s="2">
        <v>4.9414403793203721E-2</v>
      </c>
      <c r="Q6" s="2">
        <v>11.873177400713441</v>
      </c>
      <c r="R6" s="2">
        <v>145587.25</v>
      </c>
      <c r="S6" s="2">
        <v>102691</v>
      </c>
      <c r="T6" s="2">
        <v>3.53</v>
      </c>
      <c r="U6" s="2"/>
      <c r="V6" s="2">
        <v>0.99</v>
      </c>
      <c r="W6" s="2">
        <v>14.410000000000002</v>
      </c>
      <c r="X6" s="2">
        <v>3.1751828193664551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idden="1" x14ac:dyDescent="0.25">
      <c r="A7" s="2">
        <v>1948.25</v>
      </c>
      <c r="B7" s="2">
        <v>272.89999999999998</v>
      </c>
      <c r="C7" s="2">
        <v>2021.9307994369117</v>
      </c>
      <c r="D7" s="2">
        <v>13.497</v>
      </c>
      <c r="E7" s="2">
        <v>174.3</v>
      </c>
      <c r="F7" s="2">
        <v>50.3</v>
      </c>
      <c r="G7" s="2">
        <v>1244.2889777270132</v>
      </c>
      <c r="H7" s="2">
        <v>134.44732545856141</v>
      </c>
      <c r="I7" s="2">
        <v>122.13539024868194</v>
      </c>
      <c r="J7" s="2">
        <v>12.967000000000001</v>
      </c>
      <c r="K7" s="2">
        <v>22.611999999999998</v>
      </c>
      <c r="L7" s="2">
        <v>57.344999999999999</v>
      </c>
      <c r="M7" s="2">
        <v>4.2187361492454334E-2</v>
      </c>
      <c r="N7" s="2">
        <v>5.5890969102887926E-2</v>
      </c>
      <c r="O7" s="2">
        <v>4.7065131589086942E-2</v>
      </c>
      <c r="P7" s="2">
        <v>8.0314353915860698E-2</v>
      </c>
      <c r="Q7" s="2">
        <v>12.050998410041091</v>
      </c>
      <c r="R7" s="2">
        <v>146213.5</v>
      </c>
      <c r="S7" s="2">
        <v>102915</v>
      </c>
      <c r="T7" s="2">
        <v>3.4</v>
      </c>
      <c r="U7" s="2"/>
      <c r="V7" s="2">
        <v>1</v>
      </c>
      <c r="W7" s="2">
        <v>16.123333333333331</v>
      </c>
      <c r="X7" s="2">
        <v>3.5861334800720215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idden="1" x14ac:dyDescent="0.25">
      <c r="A8" s="2">
        <v>1948.5</v>
      </c>
      <c r="B8" s="2">
        <v>279.5</v>
      </c>
      <c r="C8" s="2">
        <v>2033.170873645159</v>
      </c>
      <c r="D8" s="2">
        <v>13.747</v>
      </c>
      <c r="E8" s="2">
        <v>177.2</v>
      </c>
      <c r="F8" s="2">
        <v>52.5</v>
      </c>
      <c r="G8" s="2">
        <v>1245.8693665190185</v>
      </c>
      <c r="H8" s="2">
        <v>135.09749303621172</v>
      </c>
      <c r="I8" s="2">
        <v>123.49131912678176</v>
      </c>
      <c r="J8" s="2">
        <v>13.025</v>
      </c>
      <c r="K8" s="2">
        <v>22.506</v>
      </c>
      <c r="L8" s="2">
        <v>57.872</v>
      </c>
      <c r="M8" s="2">
        <v>3.3256219733413535E-2</v>
      </c>
      <c r="N8" s="2">
        <v>2.8670422577125713E-2</v>
      </c>
      <c r="O8" s="2">
        <v>5.0259540215617987E-2</v>
      </c>
      <c r="P8" s="2">
        <v>5.3992663114820136E-2</v>
      </c>
      <c r="Q8" s="2">
        <v>12.370737531364087</v>
      </c>
      <c r="R8" s="2">
        <v>146844.078125</v>
      </c>
      <c r="S8" s="2">
        <v>103249</v>
      </c>
      <c r="T8" s="2">
        <v>3.42</v>
      </c>
      <c r="U8" s="2"/>
      <c r="V8" s="2">
        <v>1.05</v>
      </c>
      <c r="W8" s="2">
        <v>16.04</v>
      </c>
      <c r="X8" s="2">
        <v>3.4598464965820313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idden="1" x14ac:dyDescent="0.25">
      <c r="A9" s="2">
        <v>1948.75</v>
      </c>
      <c r="B9" s="2">
        <v>280.7</v>
      </c>
      <c r="C9" s="2">
        <v>2035.6806149829574</v>
      </c>
      <c r="D9" s="2">
        <v>13.789</v>
      </c>
      <c r="E9" s="2">
        <v>178.1</v>
      </c>
      <c r="F9" s="2">
        <v>51.3</v>
      </c>
      <c r="G9" s="2">
        <v>1256.0829395585019</v>
      </c>
      <c r="H9" s="2">
        <v>138.32272248431275</v>
      </c>
      <c r="I9" s="2">
        <v>123.02656833038415</v>
      </c>
      <c r="J9" s="2">
        <v>13.010999999999999</v>
      </c>
      <c r="K9" s="2">
        <v>22.626999999999999</v>
      </c>
      <c r="L9" s="2">
        <v>57.503</v>
      </c>
      <c r="M9" s="2">
        <v>3.4510930745916914E-2</v>
      </c>
      <c r="N9" s="2">
        <v>2.0531395235479755E-2</v>
      </c>
      <c r="O9" s="2">
        <v>5.6919079185314796E-2</v>
      </c>
      <c r="P9" s="2">
        <v>4.4451899291906752E-2</v>
      </c>
      <c r="Q9" s="2">
        <v>12.638234537563429</v>
      </c>
      <c r="R9" s="2">
        <v>147483.328125</v>
      </c>
      <c r="S9" s="2">
        <v>103418</v>
      </c>
      <c r="T9" s="2">
        <v>3.52</v>
      </c>
      <c r="U9" s="2"/>
      <c r="V9" s="2">
        <v>1.1399999999999999</v>
      </c>
      <c r="W9" s="2">
        <v>15.556666666666667</v>
      </c>
      <c r="X9" s="2">
        <v>3.412933349609375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hidden="1" x14ac:dyDescent="0.25">
      <c r="A10" s="2">
        <v>1949</v>
      </c>
      <c r="B10" s="2">
        <v>275.39999999999998</v>
      </c>
      <c r="C10" s="2">
        <v>2007.7276372384629</v>
      </c>
      <c r="D10" s="2">
        <v>13.717000000000001</v>
      </c>
      <c r="E10" s="2">
        <v>177</v>
      </c>
      <c r="F10" s="2">
        <v>43.1</v>
      </c>
      <c r="G10" s="2">
        <v>1258.0851517520789</v>
      </c>
      <c r="H10" s="2">
        <v>131.74259523699848</v>
      </c>
      <c r="I10" s="2">
        <v>121.61519347361926</v>
      </c>
      <c r="J10" s="2">
        <v>12.784000000000001</v>
      </c>
      <c r="K10" s="2">
        <v>22.547000000000001</v>
      </c>
      <c r="L10" s="2">
        <v>56.698</v>
      </c>
      <c r="M10" s="2">
        <v>1.9100973796446999E-2</v>
      </c>
      <c r="N10" s="2">
        <v>4.8594515779746064E-4</v>
      </c>
      <c r="O10" s="2">
        <v>5.1745600295043298E-2</v>
      </c>
      <c r="P10" s="2">
        <v>4.5478042366219065E-2</v>
      </c>
      <c r="Q10" s="2">
        <v>12.744965815726987</v>
      </c>
      <c r="R10" s="2">
        <v>148122.578125</v>
      </c>
      <c r="S10" s="2">
        <v>103584</v>
      </c>
      <c r="T10" s="2">
        <v>3.46</v>
      </c>
      <c r="U10" s="2"/>
      <c r="V10" s="2">
        <v>1.17</v>
      </c>
      <c r="W10" s="2">
        <v>15.013333333333334</v>
      </c>
      <c r="X10" s="2">
        <v>3.366119384765625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hidden="1" x14ac:dyDescent="0.25">
      <c r="A11" s="2">
        <v>1949.25</v>
      </c>
      <c r="B11" s="2">
        <v>271.7</v>
      </c>
      <c r="C11" s="2">
        <v>2000.8837175049707</v>
      </c>
      <c r="D11" s="2">
        <v>13.579000000000001</v>
      </c>
      <c r="E11" s="2">
        <v>178.6</v>
      </c>
      <c r="F11" s="2">
        <v>36.200000000000003</v>
      </c>
      <c r="G11" s="2">
        <v>1277.2652506615175</v>
      </c>
      <c r="H11" s="2">
        <v>126.8801328781028</v>
      </c>
      <c r="I11" s="2">
        <v>120.77850911356764</v>
      </c>
      <c r="J11" s="2">
        <v>12.718999999999999</v>
      </c>
      <c r="K11" s="2">
        <v>22.638000000000002</v>
      </c>
      <c r="L11" s="2">
        <v>56.183999999999997</v>
      </c>
      <c r="M11" s="2">
        <v>1.7396444633496922E-2</v>
      </c>
      <c r="N11" s="2">
        <v>-6.8413836167094677E-3</v>
      </c>
      <c r="O11" s="2">
        <v>6.7379504846048099E-2</v>
      </c>
      <c r="P11" s="2">
        <v>6.9588699163278533E-2</v>
      </c>
      <c r="Q11" s="2">
        <v>12.851564693944448</v>
      </c>
      <c r="R11" s="2">
        <v>148761.828125</v>
      </c>
      <c r="S11" s="2">
        <v>103838</v>
      </c>
      <c r="T11" s="2">
        <v>3.46</v>
      </c>
      <c r="U11" s="2"/>
      <c r="V11" s="2">
        <v>1.17</v>
      </c>
      <c r="W11" s="2">
        <v>14.546666666666667</v>
      </c>
      <c r="X11" s="2">
        <v>3.3023715019226074</v>
      </c>
      <c r="Y11" s="2">
        <v>0.94966965835487405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hidden="1" x14ac:dyDescent="0.25">
      <c r="A12" s="2">
        <v>1949.5</v>
      </c>
      <c r="B12" s="2">
        <v>273.3</v>
      </c>
      <c r="C12" s="2">
        <v>2023.0957139684654</v>
      </c>
      <c r="D12" s="2">
        <v>13.509</v>
      </c>
      <c r="E12" s="2">
        <v>177.9</v>
      </c>
      <c r="F12" s="2">
        <v>39.5</v>
      </c>
      <c r="G12" s="2">
        <v>1279.6719896417783</v>
      </c>
      <c r="H12" s="2">
        <v>120.92290585618977</v>
      </c>
      <c r="I12" s="2">
        <v>119.06929161410382</v>
      </c>
      <c r="J12" s="2">
        <v>12.878</v>
      </c>
      <c r="K12" s="2">
        <v>23.300999999999998</v>
      </c>
      <c r="L12" s="2">
        <v>55.268000000000001</v>
      </c>
      <c r="M12" s="2">
        <v>3.4335809727442337E-2</v>
      </c>
      <c r="N12" s="2">
        <v>1.0097833567959277E-2</v>
      </c>
      <c r="O12" s="2">
        <v>7.5648061927783727E-2</v>
      </c>
      <c r="P12" s="2">
        <v>5.7716319469845928E-2</v>
      </c>
      <c r="Q12" s="2">
        <v>12.759294980785782</v>
      </c>
      <c r="R12" s="2">
        <v>149444.921875</v>
      </c>
      <c r="S12" s="2">
        <v>104127</v>
      </c>
      <c r="T12" s="2">
        <v>3.41</v>
      </c>
      <c r="U12" s="2"/>
      <c r="V12" s="2">
        <v>1.04</v>
      </c>
      <c r="W12" s="2">
        <v>15.18</v>
      </c>
      <c r="X12" s="2">
        <v>3.5589511394500732</v>
      </c>
      <c r="Y12" s="2">
        <v>0.12688452475404599</v>
      </c>
      <c r="Z12" s="2">
        <v>1.2631720863282681E-2</v>
      </c>
      <c r="AA12" s="2">
        <v>1.1430327780544758E-2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 hidden="1" x14ac:dyDescent="0.25">
      <c r="A13" s="2">
        <v>1949.75</v>
      </c>
      <c r="B13" s="2">
        <v>271</v>
      </c>
      <c r="C13" s="2">
        <v>2004.7344281698474</v>
      </c>
      <c r="D13" s="2">
        <v>13.518000000000001</v>
      </c>
      <c r="E13" s="2">
        <v>180.4</v>
      </c>
      <c r="F13" s="2">
        <v>37.5</v>
      </c>
      <c r="G13" s="2">
        <v>1298.8696090431276</v>
      </c>
      <c r="H13" s="2">
        <v>119.36957940874754</v>
      </c>
      <c r="I13" s="2">
        <v>117.91916606528265</v>
      </c>
      <c r="J13" s="2">
        <v>12.747</v>
      </c>
      <c r="K13" s="2">
        <v>23.361000000000001</v>
      </c>
      <c r="L13" s="2">
        <v>54.564</v>
      </c>
      <c r="M13" s="2">
        <v>2.6896782594431061E-2</v>
      </c>
      <c r="N13" s="2">
        <v>3.5136896103414757E-3</v>
      </c>
      <c r="O13" s="2">
        <v>7.732061936799528E-2</v>
      </c>
      <c r="P13" s="2">
        <v>8.4826406529047382E-2</v>
      </c>
      <c r="Q13" s="2">
        <v>12.458895067592062</v>
      </c>
      <c r="R13" s="2">
        <v>150215.671875</v>
      </c>
      <c r="S13" s="2">
        <v>104428</v>
      </c>
      <c r="T13" s="2">
        <v>3.34</v>
      </c>
      <c r="U13" s="2"/>
      <c r="V13" s="2">
        <v>1.08</v>
      </c>
      <c r="W13" s="2">
        <v>16.18</v>
      </c>
      <c r="X13" s="2">
        <v>3.8986799716949463</v>
      </c>
      <c r="Y13" s="2">
        <v>-1.13033039754291</v>
      </c>
      <c r="Z13" s="2">
        <v>6.5689519047737122E-2</v>
      </c>
      <c r="AA13" s="2">
        <v>1.0713686235249043E-2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idden="1" x14ac:dyDescent="0.25">
      <c r="A14" s="2">
        <v>1950</v>
      </c>
      <c r="B14" s="2">
        <v>281.2</v>
      </c>
      <c r="C14" s="2">
        <v>2084.5070422535209</v>
      </c>
      <c r="D14" s="2">
        <v>13.49</v>
      </c>
      <c r="E14" s="2">
        <v>183.1</v>
      </c>
      <c r="F14" s="2">
        <v>46.7</v>
      </c>
      <c r="G14" s="2">
        <v>1320.6866705135603</v>
      </c>
      <c r="H14" s="2">
        <v>123.00810735253006</v>
      </c>
      <c r="I14" s="2">
        <v>118.27365781923902</v>
      </c>
      <c r="J14" s="2">
        <v>13.367000000000001</v>
      </c>
      <c r="K14" s="2">
        <v>24.423999999999999</v>
      </c>
      <c r="L14" s="2">
        <v>54.728999999999999</v>
      </c>
      <c r="M14" s="2">
        <v>6.9039566052204251E-2</v>
      </c>
      <c r="N14" s="2">
        <v>4.2519657242206549E-2</v>
      </c>
      <c r="O14" s="2">
        <v>9.7672858706912488E-2</v>
      </c>
      <c r="P14" s="2">
        <v>6.755102854795457E-2</v>
      </c>
      <c r="Q14" s="2">
        <v>12.289434898894775</v>
      </c>
      <c r="R14" s="2">
        <v>150986.421875</v>
      </c>
      <c r="S14" s="2">
        <v>104733</v>
      </c>
      <c r="T14" s="2">
        <v>3.24</v>
      </c>
      <c r="U14" s="2"/>
      <c r="V14" s="2">
        <v>1.1000000000000001</v>
      </c>
      <c r="W14" s="2">
        <v>17.146666666666668</v>
      </c>
      <c r="X14" s="2">
        <v>4.1916689872741699</v>
      </c>
      <c r="Y14" s="2">
        <v>1.09936841185673</v>
      </c>
      <c r="Z14" s="2">
        <v>-3.1311742961406708E-2</v>
      </c>
      <c r="AA14" s="2">
        <v>7.5832870788872242E-3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 hidden="1" x14ac:dyDescent="0.25">
      <c r="A15" s="2">
        <v>1950.25</v>
      </c>
      <c r="B15" s="2">
        <v>290.7</v>
      </c>
      <c r="C15" s="2">
        <v>2147.2891121288226</v>
      </c>
      <c r="D15" s="2">
        <v>13.538</v>
      </c>
      <c r="E15" s="2">
        <v>187</v>
      </c>
      <c r="F15" s="2">
        <v>52.3</v>
      </c>
      <c r="G15" s="2">
        <v>1342.4264178033022</v>
      </c>
      <c r="H15" s="2">
        <v>133.4010339734121</v>
      </c>
      <c r="I15" s="2">
        <v>120.49213544863686</v>
      </c>
      <c r="J15" s="2">
        <v>13.805999999999999</v>
      </c>
      <c r="K15" s="2">
        <v>24.678000000000001</v>
      </c>
      <c r="L15" s="2">
        <v>55.944000000000003</v>
      </c>
      <c r="M15" s="2">
        <v>8.9110635511613953E-2</v>
      </c>
      <c r="N15" s="2">
        <v>5.8056991740476127E-2</v>
      </c>
      <c r="O15" s="2">
        <v>9.4830612874306774E-2</v>
      </c>
      <c r="P15" s="2">
        <v>2.9627033340142474E-2</v>
      </c>
      <c r="Q15" s="2">
        <v>12.295442120984944</v>
      </c>
      <c r="R15" s="2">
        <v>151757.171875</v>
      </c>
      <c r="S15" s="2">
        <v>105020</v>
      </c>
      <c r="T15" s="2">
        <v>3.25</v>
      </c>
      <c r="U15" s="2"/>
      <c r="V15" s="2">
        <v>1.1499999999999999</v>
      </c>
      <c r="W15" s="2">
        <v>18.34</v>
      </c>
      <c r="X15" s="2">
        <v>4.4627699851989746</v>
      </c>
      <c r="Y15" s="2">
        <v>1.545127903469E-3</v>
      </c>
      <c r="Z15" s="2">
        <v>6.9372737780213356E-3</v>
      </c>
      <c r="AA15" s="2">
        <v>7.9453745856881142E-3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 hidden="1" x14ac:dyDescent="0.25">
      <c r="A16" s="2">
        <v>1950.5</v>
      </c>
      <c r="B16" s="2">
        <v>308.5</v>
      </c>
      <c r="C16" s="2">
        <v>2230.3354540196642</v>
      </c>
      <c r="D16" s="2">
        <v>13.832000000000001</v>
      </c>
      <c r="E16" s="2">
        <v>200.7</v>
      </c>
      <c r="F16" s="2">
        <v>58.6</v>
      </c>
      <c r="G16" s="2">
        <v>1411.2931580057661</v>
      </c>
      <c r="H16" s="2">
        <v>144.17427460905722</v>
      </c>
      <c r="I16" s="2">
        <v>123.82678550881842</v>
      </c>
      <c r="J16" s="2">
        <v>14.387</v>
      </c>
      <c r="K16" s="2">
        <v>25.071999999999999</v>
      </c>
      <c r="L16" s="2">
        <v>57.383000000000003</v>
      </c>
      <c r="M16" s="2">
        <v>0.10912605867663611</v>
      </c>
      <c r="N16" s="2">
        <v>8.2980743467248222E-2</v>
      </c>
      <c r="O16" s="2">
        <v>9.4397612859138724E-2</v>
      </c>
      <c r="P16" s="2">
        <v>2.9074676600388032E-2</v>
      </c>
      <c r="Q16" s="2">
        <v>12.206096322415647</v>
      </c>
      <c r="R16" s="2">
        <v>152488.25</v>
      </c>
      <c r="S16" s="2">
        <v>105248</v>
      </c>
      <c r="T16" s="2">
        <v>3.25</v>
      </c>
      <c r="U16" s="2"/>
      <c r="V16" s="2">
        <v>1.22</v>
      </c>
      <c r="W16" s="2">
        <v>18.296666666666667</v>
      </c>
      <c r="X16" s="2">
        <v>4.6328363418579102</v>
      </c>
      <c r="Y16" s="2">
        <v>9.8635370119052199E-2</v>
      </c>
      <c r="Z16" s="2">
        <v>-3.9731062948703766E-2</v>
      </c>
      <c r="AA16" s="2">
        <v>-5.7527725584805012E-3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34" hidden="1" x14ac:dyDescent="0.25">
      <c r="A17" s="2">
        <v>1950.75</v>
      </c>
      <c r="B17" s="2">
        <v>320.3</v>
      </c>
      <c r="C17" s="2">
        <v>2273.2434350603266</v>
      </c>
      <c r="D17" s="2">
        <v>14.09</v>
      </c>
      <c r="E17" s="2">
        <v>198.1</v>
      </c>
      <c r="F17" s="2">
        <v>68.400000000000006</v>
      </c>
      <c r="G17" s="2">
        <v>1368.4719535783365</v>
      </c>
      <c r="H17" s="2">
        <v>143.92580602826018</v>
      </c>
      <c r="I17" s="2">
        <v>125.44381562455659</v>
      </c>
      <c r="J17" s="2">
        <v>14.542</v>
      </c>
      <c r="K17" s="2">
        <v>25.189</v>
      </c>
      <c r="L17" s="2">
        <v>57.731999999999999</v>
      </c>
      <c r="M17" s="2">
        <v>0.11076025954744982</v>
      </c>
      <c r="N17" s="2">
        <v>8.2695395675236538E-2</v>
      </c>
      <c r="O17" s="2">
        <v>9.508233340445213E-2</v>
      </c>
      <c r="P17" s="2">
        <v>3.7617354036431253E-2</v>
      </c>
      <c r="Q17" s="2">
        <v>12.340880885731812</v>
      </c>
      <c r="R17" s="2">
        <v>153140</v>
      </c>
      <c r="S17" s="2">
        <v>104982</v>
      </c>
      <c r="T17" s="2">
        <v>3.21</v>
      </c>
      <c r="U17" s="2"/>
      <c r="V17" s="2">
        <v>1.34</v>
      </c>
      <c r="W17" s="2">
        <v>19.816666666666666</v>
      </c>
      <c r="X17" s="2">
        <v>5.0411858558654785</v>
      </c>
      <c r="Y17" s="2">
        <v>-0.61033895551721296</v>
      </c>
      <c r="Z17" s="2">
        <v>6.3080660998821259E-2</v>
      </c>
      <c r="AA17" s="2">
        <v>1.6059145331382751E-2</v>
      </c>
      <c r="AB17" s="2"/>
      <c r="AC17" s="2"/>
      <c r="AD17" s="2"/>
      <c r="AE17" s="2"/>
      <c r="AF17" s="2"/>
      <c r="AG17" s="2"/>
      <c r="AH17" s="2"/>
    </row>
    <row r="18" spans="1:34" hidden="1" x14ac:dyDescent="0.25">
      <c r="A18" s="2">
        <v>1951</v>
      </c>
      <c r="B18" s="2">
        <v>336.4</v>
      </c>
      <c r="C18" s="2">
        <v>2304.7410249383393</v>
      </c>
      <c r="D18" s="2">
        <v>14.596</v>
      </c>
      <c r="E18" s="2">
        <v>209.4</v>
      </c>
      <c r="F18" s="2">
        <v>64.599999999999994</v>
      </c>
      <c r="G18" s="2">
        <v>1401.7940822064534</v>
      </c>
      <c r="H18" s="2">
        <v>140.07024670983031</v>
      </c>
      <c r="I18" s="2">
        <v>128.08387464973214</v>
      </c>
      <c r="J18" s="2">
        <v>14.695</v>
      </c>
      <c r="K18" s="2">
        <v>25.196000000000002</v>
      </c>
      <c r="L18" s="2">
        <v>58.323999999999998</v>
      </c>
      <c r="M18" s="2">
        <v>0.10511522343144399</v>
      </c>
      <c r="N18" s="2">
        <v>7.6061412735056635E-2</v>
      </c>
      <c r="O18" s="2">
        <v>8.8256400942842234E-2</v>
      </c>
      <c r="P18" s="2">
        <v>3.7267456424394781E-2</v>
      </c>
      <c r="Q18" s="2">
        <v>12.433584511236688</v>
      </c>
      <c r="R18" s="2">
        <v>153791.75</v>
      </c>
      <c r="S18" s="2">
        <v>104692</v>
      </c>
      <c r="T18" s="2">
        <v>3.19</v>
      </c>
      <c r="U18" s="2"/>
      <c r="V18" s="2">
        <v>1.37</v>
      </c>
      <c r="W18" s="2">
        <v>21.613333333333333</v>
      </c>
      <c r="X18" s="2">
        <v>5.6009559631347656</v>
      </c>
      <c r="Y18" s="2">
        <v>-1.56586146878796</v>
      </c>
      <c r="Z18" s="2">
        <v>7.0805490016937256E-2</v>
      </c>
      <c r="AA18" s="2">
        <v>1.6305053606629372E-2</v>
      </c>
      <c r="AB18" s="2"/>
      <c r="AC18" s="2"/>
      <c r="AD18" s="2"/>
      <c r="AE18" s="2"/>
      <c r="AF18" s="2"/>
      <c r="AG18" s="2"/>
      <c r="AH18" s="2"/>
    </row>
    <row r="19" spans="1:34" hidden="1" x14ac:dyDescent="0.25">
      <c r="A19" s="2">
        <v>1951.25</v>
      </c>
      <c r="B19" s="2">
        <v>344.5</v>
      </c>
      <c r="C19" s="2">
        <v>2344.8135039477265</v>
      </c>
      <c r="D19" s="2">
        <v>14.692</v>
      </c>
      <c r="E19" s="2">
        <v>205.1</v>
      </c>
      <c r="F19" s="2">
        <v>67.400000000000006</v>
      </c>
      <c r="G19" s="2">
        <v>1361.9762268410918</v>
      </c>
      <c r="H19" s="2">
        <v>141.846921797005</v>
      </c>
      <c r="I19" s="2">
        <v>129.4974520272545</v>
      </c>
      <c r="J19" s="2">
        <v>14.83</v>
      </c>
      <c r="K19" s="2">
        <v>25.297000000000001</v>
      </c>
      <c r="L19" s="2">
        <v>58.625</v>
      </c>
      <c r="M19" s="2">
        <v>0.10697883375501387</v>
      </c>
      <c r="N19" s="2">
        <v>7.7835577048364135E-2</v>
      </c>
      <c r="O19" s="2">
        <v>8.2715118519549477E-2</v>
      </c>
      <c r="P19" s="2">
        <v>3.5494646475515347E-2</v>
      </c>
      <c r="Q19" s="2">
        <v>12.530844947011273</v>
      </c>
      <c r="R19" s="2">
        <v>154443.5</v>
      </c>
      <c r="S19" s="2">
        <v>104507</v>
      </c>
      <c r="T19" s="2">
        <v>3.41</v>
      </c>
      <c r="U19" s="2"/>
      <c r="V19" s="2">
        <v>1.49</v>
      </c>
      <c r="W19" s="2">
        <v>21.8</v>
      </c>
      <c r="X19" s="2">
        <v>5.6952567100524902</v>
      </c>
      <c r="Y19" s="2">
        <v>-0.58726457668898402</v>
      </c>
      <c r="Z19" s="2">
        <v>-2.542552538216114E-2</v>
      </c>
      <c r="AA19" s="2">
        <v>-7.1062161587178707E-3</v>
      </c>
      <c r="AB19" s="2"/>
      <c r="AC19" s="2"/>
      <c r="AD19" s="2"/>
      <c r="AE19" s="2"/>
      <c r="AF19" s="2"/>
      <c r="AG19" s="2"/>
      <c r="AH19" s="2"/>
    </row>
    <row r="20" spans="1:34" hidden="1" x14ac:dyDescent="0.25">
      <c r="A20" s="2">
        <v>1951.5</v>
      </c>
      <c r="B20" s="2">
        <v>351.8</v>
      </c>
      <c r="C20" s="2">
        <v>2393.0344874498333</v>
      </c>
      <c r="D20" s="2">
        <v>14.701000000000001</v>
      </c>
      <c r="E20" s="2">
        <v>207.8</v>
      </c>
      <c r="F20" s="2">
        <v>62</v>
      </c>
      <c r="G20" s="2">
        <v>1377.9840848806366</v>
      </c>
      <c r="H20" s="2">
        <v>143.42826525986067</v>
      </c>
      <c r="I20" s="2">
        <v>128.92512938306464</v>
      </c>
      <c r="J20" s="2">
        <v>15.077</v>
      </c>
      <c r="K20" s="2">
        <v>26.027999999999999</v>
      </c>
      <c r="L20" s="2">
        <v>57.926000000000002</v>
      </c>
      <c r="M20" s="2">
        <v>0.12574619367240222</v>
      </c>
      <c r="N20" s="2">
        <v>9.7134776580800289E-2</v>
      </c>
      <c r="O20" s="2">
        <v>0.11065531857258271</v>
      </c>
      <c r="P20" s="2">
        <v>6.9700012272483874E-2</v>
      </c>
      <c r="Q20" s="2">
        <v>12.572309147358967</v>
      </c>
      <c r="R20" s="2">
        <v>155100.921875</v>
      </c>
      <c r="S20" s="2">
        <v>104543</v>
      </c>
      <c r="T20" s="2">
        <v>3.5</v>
      </c>
      <c r="U20" s="2"/>
      <c r="V20" s="2">
        <v>1.6</v>
      </c>
      <c r="W20" s="2">
        <v>22.766666666666666</v>
      </c>
      <c r="X20" s="2">
        <v>6.1415300369262695</v>
      </c>
      <c r="Y20" s="2">
        <v>2.1846347438538101</v>
      </c>
      <c r="Z20" s="2">
        <v>1.8430685624480247E-2</v>
      </c>
      <c r="AA20" s="2">
        <v>1.5467725694179535E-2</v>
      </c>
      <c r="AB20" s="2"/>
      <c r="AC20" s="2"/>
      <c r="AD20" s="2"/>
      <c r="AE20" s="2"/>
      <c r="AF20" s="2"/>
      <c r="AG20" s="2"/>
      <c r="AH20" s="2"/>
    </row>
    <row r="21" spans="1:34" hidden="1" x14ac:dyDescent="0.25">
      <c r="A21" s="2">
        <v>1951.75</v>
      </c>
      <c r="B21" s="2">
        <v>356.6</v>
      </c>
      <c r="C21" s="2">
        <v>2398.2782971282536</v>
      </c>
      <c r="D21" s="2">
        <v>14.869</v>
      </c>
      <c r="E21" s="2">
        <v>211.7</v>
      </c>
      <c r="F21" s="2">
        <v>57.1</v>
      </c>
      <c r="G21" s="2">
        <v>1385.5618823221414</v>
      </c>
      <c r="H21" s="2">
        <v>141.06902597137847</v>
      </c>
      <c r="I21" s="2">
        <v>129.23863284029756</v>
      </c>
      <c r="J21" s="2">
        <v>15.076000000000001</v>
      </c>
      <c r="K21" s="2">
        <v>25.937000000000001</v>
      </c>
      <c r="L21" s="2">
        <v>58.125999999999998</v>
      </c>
      <c r="M21" s="2">
        <v>0.12413983784851436</v>
      </c>
      <c r="N21" s="2">
        <v>9.7891406599035211E-2</v>
      </c>
      <c r="O21" s="2">
        <v>0.1074344739939902</v>
      </c>
      <c r="P21" s="2">
        <v>6.9866860699486832E-2</v>
      </c>
      <c r="Q21" s="2">
        <v>12.51115814149054</v>
      </c>
      <c r="R21" s="2">
        <v>155769.671875</v>
      </c>
      <c r="S21" s="2">
        <v>104747</v>
      </c>
      <c r="T21" s="2">
        <v>3.56</v>
      </c>
      <c r="U21" s="2"/>
      <c r="V21" s="2">
        <v>1.61</v>
      </c>
      <c r="W21" s="2">
        <v>23.16</v>
      </c>
      <c r="X21" s="2">
        <v>6.2128391265869141</v>
      </c>
      <c r="Y21" s="2">
        <v>-0.149335027338071</v>
      </c>
      <c r="Z21" s="2">
        <v>-5.9453011490404606E-3</v>
      </c>
      <c r="AA21" s="2">
        <v>-6.1017405241727829E-3</v>
      </c>
      <c r="AB21" s="2"/>
      <c r="AC21" s="2"/>
      <c r="AD21" s="2"/>
      <c r="AE21" s="2"/>
      <c r="AF21" s="2"/>
      <c r="AG21" s="2"/>
      <c r="AH21" s="2"/>
    </row>
    <row r="22" spans="1:34" hidden="1" x14ac:dyDescent="0.25">
      <c r="A22" s="2">
        <v>1952</v>
      </c>
      <c r="B22" s="2">
        <v>360.2</v>
      </c>
      <c r="C22" s="2">
        <v>2423.4676713987756</v>
      </c>
      <c r="D22" s="2">
        <v>14.863</v>
      </c>
      <c r="E22" s="2">
        <v>213.1</v>
      </c>
      <c r="F22" s="2">
        <v>58.1</v>
      </c>
      <c r="G22" s="2">
        <v>1388.9069934171935</v>
      </c>
      <c r="H22" s="2">
        <v>142.48599496630672</v>
      </c>
      <c r="I22" s="2">
        <v>129.73211369683952</v>
      </c>
      <c r="J22" s="2">
        <v>15.207000000000001</v>
      </c>
      <c r="K22" s="2">
        <v>26.042999999999999</v>
      </c>
      <c r="L22" s="2">
        <v>58.390999999999998</v>
      </c>
      <c r="M22" s="2">
        <v>0.12415729182544093</v>
      </c>
      <c r="N22" s="2">
        <v>9.1989327190234796E-2</v>
      </c>
      <c r="O22" s="2">
        <v>9.4340766583217175E-2</v>
      </c>
      <c r="P22" s="2">
        <v>5.0643935080724727E-2</v>
      </c>
      <c r="Q22" s="2">
        <v>12.42635998693671</v>
      </c>
      <c r="R22" s="2">
        <v>156522</v>
      </c>
      <c r="S22" s="2">
        <v>104863</v>
      </c>
      <c r="T22" s="2">
        <v>3.54</v>
      </c>
      <c r="U22" s="2"/>
      <c r="V22" s="2">
        <v>1.57</v>
      </c>
      <c r="W22" s="2">
        <v>23.916666666666668</v>
      </c>
      <c r="X22" s="2">
        <v>6.4580178260803223</v>
      </c>
      <c r="Y22" s="2">
        <v>-1.1662158927408099</v>
      </c>
      <c r="Z22" s="2">
        <v>3.6944922059774399E-2</v>
      </c>
      <c r="AA22" s="2">
        <v>6.6875838674604893E-3</v>
      </c>
      <c r="AB22" s="2"/>
      <c r="AC22" s="2">
        <v>1.45152578801952</v>
      </c>
      <c r="AD22" s="2">
        <v>-1.1227287093641301</v>
      </c>
      <c r="AE22" s="2">
        <v>-0.32831939299549501</v>
      </c>
      <c r="AF22" s="2"/>
      <c r="AG22" s="2"/>
      <c r="AH22" s="2"/>
    </row>
    <row r="23" spans="1:34" hidden="1" x14ac:dyDescent="0.25">
      <c r="A23" s="2">
        <v>1952.25</v>
      </c>
      <c r="B23" s="2">
        <v>361.4</v>
      </c>
      <c r="C23" s="2">
        <v>2428.4370380325227</v>
      </c>
      <c r="D23" s="2">
        <v>14.882</v>
      </c>
      <c r="E23" s="2">
        <v>217.2</v>
      </c>
      <c r="F23" s="2">
        <v>53</v>
      </c>
      <c r="G23" s="2">
        <v>1415.9061277705346</v>
      </c>
      <c r="H23" s="2">
        <v>145.02146965891598</v>
      </c>
      <c r="I23" s="2">
        <v>129.23110348404322</v>
      </c>
      <c r="J23" s="2">
        <v>15.193</v>
      </c>
      <c r="K23" s="2">
        <v>26.292000000000002</v>
      </c>
      <c r="L23" s="2">
        <v>57.786000000000001</v>
      </c>
      <c r="M23" s="2">
        <v>0.12962895976834077</v>
      </c>
      <c r="N23" s="2">
        <v>0.10417708425270351</v>
      </c>
      <c r="O23" s="2">
        <v>0.11511674946018537</v>
      </c>
      <c r="P23" s="2">
        <v>9.1646799574931465E-2</v>
      </c>
      <c r="Q23" s="2">
        <v>12.369259317027575</v>
      </c>
      <c r="R23" s="2">
        <v>157142</v>
      </c>
      <c r="S23" s="2">
        <v>105007</v>
      </c>
      <c r="T23" s="2">
        <v>3.5</v>
      </c>
      <c r="U23" s="2"/>
      <c r="V23" s="2">
        <v>1.65</v>
      </c>
      <c r="W23" s="2">
        <v>23.95</v>
      </c>
      <c r="X23" s="2">
        <v>6.5009217262268066</v>
      </c>
      <c r="Y23" s="2">
        <v>1.0655499120324701</v>
      </c>
      <c r="Z23" s="2">
        <v>-1.822180487215519E-2</v>
      </c>
      <c r="AA23" s="2">
        <v>-5.013943649828434E-3</v>
      </c>
      <c r="AB23" s="2"/>
      <c r="AC23" s="2">
        <v>1.00026264977749</v>
      </c>
      <c r="AD23" s="2">
        <v>1.4146152631380999</v>
      </c>
      <c r="AE23" s="2">
        <v>-1.05304825365263</v>
      </c>
      <c r="AF23" s="2"/>
      <c r="AG23" s="2"/>
      <c r="AH23" s="2"/>
    </row>
    <row r="24" spans="1:34" hidden="1" x14ac:dyDescent="0.25">
      <c r="A24" s="2">
        <v>1952.5</v>
      </c>
      <c r="B24" s="2">
        <v>368.1</v>
      </c>
      <c r="C24" s="2">
        <v>2446.1722488038276</v>
      </c>
      <c r="D24" s="2">
        <v>15.048</v>
      </c>
      <c r="E24" s="2">
        <v>219.7</v>
      </c>
      <c r="F24" s="2">
        <v>57.2</v>
      </c>
      <c r="G24" s="2">
        <v>1422.9274611398964</v>
      </c>
      <c r="H24" s="2">
        <v>133.6203395337503</v>
      </c>
      <c r="I24" s="2">
        <v>129.76400131729307</v>
      </c>
      <c r="J24" s="2">
        <v>15.292999999999999</v>
      </c>
      <c r="K24" s="2">
        <v>26.38</v>
      </c>
      <c r="L24" s="2">
        <v>57.972000000000001</v>
      </c>
      <c r="M24" s="2">
        <v>0.13131954251422984</v>
      </c>
      <c r="N24" s="2">
        <v>0.10688480327786606</v>
      </c>
      <c r="O24" s="2">
        <v>0.10726405177433358</v>
      </c>
      <c r="P24" s="2">
        <v>9.3849768460139843E-2</v>
      </c>
      <c r="Q24" s="2">
        <v>12.114463903052796</v>
      </c>
      <c r="R24" s="2">
        <v>157801</v>
      </c>
      <c r="S24" s="2">
        <v>105343</v>
      </c>
      <c r="T24" s="2">
        <v>3.51</v>
      </c>
      <c r="U24" s="2"/>
      <c r="V24" s="2">
        <v>1.78</v>
      </c>
      <c r="W24" s="2">
        <v>25.013333333333332</v>
      </c>
      <c r="X24" s="2">
        <v>6.7441830635070801</v>
      </c>
      <c r="Y24" s="2">
        <v>-1.99005942739398</v>
      </c>
      <c r="Z24" s="2">
        <v>3.6334935575723648E-2</v>
      </c>
      <c r="AA24" s="2">
        <v>9.7322668880224228E-3</v>
      </c>
      <c r="AB24" s="2"/>
      <c r="AC24" s="2">
        <v>0.983620965498193</v>
      </c>
      <c r="AD24" s="2">
        <v>-1.0892061391293999</v>
      </c>
      <c r="AE24" s="2">
        <v>-1.8709135518196101</v>
      </c>
      <c r="AF24" s="2"/>
      <c r="AG24" s="2"/>
      <c r="AH24" s="2"/>
    </row>
    <row r="25" spans="1:34" hidden="1" x14ac:dyDescent="0.25">
      <c r="A25" s="2">
        <v>1952.75</v>
      </c>
      <c r="B25" s="2">
        <v>381.2</v>
      </c>
      <c r="C25" s="2">
        <v>2526.0088794645817</v>
      </c>
      <c r="D25" s="2">
        <v>15.090999999999999</v>
      </c>
      <c r="E25" s="2">
        <v>227.9</v>
      </c>
      <c r="F25" s="2">
        <v>60.7</v>
      </c>
      <c r="G25" s="2">
        <v>1473.5548946075262</v>
      </c>
      <c r="H25" s="2">
        <v>145.34529657748365</v>
      </c>
      <c r="I25" s="2">
        <v>132.17179129189262</v>
      </c>
      <c r="J25" s="2">
        <v>15.901</v>
      </c>
      <c r="K25" s="2">
        <v>26.776</v>
      </c>
      <c r="L25" s="2">
        <v>59.384999999999998</v>
      </c>
      <c r="M25" s="2">
        <v>0.14933695676189035</v>
      </c>
      <c r="N25" s="2">
        <v>0.14129069633824001</v>
      </c>
      <c r="O25" s="2">
        <v>0.10648747127573872</v>
      </c>
      <c r="P25" s="2">
        <v>7.6082366483600228E-2</v>
      </c>
      <c r="Q25" s="2">
        <v>11.868098605872387</v>
      </c>
      <c r="R25" s="2">
        <v>158505</v>
      </c>
      <c r="S25" s="2">
        <v>105703</v>
      </c>
      <c r="T25" s="2">
        <v>3.53</v>
      </c>
      <c r="U25" s="2"/>
      <c r="V25" s="2">
        <v>1.89</v>
      </c>
      <c r="W25" s="2">
        <v>25.110000000000003</v>
      </c>
      <c r="X25" s="2">
        <v>6.9497647285461426</v>
      </c>
      <c r="Y25" s="2">
        <v>0.62368497502073705</v>
      </c>
      <c r="Z25" s="2">
        <v>-4.579620435833931E-2</v>
      </c>
      <c r="AA25" s="2">
        <v>-6.574943196028471E-3</v>
      </c>
      <c r="AB25" s="2"/>
      <c r="AC25" s="2">
        <v>1.2691943076104499</v>
      </c>
      <c r="AD25" s="2">
        <v>3.2707313424007398</v>
      </c>
      <c r="AE25" s="2">
        <v>0.74263517532150103</v>
      </c>
      <c r="AF25" s="2"/>
      <c r="AG25" s="2"/>
      <c r="AH25" s="2"/>
    </row>
    <row r="26" spans="1:34" hidden="1" x14ac:dyDescent="0.25">
      <c r="A26" s="2">
        <v>1953</v>
      </c>
      <c r="B26" s="2">
        <v>388.5</v>
      </c>
      <c r="C26" s="2">
        <v>2573.5294117647059</v>
      </c>
      <c r="D26" s="2">
        <v>15.096</v>
      </c>
      <c r="E26" s="2">
        <v>231.5</v>
      </c>
      <c r="F26" s="2">
        <v>61.7</v>
      </c>
      <c r="G26" s="2">
        <v>1491.0472755378075</v>
      </c>
      <c r="H26" s="2">
        <v>153.34063526834609</v>
      </c>
      <c r="I26" s="2">
        <v>132.64513668177818</v>
      </c>
      <c r="J26" s="2">
        <v>16.228999999999999</v>
      </c>
      <c r="K26" s="2">
        <v>27.193000000000001</v>
      </c>
      <c r="L26" s="2">
        <v>59.680999999999997</v>
      </c>
      <c r="M26" s="2">
        <v>0.16185443687928228</v>
      </c>
      <c r="N26" s="2">
        <v>0.14819834306137455</v>
      </c>
      <c r="O26" s="2">
        <v>0.12855451862806128</v>
      </c>
      <c r="P26" s="2">
        <v>9.2655860573798737E-2</v>
      </c>
      <c r="Q26" s="2">
        <v>11.63063807445841</v>
      </c>
      <c r="R26" s="2">
        <v>159164</v>
      </c>
      <c r="S26" s="2">
        <v>106672</v>
      </c>
      <c r="T26" s="2">
        <v>3.54</v>
      </c>
      <c r="U26" s="2"/>
      <c r="V26" s="2">
        <v>1.98</v>
      </c>
      <c r="W26" s="2">
        <v>26.01</v>
      </c>
      <c r="X26" s="2">
        <v>7.1780104637145996</v>
      </c>
      <c r="Y26" s="2">
        <v>1.8611986129845099</v>
      </c>
      <c r="Z26" s="2">
        <v>8.0441180616617203E-3</v>
      </c>
      <c r="AA26" s="2">
        <v>5.7953116483986378E-3</v>
      </c>
      <c r="AB26" s="2"/>
      <c r="AC26" s="2">
        <v>-1.5574536204166001</v>
      </c>
      <c r="AD26" s="2">
        <v>-2.1853264687051301</v>
      </c>
      <c r="AE26" s="2">
        <v>1.71843799083368</v>
      </c>
      <c r="AF26" s="2"/>
      <c r="AG26" s="2"/>
      <c r="AH26" s="2"/>
    </row>
    <row r="27" spans="1:34" hidden="1" x14ac:dyDescent="0.25">
      <c r="A27" s="2">
        <v>1953.25</v>
      </c>
      <c r="B27" s="2">
        <v>392.3</v>
      </c>
      <c r="C27" s="2">
        <v>2593.7190082644629</v>
      </c>
      <c r="D27" s="2">
        <v>15.125</v>
      </c>
      <c r="E27" s="2">
        <v>233.2</v>
      </c>
      <c r="F27" s="2">
        <v>62.1</v>
      </c>
      <c r="G27" s="2">
        <v>1499.6784565916398</v>
      </c>
      <c r="H27" s="2">
        <v>154.95451984222814</v>
      </c>
      <c r="I27" s="2">
        <v>132.49467743438078</v>
      </c>
      <c r="J27" s="2">
        <v>16.353000000000002</v>
      </c>
      <c r="K27" s="2">
        <v>27.439</v>
      </c>
      <c r="L27" s="2">
        <v>59.597999999999999</v>
      </c>
      <c r="M27" s="2">
        <v>0.16537573419812035</v>
      </c>
      <c r="N27" s="2">
        <v>0.1499065330082823</v>
      </c>
      <c r="O27" s="2">
        <v>0.14035796465737407</v>
      </c>
      <c r="P27" s="2">
        <v>0.10149039684878247</v>
      </c>
      <c r="Q27" s="2">
        <v>11.530352936357964</v>
      </c>
      <c r="R27" s="2">
        <v>159752</v>
      </c>
      <c r="S27" s="2">
        <v>106905</v>
      </c>
      <c r="T27" s="2">
        <v>3.76</v>
      </c>
      <c r="U27" s="2">
        <v>3</v>
      </c>
      <c r="V27" s="2">
        <v>2.15</v>
      </c>
      <c r="W27" s="2">
        <v>24.5</v>
      </c>
      <c r="X27" s="2">
        <v>6.916987419128418</v>
      </c>
      <c r="Y27" s="2">
        <v>0.46509140027156198</v>
      </c>
      <c r="Z27" s="2">
        <v>-7.1143314242362976E-2</v>
      </c>
      <c r="AA27" s="2">
        <v>-2.2149207070469856E-2</v>
      </c>
      <c r="AB27" s="2"/>
      <c r="AC27" s="2">
        <v>-0.42439030909304798</v>
      </c>
      <c r="AD27" s="2">
        <v>1.1992930061497</v>
      </c>
      <c r="AE27" s="2">
        <v>1.8562707000051</v>
      </c>
      <c r="AF27" s="2"/>
      <c r="AG27" s="2"/>
      <c r="AH27" s="2"/>
    </row>
    <row r="28" spans="1:34" hidden="1" x14ac:dyDescent="0.25">
      <c r="A28" s="2">
        <v>1953.5</v>
      </c>
      <c r="B28" s="2">
        <v>391.7</v>
      </c>
      <c r="C28" s="2">
        <v>2579.0097445351594</v>
      </c>
      <c r="D28" s="2">
        <v>15.188000000000001</v>
      </c>
      <c r="E28" s="2">
        <v>233.9</v>
      </c>
      <c r="F28" s="2">
        <v>61.4</v>
      </c>
      <c r="G28" s="2">
        <v>1496.002558362648</v>
      </c>
      <c r="H28" s="2">
        <v>158.2291125584369</v>
      </c>
      <c r="I28" s="2">
        <v>131.6241374655217</v>
      </c>
      <c r="J28" s="2">
        <v>16.210999999999999</v>
      </c>
      <c r="K28" s="2">
        <v>27.440999999999999</v>
      </c>
      <c r="L28" s="2">
        <v>59.075000000000003</v>
      </c>
      <c r="M28" s="2">
        <v>0.15831211640486043</v>
      </c>
      <c r="N28" s="2">
        <v>0.14899661077200524</v>
      </c>
      <c r="O28" s="2">
        <v>0.15390484021901266</v>
      </c>
      <c r="P28" s="2">
        <v>0.125100133913401</v>
      </c>
      <c r="Q28" s="2">
        <v>11.415368418543567</v>
      </c>
      <c r="R28" s="2">
        <v>160450</v>
      </c>
      <c r="S28" s="2">
        <v>107140</v>
      </c>
      <c r="T28" s="2">
        <v>3.86</v>
      </c>
      <c r="U28" s="2">
        <v>2.92</v>
      </c>
      <c r="V28" s="2">
        <v>1.96</v>
      </c>
      <c r="W28" s="2">
        <v>23.983333333333334</v>
      </c>
      <c r="X28" s="2">
        <v>6.8324384689331055</v>
      </c>
      <c r="Y28" s="2">
        <v>-0.65596637020789805</v>
      </c>
      <c r="Z28" s="2">
        <v>1.3205264694988728E-2</v>
      </c>
      <c r="AA28" s="2">
        <v>-1.5148333040997386E-3</v>
      </c>
      <c r="AB28" s="2"/>
      <c r="AC28" s="2">
        <v>-0.67808987287384603</v>
      </c>
      <c r="AD28" s="2">
        <v>2.02690499376815</v>
      </c>
      <c r="AE28" s="2">
        <v>1.4736038334869499</v>
      </c>
      <c r="AF28" s="2"/>
      <c r="AG28" s="2"/>
      <c r="AH28" s="2"/>
    </row>
    <row r="29" spans="1:34" hidden="1" x14ac:dyDescent="0.25">
      <c r="A29" s="2">
        <v>1953.75</v>
      </c>
      <c r="B29" s="2">
        <v>386.5</v>
      </c>
      <c r="C29" s="2">
        <v>2539.5886720546687</v>
      </c>
      <c r="D29" s="2">
        <v>15.218999999999999</v>
      </c>
      <c r="E29" s="2">
        <v>233.4</v>
      </c>
      <c r="F29" s="2">
        <v>56.4</v>
      </c>
      <c r="G29" s="2">
        <v>1486.3401897726549</v>
      </c>
      <c r="H29" s="2">
        <v>156.85019206145967</v>
      </c>
      <c r="I29" s="2">
        <v>130.01377703472133</v>
      </c>
      <c r="J29" s="2">
        <v>15.901999999999999</v>
      </c>
      <c r="K29" s="2">
        <v>27.37</v>
      </c>
      <c r="L29" s="2">
        <v>58.1</v>
      </c>
      <c r="M29" s="2">
        <v>0.14352411351314701</v>
      </c>
      <c r="N29" s="2">
        <v>0.13630365049987231</v>
      </c>
      <c r="O29" s="2">
        <v>0.1591901783282732</v>
      </c>
      <c r="P29" s="2">
        <v>0.14440448405435649</v>
      </c>
      <c r="Q29" s="2">
        <v>11.310881254580762</v>
      </c>
      <c r="R29" s="2">
        <v>161218</v>
      </c>
      <c r="S29" s="2">
        <v>107503</v>
      </c>
      <c r="T29" s="2">
        <v>3.77</v>
      </c>
      <c r="U29" s="2">
        <v>2.64</v>
      </c>
      <c r="V29" s="2">
        <v>1.47</v>
      </c>
      <c r="W29" s="2">
        <v>24.433333333333334</v>
      </c>
      <c r="X29" s="2">
        <v>7.2067346572875977</v>
      </c>
      <c r="Y29" s="2">
        <v>-0.60215228089257</v>
      </c>
      <c r="Z29" s="2">
        <v>4.9984704703092575E-2</v>
      </c>
      <c r="AA29" s="2">
        <v>6.2975040636956692E-3</v>
      </c>
      <c r="AB29" s="2"/>
      <c r="AC29" s="2">
        <v>-1.39194681935605</v>
      </c>
      <c r="AD29" s="2">
        <v>0.21056684024057701</v>
      </c>
      <c r="AE29" s="2">
        <v>0.396791006911347</v>
      </c>
      <c r="AF29" s="2"/>
      <c r="AG29" s="2"/>
      <c r="AH29" s="2"/>
    </row>
    <row r="30" spans="1:34" hidden="1" x14ac:dyDescent="0.25">
      <c r="A30" s="2">
        <v>1954</v>
      </c>
      <c r="B30" s="2">
        <v>385.9</v>
      </c>
      <c r="C30" s="2">
        <v>2527.8396436525613</v>
      </c>
      <c r="D30" s="2">
        <v>15.266</v>
      </c>
      <c r="E30" s="2">
        <v>235.4</v>
      </c>
      <c r="F30" s="2">
        <v>55.7</v>
      </c>
      <c r="G30" s="2">
        <v>1491.5726777341274</v>
      </c>
      <c r="H30" s="2">
        <v>152.61396238444371</v>
      </c>
      <c r="I30" s="2">
        <v>128.92053517645269</v>
      </c>
      <c r="J30" s="2">
        <v>15.798</v>
      </c>
      <c r="K30" s="2">
        <v>27.361000000000001</v>
      </c>
      <c r="L30" s="2">
        <v>57.738</v>
      </c>
      <c r="M30" s="2">
        <v>0.14176563245218093</v>
      </c>
      <c r="N30" s="2">
        <v>0.12806644981653684</v>
      </c>
      <c r="O30" s="2">
        <v>0.17187121493648633</v>
      </c>
      <c r="P30" s="2">
        <v>0.15416737170715358</v>
      </c>
      <c r="Q30" s="2">
        <v>11.459304825600611</v>
      </c>
      <c r="R30" s="2">
        <v>161909</v>
      </c>
      <c r="S30" s="2">
        <v>107877</v>
      </c>
      <c r="T30" s="2">
        <v>3.61</v>
      </c>
      <c r="U30" s="2">
        <v>2.44</v>
      </c>
      <c r="V30" s="2">
        <v>1.06</v>
      </c>
      <c r="W30" s="2">
        <v>26.016666666666669</v>
      </c>
      <c r="X30" s="2">
        <v>7.8505253791809082</v>
      </c>
      <c r="Y30" s="2">
        <v>-1.09526435112664</v>
      </c>
      <c r="Z30" s="2">
        <v>5.0147209316492081E-2</v>
      </c>
      <c r="AA30" s="2">
        <v>1.2491217814385891E-2</v>
      </c>
      <c r="AB30" s="2"/>
      <c r="AC30" s="2">
        <v>0.82460679234318002</v>
      </c>
      <c r="AD30" s="2">
        <v>-1.0681251285186399</v>
      </c>
      <c r="AE30" s="2">
        <v>-0.18168996525686701</v>
      </c>
      <c r="AF30" s="2"/>
      <c r="AG30" s="2"/>
      <c r="AH30" s="2"/>
    </row>
    <row r="31" spans="1:34" hidden="1" x14ac:dyDescent="0.25">
      <c r="A31" s="2">
        <v>1954.25</v>
      </c>
      <c r="B31" s="2">
        <v>386.7</v>
      </c>
      <c r="C31" s="2">
        <v>2530.5935475427</v>
      </c>
      <c r="D31" s="2">
        <v>15.281000000000001</v>
      </c>
      <c r="E31" s="2">
        <v>238.2</v>
      </c>
      <c r="F31" s="2">
        <v>55.4</v>
      </c>
      <c r="G31" s="2">
        <v>1511.3254235137365</v>
      </c>
      <c r="H31" s="2">
        <v>151.52717175723922</v>
      </c>
      <c r="I31" s="2">
        <v>127.35968682000633</v>
      </c>
      <c r="J31" s="2">
        <v>15.795999999999999</v>
      </c>
      <c r="K31" s="2">
        <v>27.74</v>
      </c>
      <c r="L31" s="2">
        <v>56.942</v>
      </c>
      <c r="M31" s="2">
        <v>0.14870574347033549</v>
      </c>
      <c r="N31" s="2">
        <v>0.14353606259131318</v>
      </c>
      <c r="O31" s="2">
        <v>0.17981336260917269</v>
      </c>
      <c r="P31" s="2">
        <v>0.17118868117538166</v>
      </c>
      <c r="Q31" s="2">
        <v>11.566943816661327</v>
      </c>
      <c r="R31" s="2">
        <v>162568</v>
      </c>
      <c r="S31" s="2">
        <v>108177</v>
      </c>
      <c r="T31" s="2">
        <v>3.48</v>
      </c>
      <c r="U31" s="2">
        <v>2.35</v>
      </c>
      <c r="V31" s="2">
        <v>0.79</v>
      </c>
      <c r="W31" s="2">
        <v>28.439999999999998</v>
      </c>
      <c r="X31" s="2">
        <v>8.6510715484619141</v>
      </c>
      <c r="Y31" s="2">
        <v>0.63737814926797998</v>
      </c>
      <c r="Z31" s="2">
        <v>5.4424207657575607E-2</v>
      </c>
      <c r="AA31" s="2">
        <v>1.7172219231724739E-2</v>
      </c>
      <c r="AB31" s="2"/>
      <c r="AC31" s="2">
        <v>0.43567910839974999</v>
      </c>
      <c r="AD31" s="2">
        <v>2.1148953601550402</v>
      </c>
      <c r="AE31" s="2">
        <v>0.218775696550602</v>
      </c>
      <c r="AF31" s="2"/>
      <c r="AG31" s="2"/>
      <c r="AH31" s="2"/>
    </row>
    <row r="32" spans="1:34" hidden="1" x14ac:dyDescent="0.25">
      <c r="A32" s="2">
        <v>1954.5</v>
      </c>
      <c r="B32" s="2">
        <v>391.6</v>
      </c>
      <c r="C32" s="2">
        <v>2559.4771241830063</v>
      </c>
      <c r="D32" s="2">
        <v>15.3</v>
      </c>
      <c r="E32" s="2">
        <v>240.6</v>
      </c>
      <c r="F32" s="2">
        <v>59</v>
      </c>
      <c r="G32" s="2">
        <v>1531.6060856833662</v>
      </c>
      <c r="H32" s="2">
        <v>155.30182050463111</v>
      </c>
      <c r="I32" s="2">
        <v>126.93568987836078</v>
      </c>
      <c r="J32" s="2">
        <v>15.984999999999999</v>
      </c>
      <c r="K32" s="2">
        <v>28.18</v>
      </c>
      <c r="L32" s="2">
        <v>56.725000000000001</v>
      </c>
      <c r="M32" s="2">
        <v>0.15939610163309073</v>
      </c>
      <c r="N32" s="2">
        <v>0.16565761566205012</v>
      </c>
      <c r="O32" s="2">
        <v>0.18950777507158897</v>
      </c>
      <c r="P32" s="2">
        <v>0.19118444852982028</v>
      </c>
      <c r="Q32" s="2">
        <v>11.33877246879101</v>
      </c>
      <c r="R32" s="2">
        <v>163295</v>
      </c>
      <c r="S32" s="2">
        <v>108443</v>
      </c>
      <c r="T32" s="2">
        <v>3.49</v>
      </c>
      <c r="U32" s="2">
        <v>2.35</v>
      </c>
      <c r="V32" s="2">
        <v>0.88</v>
      </c>
      <c r="W32" s="2">
        <v>30.77</v>
      </c>
      <c r="X32" s="2">
        <v>9.302790641784668</v>
      </c>
      <c r="Y32" s="2">
        <v>-6.4577011382390498E-2</v>
      </c>
      <c r="Z32" s="2">
        <v>3.4657895565032959E-2</v>
      </c>
      <c r="AA32" s="2">
        <v>1.03365583345294E-2</v>
      </c>
      <c r="AB32" s="2"/>
      <c r="AC32" s="2">
        <v>1.94392304557011</v>
      </c>
      <c r="AD32" s="2">
        <v>1.91996160103834</v>
      </c>
      <c r="AE32" s="2">
        <v>0.17755402933856701</v>
      </c>
      <c r="AF32" s="2">
        <v>0.62839999999999996</v>
      </c>
      <c r="AG32" s="2">
        <v>-0.4375</v>
      </c>
      <c r="AH32" s="2">
        <v>-0.62649999999999995</v>
      </c>
    </row>
    <row r="33" spans="1:46" hidden="1" x14ac:dyDescent="0.25">
      <c r="A33" s="2">
        <v>1954.75</v>
      </c>
      <c r="B33" s="2">
        <v>400.3</v>
      </c>
      <c r="C33" s="2">
        <v>2609.0073649221144</v>
      </c>
      <c r="D33" s="2">
        <v>15.343</v>
      </c>
      <c r="E33" s="2">
        <v>245.4</v>
      </c>
      <c r="F33" s="2">
        <v>62.1</v>
      </c>
      <c r="G33" s="2">
        <v>1563.7545402408718</v>
      </c>
      <c r="H33" s="2">
        <v>155.04184934236747</v>
      </c>
      <c r="I33" s="2">
        <v>128.13370406690956</v>
      </c>
      <c r="J33" s="2">
        <v>16.338999999999999</v>
      </c>
      <c r="K33" s="2">
        <v>28.603000000000002</v>
      </c>
      <c r="L33" s="2">
        <v>57.124000000000002</v>
      </c>
      <c r="M33" s="2">
        <v>0.174876797230308</v>
      </c>
      <c r="N33" s="2">
        <v>0.18278572089520587</v>
      </c>
      <c r="O33" s="2">
        <v>0.1945583388384737</v>
      </c>
      <c r="P33" s="2">
        <v>0.18537312329329772</v>
      </c>
      <c r="Q33" s="2">
        <v>11.205826133655767</v>
      </c>
      <c r="R33" s="2">
        <v>164101</v>
      </c>
      <c r="S33" s="2">
        <v>108786</v>
      </c>
      <c r="T33" s="2">
        <v>3.45</v>
      </c>
      <c r="U33" s="2">
        <v>2.4700000000000002</v>
      </c>
      <c r="V33" s="2">
        <v>1.02</v>
      </c>
      <c r="W33" s="2">
        <v>33.53</v>
      </c>
      <c r="X33" s="2">
        <v>10.256571769714355</v>
      </c>
      <c r="Y33" s="2">
        <v>4.2058599394233398E-2</v>
      </c>
      <c r="Z33" s="2">
        <v>3.2516539096832275E-2</v>
      </c>
      <c r="AA33" s="2">
        <v>1.1281007900834084E-2</v>
      </c>
      <c r="AB33" s="2"/>
      <c r="AC33" s="2">
        <v>-0.68025302105648899</v>
      </c>
      <c r="AD33" s="2">
        <v>-0.76265671122207301</v>
      </c>
      <c r="AE33" s="2">
        <v>-0.47207619497390702</v>
      </c>
      <c r="AF33" s="2">
        <v>0.60240000000000005</v>
      </c>
      <c r="AG33" s="2">
        <v>1.1114999999999999</v>
      </c>
      <c r="AH33" s="2">
        <v>-0.63429999999999997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 hidden="1" x14ac:dyDescent="0.25">
      <c r="A34" s="2">
        <v>1955</v>
      </c>
      <c r="B34" s="2">
        <v>413.8</v>
      </c>
      <c r="C34" s="2">
        <v>2684.0500745929817</v>
      </c>
      <c r="D34" s="2">
        <v>15.417</v>
      </c>
      <c r="E34" s="2">
        <v>251.8</v>
      </c>
      <c r="F34" s="2">
        <v>68.7</v>
      </c>
      <c r="G34" s="2">
        <v>1599.3394308943089</v>
      </c>
      <c r="H34" s="2">
        <v>157.64057947878837</v>
      </c>
      <c r="I34" s="2">
        <v>130.01484025859372</v>
      </c>
      <c r="J34" s="2">
        <v>16.888999999999999</v>
      </c>
      <c r="K34" s="2">
        <v>29.027999999999999</v>
      </c>
      <c r="L34" s="2">
        <v>58.182000000000002</v>
      </c>
      <c r="M34" s="2">
        <v>0.19238092381014693</v>
      </c>
      <c r="N34" s="2">
        <v>0.20234449086558656</v>
      </c>
      <c r="O34" s="2">
        <v>0.18959993193158062</v>
      </c>
      <c r="P34" s="2">
        <v>0.16168829580912852</v>
      </c>
      <c r="Q34" s="2">
        <v>10.873687141676877</v>
      </c>
      <c r="R34" s="2">
        <v>164805</v>
      </c>
      <c r="S34" s="2">
        <v>109130</v>
      </c>
      <c r="T34" s="2">
        <v>3.47</v>
      </c>
      <c r="U34" s="2">
        <v>2.65</v>
      </c>
      <c r="V34" s="2">
        <v>1.22</v>
      </c>
      <c r="W34" s="2">
        <v>36.296666666666667</v>
      </c>
      <c r="X34" s="2">
        <v>11.239068031311035</v>
      </c>
      <c r="Y34" s="2">
        <v>0.11916250919680001</v>
      </c>
      <c r="Z34" s="2">
        <v>2.5014471262693405E-2</v>
      </c>
      <c r="AA34" s="2">
        <v>1.0824581608176231E-2</v>
      </c>
      <c r="AB34" s="2"/>
      <c r="AC34" s="2">
        <v>-4.9843965437293601E-2</v>
      </c>
      <c r="AD34" s="2">
        <v>0.17095144062495499</v>
      </c>
      <c r="AE34" s="2">
        <v>0.61861474763996105</v>
      </c>
      <c r="AF34" s="2">
        <v>1.0548</v>
      </c>
      <c r="AG34" s="2">
        <v>5.6208</v>
      </c>
      <c r="AH34" s="2">
        <v>-0.1348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 hidden="1" x14ac:dyDescent="0.25">
      <c r="A35" s="2">
        <v>1955.25</v>
      </c>
      <c r="B35" s="2">
        <v>422.2</v>
      </c>
      <c r="C35" s="2">
        <v>2727.2140042632905</v>
      </c>
      <c r="D35" s="2">
        <v>15.481</v>
      </c>
      <c r="E35" s="2">
        <v>256.8</v>
      </c>
      <c r="F35" s="2">
        <v>72.7</v>
      </c>
      <c r="G35" s="2">
        <v>1629.3382399593936</v>
      </c>
      <c r="H35" s="2">
        <v>167.10327855838693</v>
      </c>
      <c r="I35" s="2">
        <v>131.03060091833851</v>
      </c>
      <c r="J35" s="2">
        <v>17.213000000000001</v>
      </c>
      <c r="K35" s="2">
        <v>29.277000000000001</v>
      </c>
      <c r="L35" s="2">
        <v>58.792999999999999</v>
      </c>
      <c r="M35" s="2">
        <v>0.20425354587883998</v>
      </c>
      <c r="N35" s="2">
        <v>0.2122018159814677</v>
      </c>
      <c r="O35" s="2">
        <v>0.19234219289442026</v>
      </c>
      <c r="P35" s="2">
        <v>0.16334640952489612</v>
      </c>
      <c r="Q35" s="2">
        <v>10.764523378470511</v>
      </c>
      <c r="R35" s="2">
        <v>165470</v>
      </c>
      <c r="S35" s="2">
        <v>109534</v>
      </c>
      <c r="T35" s="2">
        <v>3.5</v>
      </c>
      <c r="U35" s="2">
        <v>2.76</v>
      </c>
      <c r="V35" s="2">
        <v>1.48</v>
      </c>
      <c r="W35" s="2">
        <v>38.380000000000003</v>
      </c>
      <c r="X35" s="2">
        <v>12.058955192565918</v>
      </c>
      <c r="Y35" s="2">
        <v>0.25413965014085999</v>
      </c>
      <c r="Z35" s="2">
        <v>1.6975684091448784E-2</v>
      </c>
      <c r="AA35" s="2">
        <v>6.5883561037480831E-3</v>
      </c>
      <c r="AB35" s="2"/>
      <c r="AC35" s="2">
        <v>-0.34425588521285699</v>
      </c>
      <c r="AD35" s="2">
        <v>-0.81152891036651298</v>
      </c>
      <c r="AE35" s="2">
        <v>0.297194961335292</v>
      </c>
      <c r="AF35" s="2">
        <v>-7.4800000000000005E-2</v>
      </c>
      <c r="AG35" s="2">
        <v>-3.9224000000000001</v>
      </c>
      <c r="AH35" s="2">
        <v>-0.2049</v>
      </c>
      <c r="AI35" s="2">
        <v>-0.54176860208726796</v>
      </c>
      <c r="AJ35" s="2">
        <v>-1.0884746387005799</v>
      </c>
      <c r="AK35" s="2">
        <v>-0.66573511899320403</v>
      </c>
      <c r="AL35" s="2">
        <v>1.36338505754548</v>
      </c>
      <c r="AM35" s="2">
        <v>6.4374858176739103E-2</v>
      </c>
      <c r="AN35" s="2">
        <v>0.13740197266271401</v>
      </c>
      <c r="AO35" s="2">
        <v>-0.18146241862681101</v>
      </c>
      <c r="AP35" s="2">
        <v>-0.39233283825889498</v>
      </c>
      <c r="AQ35" s="2">
        <v>-4.4972460367168404E-3</v>
      </c>
      <c r="AR35" s="2">
        <v>-0.51748684621356</v>
      </c>
      <c r="AS35" s="2">
        <v>0.69281235825267196</v>
      </c>
      <c r="AT35" s="2">
        <v>0.24398373364611001</v>
      </c>
    </row>
    <row r="36" spans="1:46" hidden="1" x14ac:dyDescent="0.25">
      <c r="A36" s="2">
        <v>1955.5</v>
      </c>
      <c r="B36" s="2">
        <v>430.9</v>
      </c>
      <c r="C36" s="2">
        <v>2763.951250801796</v>
      </c>
      <c r="D36" s="2">
        <v>15.59</v>
      </c>
      <c r="E36" s="2">
        <v>261</v>
      </c>
      <c r="F36" s="2">
        <v>74.7</v>
      </c>
      <c r="G36" s="2">
        <v>1649.497566833091</v>
      </c>
      <c r="H36" s="2">
        <v>175.12997928149798</v>
      </c>
      <c r="I36" s="2">
        <v>132.83973418137546</v>
      </c>
      <c r="J36" s="2">
        <v>17.456</v>
      </c>
      <c r="K36" s="2">
        <v>29.247</v>
      </c>
      <c r="L36" s="2">
        <v>59.685000000000002</v>
      </c>
      <c r="M36" s="2">
        <v>0.20485054713509432</v>
      </c>
      <c r="N36" s="2">
        <v>0.20770123682293887</v>
      </c>
      <c r="O36" s="2">
        <v>0.19628541178884021</v>
      </c>
      <c r="P36" s="2">
        <v>0.16472856225992674</v>
      </c>
      <c r="Q36" s="2">
        <v>10.826197181161128</v>
      </c>
      <c r="R36" s="2">
        <v>166199</v>
      </c>
      <c r="S36" s="2">
        <v>109884</v>
      </c>
      <c r="T36" s="2">
        <v>3.56</v>
      </c>
      <c r="U36" s="2">
        <v>2.95</v>
      </c>
      <c r="V36" s="2">
        <v>1.86</v>
      </c>
      <c r="W36" s="2">
        <v>43.153333333333336</v>
      </c>
      <c r="X36" s="2">
        <v>12.901223182678223</v>
      </c>
      <c r="Y36" s="2">
        <v>-0.40422232044206402</v>
      </c>
      <c r="Z36" s="2">
        <v>0.10062137991189957</v>
      </c>
      <c r="AA36" s="2">
        <v>2.5965947657823563E-2</v>
      </c>
      <c r="AB36" s="2"/>
      <c r="AC36" s="2">
        <v>-1.1660463435677899</v>
      </c>
      <c r="AD36" s="2">
        <v>-1.5684381125540101</v>
      </c>
      <c r="AE36" s="2">
        <v>-0.36338596719938099</v>
      </c>
      <c r="AF36" s="2">
        <v>0.17949999999999999</v>
      </c>
      <c r="AG36" s="2">
        <v>-4.0568999999999997</v>
      </c>
      <c r="AH36" s="2">
        <v>-1.0027999999999999</v>
      </c>
      <c r="AI36" s="2">
        <v>-0.65166489793552096</v>
      </c>
      <c r="AJ36" s="2">
        <v>-1.01841837313119</v>
      </c>
      <c r="AK36" s="2">
        <v>0.110459479956798</v>
      </c>
      <c r="AL36" s="2">
        <v>0.26910868604216698</v>
      </c>
      <c r="AM36" s="2">
        <v>0.18662042409995699</v>
      </c>
      <c r="AN36" s="2">
        <v>0.26104700433380101</v>
      </c>
      <c r="AO36" s="2">
        <v>-3.8639328748855201E-2</v>
      </c>
      <c r="AP36" s="2">
        <v>0.19503693782263201</v>
      </c>
      <c r="AQ36" s="2">
        <v>-0.173711336037919</v>
      </c>
      <c r="AR36" s="2">
        <v>0.37969126272361597</v>
      </c>
      <c r="AS36" s="2">
        <v>0.42190451191525202</v>
      </c>
      <c r="AT36" s="2">
        <v>0.40101876504279499</v>
      </c>
    </row>
    <row r="37" spans="1:46" hidden="1" x14ac:dyDescent="0.25">
      <c r="A37" s="2">
        <v>1955.75</v>
      </c>
      <c r="B37" s="2">
        <v>437.8</v>
      </c>
      <c r="C37" s="2">
        <v>2780.9185034618558</v>
      </c>
      <c r="D37" s="2">
        <v>15.743</v>
      </c>
      <c r="E37" s="2">
        <v>265.10000000000002</v>
      </c>
      <c r="F37" s="2">
        <v>78.900000000000006</v>
      </c>
      <c r="G37" s="2">
        <v>1670.7632192600997</v>
      </c>
      <c r="H37" s="2">
        <v>180.52201908704151</v>
      </c>
      <c r="I37" s="2">
        <v>134.33687939265261</v>
      </c>
      <c r="J37" s="2">
        <v>17.547000000000001</v>
      </c>
      <c r="K37" s="2">
        <v>29.073</v>
      </c>
      <c r="L37" s="2">
        <v>60.356000000000002</v>
      </c>
      <c r="M37" s="2">
        <v>0.19975764684879882</v>
      </c>
      <c r="N37" s="2">
        <v>0.19892319400279701</v>
      </c>
      <c r="O37" s="2">
        <v>0.18211800411251905</v>
      </c>
      <c r="P37" s="2">
        <v>0.15148895863462164</v>
      </c>
      <c r="Q37" s="2">
        <v>10.974114769471953</v>
      </c>
      <c r="R37" s="2">
        <v>167016</v>
      </c>
      <c r="S37" s="2">
        <v>110186</v>
      </c>
      <c r="T37" s="2">
        <v>3.6</v>
      </c>
      <c r="U37" s="2">
        <v>2.91</v>
      </c>
      <c r="V37" s="2">
        <v>2.34</v>
      </c>
      <c r="W37" s="2">
        <v>44.143333333333338</v>
      </c>
      <c r="X37" s="2">
        <v>13.256144523620605</v>
      </c>
      <c r="Y37" s="2">
        <v>-2.3137328848899799</v>
      </c>
      <c r="Z37" s="2">
        <v>-6.4682774245738983E-3</v>
      </c>
      <c r="AA37" s="2">
        <v>-8.186054416000843E-3</v>
      </c>
      <c r="AB37" s="2"/>
      <c r="AC37" s="2">
        <v>1.75092429172533</v>
      </c>
      <c r="AD37" s="2">
        <v>-0.66604634372314198</v>
      </c>
      <c r="AE37" s="2">
        <v>-1.17194687012503</v>
      </c>
      <c r="AF37" s="2">
        <v>-0.61870000000000003</v>
      </c>
      <c r="AG37" s="2">
        <v>-1.4359</v>
      </c>
      <c r="AH37" s="2">
        <v>-1.915</v>
      </c>
      <c r="AI37" s="2">
        <v>-0.362511012791501</v>
      </c>
      <c r="AJ37" s="2">
        <v>0.45584637480115198</v>
      </c>
      <c r="AK37" s="2">
        <v>-0.83761283273528997</v>
      </c>
      <c r="AL37" s="2">
        <v>0.147165565774313</v>
      </c>
      <c r="AM37" s="2">
        <v>9.6219552570598402E-2</v>
      </c>
      <c r="AN37" s="2">
        <v>0.10923865133873401</v>
      </c>
      <c r="AO37" s="2">
        <v>-0.40671753159871199</v>
      </c>
      <c r="AP37" s="2">
        <v>0.161897079777647</v>
      </c>
      <c r="AQ37" s="2">
        <v>-0.324549491943395</v>
      </c>
      <c r="AR37" s="2">
        <v>0.57480374857398997</v>
      </c>
      <c r="AS37" s="2">
        <v>0.40647295423395702</v>
      </c>
      <c r="AT37" s="2">
        <v>0.46580308167733703</v>
      </c>
    </row>
    <row r="38" spans="1:46" hidden="1" x14ac:dyDescent="0.25">
      <c r="A38" s="2">
        <v>1956</v>
      </c>
      <c r="B38" s="2">
        <v>440.5</v>
      </c>
      <c r="C38" s="2">
        <v>2770.0918123506481</v>
      </c>
      <c r="D38" s="2">
        <v>15.901999999999999</v>
      </c>
      <c r="E38" s="2">
        <v>266.60000000000002</v>
      </c>
      <c r="F38" s="2">
        <v>78.3</v>
      </c>
      <c r="G38" s="2">
        <v>1673.3617875972886</v>
      </c>
      <c r="H38" s="2">
        <v>178.34489963435564</v>
      </c>
      <c r="I38" s="2">
        <v>134.06638646151558</v>
      </c>
      <c r="J38" s="2">
        <v>17.433</v>
      </c>
      <c r="K38" s="2">
        <v>28.960999999999999</v>
      </c>
      <c r="L38" s="2">
        <v>60.194000000000003</v>
      </c>
      <c r="M38" s="2">
        <v>0.19467902835659254</v>
      </c>
      <c r="N38" s="2">
        <v>0.19435428893353213</v>
      </c>
      <c r="O38" s="2">
        <v>0.18714218965032242</v>
      </c>
      <c r="P38" s="2">
        <v>0.17889322547883005</v>
      </c>
      <c r="Q38" s="2">
        <v>11.13905105262616</v>
      </c>
      <c r="R38" s="2">
        <v>167745</v>
      </c>
      <c r="S38" s="2">
        <v>110483</v>
      </c>
      <c r="T38" s="2">
        <v>3.59</v>
      </c>
      <c r="U38" s="2">
        <v>2.9</v>
      </c>
      <c r="V38" s="2">
        <v>2.33</v>
      </c>
      <c r="W38" s="2">
        <v>45.356666666666662</v>
      </c>
      <c r="X38" s="2">
        <v>13.98812198638916</v>
      </c>
      <c r="Y38" s="2">
        <v>-1.1123958381541399</v>
      </c>
      <c r="Z38" s="2">
        <v>3.3113867044448853E-2</v>
      </c>
      <c r="AA38" s="2">
        <v>5.6669092737138271E-3</v>
      </c>
      <c r="AB38" s="2"/>
      <c r="AC38" s="2">
        <v>-8.9281670530879501E-2</v>
      </c>
      <c r="AD38" s="2">
        <v>-1.2793362688196701</v>
      </c>
      <c r="AE38" s="2">
        <v>-1.5605406603693599</v>
      </c>
      <c r="AF38" s="2">
        <v>-1.0773999999999999</v>
      </c>
      <c r="AG38" s="2">
        <v>-6.3124000000000002</v>
      </c>
      <c r="AH38" s="2">
        <v>-1.0547</v>
      </c>
      <c r="AI38" s="2">
        <v>-0.220524170789377</v>
      </c>
      <c r="AJ38" s="2">
        <v>-2.2993918091892498</v>
      </c>
      <c r="AK38" s="2">
        <v>-1.3993074791528901</v>
      </c>
      <c r="AL38" s="2">
        <v>-0.36270901204926698</v>
      </c>
      <c r="AM38" s="2">
        <v>2.3281206846593801E-2</v>
      </c>
      <c r="AN38" s="2">
        <v>0.21633809575580401</v>
      </c>
      <c r="AO38" s="2">
        <v>0.26039081554732901</v>
      </c>
      <c r="AP38" s="2">
        <v>1.32072879765969</v>
      </c>
      <c r="AQ38" s="2">
        <v>-3.5254722558531802E-3</v>
      </c>
      <c r="AR38" s="2">
        <v>-0.60753827397910698</v>
      </c>
      <c r="AS38" s="2">
        <v>0.47118305174221597</v>
      </c>
      <c r="AT38" s="2">
        <v>-0.15728779503884199</v>
      </c>
    </row>
    <row r="39" spans="1:46" hidden="1" x14ac:dyDescent="0.25">
      <c r="A39" s="2">
        <v>1956.25</v>
      </c>
      <c r="B39" s="2">
        <v>446.8</v>
      </c>
      <c r="C39" s="2">
        <v>2793.0236919422391</v>
      </c>
      <c r="D39" s="2">
        <v>15.997</v>
      </c>
      <c r="E39" s="2">
        <v>269.3</v>
      </c>
      <c r="F39" s="2">
        <v>77</v>
      </c>
      <c r="G39" s="2">
        <v>1678.927680798005</v>
      </c>
      <c r="H39" s="2">
        <v>181.60298849724452</v>
      </c>
      <c r="I39" s="2">
        <v>134.44956210925523</v>
      </c>
      <c r="J39" s="2">
        <v>17.577000000000002</v>
      </c>
      <c r="K39" s="2">
        <v>29.12</v>
      </c>
      <c r="L39" s="2">
        <v>60.360999999999997</v>
      </c>
      <c r="M39" s="2">
        <v>0.19884772422975577</v>
      </c>
      <c r="N39" s="2">
        <v>0.19968703615448349</v>
      </c>
      <c r="O39" s="2">
        <v>0.20275185051113431</v>
      </c>
      <c r="P39" s="2">
        <v>0.20316322694710282</v>
      </c>
      <c r="Q39" s="2">
        <v>11.255226917997046</v>
      </c>
      <c r="R39" s="2">
        <v>168439</v>
      </c>
      <c r="S39" s="2">
        <v>110788</v>
      </c>
      <c r="T39" s="2">
        <v>3.72</v>
      </c>
      <c r="U39" s="2">
        <v>3.08</v>
      </c>
      <c r="V39" s="2">
        <v>2.57</v>
      </c>
      <c r="W39" s="2">
        <v>46.95333333333334</v>
      </c>
      <c r="X39" s="2">
        <v>14.541319847106934</v>
      </c>
      <c r="Y39" s="2">
        <v>5.7492363268881203E-3</v>
      </c>
      <c r="Z39" s="2">
        <v>1.7352009192109108E-2</v>
      </c>
      <c r="AA39" s="2">
        <v>5.7900091633200645E-3</v>
      </c>
      <c r="AB39" s="2"/>
      <c r="AC39" s="2">
        <v>-0.63535002101040206</v>
      </c>
      <c r="AD39" s="2">
        <v>0.439398197718114</v>
      </c>
      <c r="AE39" s="2">
        <v>-0.950575055947947</v>
      </c>
      <c r="AF39" s="2">
        <v>0.36259999999999998</v>
      </c>
      <c r="AG39" s="2">
        <v>1.0117</v>
      </c>
      <c r="AH39" s="2">
        <v>1.4944999999999999</v>
      </c>
      <c r="AI39" s="2">
        <v>0.107535548480668</v>
      </c>
      <c r="AJ39" s="2">
        <v>-0.89110804595487003</v>
      </c>
      <c r="AK39" s="2">
        <v>-0.121981697420107</v>
      </c>
      <c r="AL39" s="2">
        <v>1.00952648816426</v>
      </c>
      <c r="AM39" s="2">
        <v>0.105565154721393</v>
      </c>
      <c r="AN39" s="2">
        <v>0.22254792408568</v>
      </c>
      <c r="AO39" s="2">
        <v>-0.341943988420784</v>
      </c>
      <c r="AP39" s="2">
        <v>-0.41728703889060098</v>
      </c>
      <c r="AQ39" s="2">
        <v>-0.292040882991908</v>
      </c>
      <c r="AR39" s="2">
        <v>0.83290111784670695</v>
      </c>
      <c r="AS39" s="2">
        <v>0.37216188913289699</v>
      </c>
      <c r="AT39" s="2">
        <v>-0.22190644868619799</v>
      </c>
    </row>
    <row r="40" spans="1:46" hidden="1" x14ac:dyDescent="0.25">
      <c r="A40" s="2">
        <v>1956.5</v>
      </c>
      <c r="B40" s="2">
        <v>452</v>
      </c>
      <c r="C40" s="2">
        <v>2790.6402420201275</v>
      </c>
      <c r="D40" s="2">
        <v>16.196999999999999</v>
      </c>
      <c r="E40" s="2">
        <v>272.5</v>
      </c>
      <c r="F40" s="2">
        <v>78.3</v>
      </c>
      <c r="G40" s="2">
        <v>1682.5142010372931</v>
      </c>
      <c r="H40" s="2">
        <v>183.11181739381684</v>
      </c>
      <c r="I40" s="2">
        <v>134.27428601740095</v>
      </c>
      <c r="J40" s="2">
        <v>17.506</v>
      </c>
      <c r="K40" s="2">
        <v>29.122</v>
      </c>
      <c r="L40" s="2">
        <v>60.113999999999997</v>
      </c>
      <c r="M40" s="2">
        <v>0.19515987277055705</v>
      </c>
      <c r="N40" s="2">
        <v>0.18972803490513701</v>
      </c>
      <c r="O40" s="2">
        <v>0.19729279197931299</v>
      </c>
      <c r="P40" s="2">
        <v>0.1802978997610587</v>
      </c>
      <c r="Q40" s="2">
        <v>11.454857944259901</v>
      </c>
      <c r="R40" s="2">
        <v>169194</v>
      </c>
      <c r="S40" s="2">
        <v>111113</v>
      </c>
      <c r="T40" s="2">
        <v>3.93</v>
      </c>
      <c r="U40" s="2">
        <v>3.27</v>
      </c>
      <c r="V40" s="2">
        <v>2.58</v>
      </c>
      <c r="W40" s="2">
        <v>48.036666666666669</v>
      </c>
      <c r="X40" s="2">
        <v>14.827110290527344</v>
      </c>
      <c r="Y40" s="2">
        <v>-1.7851249324577001</v>
      </c>
      <c r="Z40" s="2">
        <v>2.5602283421903849E-3</v>
      </c>
      <c r="AA40" s="2">
        <v>-4.8180725425481796E-3</v>
      </c>
      <c r="AB40" s="2"/>
      <c r="AC40" s="2">
        <v>-0.95709284800251204</v>
      </c>
      <c r="AD40" s="2">
        <v>-1.9648522562961299</v>
      </c>
      <c r="AE40" s="2">
        <v>-1.4527841003747799</v>
      </c>
      <c r="AF40" s="2">
        <v>0.26429999999999998</v>
      </c>
      <c r="AG40" s="2">
        <v>-1.4923999999999999</v>
      </c>
      <c r="AH40" s="2">
        <v>-1.8149</v>
      </c>
      <c r="AI40" s="2">
        <v>0.44989160621868302</v>
      </c>
      <c r="AJ40" s="2">
        <v>-0.21041151720589199</v>
      </c>
      <c r="AK40" s="2">
        <v>-0.49269784219218299</v>
      </c>
      <c r="AL40" s="2">
        <v>0.20142573976779199</v>
      </c>
      <c r="AM40" s="2">
        <v>0.19612515353023999</v>
      </c>
      <c r="AN40" s="2">
        <v>4.6245594707260397E-2</v>
      </c>
      <c r="AO40" s="2">
        <v>0.17958328566206899</v>
      </c>
      <c r="AP40" s="2">
        <v>0.200382864349437</v>
      </c>
      <c r="AQ40" s="2">
        <v>0.16654596925132001</v>
      </c>
      <c r="AR40" s="2">
        <v>2.07808180421791E-2</v>
      </c>
      <c r="AS40" s="2">
        <v>0.63675953906136595</v>
      </c>
      <c r="AT40" s="2">
        <v>-0.263651044013548</v>
      </c>
    </row>
    <row r="41" spans="1:46" hidden="1" x14ac:dyDescent="0.25">
      <c r="A41" s="2">
        <v>1956.75</v>
      </c>
      <c r="B41" s="2">
        <v>461.3</v>
      </c>
      <c r="C41" s="2">
        <v>2836.3256271519922</v>
      </c>
      <c r="D41" s="2">
        <v>16.263999999999999</v>
      </c>
      <c r="E41" s="2">
        <v>277.89999999999998</v>
      </c>
      <c r="F41" s="2">
        <v>77.099999999999994</v>
      </c>
      <c r="G41" s="2">
        <v>1705.7451509943526</v>
      </c>
      <c r="H41" s="2">
        <v>183.25073977681913</v>
      </c>
      <c r="I41" s="2">
        <v>134.21809562334869</v>
      </c>
      <c r="J41" s="2">
        <v>17.821999999999999</v>
      </c>
      <c r="K41" s="2">
        <v>29.727</v>
      </c>
      <c r="L41" s="2">
        <v>59.951000000000001</v>
      </c>
      <c r="M41" s="2">
        <v>0.21172724465024395</v>
      </c>
      <c r="N41" s="2">
        <v>0.1986370255467948</v>
      </c>
      <c r="O41" s="2">
        <v>0.20410341237919763</v>
      </c>
      <c r="P41" s="2">
        <v>0.16561041336024421</v>
      </c>
      <c r="Q41" s="2">
        <v>11.622964814217923</v>
      </c>
      <c r="R41" s="2">
        <v>170053</v>
      </c>
      <c r="S41" s="2">
        <v>111431</v>
      </c>
      <c r="T41" s="2">
        <v>4.26</v>
      </c>
      <c r="U41" s="2">
        <v>3.47</v>
      </c>
      <c r="V41" s="2">
        <v>3.03</v>
      </c>
      <c r="W41" s="2">
        <v>46.146666666666668</v>
      </c>
      <c r="X41" s="2">
        <v>14.504807472229004</v>
      </c>
      <c r="Y41" s="2">
        <v>1.53435666126818</v>
      </c>
      <c r="Z41" s="2">
        <v>-6.8588346242904663E-2</v>
      </c>
      <c r="AA41" s="2">
        <v>-1.4471430331468582E-2</v>
      </c>
      <c r="AB41" s="2"/>
      <c r="AC41" s="2">
        <v>-1.1575946753228501</v>
      </c>
      <c r="AD41" s="2">
        <v>-1.6611750923663</v>
      </c>
      <c r="AE41" s="2">
        <v>1.2579852166657199</v>
      </c>
      <c r="AF41" s="2">
        <v>0.64070000000000005</v>
      </c>
      <c r="AG41" s="2">
        <v>0.25919999999999999</v>
      </c>
      <c r="AH41" s="2">
        <v>0.49830000000000002</v>
      </c>
      <c r="AI41" s="2">
        <v>0.18888531816029799</v>
      </c>
      <c r="AJ41" s="2">
        <v>-1.9534188500771801</v>
      </c>
      <c r="AK41" s="2">
        <v>-0.72787568145042403</v>
      </c>
      <c r="AL41" s="2">
        <v>0.25259924996543998</v>
      </c>
      <c r="AM41" s="2">
        <v>8.3065329878842395E-2</v>
      </c>
      <c r="AN41" s="2">
        <v>-9.5422939991972405E-2</v>
      </c>
      <c r="AO41" s="2">
        <v>0.14800894843769699</v>
      </c>
      <c r="AP41" s="2">
        <v>9.4269198947544999E-2</v>
      </c>
      <c r="AQ41" s="2">
        <v>0.27645416744558499</v>
      </c>
      <c r="AR41" s="2">
        <v>0.23387042166424901</v>
      </c>
      <c r="AS41" s="2">
        <v>0.75776935871506401</v>
      </c>
      <c r="AT41" s="2">
        <v>3.3737438851105299E-2</v>
      </c>
    </row>
    <row r="42" spans="1:46" hidden="1" x14ac:dyDescent="0.25">
      <c r="A42" s="2">
        <v>1957</v>
      </c>
      <c r="B42" s="2">
        <v>470.6</v>
      </c>
      <c r="C42" s="2">
        <v>2854.7164088565364</v>
      </c>
      <c r="D42" s="2">
        <v>16.484999999999999</v>
      </c>
      <c r="E42" s="2">
        <v>282.3</v>
      </c>
      <c r="F42" s="2">
        <v>77.7</v>
      </c>
      <c r="G42" s="2">
        <v>1717.3622095145397</v>
      </c>
      <c r="H42" s="2">
        <v>184.38520703824676</v>
      </c>
      <c r="I42" s="2">
        <v>133.90948545852288</v>
      </c>
      <c r="J42" s="2">
        <v>17.93</v>
      </c>
      <c r="K42" s="2">
        <v>29.922999999999998</v>
      </c>
      <c r="L42" s="2">
        <v>59.92</v>
      </c>
      <c r="M42" s="2">
        <v>0.21184366654222925</v>
      </c>
      <c r="N42" s="2">
        <v>0.19792821500979887</v>
      </c>
      <c r="O42" s="2">
        <v>0.21336755271088978</v>
      </c>
      <c r="P42" s="2">
        <v>0.18106349202215002</v>
      </c>
      <c r="Q42" s="2">
        <v>11.783063955404259</v>
      </c>
      <c r="R42" s="2">
        <v>170802</v>
      </c>
      <c r="S42" s="2">
        <v>111720</v>
      </c>
      <c r="T42" s="2">
        <v>4.46</v>
      </c>
      <c r="U42" s="2">
        <v>3.4</v>
      </c>
      <c r="V42" s="2">
        <v>3.1</v>
      </c>
      <c r="W42" s="2">
        <v>44.31</v>
      </c>
      <c r="X42" s="2">
        <v>14.302046775817871</v>
      </c>
      <c r="Y42" s="2">
        <v>0.22223155573536199</v>
      </c>
      <c r="Z42" s="2">
        <v>-3.8457460701465607E-2</v>
      </c>
      <c r="AA42" s="2">
        <v>-1.4101953245699406E-2</v>
      </c>
      <c r="AB42" s="2"/>
      <c r="AC42" s="2">
        <v>0.51783381886462798</v>
      </c>
      <c r="AD42" s="2">
        <v>0.239947967740056</v>
      </c>
      <c r="AE42" s="2">
        <v>0.40560578973502798</v>
      </c>
      <c r="AF42" s="2">
        <v>0.52029999999999998</v>
      </c>
      <c r="AG42" s="2">
        <v>-1.6691</v>
      </c>
      <c r="AH42" s="2">
        <v>-1.2221</v>
      </c>
      <c r="AI42" s="2">
        <v>-7.6692058353140705E-2</v>
      </c>
      <c r="AJ42" s="2">
        <v>1.0880660054179301</v>
      </c>
      <c r="AK42" s="2">
        <v>-0.15823815211211301</v>
      </c>
      <c r="AL42" s="2">
        <v>0.25111794260028902</v>
      </c>
      <c r="AM42" s="2">
        <v>0.16776058327473201</v>
      </c>
      <c r="AN42" s="2">
        <v>-8.6861542731448693E-2</v>
      </c>
      <c r="AO42" s="2">
        <v>1.1449280129272099</v>
      </c>
      <c r="AP42" s="2">
        <v>-0.24002403834820299</v>
      </c>
      <c r="AQ42" s="2">
        <v>-0.34921472227068501</v>
      </c>
      <c r="AR42" s="2">
        <v>-0.91101638099183702</v>
      </c>
      <c r="AS42" s="2">
        <v>-0.43968395223593498</v>
      </c>
      <c r="AT42" s="2">
        <v>0.25121073923586901</v>
      </c>
    </row>
    <row r="43" spans="1:46" hidden="1" x14ac:dyDescent="0.25">
      <c r="A43" s="2">
        <v>1957.25</v>
      </c>
      <c r="B43" s="2">
        <v>472.8</v>
      </c>
      <c r="C43" s="2">
        <v>2848.0212035419554</v>
      </c>
      <c r="D43" s="2">
        <v>16.600999999999999</v>
      </c>
      <c r="E43" s="2">
        <v>284.60000000000002</v>
      </c>
      <c r="F43" s="2">
        <v>77.900000000000006</v>
      </c>
      <c r="G43" s="2">
        <v>1720.3651091095935</v>
      </c>
      <c r="H43" s="2">
        <v>183.74903933487039</v>
      </c>
      <c r="I43" s="2">
        <v>133.39934570268906</v>
      </c>
      <c r="J43" s="2">
        <v>17.84</v>
      </c>
      <c r="K43" s="2">
        <v>29.937000000000001</v>
      </c>
      <c r="L43" s="2">
        <v>59.591999999999999</v>
      </c>
      <c r="M43" s="2">
        <v>0.20792111433637159</v>
      </c>
      <c r="N43" s="2">
        <v>0.19198964492610041</v>
      </c>
      <c r="O43" s="2">
        <v>0.22839367410056127</v>
      </c>
      <c r="P43" s="2">
        <v>0.21299516505941415</v>
      </c>
      <c r="Q43" s="2">
        <v>11.778240281434835</v>
      </c>
      <c r="R43" s="2">
        <v>171504</v>
      </c>
      <c r="S43" s="2">
        <v>112045</v>
      </c>
      <c r="T43" s="2">
        <v>4.53</v>
      </c>
      <c r="U43" s="2">
        <v>3.63</v>
      </c>
      <c r="V43" s="2">
        <v>3.14</v>
      </c>
      <c r="W43" s="2">
        <v>46.46</v>
      </c>
      <c r="X43" s="2">
        <v>15.434992790222168</v>
      </c>
      <c r="Y43" s="2">
        <v>-1.53885203031407</v>
      </c>
      <c r="Z43" s="2">
        <v>7.4042044579982758E-2</v>
      </c>
      <c r="AA43" s="2">
        <v>1.6530271619558334E-2</v>
      </c>
      <c r="AB43" s="2"/>
      <c r="AC43" s="2">
        <v>-0.25093141494947402</v>
      </c>
      <c r="AD43" s="2">
        <v>-0.204748349255712</v>
      </c>
      <c r="AE43" s="2">
        <v>-0.32919837415091102</v>
      </c>
      <c r="AF43" s="2">
        <v>-0.57479999999999998</v>
      </c>
      <c r="AG43" s="2">
        <v>-1.698</v>
      </c>
      <c r="AH43" s="2">
        <v>-0.13250000000000001</v>
      </c>
      <c r="AI43" s="2">
        <v>0.20200406732836501</v>
      </c>
      <c r="AJ43" s="2">
        <v>-1.7194473520018501</v>
      </c>
      <c r="AK43" s="2">
        <v>-0.72976853407703102</v>
      </c>
      <c r="AL43" s="2">
        <v>-0.19710153764177801</v>
      </c>
      <c r="AM43" s="2">
        <v>0.184196751407151</v>
      </c>
      <c r="AN43" s="2">
        <v>5.0460247674629199E-2</v>
      </c>
      <c r="AO43" s="2">
        <v>-0.36799657316474299</v>
      </c>
      <c r="AP43" s="2">
        <v>-5.0295910779462001E-2</v>
      </c>
      <c r="AQ43" s="2">
        <v>0.40279106476632798</v>
      </c>
      <c r="AR43" s="2">
        <v>0.184831846990618</v>
      </c>
      <c r="AS43" s="2">
        <v>-0.56919896101781298</v>
      </c>
      <c r="AT43" s="2">
        <v>0.26265447115208901</v>
      </c>
    </row>
    <row r="44" spans="1:46" hidden="1" x14ac:dyDescent="0.25">
      <c r="A44" s="2">
        <v>1957.5</v>
      </c>
      <c r="B44" s="2">
        <v>480.3</v>
      </c>
      <c r="C44" s="2">
        <v>2875.875696066104</v>
      </c>
      <c r="D44" s="2">
        <v>16.701000000000001</v>
      </c>
      <c r="E44" s="2">
        <v>289.2</v>
      </c>
      <c r="F44" s="2">
        <v>79.3</v>
      </c>
      <c r="G44" s="2">
        <v>1734.2288318541619</v>
      </c>
      <c r="H44" s="2">
        <v>187.729891040322</v>
      </c>
      <c r="I44" s="2">
        <v>133.74252863864379</v>
      </c>
      <c r="J44" s="2">
        <v>18.010000000000002</v>
      </c>
      <c r="K44" s="2">
        <v>30.247</v>
      </c>
      <c r="L44" s="2">
        <v>59.542999999999999</v>
      </c>
      <c r="M44" s="2">
        <v>0.21103784740091699</v>
      </c>
      <c r="N44" s="2">
        <v>0.1993111241905127</v>
      </c>
      <c r="O44" s="2">
        <v>0.23931070669305268</v>
      </c>
      <c r="P44" s="2">
        <v>0.22871316763397578</v>
      </c>
      <c r="Q44" s="2">
        <v>11.809713525109219</v>
      </c>
      <c r="R44" s="2">
        <v>172260</v>
      </c>
      <c r="S44" s="2">
        <v>112431</v>
      </c>
      <c r="T44" s="2">
        <v>4.83</v>
      </c>
      <c r="U44" s="2">
        <v>3.93</v>
      </c>
      <c r="V44" s="2">
        <v>3.35</v>
      </c>
      <c r="W44" s="2">
        <v>46.109999999999992</v>
      </c>
      <c r="X44" s="2">
        <v>14.924454689025879</v>
      </c>
      <c r="Y44" s="2">
        <v>-0.12776527455021899</v>
      </c>
      <c r="Z44" s="2">
        <v>-4.1535370051860809E-2</v>
      </c>
      <c r="AA44" s="2">
        <v>-1.4092570170760155E-2</v>
      </c>
      <c r="AB44" s="2"/>
      <c r="AC44" s="2">
        <v>5.2319640855969199E-2</v>
      </c>
      <c r="AD44" s="2">
        <v>1.0795393846821799</v>
      </c>
      <c r="AE44" s="2">
        <v>1.5615549467866501</v>
      </c>
      <c r="AF44" s="2">
        <v>1.0045999999999999</v>
      </c>
      <c r="AG44" s="2">
        <v>0.73540000000000005</v>
      </c>
      <c r="AH44" s="2">
        <v>1.1586000000000001</v>
      </c>
      <c r="AI44" s="2">
        <v>0.79033669533029005</v>
      </c>
      <c r="AJ44" s="2">
        <v>0.86660472776600495</v>
      </c>
      <c r="AK44" s="2">
        <v>0.27688098235679298</v>
      </c>
      <c r="AL44" s="2">
        <v>1.16573176539981</v>
      </c>
      <c r="AM44" s="2">
        <v>6.8166073742104996E-2</v>
      </c>
      <c r="AN44" s="2">
        <v>3.9107267796960297E-3</v>
      </c>
      <c r="AO44" s="2">
        <v>0.18403986254855501</v>
      </c>
      <c r="AP44" s="2">
        <v>0.143126975909453</v>
      </c>
      <c r="AQ44" s="2">
        <v>1.60268279486286E-2</v>
      </c>
      <c r="AR44" s="2">
        <v>0.96908838828811095</v>
      </c>
      <c r="AS44" s="2">
        <v>-0.50320390524069203</v>
      </c>
      <c r="AT44" s="2">
        <v>0.223813505073893</v>
      </c>
    </row>
    <row r="45" spans="1:46" hidden="1" x14ac:dyDescent="0.25">
      <c r="A45" s="2">
        <v>1957.75</v>
      </c>
      <c r="B45" s="2">
        <v>475.7</v>
      </c>
      <c r="C45" s="2">
        <v>2846.6279696008619</v>
      </c>
      <c r="D45" s="2">
        <v>16.710999999999999</v>
      </c>
      <c r="E45" s="2">
        <v>290.8</v>
      </c>
      <c r="F45" s="2">
        <v>71</v>
      </c>
      <c r="G45" s="2">
        <v>1734.8765063834865</v>
      </c>
      <c r="H45" s="2">
        <v>183.22713965903219</v>
      </c>
      <c r="I45" s="2">
        <v>131.09734717124769</v>
      </c>
      <c r="J45" s="2">
        <v>17.771999999999998</v>
      </c>
      <c r="K45" s="2">
        <v>30.559000000000001</v>
      </c>
      <c r="L45" s="2">
        <v>58.156999999999996</v>
      </c>
      <c r="M45" s="2">
        <v>0.21009003452937422</v>
      </c>
      <c r="N45" s="2">
        <v>0.1965148126956541</v>
      </c>
      <c r="O45" s="2">
        <v>0.26159698266110221</v>
      </c>
      <c r="P45" s="2">
        <v>0.25399019878098439</v>
      </c>
      <c r="Q45" s="2">
        <v>11.97233427564889</v>
      </c>
      <c r="R45" s="2">
        <v>173061</v>
      </c>
      <c r="S45" s="2">
        <v>112866</v>
      </c>
      <c r="T45" s="2">
        <v>5.04</v>
      </c>
      <c r="U45" s="2">
        <v>3.63</v>
      </c>
      <c r="V45" s="2">
        <v>3.31</v>
      </c>
      <c r="W45" s="2">
        <v>40.64</v>
      </c>
      <c r="X45" s="2">
        <v>13.594250679016113</v>
      </c>
      <c r="Y45" s="2">
        <v>2.0134333079653</v>
      </c>
      <c r="Z45" s="2">
        <v>-0.11176782101392746</v>
      </c>
      <c r="AA45" s="2">
        <v>-3.4249171614646912E-2</v>
      </c>
      <c r="AB45" s="2"/>
      <c r="AC45" s="2">
        <v>-2.7656355602449598</v>
      </c>
      <c r="AD45" s="2">
        <v>-0.94086761544016295</v>
      </c>
      <c r="AE45" s="2">
        <v>0.66133182606664198</v>
      </c>
      <c r="AF45" s="2">
        <v>-0.13220000000000001</v>
      </c>
      <c r="AG45" s="2">
        <v>-11.8147</v>
      </c>
      <c r="AH45" s="2">
        <v>2.1815000000000002</v>
      </c>
      <c r="AI45" s="2">
        <v>-4.2884698585137902E-2</v>
      </c>
      <c r="AJ45" s="2">
        <v>0.719915922983414</v>
      </c>
      <c r="AK45" s="2">
        <v>0.24249865820383501</v>
      </c>
      <c r="AL45" s="2">
        <v>0.79529611961114599</v>
      </c>
      <c r="AM45" s="2">
        <v>-0.108511497027934</v>
      </c>
      <c r="AN45" s="2">
        <v>-0.12072861491058</v>
      </c>
      <c r="AO45" s="2">
        <v>0.103802994400716</v>
      </c>
      <c r="AP45" s="2">
        <v>0.18955475082449</v>
      </c>
      <c r="AQ45" s="2">
        <v>7.7167054059764595E-2</v>
      </c>
      <c r="AR45" s="2">
        <v>-8.8615198356469901E-2</v>
      </c>
      <c r="AS45" s="2">
        <v>-1.1031250332088301E-2</v>
      </c>
      <c r="AT45" s="2">
        <v>6.3926592020447495E-2</v>
      </c>
    </row>
    <row r="46" spans="1:46" hidden="1" x14ac:dyDescent="0.25">
      <c r="A46" s="2">
        <v>1958</v>
      </c>
      <c r="B46" s="2">
        <v>468.4</v>
      </c>
      <c r="C46" s="2">
        <v>2772.9102533743785</v>
      </c>
      <c r="D46" s="2">
        <v>16.891999999999999</v>
      </c>
      <c r="E46" s="2">
        <v>290.3</v>
      </c>
      <c r="F46" s="2">
        <v>66.7</v>
      </c>
      <c r="G46" s="2">
        <v>1710.8675153229608</v>
      </c>
      <c r="H46" s="2">
        <v>171.70663885992354</v>
      </c>
      <c r="I46" s="2">
        <v>128.02718630757053</v>
      </c>
      <c r="J46" s="2">
        <v>17.170000000000002</v>
      </c>
      <c r="K46" s="2">
        <v>30.335000000000001</v>
      </c>
      <c r="L46" s="2">
        <v>56.601999999999997</v>
      </c>
      <c r="M46" s="2">
        <v>0.19377796417101947</v>
      </c>
      <c r="N46" s="2">
        <v>0.17663290281676119</v>
      </c>
      <c r="O46" s="2">
        <v>0.2647555703801957</v>
      </c>
      <c r="P46" s="2">
        <v>0.27494978010054277</v>
      </c>
      <c r="Q46" s="2">
        <v>11.880111965361376</v>
      </c>
      <c r="R46" s="2">
        <v>173741</v>
      </c>
      <c r="S46" s="2">
        <v>113236</v>
      </c>
      <c r="T46" s="2">
        <v>4.72</v>
      </c>
      <c r="U46" s="2">
        <v>3.04</v>
      </c>
      <c r="V46" s="2">
        <v>1.76</v>
      </c>
      <c r="W46" s="2">
        <v>41.496666666666663</v>
      </c>
      <c r="X46" s="2">
        <v>14.055532455444336</v>
      </c>
      <c r="Y46" s="2">
        <v>-1.39125237064687</v>
      </c>
      <c r="Z46" s="2">
        <v>9.1399028897285461E-2</v>
      </c>
      <c r="AA46" s="2">
        <v>1.7532810568809509E-2</v>
      </c>
      <c r="AB46" s="2"/>
      <c r="AC46" s="2">
        <v>-1.9025489340444499</v>
      </c>
      <c r="AD46" s="2">
        <v>1.07971286792571</v>
      </c>
      <c r="AE46" s="2">
        <v>-2.4538241010505701</v>
      </c>
      <c r="AF46" s="2">
        <v>-1.1173</v>
      </c>
      <c r="AG46" s="2">
        <v>-5.649</v>
      </c>
      <c r="AH46" s="2">
        <v>-0.47939999999999999</v>
      </c>
      <c r="AI46" s="2">
        <v>0.16086336877326901</v>
      </c>
      <c r="AJ46" s="2">
        <v>5.3296209752974999</v>
      </c>
      <c r="AK46" s="2">
        <v>-0.98801397746932496</v>
      </c>
      <c r="AL46" s="2">
        <v>-2.3726794453387701</v>
      </c>
      <c r="AM46" s="2">
        <v>-0.10021047023073899</v>
      </c>
      <c r="AN46" s="2">
        <v>0.20005691242607301</v>
      </c>
      <c r="AO46" s="2">
        <v>-0.19864915993545701</v>
      </c>
      <c r="AP46" s="2">
        <v>0.103879991253159</v>
      </c>
      <c r="AQ46" s="2">
        <v>-0.54552871639887202</v>
      </c>
      <c r="AR46" s="2">
        <v>0.185316020582006</v>
      </c>
      <c r="AS46" s="2">
        <v>0.26239868048849002</v>
      </c>
      <c r="AT46" s="2">
        <v>0.20949682273404099</v>
      </c>
    </row>
    <row r="47" spans="1:46" hidden="1" x14ac:dyDescent="0.25">
      <c r="A47" s="2">
        <v>1958.25</v>
      </c>
      <c r="B47" s="2">
        <v>472.8</v>
      </c>
      <c r="C47" s="2">
        <v>2791.0271546635181</v>
      </c>
      <c r="D47" s="2">
        <v>16.940000000000001</v>
      </c>
      <c r="E47" s="2">
        <v>293.2</v>
      </c>
      <c r="F47" s="2">
        <v>65.099999999999994</v>
      </c>
      <c r="G47" s="2">
        <v>1724.80734160833</v>
      </c>
      <c r="H47" s="2">
        <v>165.17502332492484</v>
      </c>
      <c r="I47" s="2">
        <v>127.3355287062908</v>
      </c>
      <c r="J47" s="2">
        <v>17.265000000000001</v>
      </c>
      <c r="K47" s="2">
        <v>30.78</v>
      </c>
      <c r="L47" s="2">
        <v>56.091999999999999</v>
      </c>
      <c r="M47" s="2">
        <v>0.20071273673646522</v>
      </c>
      <c r="N47" s="2">
        <v>0.18502777578730917</v>
      </c>
      <c r="O47" s="2">
        <v>0.26730304321332116</v>
      </c>
      <c r="P47" s="2">
        <v>0.26932872423392296</v>
      </c>
      <c r="Q47" s="2">
        <v>11.824190613254034</v>
      </c>
      <c r="R47" s="2">
        <v>174404</v>
      </c>
      <c r="S47" s="2">
        <v>113532</v>
      </c>
      <c r="T47" s="2">
        <v>4.6100000000000003</v>
      </c>
      <c r="U47" s="2">
        <v>2.92</v>
      </c>
      <c r="V47" s="2">
        <v>0.96</v>
      </c>
      <c r="W47" s="2">
        <v>43.596666666666671</v>
      </c>
      <c r="X47" s="2">
        <v>15.140374183654785</v>
      </c>
      <c r="Y47" s="2">
        <v>0.72779930491124101</v>
      </c>
      <c r="Z47" s="2">
        <v>1.583709754049778E-2</v>
      </c>
      <c r="AA47" s="2">
        <v>4.5898808166384697E-3</v>
      </c>
      <c r="AB47" s="2"/>
      <c r="AC47" s="2">
        <v>1.9529584027164999</v>
      </c>
      <c r="AD47" s="2">
        <v>0.61695113414775704</v>
      </c>
      <c r="AE47" s="2">
        <v>-0.83837108358265799</v>
      </c>
      <c r="AF47" s="2">
        <v>2.6173999999999999</v>
      </c>
      <c r="AG47" s="2">
        <v>-8.0199999999999994E-2</v>
      </c>
      <c r="AH47" s="2">
        <v>0.64219999999999999</v>
      </c>
      <c r="AI47" s="2">
        <v>1.00635732693157</v>
      </c>
      <c r="AJ47" s="2">
        <v>-1.5622420146298901</v>
      </c>
      <c r="AK47" s="2">
        <v>0.91573733993205098</v>
      </c>
      <c r="AL47" s="2">
        <v>-0.42369165300272599</v>
      </c>
      <c r="AM47" s="2">
        <v>8.9453641947188606E-2</v>
      </c>
      <c r="AN47" s="2">
        <v>0.23310909472331701</v>
      </c>
      <c r="AO47" s="2">
        <v>-2.2726875759573901E-2</v>
      </c>
      <c r="AP47" s="2">
        <v>5.9884199403158499E-2</v>
      </c>
      <c r="AQ47" s="2">
        <v>0.14568548754741101</v>
      </c>
      <c r="AR47" s="2">
        <v>-0.63215732100802702</v>
      </c>
      <c r="AS47" s="2">
        <v>0.63463205378271204</v>
      </c>
      <c r="AT47" s="2">
        <v>8.4610784609720893E-2</v>
      </c>
    </row>
    <row r="48" spans="1:46" hidden="1" x14ac:dyDescent="0.25">
      <c r="A48" s="2">
        <v>1958.5</v>
      </c>
      <c r="B48" s="2">
        <v>486.7</v>
      </c>
      <c r="C48" s="2">
        <v>2855.717890042833</v>
      </c>
      <c r="D48" s="2">
        <v>17.042999999999999</v>
      </c>
      <c r="E48" s="2">
        <v>298.3</v>
      </c>
      <c r="F48" s="2">
        <v>72</v>
      </c>
      <c r="G48" s="2">
        <v>1753.4681401363744</v>
      </c>
      <c r="H48" s="2">
        <v>163.41446597255739</v>
      </c>
      <c r="I48" s="2">
        <v>128.19040451381269</v>
      </c>
      <c r="J48" s="2">
        <v>17.707999999999998</v>
      </c>
      <c r="K48" s="2">
        <v>31.338999999999999</v>
      </c>
      <c r="L48" s="2">
        <v>56.505000000000003</v>
      </c>
      <c r="M48" s="2">
        <v>0.21845766346249812</v>
      </c>
      <c r="N48" s="2">
        <v>0.20476067853690338</v>
      </c>
      <c r="O48" s="2">
        <v>0.26634528409233943</v>
      </c>
      <c r="P48" s="2">
        <v>0.2663954690223756</v>
      </c>
      <c r="Q48" s="2">
        <v>11.582781470930346</v>
      </c>
      <c r="R48" s="2">
        <v>175146</v>
      </c>
      <c r="S48" s="2">
        <v>113846</v>
      </c>
      <c r="T48" s="2">
        <v>4.6900000000000004</v>
      </c>
      <c r="U48" s="2">
        <v>3.5</v>
      </c>
      <c r="V48" s="2">
        <v>1.68</v>
      </c>
      <c r="W48" s="2">
        <v>47.546666666666674</v>
      </c>
      <c r="X48" s="2">
        <v>16.730550765991211</v>
      </c>
      <c r="Y48" s="2">
        <v>-0.79633425882392594</v>
      </c>
      <c r="Z48" s="2">
        <v>3.1950071454048157E-2</v>
      </c>
      <c r="AA48" s="2">
        <v>1.5290215611457825E-2</v>
      </c>
      <c r="AB48" s="2"/>
      <c r="AC48" s="2">
        <v>1.4148951242152199</v>
      </c>
      <c r="AD48" s="2">
        <v>-0.38883613649416898</v>
      </c>
      <c r="AE48" s="2">
        <v>-0.23240961360772799</v>
      </c>
      <c r="AF48" s="2">
        <v>1.0931</v>
      </c>
      <c r="AG48" s="2">
        <v>8.9822000000000006</v>
      </c>
      <c r="AH48" s="2">
        <v>-2.0638000000000001</v>
      </c>
      <c r="AI48" s="2">
        <v>0.47015352467423999</v>
      </c>
      <c r="AJ48" s="2">
        <v>0.79413003816888195</v>
      </c>
      <c r="AK48" s="2">
        <v>0.21544412748557301</v>
      </c>
      <c r="AL48" s="2">
        <v>-0.48985069339513299</v>
      </c>
      <c r="AM48" s="2">
        <v>1.7046848432083001E-2</v>
      </c>
      <c r="AN48" s="2">
        <v>0.18416933040498601</v>
      </c>
      <c r="AO48" s="2">
        <v>9.7803235752193796E-2</v>
      </c>
      <c r="AP48" s="2">
        <v>1.0501228939300699E-2</v>
      </c>
      <c r="AQ48" s="2">
        <v>0.53913014282119498</v>
      </c>
      <c r="AR48" s="2">
        <v>0.312350268546149</v>
      </c>
      <c r="AS48" s="2">
        <v>0.42913409807825897</v>
      </c>
      <c r="AT48" s="2">
        <v>-0.245977648205012</v>
      </c>
    </row>
    <row r="49" spans="1:46" hidden="1" x14ac:dyDescent="0.25">
      <c r="A49" s="2">
        <v>1958.75</v>
      </c>
      <c r="B49" s="2">
        <v>500.4</v>
      </c>
      <c r="C49" s="2">
        <v>2922.3850960696136</v>
      </c>
      <c r="D49" s="2">
        <v>17.123000000000001</v>
      </c>
      <c r="E49" s="2">
        <v>302.2</v>
      </c>
      <c r="F49" s="2">
        <v>80</v>
      </c>
      <c r="G49" s="2">
        <v>1776.9153877815015</v>
      </c>
      <c r="H49" s="2">
        <v>169.56147893379193</v>
      </c>
      <c r="I49" s="2">
        <v>129.99861925516501</v>
      </c>
      <c r="J49" s="2">
        <v>18.193000000000001</v>
      </c>
      <c r="K49" s="2">
        <v>31.707999999999998</v>
      </c>
      <c r="L49" s="2">
        <v>57.377000000000002</v>
      </c>
      <c r="M49" s="2">
        <v>0.23181467671358116</v>
      </c>
      <c r="N49" s="2">
        <v>0.21982749249011213</v>
      </c>
      <c r="O49" s="2">
        <v>0.26726059113864098</v>
      </c>
      <c r="P49" s="2">
        <v>0.26012519185962302</v>
      </c>
      <c r="Q49" s="2">
        <v>11.222863351309519</v>
      </c>
      <c r="R49" s="2">
        <v>175957</v>
      </c>
      <c r="S49" s="2">
        <v>114283</v>
      </c>
      <c r="T49" s="2">
        <v>4.88</v>
      </c>
      <c r="U49" s="2">
        <v>3.8</v>
      </c>
      <c r="V49" s="2">
        <v>2.69</v>
      </c>
      <c r="W49" s="2">
        <v>52.313333333333333</v>
      </c>
      <c r="X49" s="2">
        <v>18.543148040771484</v>
      </c>
      <c r="Y49" s="2">
        <v>-1.66301508980309</v>
      </c>
      <c r="Z49" s="2">
        <v>5.5144045501947403E-2</v>
      </c>
      <c r="AA49" s="2">
        <v>1.8148019909858704E-2</v>
      </c>
      <c r="AB49" s="2"/>
      <c r="AC49" s="2">
        <v>0.803611867859653</v>
      </c>
      <c r="AD49" s="2">
        <v>0.115014175107997</v>
      </c>
      <c r="AE49" s="2">
        <v>-0.95094782564185998</v>
      </c>
      <c r="AF49" s="2">
        <v>0.60160000000000002</v>
      </c>
      <c r="AG49" s="2">
        <v>2.9649999999999999</v>
      </c>
      <c r="AH49" s="2">
        <v>-1.2603</v>
      </c>
      <c r="AI49" s="2">
        <v>-2.0894122742797502E-2</v>
      </c>
      <c r="AJ49" s="2">
        <v>0.373066974429765</v>
      </c>
      <c r="AK49" s="2">
        <v>0.43089963542151399</v>
      </c>
      <c r="AL49" s="2">
        <v>0.88032033589028102</v>
      </c>
      <c r="AM49" s="2">
        <v>-7.1162601176334203E-2</v>
      </c>
      <c r="AN49" s="2">
        <v>2.81013568633912E-2</v>
      </c>
      <c r="AO49" s="2">
        <v>0.12333557945863501</v>
      </c>
      <c r="AP49" s="2">
        <v>-9.6143802025201397E-2</v>
      </c>
      <c r="AQ49" s="2">
        <v>1.5331012796166799E-3</v>
      </c>
      <c r="AR49" s="2">
        <v>-1.05602224987705</v>
      </c>
      <c r="AS49" s="2">
        <v>0.150235162988898</v>
      </c>
      <c r="AT49" s="2">
        <v>-9.0690998339589199E-2</v>
      </c>
    </row>
    <row r="50" spans="1:46" hidden="1" x14ac:dyDescent="0.25">
      <c r="A50" s="2">
        <v>1959</v>
      </c>
      <c r="B50" s="2">
        <v>511.1</v>
      </c>
      <c r="C50" s="2">
        <v>2976.8769293494088</v>
      </c>
      <c r="D50" s="2">
        <v>17.169</v>
      </c>
      <c r="E50" s="2">
        <v>309.89999999999998</v>
      </c>
      <c r="F50" s="2">
        <v>83.2</v>
      </c>
      <c r="G50" s="2">
        <v>1809.63503649635</v>
      </c>
      <c r="H50" s="2">
        <v>174.82397389661688</v>
      </c>
      <c r="I50" s="2">
        <v>131.53442532308961</v>
      </c>
      <c r="J50" s="2">
        <v>18.614999999999998</v>
      </c>
      <c r="K50" s="2">
        <v>31.952999999999999</v>
      </c>
      <c r="L50" s="2">
        <v>58.258000000000003</v>
      </c>
      <c r="M50" s="2">
        <v>0.24517189350776589</v>
      </c>
      <c r="N50" s="2">
        <v>0.22463424558307984</v>
      </c>
      <c r="O50" s="2">
        <v>0.2581285513671856</v>
      </c>
      <c r="P50" s="2">
        <v>0.22546544486323403</v>
      </c>
      <c r="Q50" s="2">
        <v>10.741713496440939</v>
      </c>
      <c r="R50" s="2">
        <v>176679</v>
      </c>
      <c r="S50" s="2">
        <v>114714</v>
      </c>
      <c r="T50" s="2">
        <v>4.87</v>
      </c>
      <c r="U50" s="2">
        <v>3.99</v>
      </c>
      <c r="V50" s="2">
        <v>2.77</v>
      </c>
      <c r="W50" s="2">
        <v>55.516666666666673</v>
      </c>
      <c r="X50" s="2">
        <v>19.747455596923828</v>
      </c>
      <c r="Y50" s="2">
        <v>0.14452094872698301</v>
      </c>
      <c r="Z50" s="2">
        <v>3.0917143449187279E-3</v>
      </c>
      <c r="AA50" s="2">
        <v>3.7714096833951771E-4</v>
      </c>
      <c r="AB50" s="2"/>
      <c r="AC50" s="2">
        <v>-0.27041021571241902</v>
      </c>
      <c r="AD50" s="2">
        <v>-1.80265951817418</v>
      </c>
      <c r="AE50" s="2">
        <v>-0.56956172431249097</v>
      </c>
      <c r="AF50" s="2">
        <v>-1.1141000000000001</v>
      </c>
      <c r="AG50" s="2">
        <v>0.11</v>
      </c>
      <c r="AH50" s="2">
        <v>0.92810000000000004</v>
      </c>
      <c r="AI50" s="2">
        <v>-0.12706070420558499</v>
      </c>
      <c r="AJ50" s="2">
        <v>-1.01428520630681</v>
      </c>
      <c r="AK50" s="2">
        <v>-0.81968466568980802</v>
      </c>
      <c r="AL50" s="2">
        <v>0.95172110211455097</v>
      </c>
      <c r="AM50" s="2">
        <v>0.187558904552107</v>
      </c>
      <c r="AN50" s="2">
        <v>0.36660239830976099</v>
      </c>
      <c r="AO50" s="2">
        <v>6.7427815187865101E-2</v>
      </c>
      <c r="AP50" s="2">
        <v>-0.115751108545947</v>
      </c>
      <c r="AQ50" s="2">
        <v>0.124729011945998</v>
      </c>
      <c r="AR50" s="2">
        <v>0.77720011632161201</v>
      </c>
      <c r="AS50" s="2">
        <v>0.37537089440552801</v>
      </c>
      <c r="AT50" s="2">
        <v>-0.29314131343046601</v>
      </c>
    </row>
    <row r="51" spans="1:46" hidden="1" x14ac:dyDescent="0.25">
      <c r="A51" s="2">
        <v>1959.25</v>
      </c>
      <c r="B51" s="2">
        <v>524.20000000000005</v>
      </c>
      <c r="C51" s="2">
        <v>3048.7379318366879</v>
      </c>
      <c r="D51" s="2">
        <v>17.193999999999999</v>
      </c>
      <c r="E51" s="2">
        <v>315.89999999999998</v>
      </c>
      <c r="F51" s="2">
        <v>89.4</v>
      </c>
      <c r="G51" s="2">
        <v>1837.3756761472689</v>
      </c>
      <c r="H51" s="2">
        <v>179.88189917056354</v>
      </c>
      <c r="I51" s="2">
        <v>134.27636265835685</v>
      </c>
      <c r="J51" s="2">
        <v>19.143999999999998</v>
      </c>
      <c r="K51" s="2">
        <v>32.098999999999997</v>
      </c>
      <c r="L51" s="2">
        <v>59.640999999999998</v>
      </c>
      <c r="M51" s="2">
        <v>0.25675363401584833</v>
      </c>
      <c r="N51" s="2">
        <v>0.23345641396561823</v>
      </c>
      <c r="O51" s="2">
        <v>0.25900423290040203</v>
      </c>
      <c r="P51" s="2">
        <v>0.22177324133673179</v>
      </c>
      <c r="Q51" s="2">
        <v>10.425487272981401</v>
      </c>
      <c r="R51" s="2">
        <v>177367</v>
      </c>
      <c r="S51" s="2">
        <v>115139</v>
      </c>
      <c r="T51" s="2">
        <v>4.95</v>
      </c>
      <c r="U51" s="2">
        <v>4.26</v>
      </c>
      <c r="V51" s="2">
        <v>3</v>
      </c>
      <c r="W51" s="2">
        <v>57.506666666666668</v>
      </c>
      <c r="X51" s="2">
        <v>20.923955917358398</v>
      </c>
      <c r="Y51" s="2">
        <v>3.17162587835823E-2</v>
      </c>
      <c r="Z51" s="2">
        <v>7.8240474686026573E-3</v>
      </c>
      <c r="AA51" s="2">
        <v>3.7620272487401962E-3</v>
      </c>
      <c r="AB51" s="2"/>
      <c r="AC51" s="2">
        <v>0.156606132055609</v>
      </c>
      <c r="AD51" s="2">
        <v>0.154919575876073</v>
      </c>
      <c r="AE51" s="2">
        <v>-0.202412779355754</v>
      </c>
      <c r="AF51" s="2">
        <v>7.6899999999999996E-2</v>
      </c>
      <c r="AG51" s="2">
        <v>1.9089</v>
      </c>
      <c r="AH51" s="2">
        <v>0.24979999999999999</v>
      </c>
      <c r="AI51" s="2">
        <v>-0.146315034510546</v>
      </c>
      <c r="AJ51" s="2">
        <v>-0.47556293194208699</v>
      </c>
      <c r="AK51" s="2">
        <v>-3.14407937688806E-2</v>
      </c>
      <c r="AL51" s="2">
        <v>1.0943424251332601E-2</v>
      </c>
      <c r="AM51" s="2">
        <v>0.12643608874669099</v>
      </c>
      <c r="AN51" s="2">
        <v>0.31780044378111999</v>
      </c>
      <c r="AO51" s="2">
        <v>1.7893183455682401E-3</v>
      </c>
      <c r="AP51" s="2">
        <v>-0.26249843289036301</v>
      </c>
      <c r="AQ51" s="2">
        <v>-0.404570102483988</v>
      </c>
      <c r="AR51" s="2">
        <v>0.42973686627042001</v>
      </c>
      <c r="AS51" s="2">
        <v>-0.160254552652426</v>
      </c>
      <c r="AT51" s="2">
        <v>-0.30156156913722298</v>
      </c>
    </row>
    <row r="52" spans="1:46" hidden="1" x14ac:dyDescent="0.25">
      <c r="A52" s="2">
        <v>1959.5</v>
      </c>
      <c r="B52" s="2">
        <v>525.20000000000005</v>
      </c>
      <c r="C52" s="2">
        <v>3043.226329818056</v>
      </c>
      <c r="D52" s="2">
        <v>17.257999999999999</v>
      </c>
      <c r="E52" s="2">
        <v>321.10000000000002</v>
      </c>
      <c r="F52" s="2">
        <v>83.6</v>
      </c>
      <c r="G52" s="2">
        <v>1856.605955478462</v>
      </c>
      <c r="H52" s="2">
        <v>184.77005638203926</v>
      </c>
      <c r="I52" s="2">
        <v>133.1336403056265</v>
      </c>
      <c r="J52" s="2">
        <v>19.045999999999999</v>
      </c>
      <c r="K52" s="2">
        <v>32.234999999999999</v>
      </c>
      <c r="L52" s="2">
        <v>59.085000000000001</v>
      </c>
      <c r="M52" s="2">
        <v>0.25115489115421702</v>
      </c>
      <c r="N52" s="2">
        <v>0.22968843640591191</v>
      </c>
      <c r="O52" s="2">
        <v>0.26646946636191271</v>
      </c>
      <c r="P52" s="2">
        <v>0.23716854359252784</v>
      </c>
      <c r="Q52" s="2">
        <v>10.215222576879416</v>
      </c>
      <c r="R52" s="2">
        <v>178102</v>
      </c>
      <c r="S52" s="2">
        <v>115551</v>
      </c>
      <c r="T52" s="2">
        <v>5.12</v>
      </c>
      <c r="U52" s="2">
        <v>4.5</v>
      </c>
      <c r="V52" s="2">
        <v>3.54</v>
      </c>
      <c r="W52" s="2">
        <v>58.73</v>
      </c>
      <c r="X52" s="2">
        <v>21.282142639160156</v>
      </c>
      <c r="Y52" s="2">
        <v>2.0938313045015899</v>
      </c>
      <c r="Z52" s="2">
        <v>2.5621695443987846E-2</v>
      </c>
      <c r="AA52" s="2">
        <v>1.7101557459682226E-3</v>
      </c>
      <c r="AB52" s="2"/>
      <c r="AC52" s="2">
        <v>-1.91429345151867</v>
      </c>
      <c r="AD52" s="2">
        <v>0.56827251353219899</v>
      </c>
      <c r="AE52" s="2">
        <v>-0.86261716985640502</v>
      </c>
      <c r="AF52" s="2">
        <v>-0.82189999999999996</v>
      </c>
      <c r="AG52" s="2">
        <v>-12.895099999999999</v>
      </c>
      <c r="AH52" s="2">
        <v>0.5484</v>
      </c>
      <c r="AI52" s="2">
        <v>-0.39762459683034301</v>
      </c>
      <c r="AJ52" s="2">
        <v>0.444855603904107</v>
      </c>
      <c r="AK52" s="2">
        <v>0.65579888063226399</v>
      </c>
      <c r="AL52" s="2">
        <v>-8.1574157437139597E-2</v>
      </c>
      <c r="AM52" s="2">
        <v>9.7248079193960502E-2</v>
      </c>
      <c r="AN52" s="2">
        <v>0.180528050971832</v>
      </c>
      <c r="AO52" s="2">
        <v>2.5632810109448099E-2</v>
      </c>
      <c r="AP52" s="2">
        <v>3.3698610473725701E-2</v>
      </c>
      <c r="AQ52" s="2">
        <v>0.103820715081057</v>
      </c>
      <c r="AR52" s="2">
        <v>-0.33855279098178698</v>
      </c>
      <c r="AS52" s="2">
        <v>-0.54752279914209401</v>
      </c>
      <c r="AT52" s="2">
        <v>-0.251204937203866</v>
      </c>
    </row>
    <row r="53" spans="1:46" hidden="1" x14ac:dyDescent="0.25">
      <c r="A53" s="2">
        <v>1959.75</v>
      </c>
      <c r="B53" s="2">
        <v>529.29999999999995</v>
      </c>
      <c r="C53" s="2">
        <v>3054.9463234445338</v>
      </c>
      <c r="D53" s="2">
        <v>17.326000000000001</v>
      </c>
      <c r="E53" s="2">
        <v>323.2</v>
      </c>
      <c r="F53" s="2">
        <v>86.5</v>
      </c>
      <c r="G53" s="2">
        <v>1858.6462706308587</v>
      </c>
      <c r="H53" s="2">
        <v>184.33179723502303</v>
      </c>
      <c r="I53" s="2">
        <v>133.3476621458347</v>
      </c>
      <c r="J53" s="2">
        <v>19.079999999999998</v>
      </c>
      <c r="K53" s="2">
        <v>32.322000000000003</v>
      </c>
      <c r="L53" s="2">
        <v>59.030999999999999</v>
      </c>
      <c r="M53" s="2">
        <v>0.25193690971271981</v>
      </c>
      <c r="N53" s="2">
        <v>0.23284404732833069</v>
      </c>
      <c r="O53" s="2">
        <v>0.27593579554097247</v>
      </c>
      <c r="P53" s="2">
        <v>0.26294511133528187</v>
      </c>
      <c r="Q53" s="2">
        <v>10.12536537845123</v>
      </c>
      <c r="R53" s="2">
        <v>178910</v>
      </c>
      <c r="S53" s="2">
        <v>115918</v>
      </c>
      <c r="T53" s="2">
        <v>5.27</v>
      </c>
      <c r="U53" s="2">
        <v>4.58</v>
      </c>
      <c r="V53" s="2">
        <v>4.2300000000000004</v>
      </c>
      <c r="W53" s="2">
        <v>57.763333333333328</v>
      </c>
      <c r="X53" s="2">
        <v>21.332267761230469</v>
      </c>
      <c r="Y53" s="2">
        <v>-0.63014543768336695</v>
      </c>
      <c r="Z53" s="2">
        <v>-2.1483957767486572E-2</v>
      </c>
      <c r="AA53" s="2">
        <v>-7.7084670774638653E-3</v>
      </c>
      <c r="AB53" s="2"/>
      <c r="AC53" s="2">
        <v>0.27240492729107701</v>
      </c>
      <c r="AD53" s="2">
        <v>0.96007927618354505</v>
      </c>
      <c r="AE53" s="2">
        <v>-0.172905171374514</v>
      </c>
      <c r="AF53" s="2">
        <v>-4.7500000000000001E-2</v>
      </c>
      <c r="AG53" s="2">
        <v>3.4882</v>
      </c>
      <c r="AH53" s="2">
        <v>0.15340000000000001</v>
      </c>
      <c r="AI53" s="2">
        <v>-0.68384080212234499</v>
      </c>
      <c r="AJ53" s="2">
        <v>0.54902343172696999</v>
      </c>
      <c r="AK53" s="2">
        <v>-0.29254469047423898</v>
      </c>
      <c r="AL53" s="2">
        <v>-0.69542949153864397</v>
      </c>
      <c r="AM53" s="2">
        <v>-2.2337087734407401E-2</v>
      </c>
      <c r="AN53" s="2">
        <v>0.11871456770128901</v>
      </c>
      <c r="AO53" s="2">
        <v>-7.1101347968286793E-2</v>
      </c>
      <c r="AP53" s="2">
        <v>-4.7786433674900299E-2</v>
      </c>
      <c r="AQ53" s="2">
        <v>-0.61284804153835903</v>
      </c>
      <c r="AR53" s="2">
        <v>-0.55006373547963605</v>
      </c>
      <c r="AS53" s="2">
        <v>-0.27937316177962401</v>
      </c>
      <c r="AT53" s="2">
        <v>-0.102786717240632</v>
      </c>
    </row>
    <row r="54" spans="1:46" hidden="1" x14ac:dyDescent="0.25">
      <c r="A54" s="2">
        <v>1960</v>
      </c>
      <c r="B54" s="2">
        <v>543.29999999999995</v>
      </c>
      <c r="C54" s="2">
        <v>3122.9522331436451</v>
      </c>
      <c r="D54" s="2">
        <v>17.396999999999998</v>
      </c>
      <c r="E54" s="2">
        <v>326.7</v>
      </c>
      <c r="F54" s="2">
        <v>96.5</v>
      </c>
      <c r="G54" s="2">
        <v>1876.1844598862917</v>
      </c>
      <c r="H54" s="2">
        <v>190.66648604714172</v>
      </c>
      <c r="I54" s="2">
        <v>133.22174863037907</v>
      </c>
      <c r="J54" s="2">
        <v>19.552</v>
      </c>
      <c r="K54" s="2">
        <v>33.212000000000003</v>
      </c>
      <c r="L54" s="2">
        <v>58.871000000000002</v>
      </c>
      <c r="M54" s="2">
        <v>0.27429082691652446</v>
      </c>
      <c r="N54" s="2">
        <v>0.25697578994263431</v>
      </c>
      <c r="O54" s="2">
        <v>0.29133473703634777</v>
      </c>
      <c r="P54" s="2">
        <v>0.24687279139795593</v>
      </c>
      <c r="Q54" s="2">
        <v>10.180410742468377</v>
      </c>
      <c r="R54" s="2">
        <v>179590</v>
      </c>
      <c r="S54" s="2">
        <v>116708</v>
      </c>
      <c r="T54" s="2">
        <v>5.31</v>
      </c>
      <c r="U54" s="2">
        <v>4.49</v>
      </c>
      <c r="V54" s="2">
        <v>3.87</v>
      </c>
      <c r="W54" s="2">
        <v>56.276666666666671</v>
      </c>
      <c r="X54" s="2">
        <v>20.513971328735352</v>
      </c>
      <c r="Y54" s="2">
        <v>1.25862677358709</v>
      </c>
      <c r="Z54" s="2">
        <v>-5.9787567704916E-2</v>
      </c>
      <c r="AA54" s="2">
        <v>-6.0068154707551003E-3</v>
      </c>
      <c r="AB54" s="2"/>
      <c r="AC54" s="2">
        <v>0.226632006679859</v>
      </c>
      <c r="AD54" s="2">
        <v>-0.25118984406081601</v>
      </c>
      <c r="AE54" s="2">
        <v>2.80772964316568</v>
      </c>
      <c r="AF54" s="2">
        <v>1.8637999999999999</v>
      </c>
      <c r="AG54" s="2">
        <v>7.9821</v>
      </c>
      <c r="AH54" s="2">
        <v>-0.94410000000000005</v>
      </c>
      <c r="AI54" s="2">
        <v>0.40633258621310903</v>
      </c>
      <c r="AJ54" s="2">
        <v>0.25256677585999499</v>
      </c>
      <c r="AK54" s="2">
        <v>0.14067870522765599</v>
      </c>
      <c r="AL54" s="2">
        <v>0.65900185504461395</v>
      </c>
      <c r="AM54" s="2">
        <v>0.238970184056257</v>
      </c>
      <c r="AN54" s="2">
        <v>0.159109085944836</v>
      </c>
      <c r="AO54" s="2">
        <v>-0.11304377717283599</v>
      </c>
      <c r="AP54" s="2">
        <v>0.234393896014325</v>
      </c>
      <c r="AQ54" s="2">
        <v>0.37961400395997102</v>
      </c>
      <c r="AR54" s="2">
        <v>0.56822585731812103</v>
      </c>
      <c r="AS54" s="2">
        <v>-0.556538043703245</v>
      </c>
      <c r="AT54" s="2">
        <v>-0.156913822543958</v>
      </c>
    </row>
    <row r="55" spans="1:46" hidden="1" x14ac:dyDescent="0.25">
      <c r="A55" s="2">
        <v>1960.25</v>
      </c>
      <c r="B55" s="2">
        <v>542.70000000000005</v>
      </c>
      <c r="C55" s="2">
        <v>3111.2767299203119</v>
      </c>
      <c r="D55" s="2">
        <v>17.443000000000001</v>
      </c>
      <c r="E55" s="2">
        <v>332.6</v>
      </c>
      <c r="F55" s="2">
        <v>87.1</v>
      </c>
      <c r="G55" s="2">
        <v>1900.1371115173672</v>
      </c>
      <c r="H55" s="2">
        <v>193.57021996615904</v>
      </c>
      <c r="I55" s="2">
        <v>134.57868950266743</v>
      </c>
      <c r="J55" s="2">
        <v>19.369</v>
      </c>
      <c r="K55" s="2">
        <v>32.576000000000001</v>
      </c>
      <c r="L55" s="2">
        <v>59.457000000000001</v>
      </c>
      <c r="M55" s="2">
        <v>0.25679247911495179</v>
      </c>
      <c r="N55" s="2">
        <v>0.24195111766250557</v>
      </c>
      <c r="O55" s="2">
        <v>0.29057441539894541</v>
      </c>
      <c r="P55" s="2">
        <v>0.27265125745966234</v>
      </c>
      <c r="Q55" s="2">
        <v>10.18569339570729</v>
      </c>
      <c r="R55" s="2">
        <v>180224</v>
      </c>
      <c r="S55" s="2">
        <v>117037</v>
      </c>
      <c r="T55" s="2">
        <v>5.25</v>
      </c>
      <c r="U55" s="2">
        <v>4.26</v>
      </c>
      <c r="V55" s="2">
        <v>2.99</v>
      </c>
      <c r="W55" s="2">
        <v>56.069999999999993</v>
      </c>
      <c r="X55" s="2">
        <v>20.741744995117188</v>
      </c>
      <c r="Y55" s="2">
        <v>-1.24278728108331</v>
      </c>
      <c r="Z55" s="2">
        <v>3.5445190966129303E-2</v>
      </c>
      <c r="AA55" s="2">
        <v>-7.2776316665112972E-4</v>
      </c>
      <c r="AB55" s="2"/>
      <c r="AC55" s="2">
        <v>1.42046739474804</v>
      </c>
      <c r="AD55" s="2">
        <v>0.57478001764763698</v>
      </c>
      <c r="AE55" s="2">
        <v>-1.6341483042198399</v>
      </c>
      <c r="AF55" s="2">
        <v>-2.2616999999999998</v>
      </c>
      <c r="AG55" s="2">
        <v>-15.6739</v>
      </c>
      <c r="AH55" s="2">
        <v>1.0369999999999999</v>
      </c>
      <c r="AI55" s="2">
        <v>0.27041577207346101</v>
      </c>
      <c r="AJ55" s="2">
        <v>7.9880743560022199E-2</v>
      </c>
      <c r="AK55" s="2">
        <v>-0.85381419691404403</v>
      </c>
      <c r="AL55" s="2">
        <v>-0.71100160694857495</v>
      </c>
      <c r="AM55" s="2">
        <v>0.24021288873464999</v>
      </c>
      <c r="AN55" s="2">
        <v>6.7274389589056197E-2</v>
      </c>
      <c r="AO55" s="2">
        <v>-0.207975570074274</v>
      </c>
      <c r="AP55" s="2">
        <v>-0.26084364368727198</v>
      </c>
      <c r="AQ55" s="2">
        <v>0.20341873692559101</v>
      </c>
      <c r="AR55" s="2">
        <v>-0.63164764903384496</v>
      </c>
      <c r="AS55" s="2">
        <v>-0.54538292018932799</v>
      </c>
      <c r="AT55" s="2">
        <v>-3.8310439217921897E-2</v>
      </c>
    </row>
    <row r="56" spans="1:46" hidden="1" x14ac:dyDescent="0.25">
      <c r="A56" s="2">
        <v>1960.5</v>
      </c>
      <c r="B56" s="2">
        <v>546</v>
      </c>
      <c r="C56" s="2">
        <v>3118.9306523477662</v>
      </c>
      <c r="D56" s="2">
        <v>17.506</v>
      </c>
      <c r="E56" s="2">
        <v>332.5</v>
      </c>
      <c r="F56" s="2">
        <v>86.4</v>
      </c>
      <c r="G56" s="2">
        <v>1892.2148873207377</v>
      </c>
      <c r="H56" s="2">
        <v>190.26983105934929</v>
      </c>
      <c r="I56" s="2">
        <v>134.76913410862821</v>
      </c>
      <c r="J56" s="2">
        <v>19.388000000000002</v>
      </c>
      <c r="K56" s="2">
        <v>32.655999999999999</v>
      </c>
      <c r="L56" s="2">
        <v>59.371000000000002</v>
      </c>
      <c r="M56" s="2">
        <v>0.2536711071849771</v>
      </c>
      <c r="N56" s="2">
        <v>0.24233991652344164</v>
      </c>
      <c r="O56" s="2">
        <v>0.29389637669971541</v>
      </c>
      <c r="P56" s="2">
        <v>0.28262687548408177</v>
      </c>
      <c r="Q56" s="2">
        <v>10.099561537776395</v>
      </c>
      <c r="R56" s="2">
        <v>180951</v>
      </c>
      <c r="S56" s="2">
        <v>117411</v>
      </c>
      <c r="T56" s="2">
        <v>5.0999999999999996</v>
      </c>
      <c r="U56" s="2">
        <v>3.83</v>
      </c>
      <c r="V56" s="2">
        <v>2.36</v>
      </c>
      <c r="W56" s="2">
        <v>55.72</v>
      </c>
      <c r="X56" s="2">
        <v>20.837991714477539</v>
      </c>
      <c r="Y56" s="2">
        <v>-0.95392770907013602</v>
      </c>
      <c r="Z56" s="2">
        <v>3.5143445711582899E-3</v>
      </c>
      <c r="AA56" s="2">
        <v>-4.0942863561213017E-3</v>
      </c>
      <c r="AB56" s="2"/>
      <c r="AC56" s="2">
        <v>-1.25298168642455</v>
      </c>
      <c r="AD56" s="2">
        <v>0.158953549138762</v>
      </c>
      <c r="AE56" s="2">
        <v>-0.65013424756761695</v>
      </c>
      <c r="AF56" s="2">
        <v>0.81679999999999997</v>
      </c>
      <c r="AG56" s="2">
        <v>1.3422000000000001</v>
      </c>
      <c r="AH56" s="2">
        <v>0.67279999999999995</v>
      </c>
      <c r="AI56" s="2">
        <v>0.21180972765122</v>
      </c>
      <c r="AJ56" s="2">
        <v>6.8857833282030101E-2</v>
      </c>
      <c r="AK56" s="2">
        <v>0.14244905432601199</v>
      </c>
      <c r="AL56" s="2">
        <v>-1.27281853517068</v>
      </c>
      <c r="AM56" s="2">
        <v>0.116361950786647</v>
      </c>
      <c r="AN56" s="2">
        <v>3.8709254777792503E-2</v>
      </c>
      <c r="AO56" s="2">
        <v>2.0358720222079799E-2</v>
      </c>
      <c r="AP56" s="2">
        <v>-3.7885640028553103E-2</v>
      </c>
      <c r="AQ56" s="2">
        <v>-0.193409921065051</v>
      </c>
      <c r="AR56" s="2">
        <v>0.30246324011362702</v>
      </c>
      <c r="AS56" s="2">
        <v>-0.479890920728273</v>
      </c>
      <c r="AT56" s="2">
        <v>-0.130329950062682</v>
      </c>
    </row>
    <row r="57" spans="1:46" hidden="1" x14ac:dyDescent="0.25">
      <c r="A57" s="2">
        <v>1960.75</v>
      </c>
      <c r="B57" s="2">
        <v>541.1</v>
      </c>
      <c r="C57" s="2">
        <v>3081.4350797266516</v>
      </c>
      <c r="D57" s="2">
        <v>17.559999999999999</v>
      </c>
      <c r="E57" s="2">
        <v>334.5</v>
      </c>
      <c r="F57" s="2">
        <v>76</v>
      </c>
      <c r="G57" s="2">
        <v>1895.1841359773373</v>
      </c>
      <c r="H57" s="2">
        <v>189.74881194840461</v>
      </c>
      <c r="I57" s="2">
        <v>133.55063222563012</v>
      </c>
      <c r="J57" s="2">
        <v>19.033000000000001</v>
      </c>
      <c r="K57" s="2">
        <v>32.426000000000002</v>
      </c>
      <c r="L57" s="2">
        <v>58.697000000000003</v>
      </c>
      <c r="M57" s="2">
        <v>0.24490672976770123</v>
      </c>
      <c r="N57" s="2">
        <v>0.23874244622009155</v>
      </c>
      <c r="O57" s="2">
        <v>0.30271122406314221</v>
      </c>
      <c r="P57" s="2">
        <v>0.30833488133431236</v>
      </c>
      <c r="Q57" s="2">
        <v>9.9115123794648525</v>
      </c>
      <c r="R57" s="2">
        <v>181789</v>
      </c>
      <c r="S57" s="2">
        <v>117824</v>
      </c>
      <c r="T57" s="2">
        <v>5.0999999999999996</v>
      </c>
      <c r="U57" s="2">
        <v>3.89</v>
      </c>
      <c r="V57" s="2">
        <v>2.31</v>
      </c>
      <c r="W57" s="2">
        <v>55.333333333333336</v>
      </c>
      <c r="X57" s="2">
        <v>21.113941192626953</v>
      </c>
      <c r="Y57" s="2">
        <v>7.6005434900792895E-2</v>
      </c>
      <c r="Z57" s="2">
        <v>-2.6990596670657396E-3</v>
      </c>
      <c r="AA57" s="2">
        <v>-7.2853714227676392E-3</v>
      </c>
      <c r="AB57" s="2"/>
      <c r="AC57" s="2">
        <v>-1.4467222382876801</v>
      </c>
      <c r="AD57" s="2">
        <v>0.51204052661282795</v>
      </c>
      <c r="AE57" s="2">
        <v>-1.6115133525913601</v>
      </c>
      <c r="AF57" s="2">
        <v>-1.2574000000000001</v>
      </c>
      <c r="AG57" s="2">
        <v>-13.832000000000001</v>
      </c>
      <c r="AH57" s="2">
        <v>1.0363</v>
      </c>
      <c r="AI57" s="2">
        <v>0.260631750567274</v>
      </c>
      <c r="AJ57" s="2">
        <v>-6.2508772939901494E-2</v>
      </c>
      <c r="AK57" s="2">
        <v>-0.85742260318721597</v>
      </c>
      <c r="AL57" s="2">
        <v>0.50492065115787899</v>
      </c>
      <c r="AM57" s="2">
        <v>0.13506219520587101</v>
      </c>
      <c r="AN57" s="2">
        <v>-7.0633364303407499E-3</v>
      </c>
      <c r="AO57" s="2">
        <v>-6.36675603238291E-3</v>
      </c>
      <c r="AP57" s="2">
        <v>-1.9719962249476398E-2</v>
      </c>
      <c r="AQ57" s="2">
        <v>-0.23421511489788099</v>
      </c>
      <c r="AR57" s="2">
        <v>-0.12531272598482901</v>
      </c>
      <c r="AS57" s="2">
        <v>6.1217116573060101E-2</v>
      </c>
      <c r="AT57" s="2">
        <v>-0.178065092025606</v>
      </c>
    </row>
    <row r="58" spans="1:46" hidden="1" x14ac:dyDescent="0.25">
      <c r="A58" s="2">
        <v>1961</v>
      </c>
      <c r="B58" s="2">
        <v>545.9</v>
      </c>
      <c r="C58" s="2">
        <v>3102.0570519377202</v>
      </c>
      <c r="D58" s="2">
        <v>17.597999999999999</v>
      </c>
      <c r="E58" s="2">
        <v>335</v>
      </c>
      <c r="F58" s="2">
        <v>78.400000000000006</v>
      </c>
      <c r="G58" s="2">
        <v>1894.4749194141266</v>
      </c>
      <c r="H58" s="2">
        <v>186.9476546566961</v>
      </c>
      <c r="I58" s="2">
        <v>133.2529461507728</v>
      </c>
      <c r="J58" s="2">
        <v>19.143000000000001</v>
      </c>
      <c r="K58" s="2">
        <v>32.792000000000002</v>
      </c>
      <c r="L58" s="2">
        <v>58.378</v>
      </c>
      <c r="M58" s="2">
        <v>0.24924973656766211</v>
      </c>
      <c r="N58" s="2">
        <v>0.244371272386044</v>
      </c>
      <c r="O58" s="2">
        <v>0.30124481426512723</v>
      </c>
      <c r="P58" s="2">
        <v>0.32305464248964161</v>
      </c>
      <c r="Q58" s="2">
        <v>9.6745513815338864</v>
      </c>
      <c r="R58" s="2">
        <v>182516</v>
      </c>
      <c r="S58" s="2">
        <v>118254</v>
      </c>
      <c r="T58" s="2">
        <v>5.0599999999999996</v>
      </c>
      <c r="U58" s="2">
        <v>3.79</v>
      </c>
      <c r="V58" s="2">
        <v>2.35</v>
      </c>
      <c r="W58" s="2">
        <v>62.00333333333333</v>
      </c>
      <c r="X58" s="2">
        <v>24.369297027587891</v>
      </c>
      <c r="Y58" s="2">
        <v>-1.05869721012283</v>
      </c>
      <c r="Z58" s="2">
        <v>0.12101419270038605</v>
      </c>
      <c r="AA58" s="2">
        <v>3.6162968724966049E-2</v>
      </c>
      <c r="AB58" s="2">
        <v>-0.358590517487272</v>
      </c>
      <c r="AC58" s="2">
        <v>0.75281652440077096</v>
      </c>
      <c r="AD58" s="2">
        <v>0.29814554834448798</v>
      </c>
      <c r="AE58" s="2">
        <v>-1.1063307405346801</v>
      </c>
      <c r="AF58" s="2">
        <v>1.4567000000000001</v>
      </c>
      <c r="AG58" s="2">
        <v>5.0979000000000001</v>
      </c>
      <c r="AH58" s="2">
        <v>-0.48980000000000001</v>
      </c>
      <c r="AI58" s="2">
        <v>0.98826304129592002</v>
      </c>
      <c r="AJ58" s="2">
        <v>-0.46598554537759901</v>
      </c>
      <c r="AK58" s="2">
        <v>0.72024132823223996</v>
      </c>
      <c r="AL58" s="2">
        <v>-1.05087575918937</v>
      </c>
      <c r="AM58" s="2">
        <v>0.15519094016889701</v>
      </c>
      <c r="AN58" s="2">
        <v>0.102710297321346</v>
      </c>
      <c r="AO58" s="2">
        <v>0.21750942141424701</v>
      </c>
      <c r="AP58" s="2">
        <v>-1.3898422922662799E-2</v>
      </c>
      <c r="AQ58" s="2">
        <v>0.31426627184109601</v>
      </c>
      <c r="AR58" s="2">
        <v>-0.21208440300800099</v>
      </c>
      <c r="AS58" s="2">
        <v>-0.24448985393335901</v>
      </c>
      <c r="AT58" s="2">
        <v>-0.28376700700812502</v>
      </c>
    </row>
    <row r="59" spans="1:46" hidden="1" x14ac:dyDescent="0.25">
      <c r="A59" s="2">
        <v>1961.25</v>
      </c>
      <c r="B59" s="2">
        <v>557.4</v>
      </c>
      <c r="C59" s="2">
        <v>3159.6848251232927</v>
      </c>
      <c r="D59" s="2">
        <v>17.640999999999998</v>
      </c>
      <c r="E59" s="2">
        <v>339.9</v>
      </c>
      <c r="F59" s="2">
        <v>84.1</v>
      </c>
      <c r="G59" s="2">
        <v>1922.402579039647</v>
      </c>
      <c r="H59" s="2">
        <v>191.15646258503403</v>
      </c>
      <c r="I59" s="2">
        <v>131.8880644243807</v>
      </c>
      <c r="J59" s="2">
        <v>19.574000000000002</v>
      </c>
      <c r="K59" s="2">
        <v>33.92</v>
      </c>
      <c r="L59" s="2">
        <v>57.706000000000003</v>
      </c>
      <c r="M59" s="2">
        <v>0.27545045133885959</v>
      </c>
      <c r="N59" s="2">
        <v>0.26959777628572207</v>
      </c>
      <c r="O59" s="2">
        <v>0.30848019597203458</v>
      </c>
      <c r="P59" s="2">
        <v>0.31214493631533036</v>
      </c>
      <c r="Q59" s="2">
        <v>9.4800644588432679</v>
      </c>
      <c r="R59" s="2">
        <v>183220</v>
      </c>
      <c r="S59" s="2">
        <v>118636</v>
      </c>
      <c r="T59" s="2">
        <v>5.0199999999999996</v>
      </c>
      <c r="U59" s="2">
        <v>3.79</v>
      </c>
      <c r="V59" s="2">
        <v>2.2999999999999998</v>
      </c>
      <c r="W59" s="2">
        <v>65.983333333333334</v>
      </c>
      <c r="X59" s="2">
        <v>25.464788436889648</v>
      </c>
      <c r="Y59" s="2">
        <v>1.78546889539297</v>
      </c>
      <c r="Z59" s="2">
        <v>-3.753955289721489E-2</v>
      </c>
      <c r="AA59" s="2">
        <v>-2.7453219518065453E-3</v>
      </c>
      <c r="AB59" s="2">
        <v>1.68052826195042</v>
      </c>
      <c r="AC59" s="2">
        <v>-3.0747745657825301E-2</v>
      </c>
      <c r="AD59" s="2">
        <v>-1.31145523724599</v>
      </c>
      <c r="AE59" s="2">
        <v>1.5243084450677999</v>
      </c>
      <c r="AF59" s="2">
        <v>2.2681</v>
      </c>
      <c r="AG59" s="2">
        <v>4.4935999999999998</v>
      </c>
      <c r="AH59" s="2">
        <v>-0.67400000000000004</v>
      </c>
      <c r="AI59" s="2">
        <v>1.1152728092159201</v>
      </c>
      <c r="AJ59" s="2">
        <v>-0.91455832828617201</v>
      </c>
      <c r="AK59" s="2">
        <v>0.59595871163909298</v>
      </c>
      <c r="AL59" s="2">
        <v>-0.19328893294572899</v>
      </c>
      <c r="AM59" s="2">
        <v>6.4886604849998794E-2</v>
      </c>
      <c r="AN59" s="2">
        <v>0.2571812729015</v>
      </c>
      <c r="AO59" s="2">
        <v>-0.23444875263808901</v>
      </c>
      <c r="AP59" s="2">
        <v>-0.107570759534568</v>
      </c>
      <c r="AQ59" s="2">
        <v>-0.29082980960243099</v>
      </c>
      <c r="AR59" s="2">
        <v>-0.47785637293602601</v>
      </c>
      <c r="AS59" s="2">
        <v>7.2377411731528701E-2</v>
      </c>
      <c r="AT59" s="2">
        <v>-7.0957601325040198E-2</v>
      </c>
    </row>
    <row r="60" spans="1:46" hidden="1" x14ac:dyDescent="0.25">
      <c r="A60" s="2">
        <v>1961.5</v>
      </c>
      <c r="B60" s="2">
        <v>568.20000000000005</v>
      </c>
      <c r="C60" s="2">
        <v>3212.5289760841297</v>
      </c>
      <c r="D60" s="2">
        <v>17.687000000000001</v>
      </c>
      <c r="E60" s="2">
        <v>342.8</v>
      </c>
      <c r="F60" s="2">
        <v>90.9</v>
      </c>
      <c r="G60" s="2">
        <v>1931.8117779656241</v>
      </c>
      <c r="H60" s="2">
        <v>192.99499642601859</v>
      </c>
      <c r="I60" s="2">
        <v>132.84837185586019</v>
      </c>
      <c r="J60" s="2">
        <v>19.925999999999998</v>
      </c>
      <c r="K60" s="2">
        <v>34.284999999999997</v>
      </c>
      <c r="L60" s="2">
        <v>58.119</v>
      </c>
      <c r="M60" s="2">
        <v>0.28447402621487156</v>
      </c>
      <c r="N60" s="2">
        <v>0.27848210395706446</v>
      </c>
      <c r="O60" s="2">
        <v>0.31290269653902825</v>
      </c>
      <c r="P60" s="2">
        <v>0.32662064344494229</v>
      </c>
      <c r="Q60" s="2">
        <v>9.26322997724224</v>
      </c>
      <c r="R60" s="2">
        <v>183964</v>
      </c>
      <c r="S60" s="2">
        <v>119001</v>
      </c>
      <c r="T60" s="2">
        <v>5.1100000000000003</v>
      </c>
      <c r="U60" s="2">
        <v>3.98</v>
      </c>
      <c r="V60" s="2">
        <v>2.2999999999999998</v>
      </c>
      <c r="W60" s="2">
        <v>66.83</v>
      </c>
      <c r="X60" s="2">
        <v>26.235189437866211</v>
      </c>
      <c r="Y60" s="2">
        <v>-0.68054907608785298</v>
      </c>
      <c r="Z60" s="2">
        <v>-9.3895932659506798E-3</v>
      </c>
      <c r="AA60" s="2">
        <v>-3.8931965827941895E-3</v>
      </c>
      <c r="AB60" s="2">
        <v>-1.28450714304679</v>
      </c>
      <c r="AC60" s="2">
        <v>-0.170192300449371</v>
      </c>
      <c r="AD60" s="2">
        <v>0.49244141929464402</v>
      </c>
      <c r="AE60" s="2">
        <v>-0.57303749601201603</v>
      </c>
      <c r="AF60" s="2">
        <v>5.4600000000000003E-2</v>
      </c>
      <c r="AG60" s="2">
        <v>1.2867</v>
      </c>
      <c r="AH60" s="2">
        <v>-8.6999999999999994E-2</v>
      </c>
      <c r="AI60" s="2">
        <v>0.64017056939112305</v>
      </c>
      <c r="AJ60" s="2">
        <v>0.13508244572479899</v>
      </c>
      <c r="AK60" s="2">
        <v>-0.173523725608664</v>
      </c>
      <c r="AL60" s="2">
        <v>-0.38103876998537201</v>
      </c>
      <c r="AM60" s="2">
        <v>5.0008846500658899E-2</v>
      </c>
      <c r="AN60" s="2">
        <v>0.13323355872162901</v>
      </c>
      <c r="AO60" s="2">
        <v>-3.8111455862905298E-2</v>
      </c>
      <c r="AP60" s="2">
        <v>0.13021256245861801</v>
      </c>
      <c r="AQ60" s="2">
        <v>0.19129269423150999</v>
      </c>
      <c r="AR60" s="2">
        <v>1.0488258508723201</v>
      </c>
      <c r="AS60" s="2">
        <v>-0.14964729072229699</v>
      </c>
      <c r="AT60" s="2">
        <v>-0.114604941711692</v>
      </c>
    </row>
    <row r="61" spans="1:46" hidden="1" x14ac:dyDescent="0.25">
      <c r="A61" s="2">
        <v>1961.75</v>
      </c>
      <c r="B61" s="2">
        <v>581.6</v>
      </c>
      <c r="C61" s="2">
        <v>3277.5429698506618</v>
      </c>
      <c r="D61" s="2">
        <v>17.745000000000001</v>
      </c>
      <c r="E61" s="2">
        <v>350.1</v>
      </c>
      <c r="F61" s="2">
        <v>92.9</v>
      </c>
      <c r="G61" s="2">
        <v>1970.7289614410356</v>
      </c>
      <c r="H61" s="2">
        <v>198.98636008027484</v>
      </c>
      <c r="I61" s="2">
        <v>134.48693884877216</v>
      </c>
      <c r="J61" s="2">
        <v>20.332000000000001</v>
      </c>
      <c r="K61" s="2">
        <v>34.646999999999998</v>
      </c>
      <c r="L61" s="2">
        <v>58.683</v>
      </c>
      <c r="M61" s="2">
        <v>0.29625718907515697</v>
      </c>
      <c r="N61" s="2">
        <v>0.2933705309722463</v>
      </c>
      <c r="O61" s="2">
        <v>0.30542727466930031</v>
      </c>
      <c r="P61" s="2">
        <v>0.28313464930821292</v>
      </c>
      <c r="Q61" s="2">
        <v>9.089333984595493</v>
      </c>
      <c r="R61" s="2">
        <v>184774</v>
      </c>
      <c r="S61" s="2">
        <v>119190</v>
      </c>
      <c r="T61" s="2">
        <v>5.1100000000000003</v>
      </c>
      <c r="U61" s="2">
        <v>3.97</v>
      </c>
      <c r="V61" s="2">
        <v>2.46</v>
      </c>
      <c r="W61" s="2">
        <v>70.273333333333326</v>
      </c>
      <c r="X61" s="2">
        <v>27.662656784057617</v>
      </c>
      <c r="Y61" s="2">
        <v>0.35919453653668099</v>
      </c>
      <c r="Z61" s="2">
        <v>4.291103407740593E-2</v>
      </c>
      <c r="AA61" s="2">
        <v>1.3567980378866196E-2</v>
      </c>
      <c r="AB61" s="2">
        <v>-1.00975062094969</v>
      </c>
      <c r="AC61" s="2">
        <v>0.70269566938664096</v>
      </c>
      <c r="AD61" s="2">
        <v>0.17726013377227801</v>
      </c>
      <c r="AE61" s="2">
        <v>0.152385888369719</v>
      </c>
      <c r="AF61" s="2">
        <v>0.47099999999999997</v>
      </c>
      <c r="AG61" s="2">
        <v>-3.0253000000000001</v>
      </c>
      <c r="AH61" s="2">
        <v>-0.26669999999999999</v>
      </c>
      <c r="AI61" s="2">
        <v>0.61740492944497805</v>
      </c>
      <c r="AJ61" s="2">
        <v>-0.16378770762144801</v>
      </c>
      <c r="AK61" s="2">
        <v>-0.320753764558045</v>
      </c>
      <c r="AL61" s="2">
        <v>0.29557966410810499</v>
      </c>
      <c r="AM61" s="2">
        <v>5.1010360969547999E-3</v>
      </c>
      <c r="AN61" s="2">
        <v>-9.3613423256503105E-3</v>
      </c>
      <c r="AO61" s="2">
        <v>-4.8871334490776401E-2</v>
      </c>
      <c r="AP61" s="2">
        <v>0.12573443458525699</v>
      </c>
      <c r="AQ61" s="2">
        <v>-5.2696681096265803E-2</v>
      </c>
      <c r="AR61" s="2">
        <v>-0.51083353447931801</v>
      </c>
      <c r="AS61" s="2">
        <v>-0.37424039425540301</v>
      </c>
      <c r="AT61" s="2">
        <v>-8.0633023344504007E-2</v>
      </c>
    </row>
    <row r="62" spans="1:46" x14ac:dyDescent="0.25">
      <c r="A62" s="2">
        <v>1962</v>
      </c>
      <c r="B62" s="2">
        <v>595.20000000000005</v>
      </c>
      <c r="C62" s="2">
        <v>3336.8840051578186</v>
      </c>
      <c r="D62" s="2">
        <v>17.837</v>
      </c>
      <c r="E62" s="2">
        <v>355.4</v>
      </c>
      <c r="F62" s="2">
        <v>98.1</v>
      </c>
      <c r="G62" s="2">
        <v>1991.8175194754244</v>
      </c>
      <c r="H62" s="2">
        <v>203.01979187920833</v>
      </c>
      <c r="I62" s="2">
        <v>136.17609351251042</v>
      </c>
      <c r="J62" s="2">
        <v>20.738</v>
      </c>
      <c r="K62" s="2">
        <v>34.978999999999999</v>
      </c>
      <c r="L62" s="2">
        <v>59.287999999999997</v>
      </c>
      <c r="M62" s="2">
        <v>0.30036846727291217</v>
      </c>
      <c r="N62" s="2">
        <v>0.30189671895266268</v>
      </c>
      <c r="O62" s="2">
        <v>0.31445064463680794</v>
      </c>
      <c r="P62" s="2">
        <v>0.29818325155612058</v>
      </c>
      <c r="Q62" s="2">
        <v>8.910197164114809</v>
      </c>
      <c r="R62" s="2">
        <v>185448</v>
      </c>
      <c r="S62" s="2">
        <v>119379</v>
      </c>
      <c r="T62" s="2">
        <v>5.0599999999999996</v>
      </c>
      <c r="U62" s="2">
        <v>4.0199999999999996</v>
      </c>
      <c r="V62" s="2">
        <v>2.72</v>
      </c>
      <c r="W62" s="2">
        <v>69.86</v>
      </c>
      <c r="X62" s="2">
        <v>27.375295639038086</v>
      </c>
      <c r="Y62" s="2">
        <v>-0.38839475891417702</v>
      </c>
      <c r="Z62" s="2">
        <v>-3.7447329610586166E-2</v>
      </c>
      <c r="AA62" s="2">
        <v>-1.3386848382651806E-2</v>
      </c>
      <c r="AB62" s="2">
        <v>-0.30939196336227698</v>
      </c>
      <c r="AC62" s="2">
        <v>-0.88242795984997902</v>
      </c>
      <c r="AD62" s="2">
        <v>0.40874744399544</v>
      </c>
      <c r="AE62" s="2">
        <v>1.1976828477722199</v>
      </c>
      <c r="AF62" s="2">
        <v>1.2185999999999999</v>
      </c>
      <c r="AG62" s="2">
        <v>1.1174999999999999</v>
      </c>
      <c r="AH62" s="2">
        <v>0.22650000000000001</v>
      </c>
      <c r="AI62" s="2">
        <v>0.48245430997048899</v>
      </c>
      <c r="AJ62" s="2">
        <v>0.973641792034459</v>
      </c>
      <c r="AK62" s="2">
        <v>0.56014812667373104</v>
      </c>
      <c r="AL62" s="2">
        <v>-0.48341124279379899</v>
      </c>
      <c r="AM62" s="2">
        <v>5.9993361297225503E-2</v>
      </c>
      <c r="AN62" s="2">
        <v>0.124647712383475</v>
      </c>
      <c r="AO62" s="2">
        <v>-2.4625329309276599E-2</v>
      </c>
      <c r="AP62" s="2">
        <v>0.13547755756368901</v>
      </c>
      <c r="AQ62" s="2">
        <v>-0.118745699224407</v>
      </c>
      <c r="AR62" s="2">
        <v>0.693872597987512</v>
      </c>
      <c r="AS62" s="2">
        <v>-0.52621762497678604</v>
      </c>
      <c r="AT62" s="2">
        <v>-0.107712813961187</v>
      </c>
    </row>
    <row r="63" spans="1:46" x14ac:dyDescent="0.25">
      <c r="A63" s="2">
        <v>1962.25</v>
      </c>
      <c r="B63" s="2">
        <v>602.6</v>
      </c>
      <c r="C63" s="2">
        <v>3372.8870480241799</v>
      </c>
      <c r="D63" s="2">
        <v>17.866</v>
      </c>
      <c r="E63" s="2">
        <v>361</v>
      </c>
      <c r="F63" s="2">
        <v>96.7</v>
      </c>
      <c r="G63" s="2">
        <v>2016.0839941918912</v>
      </c>
      <c r="H63" s="2">
        <v>208.52436746476482</v>
      </c>
      <c r="I63" s="2">
        <v>137.03510139009131</v>
      </c>
      <c r="J63" s="2">
        <v>20.965</v>
      </c>
      <c r="K63" s="2">
        <v>35.174999999999997</v>
      </c>
      <c r="L63" s="2">
        <v>59.601999999999997</v>
      </c>
      <c r="M63" s="2">
        <v>0.30382903791598143</v>
      </c>
      <c r="N63" s="2">
        <v>0.30696593791059817</v>
      </c>
      <c r="O63" s="2">
        <v>0.31183114346316182</v>
      </c>
      <c r="P63" s="2">
        <v>0.2929881954553068</v>
      </c>
      <c r="Q63" s="2">
        <v>8.7522995558257239</v>
      </c>
      <c r="R63" s="2">
        <v>186092</v>
      </c>
      <c r="S63" s="2">
        <v>119819</v>
      </c>
      <c r="T63" s="2">
        <v>5.01</v>
      </c>
      <c r="U63" s="2">
        <v>3.87</v>
      </c>
      <c r="V63" s="2">
        <v>2.72</v>
      </c>
      <c r="W63" s="2">
        <v>62.223333333333329</v>
      </c>
      <c r="X63" s="2">
        <v>23.627223968505859</v>
      </c>
      <c r="Y63" s="2">
        <v>0.43328991240130599</v>
      </c>
      <c r="Z63" s="2">
        <v>-0.10418499261140823</v>
      </c>
      <c r="AA63" s="2">
        <v>-2.9122084379196167E-2</v>
      </c>
      <c r="AB63" s="2">
        <v>-0.188159584076946</v>
      </c>
      <c r="AC63" s="2">
        <v>-0.52672564795660903</v>
      </c>
      <c r="AD63" s="2">
        <v>-6.2923451814311096E-2</v>
      </c>
      <c r="AE63" s="2">
        <v>0.52190100465494904</v>
      </c>
      <c r="AF63" s="2">
        <v>-1.2696000000000001</v>
      </c>
      <c r="AG63" s="2">
        <v>-5.4584999999999999</v>
      </c>
      <c r="AH63" s="2">
        <v>0.60880000000000001</v>
      </c>
      <c r="AI63" s="2">
        <v>0.18359698619685699</v>
      </c>
      <c r="AJ63" s="2">
        <v>-1.1294470233522</v>
      </c>
      <c r="AK63" s="2">
        <v>-0.51765768089735698</v>
      </c>
      <c r="AL63" s="2">
        <v>0.19655019775521301</v>
      </c>
      <c r="AM63" s="2">
        <v>0.192863398061798</v>
      </c>
      <c r="AN63" s="2">
        <v>-6.6334314504984199E-2</v>
      </c>
      <c r="AO63" s="2">
        <v>-9.9996094322237702E-2</v>
      </c>
      <c r="AP63" s="2">
        <v>-0.41376302251906599</v>
      </c>
      <c r="AQ63" s="2">
        <v>-0.25545066380871601</v>
      </c>
      <c r="AR63" s="2">
        <v>-0.15442333041995401</v>
      </c>
      <c r="AS63" s="2">
        <v>-0.128351034152169</v>
      </c>
      <c r="AT63" s="2">
        <v>-0.26771305826712899</v>
      </c>
    </row>
    <row r="64" spans="1:46" x14ac:dyDescent="0.25">
      <c r="A64" s="2">
        <v>1962.5</v>
      </c>
      <c r="B64" s="2">
        <v>609.6</v>
      </c>
      <c r="C64" s="2">
        <v>3405.0159191197008</v>
      </c>
      <c r="D64" s="2">
        <v>17.902999999999999</v>
      </c>
      <c r="E64" s="2">
        <v>364.9</v>
      </c>
      <c r="F64" s="2">
        <v>98.2</v>
      </c>
      <c r="G64" s="2">
        <v>2032.6426024955435</v>
      </c>
      <c r="H64" s="2">
        <v>210.9375</v>
      </c>
      <c r="I64" s="2">
        <v>136.69772770124533</v>
      </c>
      <c r="J64" s="2">
        <v>21.161999999999999</v>
      </c>
      <c r="K64" s="2">
        <v>35.692999999999998</v>
      </c>
      <c r="L64" s="2">
        <v>59.289000000000001</v>
      </c>
      <c r="M64" s="2">
        <v>0.31326231093859064</v>
      </c>
      <c r="N64" s="2">
        <v>0.31610296179156583</v>
      </c>
      <c r="O64" s="2">
        <v>0.32215504482259277</v>
      </c>
      <c r="P64" s="2">
        <v>0.30132010371924017</v>
      </c>
      <c r="Q64" s="2">
        <v>8.6140182953620084</v>
      </c>
      <c r="R64" s="2">
        <v>186795</v>
      </c>
      <c r="S64" s="2">
        <v>120368</v>
      </c>
      <c r="T64" s="2">
        <v>5.05</v>
      </c>
      <c r="U64" s="2">
        <v>3.99</v>
      </c>
      <c r="V64" s="2">
        <v>2.84</v>
      </c>
      <c r="W64" s="2">
        <v>57.830000000000005</v>
      </c>
      <c r="X64" s="2">
        <v>22.991514205932617</v>
      </c>
      <c r="Y64" s="2">
        <v>1.10995459528069</v>
      </c>
      <c r="Z64" s="2">
        <v>-4.8486262559890747E-2</v>
      </c>
      <c r="AA64" s="2">
        <v>-7.9175028949975967E-3</v>
      </c>
      <c r="AB64" s="2">
        <v>1.0084220194798501</v>
      </c>
      <c r="AC64" s="2">
        <v>-0.75991085477584497</v>
      </c>
      <c r="AD64" s="2">
        <v>0.26203595031936</v>
      </c>
      <c r="AE64" s="2">
        <v>1.3440163878418501</v>
      </c>
      <c r="AF64" s="2">
        <v>1.0760000000000001</v>
      </c>
      <c r="AG64" s="2">
        <v>-1.0591999999999999</v>
      </c>
      <c r="AH64" s="2">
        <v>-2.2700000000000001E-2</v>
      </c>
      <c r="AI64" s="2">
        <v>2.32474640670398E-2</v>
      </c>
      <c r="AJ64" s="2">
        <v>-0.142401738585273</v>
      </c>
      <c r="AK64" s="2">
        <v>0.253169787953821</v>
      </c>
      <c r="AL64" s="2">
        <v>-0.52258535077194601</v>
      </c>
      <c r="AM64" s="2">
        <v>8.6078646951980295E-2</v>
      </c>
      <c r="AN64" s="2">
        <v>-0.10394492539533599</v>
      </c>
      <c r="AO64" s="2">
        <v>0.12625812667104699</v>
      </c>
      <c r="AP64" s="2">
        <v>0.20378877595586301</v>
      </c>
      <c r="AQ64" s="2">
        <v>0.53356061960784595</v>
      </c>
      <c r="AR64" s="2">
        <v>0.23321024579868599</v>
      </c>
      <c r="AS64" s="2">
        <v>-0.20294485926578101</v>
      </c>
      <c r="AT64" s="2">
        <v>-0.207972392311567</v>
      </c>
    </row>
    <row r="65" spans="1:46" x14ac:dyDescent="0.25">
      <c r="A65" s="2">
        <v>1962.75</v>
      </c>
      <c r="B65" s="2">
        <v>613.1</v>
      </c>
      <c r="C65" s="2">
        <v>3417.8838220537409</v>
      </c>
      <c r="D65" s="2">
        <v>17.937999999999999</v>
      </c>
      <c r="E65" s="2">
        <v>371.1</v>
      </c>
      <c r="F65" s="2">
        <v>95</v>
      </c>
      <c r="G65" s="2">
        <v>2060.9796734421857</v>
      </c>
      <c r="H65" s="2">
        <v>210.08260529625724</v>
      </c>
      <c r="I65" s="2">
        <v>135.94574290344258</v>
      </c>
      <c r="J65" s="2">
        <v>21.221</v>
      </c>
      <c r="K65" s="2">
        <v>36.045999999999999</v>
      </c>
      <c r="L65" s="2">
        <v>58.872</v>
      </c>
      <c r="M65" s="2">
        <v>0.32276229371438309</v>
      </c>
      <c r="N65" s="2">
        <v>0.32886328869860876</v>
      </c>
      <c r="O65" s="2">
        <v>0.33458879340757308</v>
      </c>
      <c r="P65" s="2">
        <v>0.31885063486366361</v>
      </c>
      <c r="Q65" s="2">
        <v>8.4349502859777932</v>
      </c>
      <c r="R65" s="2">
        <v>187564</v>
      </c>
      <c r="S65" s="2">
        <v>121046</v>
      </c>
      <c r="T65" s="2">
        <v>4.96</v>
      </c>
      <c r="U65" s="2">
        <v>3.9</v>
      </c>
      <c r="V65" s="2">
        <v>2.81</v>
      </c>
      <c r="W65" s="2">
        <v>59.616666666666674</v>
      </c>
      <c r="X65" s="2">
        <v>24.188619613647461</v>
      </c>
      <c r="Y65" s="2">
        <v>1.34189353531684</v>
      </c>
      <c r="Z65" s="2">
        <v>3.0249997973442078E-2</v>
      </c>
      <c r="AA65" s="2">
        <v>1.3076683506369591E-2</v>
      </c>
      <c r="AB65" s="2">
        <v>0.44258019857742797</v>
      </c>
      <c r="AC65" s="2">
        <v>1.53568703958298</v>
      </c>
      <c r="AD65" s="2">
        <v>1.4885033397443299</v>
      </c>
      <c r="AE65" s="2">
        <v>-0.13494135284338199</v>
      </c>
      <c r="AF65" s="2">
        <v>0.24390000000000001</v>
      </c>
      <c r="AG65" s="2">
        <v>-4.1729000000000003</v>
      </c>
      <c r="AH65" s="2">
        <v>0.61180000000000001</v>
      </c>
      <c r="AI65" s="2">
        <v>-0.12891274479836401</v>
      </c>
      <c r="AJ65" s="2">
        <v>-0.111824908546654</v>
      </c>
      <c r="AK65" s="2">
        <v>-0.13819726964596199</v>
      </c>
      <c r="AL65" s="2">
        <v>-0.68950759280495999</v>
      </c>
      <c r="AM65" s="2">
        <v>-3.7280602401324199E-2</v>
      </c>
      <c r="AN65" s="2">
        <v>-0.10204695328937299</v>
      </c>
      <c r="AO65" s="2">
        <v>0.13307033790037201</v>
      </c>
      <c r="AP65" s="2">
        <v>-0.28163580363785301</v>
      </c>
      <c r="AQ65" s="2">
        <v>-0.27866649429368601</v>
      </c>
      <c r="AR65" s="2">
        <v>-1.21267457548377</v>
      </c>
      <c r="AS65" s="2">
        <v>-6.1474100495213901E-2</v>
      </c>
      <c r="AT65" s="2">
        <v>-0.17573908832290899</v>
      </c>
    </row>
    <row r="66" spans="1:46" x14ac:dyDescent="0.25">
      <c r="A66" s="2">
        <v>1963</v>
      </c>
      <c r="B66" s="2">
        <v>622.70000000000005</v>
      </c>
      <c r="C66" s="2">
        <v>3456.1802741854922</v>
      </c>
      <c r="D66" s="2">
        <v>18.016999999999999</v>
      </c>
      <c r="E66" s="2">
        <v>374.7</v>
      </c>
      <c r="F66" s="2">
        <v>99.7</v>
      </c>
      <c r="G66" s="2">
        <v>2075.0955308190732</v>
      </c>
      <c r="H66" s="2">
        <v>210.76248427779854</v>
      </c>
      <c r="I66" s="2">
        <v>136.60004888832484</v>
      </c>
      <c r="J66" s="2">
        <v>21.478999999999999</v>
      </c>
      <c r="K66" s="2">
        <v>36.21</v>
      </c>
      <c r="L66" s="2">
        <v>59.317999999999998</v>
      </c>
      <c r="M66" s="2">
        <v>0.32516495548044905</v>
      </c>
      <c r="N66" s="2">
        <v>0.33552999974349074</v>
      </c>
      <c r="O66" s="2">
        <v>0.33252405167578086</v>
      </c>
      <c r="P66" s="2">
        <v>0.3244155175559445</v>
      </c>
      <c r="Q66" s="2">
        <v>8.2910965407143689</v>
      </c>
      <c r="R66" s="2">
        <v>188204</v>
      </c>
      <c r="S66" s="2">
        <v>121640</v>
      </c>
      <c r="T66" s="2">
        <v>4.8899999999999997</v>
      </c>
      <c r="U66" s="2">
        <v>3.89</v>
      </c>
      <c r="V66" s="2">
        <v>2.91</v>
      </c>
      <c r="W66" s="2">
        <v>65.550000000000011</v>
      </c>
      <c r="X66" s="2">
        <v>26.434921264648438</v>
      </c>
      <c r="Y66" s="2">
        <v>2.6744609215220198E-2</v>
      </c>
      <c r="Z66" s="2">
        <v>7.099837064743042E-2</v>
      </c>
      <c r="AA66" s="2">
        <v>1.8690606579184532E-2</v>
      </c>
      <c r="AB66" s="2">
        <v>-1.90571448083265</v>
      </c>
      <c r="AC66" s="2">
        <v>-0.29812973681598898</v>
      </c>
      <c r="AD66" s="2">
        <v>-0.43167863217283697</v>
      </c>
      <c r="AE66" s="2">
        <v>9.60635218140235E-2</v>
      </c>
      <c r="AF66" s="2">
        <v>0.184</v>
      </c>
      <c r="AG66" s="2">
        <v>4.8788999999999998</v>
      </c>
      <c r="AH66" s="2">
        <v>0.15</v>
      </c>
      <c r="AI66" s="2">
        <v>0.33898024172456198</v>
      </c>
      <c r="AJ66" s="2">
        <v>-4.2306007215045897E-2</v>
      </c>
      <c r="AK66" s="2">
        <v>-8.1316305997592306E-2</v>
      </c>
      <c r="AL66" s="2">
        <v>-0.51768813198994601</v>
      </c>
      <c r="AM66" s="2">
        <v>0.10201412496855999</v>
      </c>
      <c r="AN66" s="2">
        <v>0.30670835026746901</v>
      </c>
      <c r="AO66" s="2">
        <v>0.12216955614658601</v>
      </c>
      <c r="AP66" s="2">
        <v>0.18794080433492599</v>
      </c>
      <c r="AQ66" s="2">
        <v>0.38755313428136201</v>
      </c>
      <c r="AR66" s="2">
        <v>8.5364100262860908E-3</v>
      </c>
      <c r="AS66" s="2">
        <v>-8.8422601192977193E-2</v>
      </c>
      <c r="AT66" s="2">
        <v>-6.4684169547514103E-2</v>
      </c>
    </row>
    <row r="67" spans="1:46" x14ac:dyDescent="0.25">
      <c r="A67" s="2">
        <v>1963.25</v>
      </c>
      <c r="B67" s="2">
        <v>631.79999999999995</v>
      </c>
      <c r="C67" s="2">
        <v>3500.8588685100012</v>
      </c>
      <c r="D67" s="2">
        <v>18.047000000000001</v>
      </c>
      <c r="E67" s="2">
        <v>378.9</v>
      </c>
      <c r="F67" s="2">
        <v>101.6</v>
      </c>
      <c r="G67" s="2">
        <v>2095.3381629154455</v>
      </c>
      <c r="H67" s="2">
        <v>217.26564890687158</v>
      </c>
      <c r="I67" s="2">
        <v>137.41148852512171</v>
      </c>
      <c r="J67" s="2">
        <v>21.779</v>
      </c>
      <c r="K67" s="2">
        <v>36.487000000000002</v>
      </c>
      <c r="L67" s="2">
        <v>59.691000000000003</v>
      </c>
      <c r="M67" s="2">
        <v>0.33326557146042957</v>
      </c>
      <c r="N67" s="2">
        <v>0.34221867736717204</v>
      </c>
      <c r="O67" s="2">
        <v>0.33486921576753514</v>
      </c>
      <c r="P67" s="2">
        <v>0.32825790820848305</v>
      </c>
      <c r="Q67" s="2">
        <v>8.1684667602715386</v>
      </c>
      <c r="R67" s="2">
        <v>188796</v>
      </c>
      <c r="S67" s="2">
        <v>122167</v>
      </c>
      <c r="T67" s="2">
        <v>4.8499999999999996</v>
      </c>
      <c r="U67" s="2">
        <v>3.96</v>
      </c>
      <c r="V67" s="2">
        <v>2.94</v>
      </c>
      <c r="W67" s="2">
        <v>69.67</v>
      </c>
      <c r="X67" s="2">
        <v>28.299650192260742</v>
      </c>
      <c r="Y67" s="2">
        <v>-3.11408542307978E-2</v>
      </c>
      <c r="Z67" s="2">
        <v>2.550668828189373E-2</v>
      </c>
      <c r="AA67" s="2">
        <v>7.7001079916954041E-3</v>
      </c>
      <c r="AB67" s="2">
        <v>-1.1582526114054199</v>
      </c>
      <c r="AC67" s="2">
        <v>-0.319119102476079</v>
      </c>
      <c r="AD67" s="2">
        <v>-1.4239094091200999</v>
      </c>
      <c r="AE67" s="2">
        <v>-0.113516360120854</v>
      </c>
      <c r="AF67" s="2">
        <v>0.23469999999999999</v>
      </c>
      <c r="AG67" s="2">
        <v>-3.2387999999999999</v>
      </c>
      <c r="AH67" s="2">
        <v>-0.46850000000000003</v>
      </c>
      <c r="AI67" s="2">
        <v>0.88626346026697</v>
      </c>
      <c r="AJ67" s="2">
        <v>-0.37292738009365101</v>
      </c>
      <c r="AK67" s="2">
        <v>-0.29077179494439898</v>
      </c>
      <c r="AL67" s="2">
        <v>0.449659460719532</v>
      </c>
      <c r="AM67" s="2">
        <v>-4.0730863087637501E-2</v>
      </c>
      <c r="AN67" s="2">
        <v>0.39689194552030999</v>
      </c>
      <c r="AO67" s="2">
        <v>-0.356926697645497</v>
      </c>
      <c r="AP67" s="2">
        <v>-1.35076673618765E-2</v>
      </c>
      <c r="AQ67" s="2">
        <v>-4.9291648334185797E-2</v>
      </c>
      <c r="AR67" s="2">
        <v>-0.55064999938345804</v>
      </c>
      <c r="AS67" s="2">
        <v>-0.35659561044954302</v>
      </c>
      <c r="AT67" s="2">
        <v>-0.112144151982395</v>
      </c>
    </row>
    <row r="68" spans="1:46" x14ac:dyDescent="0.25">
      <c r="A68" s="2">
        <v>1963.5</v>
      </c>
      <c r="B68" s="2">
        <v>645</v>
      </c>
      <c r="C68" s="2">
        <v>3569.6496762410761</v>
      </c>
      <c r="D68" s="2">
        <v>18.068999999999999</v>
      </c>
      <c r="E68" s="2">
        <v>385.8</v>
      </c>
      <c r="F68" s="2">
        <v>104.6</v>
      </c>
      <c r="G68" s="2">
        <v>2123.3969948813915</v>
      </c>
      <c r="H68" s="2">
        <v>223.15060118198491</v>
      </c>
      <c r="I68" s="2">
        <v>137.76092625507172</v>
      </c>
      <c r="J68" s="2">
        <v>22.251999999999999</v>
      </c>
      <c r="K68" s="2">
        <v>37.292999999999999</v>
      </c>
      <c r="L68" s="2">
        <v>59.668999999999997</v>
      </c>
      <c r="M68" s="2">
        <v>0.3483364418800699</v>
      </c>
      <c r="N68" s="2">
        <v>0.35621181094758791</v>
      </c>
      <c r="O68" s="2">
        <v>0.34735668806474423</v>
      </c>
      <c r="P68" s="2">
        <v>0.33854323924886887</v>
      </c>
      <c r="Q68" s="2">
        <v>8.0397600880135034</v>
      </c>
      <c r="R68" s="2">
        <v>189500</v>
      </c>
      <c r="S68" s="2">
        <v>122670</v>
      </c>
      <c r="T68" s="2">
        <v>4.84</v>
      </c>
      <c r="U68" s="2">
        <v>4.03</v>
      </c>
      <c r="V68" s="2">
        <v>3.29</v>
      </c>
      <c r="W68" s="2">
        <v>70.966666666666669</v>
      </c>
      <c r="X68" s="2">
        <v>28.983858108520508</v>
      </c>
      <c r="Y68" s="2">
        <v>1.3322144768049</v>
      </c>
      <c r="Z68" s="2">
        <v>-1.9038975238800049E-2</v>
      </c>
      <c r="AA68" s="2">
        <v>-9.4327627448365092E-4</v>
      </c>
      <c r="AB68" s="2">
        <v>0.52506965071243905</v>
      </c>
      <c r="AC68" s="2">
        <v>0.43390781953201502</v>
      </c>
      <c r="AD68" s="2">
        <v>0.28533824420026799</v>
      </c>
      <c r="AE68" s="2">
        <v>1.45192989698069</v>
      </c>
      <c r="AF68" s="2">
        <v>0.97850000000000004</v>
      </c>
      <c r="AG68" s="2">
        <v>0.36130000000000001</v>
      </c>
      <c r="AH68" s="2">
        <v>0.45</v>
      </c>
      <c r="AI68" s="2">
        <v>0.43634519631514102</v>
      </c>
      <c r="AJ68" s="2">
        <v>0.58584186761846202</v>
      </c>
      <c r="AK68" s="2">
        <v>1.01180956603211</v>
      </c>
      <c r="AL68" s="2">
        <v>-0.293748454845079</v>
      </c>
      <c r="AM68" s="2">
        <v>-6.3771279368377495E-2</v>
      </c>
      <c r="AN68" s="2">
        <v>0.39844948277043002</v>
      </c>
      <c r="AO68" s="2">
        <v>0.17392778186653199</v>
      </c>
      <c r="AP68" s="2">
        <v>0.17219455292701699</v>
      </c>
      <c r="AQ68" s="2">
        <v>0.13675048158712899</v>
      </c>
      <c r="AR68" s="2">
        <v>0.12270227420248001</v>
      </c>
      <c r="AS68" s="2">
        <v>-0.37353097322066797</v>
      </c>
      <c r="AT68" s="2">
        <v>-0.103655826892823</v>
      </c>
    </row>
    <row r="69" spans="1:46" x14ac:dyDescent="0.25">
      <c r="A69" s="2">
        <v>1963.75</v>
      </c>
      <c r="B69" s="2">
        <v>654.79999999999995</v>
      </c>
      <c r="C69" s="2">
        <v>3594.6420729029419</v>
      </c>
      <c r="D69" s="2">
        <v>18.216000000000001</v>
      </c>
      <c r="E69" s="2">
        <v>390.5</v>
      </c>
      <c r="F69" s="2">
        <v>107.2</v>
      </c>
      <c r="G69" s="2">
        <v>2141.3687212107916</v>
      </c>
      <c r="H69" s="2">
        <v>229.79532262991754</v>
      </c>
      <c r="I69" s="2">
        <v>138.43809753247112</v>
      </c>
      <c r="J69" s="2">
        <v>22.411999999999999</v>
      </c>
      <c r="K69" s="2">
        <v>37.362000000000002</v>
      </c>
      <c r="L69" s="2">
        <v>59.985999999999997</v>
      </c>
      <c r="M69" s="2">
        <v>0.34998151318654797</v>
      </c>
      <c r="N69" s="2">
        <v>0.36037943791680838</v>
      </c>
      <c r="O69" s="2">
        <v>0.34699904133548237</v>
      </c>
      <c r="P69" s="2">
        <v>0.33474912843511079</v>
      </c>
      <c r="Q69" s="2">
        <v>7.9326180232263823</v>
      </c>
      <c r="R69" s="2">
        <v>190255</v>
      </c>
      <c r="S69" s="2">
        <v>123189</v>
      </c>
      <c r="T69" s="2">
        <v>4.84</v>
      </c>
      <c r="U69" s="2">
        <v>4.12</v>
      </c>
      <c r="V69" s="2">
        <v>3.5</v>
      </c>
      <c r="W69" s="2">
        <v>73.273333333333326</v>
      </c>
      <c r="X69" s="2">
        <v>30.144901275634766</v>
      </c>
      <c r="Y69" s="2">
        <v>-0.241565839982054</v>
      </c>
      <c r="Z69" s="2">
        <v>2.1606979891657829E-2</v>
      </c>
      <c r="AA69" s="2">
        <v>4.003454465419054E-3</v>
      </c>
      <c r="AB69" s="2">
        <v>0.24988154667460599</v>
      </c>
      <c r="AC69" s="2">
        <v>-0.15170575883093601</v>
      </c>
      <c r="AD69" s="2">
        <v>-0.50074406693263396</v>
      </c>
      <c r="AE69" s="2">
        <v>-0.51418490153892504</v>
      </c>
      <c r="AF69" s="2">
        <v>-0.38519999999999999</v>
      </c>
      <c r="AG69" s="2">
        <v>-0.95799999999999996</v>
      </c>
      <c r="AH69" s="2">
        <v>-0.77110000000000001</v>
      </c>
      <c r="AI69" s="2">
        <v>-0.177471045432158</v>
      </c>
      <c r="AJ69" s="2">
        <v>0.50875176904987096</v>
      </c>
      <c r="AK69" s="2">
        <v>-0.47958220754901998</v>
      </c>
      <c r="AL69" s="2">
        <v>-0.13187416410198699</v>
      </c>
      <c r="AM69" s="2">
        <v>-0.10117982082203</v>
      </c>
      <c r="AN69" s="2">
        <v>0.32158179678968901</v>
      </c>
      <c r="AO69" s="2">
        <v>-0.27278054322457501</v>
      </c>
      <c r="AP69" s="2">
        <v>-0.15724695194372201</v>
      </c>
      <c r="AQ69" s="2">
        <v>-0.64323088626112201</v>
      </c>
      <c r="AR69" s="2">
        <v>0.64879419344193201</v>
      </c>
      <c r="AS69" s="2">
        <v>-0.37005710555098198</v>
      </c>
      <c r="AT69" s="2">
        <v>-2.34918800835026E-2</v>
      </c>
    </row>
    <row r="70" spans="1:46" x14ac:dyDescent="0.25">
      <c r="A70" s="2">
        <v>1964</v>
      </c>
      <c r="B70" s="2">
        <v>671.1</v>
      </c>
      <c r="C70" s="2">
        <v>3672.4307759658527</v>
      </c>
      <c r="D70" s="2">
        <v>18.274000000000001</v>
      </c>
      <c r="E70" s="2">
        <v>400.1</v>
      </c>
      <c r="F70" s="2">
        <v>110.5</v>
      </c>
      <c r="G70" s="2">
        <v>2183.4752237502726</v>
      </c>
      <c r="H70" s="2">
        <v>234.45982627578715</v>
      </c>
      <c r="I70" s="2">
        <v>139.38250763017305</v>
      </c>
      <c r="J70" s="2">
        <v>22.977</v>
      </c>
      <c r="K70" s="2">
        <v>37.844000000000001</v>
      </c>
      <c r="L70" s="2">
        <v>60.713999999999999</v>
      </c>
      <c r="M70" s="2">
        <v>0.36060926708764163</v>
      </c>
      <c r="N70" s="2">
        <v>0.37217397657345092</v>
      </c>
      <c r="O70" s="2">
        <v>0.36278132432451665</v>
      </c>
      <c r="P70" s="2">
        <v>0.35490358191290927</v>
      </c>
      <c r="Q70" s="2">
        <v>7.8338747535049977</v>
      </c>
      <c r="R70" s="2">
        <v>190858</v>
      </c>
      <c r="S70" s="2">
        <v>123708</v>
      </c>
      <c r="T70" s="2">
        <v>4.83</v>
      </c>
      <c r="U70" s="2">
        <v>4.18</v>
      </c>
      <c r="V70" s="2">
        <v>3.53</v>
      </c>
      <c r="W70" s="2">
        <v>77.546666666666667</v>
      </c>
      <c r="X70" s="2">
        <v>31.841974258422852</v>
      </c>
      <c r="Y70" s="2">
        <v>1.42327436842889</v>
      </c>
      <c r="Z70" s="2">
        <v>2.9437193647027016E-2</v>
      </c>
      <c r="AA70" s="2">
        <v>1.0694921016693115E-2</v>
      </c>
      <c r="AB70" s="2">
        <v>-0.54112356601198996</v>
      </c>
      <c r="AC70" s="2">
        <v>1.3484673065535999</v>
      </c>
      <c r="AD70" s="2">
        <v>0.125415424000207</v>
      </c>
      <c r="AE70" s="2">
        <v>1.0059458353250299</v>
      </c>
      <c r="AF70" s="2">
        <v>-0.28210000000000002</v>
      </c>
      <c r="AG70" s="2">
        <v>2.3715000000000002</v>
      </c>
      <c r="AH70" s="2">
        <v>0.81579999999999997</v>
      </c>
      <c r="AI70" s="2">
        <v>0.44503315905324597</v>
      </c>
      <c r="AJ70" s="2">
        <v>0.47868357755285101</v>
      </c>
      <c r="AK70" s="2">
        <v>0.700689770114865</v>
      </c>
      <c r="AL70" s="2">
        <v>-0.36020437610157402</v>
      </c>
      <c r="AM70" s="2">
        <v>0.26670256491181399</v>
      </c>
      <c r="AN70" s="2">
        <v>0.25324732552721002</v>
      </c>
      <c r="AO70" s="2">
        <v>0.14779191540080699</v>
      </c>
      <c r="AP70" s="2">
        <v>0.71984933818264096</v>
      </c>
      <c r="AQ70" s="2">
        <v>7.5517526231207296E-3</v>
      </c>
      <c r="AR70" s="2">
        <v>0.27470565597006802</v>
      </c>
      <c r="AS70" s="2">
        <v>-0.19348253463415799</v>
      </c>
      <c r="AT70" s="2">
        <v>3.60221100400464E-2</v>
      </c>
    </row>
    <row r="71" spans="1:46" x14ac:dyDescent="0.25">
      <c r="A71" s="2">
        <v>1964.25</v>
      </c>
      <c r="B71" s="2">
        <v>680.8</v>
      </c>
      <c r="C71" s="2">
        <v>3716.5629435527894</v>
      </c>
      <c r="D71" s="2">
        <v>18.318000000000001</v>
      </c>
      <c r="E71" s="2">
        <v>408.1</v>
      </c>
      <c r="F71" s="2">
        <v>110.5</v>
      </c>
      <c r="G71" s="2">
        <v>2222.0407274311228</v>
      </c>
      <c r="H71" s="2">
        <v>240.06482763277845</v>
      </c>
      <c r="I71" s="2">
        <v>140.92011487730829</v>
      </c>
      <c r="J71" s="2">
        <v>23.248999999999999</v>
      </c>
      <c r="K71" s="2">
        <v>37.954000000000001</v>
      </c>
      <c r="L71" s="2">
        <v>61.256</v>
      </c>
      <c r="M71" s="2">
        <v>0.36506514152564007</v>
      </c>
      <c r="N71" s="2">
        <v>0.37875042297712325</v>
      </c>
      <c r="O71" s="2">
        <v>0.35590213790023212</v>
      </c>
      <c r="P71" s="2">
        <v>0.33997645930272924</v>
      </c>
      <c r="Q71" s="2">
        <v>7.7619741134668283</v>
      </c>
      <c r="R71" s="2">
        <v>191453</v>
      </c>
      <c r="S71" s="2">
        <v>124203</v>
      </c>
      <c r="T71" s="2">
        <v>4.8499999999999996</v>
      </c>
      <c r="U71" s="2">
        <v>4.2</v>
      </c>
      <c r="V71" s="2">
        <v>3.48</v>
      </c>
      <c r="W71" s="2">
        <v>80.3</v>
      </c>
      <c r="X71" s="2">
        <v>33.058490753173828</v>
      </c>
      <c r="Y71" s="2">
        <v>0.203115291155331</v>
      </c>
      <c r="Z71" s="2">
        <v>5.7044443674385548E-3</v>
      </c>
      <c r="AA71" s="2">
        <v>9.9658651743084192E-4</v>
      </c>
      <c r="AB71" s="2">
        <v>-0.53822452933509402</v>
      </c>
      <c r="AC71" s="2">
        <v>1.0250927322112999</v>
      </c>
      <c r="AD71" s="2">
        <v>-0.25106503104636901</v>
      </c>
      <c r="AE71" s="2">
        <v>-1.6894396018163799E-2</v>
      </c>
      <c r="AF71" s="2">
        <v>0.3805</v>
      </c>
      <c r="AG71" s="2">
        <v>-5.1955999999999998</v>
      </c>
      <c r="AH71" s="2">
        <v>-0.24279999999999999</v>
      </c>
      <c r="AI71" s="2">
        <v>-0.29545717599661703</v>
      </c>
      <c r="AJ71" s="2">
        <v>-1.6693838009697901</v>
      </c>
      <c r="AK71" s="2">
        <v>-0.163103676414316</v>
      </c>
      <c r="AL71" s="2">
        <v>-0.93778648994761304</v>
      </c>
      <c r="AM71" s="2">
        <v>0.29765237329033301</v>
      </c>
      <c r="AN71" s="2">
        <v>0.13601929230318199</v>
      </c>
      <c r="AO71" s="2">
        <v>-4.8774547740316303E-3</v>
      </c>
      <c r="AP71" s="2">
        <v>-0.58433882788930303</v>
      </c>
      <c r="AQ71" s="2">
        <v>-0.30609106511488499</v>
      </c>
      <c r="AR71" s="2">
        <v>-1.17537757184492</v>
      </c>
      <c r="AS71" s="2">
        <v>-0.20498548170077199</v>
      </c>
      <c r="AT71" s="2">
        <v>-1.70182420719103E-2</v>
      </c>
    </row>
    <row r="72" spans="1:46" x14ac:dyDescent="0.25">
      <c r="A72" s="2">
        <v>1964.5</v>
      </c>
      <c r="B72" s="2">
        <v>692.8</v>
      </c>
      <c r="C72" s="2">
        <v>3766.8551544149632</v>
      </c>
      <c r="D72" s="2">
        <v>18.391999999999999</v>
      </c>
      <c r="E72" s="2">
        <v>417</v>
      </c>
      <c r="F72" s="2">
        <v>112.6</v>
      </c>
      <c r="G72" s="2">
        <v>2262.8608639027566</v>
      </c>
      <c r="H72" s="2">
        <v>247.69682448621472</v>
      </c>
      <c r="I72" s="2">
        <v>141.60726372052804</v>
      </c>
      <c r="J72" s="2">
        <v>23.591999999999999</v>
      </c>
      <c r="K72" s="2">
        <v>38.302999999999997</v>
      </c>
      <c r="L72" s="2">
        <v>61.593000000000004</v>
      </c>
      <c r="M72" s="2">
        <v>0.37326878272096875</v>
      </c>
      <c r="N72" s="2">
        <v>0.39202940797940133</v>
      </c>
      <c r="O72" s="2">
        <v>0.36346453857619865</v>
      </c>
      <c r="P72" s="2">
        <v>0.34806917711480795</v>
      </c>
      <c r="Q72" s="2">
        <v>7.6734916244927946</v>
      </c>
      <c r="R72" s="2">
        <v>192132</v>
      </c>
      <c r="S72" s="2">
        <v>124739</v>
      </c>
      <c r="T72" s="2">
        <v>4.82</v>
      </c>
      <c r="U72" s="2">
        <v>4.1900000000000004</v>
      </c>
      <c r="V72" s="2">
        <v>3.5</v>
      </c>
      <c r="W72" s="2">
        <v>82.876666666666665</v>
      </c>
      <c r="X72" s="2">
        <v>34.342205047607422</v>
      </c>
      <c r="Y72" s="2">
        <v>0.74853076597988799</v>
      </c>
      <c r="Z72" s="2">
        <v>1.5203535556793213E-2</v>
      </c>
      <c r="AA72" s="2">
        <v>6.503645796328783E-3</v>
      </c>
      <c r="AB72" s="2">
        <v>1.5885774826172401</v>
      </c>
      <c r="AC72" s="2">
        <v>0.114346066814381</v>
      </c>
      <c r="AD72" s="2">
        <v>0.13349029250241301</v>
      </c>
      <c r="AE72" s="2">
        <v>0.217352050702943</v>
      </c>
      <c r="AF72" s="2">
        <v>0.25600000000000001</v>
      </c>
      <c r="AG72" s="2">
        <v>1.1102000000000001</v>
      </c>
      <c r="AH72" s="2">
        <v>0.62070000000000003</v>
      </c>
      <c r="AI72" s="2">
        <v>-0.22079497754212399</v>
      </c>
      <c r="AJ72" s="2">
        <v>0.87604304286499202</v>
      </c>
      <c r="AK72" s="2">
        <v>0.35593641002162701</v>
      </c>
      <c r="AL72" s="2">
        <v>-0.150470390410604</v>
      </c>
      <c r="AM72" s="2">
        <v>0.29391121228297601</v>
      </c>
      <c r="AN72" s="2">
        <v>0.16912103762119299</v>
      </c>
      <c r="AO72" s="2">
        <v>0.14919209543488199</v>
      </c>
      <c r="AP72" s="2">
        <v>0.63602517168833295</v>
      </c>
      <c r="AQ72" s="2">
        <v>7.6875251866608998E-2</v>
      </c>
      <c r="AR72" s="2">
        <v>-0.62271518823820105</v>
      </c>
      <c r="AS72" s="2">
        <v>-7.4403290331457095E-2</v>
      </c>
      <c r="AT72" s="2">
        <v>-4.2802801105543504E-3</v>
      </c>
    </row>
    <row r="73" spans="1:46" x14ac:dyDescent="0.25">
      <c r="A73" s="2">
        <v>1964.75</v>
      </c>
      <c r="B73" s="2">
        <v>698.4</v>
      </c>
      <c r="C73" s="2">
        <v>3780.0389694739124</v>
      </c>
      <c r="D73" s="2">
        <v>18.475999999999999</v>
      </c>
      <c r="E73" s="2">
        <v>419.6</v>
      </c>
      <c r="F73" s="2">
        <v>115</v>
      </c>
      <c r="G73" s="2">
        <v>2269.3347755543541</v>
      </c>
      <c r="H73" s="2">
        <v>252.92220878677955</v>
      </c>
      <c r="I73" s="2">
        <v>142.5924670223236</v>
      </c>
      <c r="J73" s="2">
        <v>23.637</v>
      </c>
      <c r="K73" s="2">
        <v>38.134999999999998</v>
      </c>
      <c r="L73" s="2">
        <v>61.982999999999997</v>
      </c>
      <c r="M73" s="2">
        <v>0.37163953490617035</v>
      </c>
      <c r="N73" s="2">
        <v>0.39557588716010178</v>
      </c>
      <c r="O73" s="2">
        <v>0.36147824014524349</v>
      </c>
      <c r="P73" s="2">
        <v>0.36476008668776505</v>
      </c>
      <c r="Q73" s="2">
        <v>7.58421872895779</v>
      </c>
      <c r="R73" s="2">
        <v>192839</v>
      </c>
      <c r="S73" s="2">
        <v>125289</v>
      </c>
      <c r="T73" s="2">
        <v>4.8099999999999996</v>
      </c>
      <c r="U73" s="2">
        <v>4.17</v>
      </c>
      <c r="V73" s="2">
        <v>3.68</v>
      </c>
      <c r="W73" s="2">
        <v>84.75</v>
      </c>
      <c r="X73" s="2">
        <v>35.295368194580078</v>
      </c>
      <c r="Y73" s="2">
        <v>-1.0898715062159601</v>
      </c>
      <c r="Z73" s="2">
        <v>1.1295819655060768E-2</v>
      </c>
      <c r="AA73" s="2">
        <v>-4.9762323033064604E-4</v>
      </c>
      <c r="AB73" s="2">
        <v>0.34710536954029902</v>
      </c>
      <c r="AC73" s="2">
        <v>-0.79898107671757701</v>
      </c>
      <c r="AD73" s="2">
        <v>4.1430715428059702E-3</v>
      </c>
      <c r="AE73" s="2">
        <v>-1.2415814472711999</v>
      </c>
      <c r="AF73" s="2">
        <v>-1.4638</v>
      </c>
      <c r="AG73" s="2">
        <v>-3.8704000000000001</v>
      </c>
      <c r="AH73" s="2">
        <v>-0.55889999999999995</v>
      </c>
      <c r="AI73" s="2">
        <v>-0.37615582073811799</v>
      </c>
      <c r="AJ73" s="2">
        <v>-1.2016070548942399</v>
      </c>
      <c r="AK73" s="2">
        <v>-1.0746754043612401</v>
      </c>
      <c r="AL73" s="2">
        <v>-0.29678710908151701</v>
      </c>
      <c r="AM73" s="2">
        <v>0.23765797062846999</v>
      </c>
      <c r="AN73" s="2">
        <v>0.300331315858687</v>
      </c>
      <c r="AO73" s="2">
        <v>-0.129900184622641</v>
      </c>
      <c r="AP73" s="2">
        <v>-0.37995606142947103</v>
      </c>
      <c r="AQ73" s="2">
        <v>0.34931128696270602</v>
      </c>
      <c r="AR73" s="2">
        <v>-0.43303786284648998</v>
      </c>
      <c r="AS73" s="2">
        <v>6.6981473863747407E-2</v>
      </c>
      <c r="AT73" s="2">
        <v>-0.25920905197100103</v>
      </c>
    </row>
    <row r="74" spans="1:46" x14ac:dyDescent="0.25">
      <c r="A74" s="2">
        <v>1965</v>
      </c>
      <c r="B74" s="2">
        <v>719.2</v>
      </c>
      <c r="C74" s="2">
        <v>3873.1218697829718</v>
      </c>
      <c r="D74" s="2">
        <v>18.568999999999999</v>
      </c>
      <c r="E74" s="2">
        <v>430.3</v>
      </c>
      <c r="F74" s="2">
        <v>126.5</v>
      </c>
      <c r="G74" s="2">
        <v>2319.8016065556094</v>
      </c>
      <c r="H74" s="2">
        <v>269.01918690460218</v>
      </c>
      <c r="I74" s="2">
        <v>144.32443273790525</v>
      </c>
      <c r="J74" s="2">
        <v>24.35</v>
      </c>
      <c r="K74" s="2">
        <v>38.805999999999997</v>
      </c>
      <c r="L74" s="2">
        <v>62.747999999999998</v>
      </c>
      <c r="M74" s="2">
        <v>0.38834349083105313</v>
      </c>
      <c r="N74" s="2">
        <v>0.41517261161990371</v>
      </c>
      <c r="O74" s="2">
        <v>0.36026253866212732</v>
      </c>
      <c r="P74" s="2">
        <v>0.33939840401671584</v>
      </c>
      <c r="Q74" s="2">
        <v>7.5224835503286709</v>
      </c>
      <c r="R74" s="2">
        <v>193385</v>
      </c>
      <c r="S74" s="2">
        <v>125814</v>
      </c>
      <c r="T74" s="2">
        <v>4.79</v>
      </c>
      <c r="U74" s="2">
        <v>4.2</v>
      </c>
      <c r="V74" s="2">
        <v>3.89</v>
      </c>
      <c r="W74" s="2">
        <v>86.566666666666663</v>
      </c>
      <c r="X74" s="2">
        <v>36.822391510009766</v>
      </c>
      <c r="Y74" s="2">
        <v>-0.153253898574577</v>
      </c>
      <c r="Z74" s="2">
        <v>-9.7023723646998405E-3</v>
      </c>
      <c r="AA74" s="2">
        <v>3.4556686878204346E-3</v>
      </c>
      <c r="AB74" s="2">
        <v>-0.65695660022842794</v>
      </c>
      <c r="AC74" s="2">
        <v>1.2090671282159999</v>
      </c>
      <c r="AD74" s="2">
        <v>-3.1909015500915898E-2</v>
      </c>
      <c r="AE74" s="2">
        <v>0.61649032645597401</v>
      </c>
      <c r="AF74" s="2">
        <v>1.1274</v>
      </c>
      <c r="AG74" s="2">
        <v>11.559100000000001</v>
      </c>
      <c r="AH74" s="2">
        <v>-3.7600000000000001E-2</v>
      </c>
      <c r="AI74" s="2">
        <v>0.900273298393097</v>
      </c>
      <c r="AJ74" s="2">
        <v>0.74437397662887705</v>
      </c>
      <c r="AK74" s="2">
        <v>0.10237754571567</v>
      </c>
      <c r="AL74" s="2">
        <v>0.19147997588544</v>
      </c>
      <c r="AM74" s="2">
        <v>0.16346525454334601</v>
      </c>
      <c r="AN74" s="2">
        <v>6.9021562230869096E-2</v>
      </c>
      <c r="AO74" s="2">
        <v>0.62908992182150902</v>
      </c>
      <c r="AP74" s="2">
        <v>-0.14832769527862499</v>
      </c>
      <c r="AQ74" s="2">
        <v>0.14959541110510199</v>
      </c>
      <c r="AR74" s="2">
        <v>6.9171448545544204E-3</v>
      </c>
      <c r="AS74" s="2">
        <v>0.17447982665417899</v>
      </c>
      <c r="AT74" s="2">
        <v>-0.46550087497383702</v>
      </c>
    </row>
    <row r="75" spans="1:46" x14ac:dyDescent="0.25">
      <c r="A75" s="2">
        <v>1965.25</v>
      </c>
      <c r="B75" s="2">
        <v>732.4</v>
      </c>
      <c r="C75" s="2">
        <v>3926.6566588033452</v>
      </c>
      <c r="D75" s="2">
        <v>18.652000000000001</v>
      </c>
      <c r="E75" s="2">
        <v>437.2</v>
      </c>
      <c r="F75" s="2">
        <v>127</v>
      </c>
      <c r="G75" s="2">
        <v>2345.2419268318849</v>
      </c>
      <c r="H75" s="2">
        <v>279.06976744186045</v>
      </c>
      <c r="I75" s="2">
        <v>145.87924482165403</v>
      </c>
      <c r="J75" s="2">
        <v>24.692</v>
      </c>
      <c r="K75" s="2">
        <v>38.844999999999999</v>
      </c>
      <c r="L75" s="2">
        <v>63.564999999999998</v>
      </c>
      <c r="M75" s="2">
        <v>0.38958871950466911</v>
      </c>
      <c r="N75" s="2">
        <v>0.42221426564503811</v>
      </c>
      <c r="O75" s="2">
        <v>0.36422645180148699</v>
      </c>
      <c r="P75" s="2">
        <v>0.35795862136347883</v>
      </c>
      <c r="Q75" s="2">
        <v>7.4079642436787951</v>
      </c>
      <c r="R75" s="2">
        <v>193895</v>
      </c>
      <c r="S75" s="2">
        <v>126325</v>
      </c>
      <c r="T75" s="2">
        <v>4.82</v>
      </c>
      <c r="U75" s="2">
        <v>4.21</v>
      </c>
      <c r="V75" s="2">
        <v>3.87</v>
      </c>
      <c r="W75" s="2">
        <v>87.43</v>
      </c>
      <c r="X75" s="2">
        <v>37.159648895263672</v>
      </c>
      <c r="Y75" s="2">
        <v>0.70471161221106804</v>
      </c>
      <c r="Z75" s="2">
        <v>-2.6357853785157204E-3</v>
      </c>
      <c r="AA75" s="2">
        <v>-2.6319930329918861E-3</v>
      </c>
      <c r="AB75" s="2">
        <v>-0.59986184519639796</v>
      </c>
      <c r="AC75" s="2">
        <v>-5.9415243625477503E-2</v>
      </c>
      <c r="AD75" s="2">
        <v>0.58228199958442906</v>
      </c>
      <c r="AE75" s="2">
        <v>-0.73906657172895596</v>
      </c>
      <c r="AF75" s="2">
        <v>-0.67479999999999996</v>
      </c>
      <c r="AG75" s="2">
        <v>-10.5595</v>
      </c>
      <c r="AH75" s="2">
        <v>0.52170000000000005</v>
      </c>
      <c r="AI75" s="2">
        <v>0.98492796878033995</v>
      </c>
      <c r="AJ75" s="2">
        <v>-7.8116215004666395E-2</v>
      </c>
      <c r="AK75" s="2">
        <v>-0.56047786876674599</v>
      </c>
      <c r="AL75" s="2">
        <v>-0.47326987877041798</v>
      </c>
      <c r="AM75" s="2">
        <v>8.8597876557569594E-2</v>
      </c>
      <c r="AN75" s="2">
        <v>8.8887155931462097E-2</v>
      </c>
      <c r="AO75" s="2">
        <v>-0.52414603507922097</v>
      </c>
      <c r="AP75" s="2">
        <v>-0.160220216064999</v>
      </c>
      <c r="AQ75" s="2">
        <v>-0.62708018855471603</v>
      </c>
      <c r="AR75" s="2">
        <v>-0.42909324568669999</v>
      </c>
      <c r="AS75" s="2">
        <v>-5.3490352277936297E-2</v>
      </c>
      <c r="AT75" s="2">
        <v>-0.15617070113651099</v>
      </c>
    </row>
    <row r="76" spans="1:46" x14ac:dyDescent="0.25">
      <c r="A76" s="2">
        <v>1965.5</v>
      </c>
      <c r="B76" s="2">
        <v>750.2</v>
      </c>
      <c r="C76" s="2">
        <v>4006.1945957492258</v>
      </c>
      <c r="D76" s="2">
        <v>18.725999999999999</v>
      </c>
      <c r="E76" s="2">
        <v>446.4</v>
      </c>
      <c r="F76" s="2">
        <v>131.19999999999999</v>
      </c>
      <c r="G76" s="2">
        <v>2385.7623857623857</v>
      </c>
      <c r="H76" s="2">
        <v>289.19279519679787</v>
      </c>
      <c r="I76" s="2">
        <v>146.01271019762004</v>
      </c>
      <c r="J76" s="2">
        <v>25.23</v>
      </c>
      <c r="K76" s="2">
        <v>39.761000000000003</v>
      </c>
      <c r="L76" s="2">
        <v>63.454999999999998</v>
      </c>
      <c r="M76" s="2">
        <v>0.40438523682957056</v>
      </c>
      <c r="N76" s="2">
        <v>0.44115172269614539</v>
      </c>
      <c r="O76" s="2">
        <v>0.38385796093562252</v>
      </c>
      <c r="P76" s="2">
        <v>0.39472015820796508</v>
      </c>
      <c r="Q76" s="2">
        <v>7.3172511168961156</v>
      </c>
      <c r="R76" s="2">
        <v>194531</v>
      </c>
      <c r="S76" s="2">
        <v>126745</v>
      </c>
      <c r="T76" s="2">
        <v>4.8899999999999997</v>
      </c>
      <c r="U76" s="2">
        <v>4.25</v>
      </c>
      <c r="V76" s="2">
        <v>3.87</v>
      </c>
      <c r="W76" s="2">
        <v>86.926666666666662</v>
      </c>
      <c r="X76" s="2">
        <v>37.565605163574219</v>
      </c>
      <c r="Y76" s="2">
        <v>1.9559433761565499</v>
      </c>
      <c r="Z76" s="2">
        <v>-2.5173777714371681E-2</v>
      </c>
      <c r="AA76" s="2">
        <v>-2.2228113375604153E-3</v>
      </c>
      <c r="AB76" s="2">
        <v>2.6955131826924501</v>
      </c>
      <c r="AC76" s="2">
        <v>0.68276079721984195</v>
      </c>
      <c r="AD76" s="2">
        <v>0.261647851279254</v>
      </c>
      <c r="AE76" s="2">
        <v>1.1643665938929499</v>
      </c>
      <c r="AF76" s="2">
        <v>1.5799000000000001</v>
      </c>
      <c r="AG76" s="2">
        <v>1.5880000000000001</v>
      </c>
      <c r="AH76" s="2">
        <v>0.54569999999999996</v>
      </c>
      <c r="AI76" s="2">
        <v>0.98148038938580995</v>
      </c>
      <c r="AJ76" s="2">
        <v>0.75314430336628402</v>
      </c>
      <c r="AK76" s="2">
        <v>0.12285474579349499</v>
      </c>
      <c r="AL76" s="2">
        <v>-7.2354354480705901E-2</v>
      </c>
      <c r="AM76" s="2">
        <v>0.119046502965565</v>
      </c>
      <c r="AN76" s="2">
        <v>0.10387491373117699</v>
      </c>
      <c r="AO76" s="2">
        <v>0.566717665404604</v>
      </c>
      <c r="AP76" s="2">
        <v>5.7879638213977902E-2</v>
      </c>
      <c r="AQ76" s="2">
        <v>-0.332101717208511</v>
      </c>
      <c r="AR76" s="2">
        <v>-0.34791860958430998</v>
      </c>
      <c r="AS76" s="2">
        <v>3.3464984130112403E-2</v>
      </c>
      <c r="AT76" s="2">
        <v>-0.184557141849719</v>
      </c>
    </row>
    <row r="77" spans="1:46" x14ac:dyDescent="0.25">
      <c r="A77" s="2">
        <v>1965.75</v>
      </c>
      <c r="B77" s="2">
        <v>773.1</v>
      </c>
      <c r="C77" s="2">
        <v>4100.6736328435791</v>
      </c>
      <c r="D77" s="2">
        <v>18.853000000000002</v>
      </c>
      <c r="E77" s="2">
        <v>460.4</v>
      </c>
      <c r="F77" s="2">
        <v>133.80000000000001</v>
      </c>
      <c r="G77" s="2">
        <v>2453.1116794543905</v>
      </c>
      <c r="H77" s="2">
        <v>300.75687159739743</v>
      </c>
      <c r="I77" s="2">
        <v>147.69231248825514</v>
      </c>
      <c r="J77" s="2">
        <v>25.885000000000002</v>
      </c>
      <c r="K77" s="2">
        <v>40.372999999999998</v>
      </c>
      <c r="L77" s="2">
        <v>64.114000000000004</v>
      </c>
      <c r="M77" s="2">
        <v>0.41830049950483938</v>
      </c>
      <c r="N77" s="2">
        <v>0.46401214372551902</v>
      </c>
      <c r="O77" s="2">
        <v>0.39111963186845788</v>
      </c>
      <c r="P77" s="2">
        <v>0.40155887328948597</v>
      </c>
      <c r="Q77" s="2">
        <v>7.1649319484785119</v>
      </c>
      <c r="R77" s="2">
        <v>195188</v>
      </c>
      <c r="S77" s="2">
        <v>127169</v>
      </c>
      <c r="T77" s="2">
        <v>4.97</v>
      </c>
      <c r="U77" s="2">
        <v>4.47</v>
      </c>
      <c r="V77" s="2">
        <v>4.17</v>
      </c>
      <c r="W77" s="2">
        <v>91.756666666666675</v>
      </c>
      <c r="X77" s="2">
        <v>40.121189117431641</v>
      </c>
      <c r="Y77" s="2">
        <v>2.1846460187575398</v>
      </c>
      <c r="Z77" s="2">
        <v>2.5256624445319176E-2</v>
      </c>
      <c r="AA77" s="2">
        <v>1.2156867422163486E-2</v>
      </c>
      <c r="AB77" s="2">
        <v>-0.35707773226406198</v>
      </c>
      <c r="AC77" s="2">
        <v>1.4577221371803599</v>
      </c>
      <c r="AD77" s="2">
        <v>0.511480666266102</v>
      </c>
      <c r="AE77" s="2">
        <v>1.5081978166334</v>
      </c>
      <c r="AF77" s="2">
        <v>1.0387</v>
      </c>
      <c r="AG77" s="2">
        <v>-2.9670000000000001</v>
      </c>
      <c r="AH77" s="2">
        <v>-0.44069999999999998</v>
      </c>
      <c r="AI77" s="2">
        <v>0.82601236095751895</v>
      </c>
      <c r="AJ77" s="2">
        <v>-0.65155493868687497</v>
      </c>
      <c r="AK77" s="2">
        <v>0.61931816624372404</v>
      </c>
      <c r="AL77" s="2">
        <v>0.122193319842585</v>
      </c>
      <c r="AM77" s="2">
        <v>0.234593574953357</v>
      </c>
      <c r="AN77" s="2">
        <v>8.55228511430626E-2</v>
      </c>
      <c r="AO77" s="2">
        <v>-0.341213955758498</v>
      </c>
      <c r="AP77" s="2">
        <v>-5.5466959471054803E-2</v>
      </c>
      <c r="AQ77" s="2">
        <v>-0.231144819474597</v>
      </c>
      <c r="AR77" s="2">
        <v>-1.1032670950628101</v>
      </c>
      <c r="AS77" s="2">
        <v>-0.48688707249352497</v>
      </c>
      <c r="AT77" s="2">
        <v>3.9067972422552298E-3</v>
      </c>
    </row>
    <row r="78" spans="1:46" x14ac:dyDescent="0.25">
      <c r="A78" s="2">
        <v>1966</v>
      </c>
      <c r="B78" s="2">
        <v>797.3</v>
      </c>
      <c r="C78" s="2">
        <v>4201.844532279315</v>
      </c>
      <c r="D78" s="2">
        <v>18.975000000000001</v>
      </c>
      <c r="E78" s="2">
        <v>470.8</v>
      </c>
      <c r="F78" s="2">
        <v>144.19999999999999</v>
      </c>
      <c r="G78" s="2">
        <v>2489.1614676958866</v>
      </c>
      <c r="H78" s="2">
        <v>313.57959075205952</v>
      </c>
      <c r="I78" s="2">
        <v>149.68495101094933</v>
      </c>
      <c r="J78" s="2">
        <v>26.617000000000001</v>
      </c>
      <c r="K78" s="2">
        <v>41.106999999999999</v>
      </c>
      <c r="L78" s="2">
        <v>64.75</v>
      </c>
      <c r="M78" s="2">
        <v>0.43350628048568735</v>
      </c>
      <c r="N78" s="2">
        <v>0.48496160939051935</v>
      </c>
      <c r="O78" s="2">
        <v>0.3991625204499627</v>
      </c>
      <c r="P78" s="2">
        <v>0.41396921145406812</v>
      </c>
      <c r="Q78" s="2">
        <v>6.9869365767535552</v>
      </c>
      <c r="R78" s="2">
        <v>195686</v>
      </c>
      <c r="S78" s="2">
        <v>127511</v>
      </c>
      <c r="T78" s="2">
        <v>5.17</v>
      </c>
      <c r="U78" s="2">
        <v>4.7699999999999996</v>
      </c>
      <c r="V78" s="2">
        <v>4.6100000000000003</v>
      </c>
      <c r="W78" s="2">
        <v>91.63</v>
      </c>
      <c r="X78" s="2">
        <v>40.443397521972656</v>
      </c>
      <c r="Y78" s="2">
        <v>0.557257417462525</v>
      </c>
      <c r="Z78" s="2">
        <v>-3.6498390138149261E-2</v>
      </c>
      <c r="AA78" s="2">
        <v>-5.7196826674044132E-3</v>
      </c>
      <c r="AB78" s="2">
        <v>-0.57292355727720701</v>
      </c>
      <c r="AC78" s="2">
        <v>-0.521092948376085</v>
      </c>
      <c r="AD78" s="2">
        <v>0.45430953265231</v>
      </c>
      <c r="AE78" s="2">
        <v>1.3071716125266499</v>
      </c>
      <c r="AF78" s="2">
        <v>-0.10299999999999999</v>
      </c>
      <c r="AG78" s="2">
        <v>6.2293000000000003</v>
      </c>
      <c r="AH78" s="2">
        <v>1.0486</v>
      </c>
      <c r="AI78" s="2">
        <v>0.265166662867866</v>
      </c>
      <c r="AJ78" s="2">
        <v>2.9003017481257198</v>
      </c>
      <c r="AK78" s="2">
        <v>0.15223676166484601</v>
      </c>
      <c r="AL78" s="2">
        <v>0.122964313106618</v>
      </c>
      <c r="AM78" s="2">
        <v>-8.5132514388525597E-3</v>
      </c>
      <c r="AN78" s="2">
        <v>0.22495545803088901</v>
      </c>
      <c r="AO78" s="2">
        <v>-0.140809627919953</v>
      </c>
      <c r="AP78" s="2">
        <v>-1.6112155771274499E-2</v>
      </c>
      <c r="AQ78" s="2">
        <v>-3.2171863957070598E-2</v>
      </c>
      <c r="AR78" s="2">
        <v>0.866644072092004</v>
      </c>
      <c r="AS78" s="2">
        <v>-0.88053004518207001</v>
      </c>
      <c r="AT78" s="2">
        <v>5.0148442014742098E-3</v>
      </c>
    </row>
    <row r="79" spans="1:46" x14ac:dyDescent="0.25">
      <c r="A79" s="2">
        <v>1966.25</v>
      </c>
      <c r="B79" s="2">
        <v>807.2</v>
      </c>
      <c r="C79" s="2">
        <v>4219.3298834352618</v>
      </c>
      <c r="D79" s="2">
        <v>19.131</v>
      </c>
      <c r="E79" s="2">
        <v>475.9</v>
      </c>
      <c r="F79" s="2">
        <v>143.5</v>
      </c>
      <c r="G79" s="2">
        <v>2495.5427372836916</v>
      </c>
      <c r="H79" s="2">
        <v>318.58873091100577</v>
      </c>
      <c r="I79" s="2">
        <v>150.83474873105038</v>
      </c>
      <c r="J79" s="2">
        <v>26.664000000000001</v>
      </c>
      <c r="K79" s="2">
        <v>40.887999999999998</v>
      </c>
      <c r="L79" s="2">
        <v>65.212999999999994</v>
      </c>
      <c r="M79" s="2">
        <v>0.42734021052098747</v>
      </c>
      <c r="N79" s="2">
        <v>0.48408106318455513</v>
      </c>
      <c r="O79" s="2">
        <v>0.39459838169019451</v>
      </c>
      <c r="P79" s="2">
        <v>0.42045031395178495</v>
      </c>
      <c r="Q79" s="2">
        <v>6.8763888014655929</v>
      </c>
      <c r="R79" s="2">
        <v>196183</v>
      </c>
      <c r="S79" s="2">
        <v>127869</v>
      </c>
      <c r="T79" s="2">
        <v>5.49</v>
      </c>
      <c r="U79" s="2">
        <v>4.78</v>
      </c>
      <c r="V79" s="2">
        <v>4.59</v>
      </c>
      <c r="W79" s="2">
        <v>88.146666666666661</v>
      </c>
      <c r="X79" s="2">
        <v>39.172916412353516</v>
      </c>
      <c r="Y79" s="2">
        <v>-0.78283395223166896</v>
      </c>
      <c r="Z79" s="2">
        <v>-3.2927200198173523E-2</v>
      </c>
      <c r="AA79" s="2">
        <v>-1.543399877846241E-2</v>
      </c>
      <c r="AB79" s="2">
        <v>-0.209786848103267</v>
      </c>
      <c r="AC79" s="2">
        <v>4.59253720162301E-2</v>
      </c>
      <c r="AD79" s="2">
        <v>-0.36902425718537502</v>
      </c>
      <c r="AE79" s="2">
        <v>-0.78122270754204304</v>
      </c>
      <c r="AF79" s="2">
        <v>-1.6347</v>
      </c>
      <c r="AG79" s="2">
        <v>-10.1936</v>
      </c>
      <c r="AH79" s="2">
        <v>-0.31019999999999998</v>
      </c>
      <c r="AI79" s="2">
        <v>-9.2206196768263998E-2</v>
      </c>
      <c r="AJ79" s="2">
        <v>-2.5394788460110398</v>
      </c>
      <c r="AK79" s="2">
        <v>-1.2931007120073099</v>
      </c>
      <c r="AL79" s="2">
        <v>-0.56532949401871202</v>
      </c>
      <c r="AM79" s="2">
        <v>-1.0752075436662901E-3</v>
      </c>
      <c r="AN79" s="2">
        <v>3.94779488730792E-3</v>
      </c>
      <c r="AO79" s="2">
        <v>-0.14532456045886799</v>
      </c>
      <c r="AP79" s="2">
        <v>0.14077854710736301</v>
      </c>
      <c r="AQ79" s="2">
        <v>-0.27282143006634502</v>
      </c>
      <c r="AR79" s="2">
        <v>0.24613556405672599</v>
      </c>
      <c r="AS79" s="2">
        <v>-0.33597706526419602</v>
      </c>
      <c r="AT79" s="2">
        <v>-0.19525795740915899</v>
      </c>
    </row>
    <row r="80" spans="1:46" x14ac:dyDescent="0.25">
      <c r="A80" s="2">
        <v>1966.5</v>
      </c>
      <c r="B80" s="2">
        <v>820.8</v>
      </c>
      <c r="C80" s="2">
        <v>4249.107004193198</v>
      </c>
      <c r="D80" s="2">
        <v>19.317</v>
      </c>
      <c r="E80" s="2">
        <v>485</v>
      </c>
      <c r="F80" s="2">
        <v>143.19999999999999</v>
      </c>
      <c r="G80" s="2">
        <v>2523.9383846794335</v>
      </c>
      <c r="H80" s="2">
        <v>322.80309996059373</v>
      </c>
      <c r="I80" s="2">
        <v>151.68909056282251</v>
      </c>
      <c r="J80" s="2">
        <v>26.763999999999999</v>
      </c>
      <c r="K80" s="2">
        <v>40.962000000000003</v>
      </c>
      <c r="L80" s="2">
        <v>65.338999999999999</v>
      </c>
      <c r="M80" s="2">
        <v>0.42454354208552669</v>
      </c>
      <c r="N80" s="2">
        <v>0.48579804878732413</v>
      </c>
      <c r="O80" s="2">
        <v>0.39600532730251442</v>
      </c>
      <c r="P80" s="2">
        <v>0.43250598326801765</v>
      </c>
      <c r="Q80" s="2">
        <v>6.8035545125552481</v>
      </c>
      <c r="R80" s="2">
        <v>196769</v>
      </c>
      <c r="S80" s="2">
        <v>128234</v>
      </c>
      <c r="T80" s="2">
        <v>5.87</v>
      </c>
      <c r="U80" s="2">
        <v>5.14</v>
      </c>
      <c r="V80" s="2">
        <v>5.04</v>
      </c>
      <c r="W80" s="2">
        <v>81.433333333333337</v>
      </c>
      <c r="X80" s="2">
        <v>35.736865997314453</v>
      </c>
      <c r="Y80" s="2">
        <v>-0.33185733753229602</v>
      </c>
      <c r="Z80" s="2">
        <v>-5.4380610585212708E-2</v>
      </c>
      <c r="AA80" s="2">
        <v>-1.779419369995594E-2</v>
      </c>
      <c r="AB80" s="2">
        <v>-0.67449107875911296</v>
      </c>
      <c r="AC80" s="2">
        <v>-0.204470341759833</v>
      </c>
      <c r="AD80" s="2">
        <v>0.61170482510377699</v>
      </c>
      <c r="AE80" s="2">
        <v>-0.42356994485117</v>
      </c>
      <c r="AF80" s="2">
        <v>0.3196</v>
      </c>
      <c r="AG80" s="2">
        <v>2.1053999999999999</v>
      </c>
      <c r="AH80" s="2">
        <v>0.1225</v>
      </c>
      <c r="AI80" s="2">
        <v>0.13894067228770299</v>
      </c>
      <c r="AJ80" s="2">
        <v>2.5942027323982</v>
      </c>
      <c r="AK80" s="2">
        <v>-0.69131513823192903</v>
      </c>
      <c r="AL80" s="2">
        <v>-0.16500160573732101</v>
      </c>
      <c r="AM80" s="2">
        <v>2.5492782988690399E-2</v>
      </c>
      <c r="AN80" s="2">
        <v>-0.186291737924347</v>
      </c>
      <c r="AO80" s="2">
        <v>3.75798071875805E-2</v>
      </c>
      <c r="AP80" s="2">
        <v>0.16686508236056199</v>
      </c>
      <c r="AQ80" s="2">
        <v>-0.21540674790551301</v>
      </c>
      <c r="AR80" s="2">
        <v>-0.39011273052310003</v>
      </c>
      <c r="AS80" s="2">
        <v>-0.37880158857997298</v>
      </c>
      <c r="AT80" s="2">
        <v>-0.109937398468356</v>
      </c>
    </row>
    <row r="81" spans="1:46" x14ac:dyDescent="0.25">
      <c r="A81" s="2">
        <v>1966.75</v>
      </c>
      <c r="B81" s="2">
        <v>834.9</v>
      </c>
      <c r="C81" s="2">
        <v>4285.7142857142853</v>
      </c>
      <c r="D81" s="2">
        <v>19.481000000000002</v>
      </c>
      <c r="E81" s="2">
        <v>490.8</v>
      </c>
      <c r="F81" s="2">
        <v>145.9</v>
      </c>
      <c r="G81" s="2">
        <v>2534.3385314468655</v>
      </c>
      <c r="H81" s="2">
        <v>322.99026470875526</v>
      </c>
      <c r="I81" s="2">
        <v>152.12585474066938</v>
      </c>
      <c r="J81" s="2">
        <v>26.933</v>
      </c>
      <c r="K81" s="2">
        <v>41.313000000000002</v>
      </c>
      <c r="L81" s="2">
        <v>65.191999999999993</v>
      </c>
      <c r="M81" s="2">
        <v>0.4271053190495841</v>
      </c>
      <c r="N81" s="2">
        <v>0.49141855766833881</v>
      </c>
      <c r="O81" s="2">
        <v>0.40550107157253629</v>
      </c>
      <c r="P81" s="2">
        <v>0.45402072390707404</v>
      </c>
      <c r="Q81" s="2">
        <v>6.7937391177264601</v>
      </c>
      <c r="R81" s="2">
        <v>197392</v>
      </c>
      <c r="S81" s="2">
        <v>128617</v>
      </c>
      <c r="T81" s="2">
        <v>6.14</v>
      </c>
      <c r="U81" s="2">
        <v>5</v>
      </c>
      <c r="V81" s="2">
        <v>5.21</v>
      </c>
      <c r="W81" s="2">
        <v>79.816666666666663</v>
      </c>
      <c r="X81" s="2">
        <v>36.632591247558594</v>
      </c>
      <c r="Y81" s="2">
        <v>8.9123090250378401E-2</v>
      </c>
      <c r="Z81" s="2">
        <v>-1.6179285943508148E-2</v>
      </c>
      <c r="AA81" s="2">
        <v>-2.4877453688532114E-3</v>
      </c>
      <c r="AB81" s="2">
        <v>0.56164389632995404</v>
      </c>
      <c r="AC81" s="2">
        <v>0.14391137223653999</v>
      </c>
      <c r="AD81" s="2">
        <v>-0.81953206522835198</v>
      </c>
      <c r="AE81" s="2">
        <v>0.63170453311334895</v>
      </c>
      <c r="AF81" s="2">
        <v>0.84499999999999997</v>
      </c>
      <c r="AG81" s="2">
        <v>-1.6308</v>
      </c>
      <c r="AH81" s="2">
        <v>-0.43630000000000002</v>
      </c>
      <c r="AI81" s="2">
        <v>0.58233486379844002</v>
      </c>
      <c r="AJ81" s="2">
        <v>-1.6184168129350001</v>
      </c>
      <c r="AK81" s="2">
        <v>-0.524512976448687</v>
      </c>
      <c r="AL81" s="2">
        <v>-1.2921626816845799</v>
      </c>
      <c r="AM81" s="2">
        <v>2.3431687001049899E-2</v>
      </c>
      <c r="AN81" s="2">
        <v>-0.22404171863750999</v>
      </c>
      <c r="AO81" s="2">
        <v>-4.52692071216668E-2</v>
      </c>
      <c r="AP81" s="2">
        <v>-0.36328986863502699</v>
      </c>
      <c r="AQ81" s="2">
        <v>-0.60866067835504201</v>
      </c>
      <c r="AR81" s="2">
        <v>-0.68852674196950703</v>
      </c>
      <c r="AS81" s="2">
        <v>-6.0715168556656702E-3</v>
      </c>
      <c r="AT81" s="2">
        <v>0.153196774550551</v>
      </c>
    </row>
    <row r="82" spans="1:46" x14ac:dyDescent="0.25">
      <c r="A82" s="2">
        <v>1967</v>
      </c>
      <c r="B82" s="2">
        <v>846</v>
      </c>
      <c r="C82" s="2">
        <v>4324.7111747265108</v>
      </c>
      <c r="D82" s="2">
        <v>19.562000000000001</v>
      </c>
      <c r="E82" s="2">
        <v>495.1</v>
      </c>
      <c r="F82" s="2">
        <v>142.80000000000001</v>
      </c>
      <c r="G82" s="2">
        <v>2549.0397981774186</v>
      </c>
      <c r="H82" s="2">
        <v>317.63523806436973</v>
      </c>
      <c r="I82" s="2">
        <v>152.70987977081239</v>
      </c>
      <c r="J82" s="2">
        <v>27.167999999999999</v>
      </c>
      <c r="K82" s="2">
        <v>41.698999999999998</v>
      </c>
      <c r="L82" s="2">
        <v>65.153000000000006</v>
      </c>
      <c r="M82" s="2">
        <v>0.42837960918188112</v>
      </c>
      <c r="N82" s="2">
        <v>0.49470235689877068</v>
      </c>
      <c r="O82" s="2">
        <v>0.42501926512692273</v>
      </c>
      <c r="P82" s="2">
        <v>0.4947764486720545</v>
      </c>
      <c r="Q82" s="2">
        <v>6.8349883749994351</v>
      </c>
      <c r="R82" s="2">
        <v>197888</v>
      </c>
      <c r="S82" s="2">
        <v>129044</v>
      </c>
      <c r="T82" s="2">
        <v>5.88</v>
      </c>
      <c r="U82" s="2">
        <v>4.58</v>
      </c>
      <c r="V82" s="2">
        <v>4.51</v>
      </c>
      <c r="W82" s="2">
        <v>87.076666666666668</v>
      </c>
      <c r="X82" s="2">
        <v>41.050258636474609</v>
      </c>
      <c r="Y82" s="2">
        <v>0.15928479866464401</v>
      </c>
      <c r="Z82" s="2">
        <v>8.7126046419143677E-2</v>
      </c>
      <c r="AA82" s="2">
        <v>2.5695441290736198E-2</v>
      </c>
      <c r="AB82" s="2">
        <v>0.28637270269058501</v>
      </c>
      <c r="AC82" s="2">
        <v>0.74559517130820596</v>
      </c>
      <c r="AD82" s="2">
        <v>7.8745760723588298E-2</v>
      </c>
      <c r="AE82" s="2">
        <v>0.78643026476398104</v>
      </c>
      <c r="AF82" s="2">
        <v>0.50800000000000001</v>
      </c>
      <c r="AG82" s="2">
        <v>-6.8569000000000004</v>
      </c>
      <c r="AH82" s="2">
        <v>0.18459999999999999</v>
      </c>
      <c r="AI82" s="2">
        <v>0.191617550223872</v>
      </c>
      <c r="AJ82" s="2">
        <v>-0.43255516593486898</v>
      </c>
      <c r="AK82" s="2">
        <v>9.9989337351670496E-2</v>
      </c>
      <c r="AL82" s="2">
        <v>-1.0738406231573701</v>
      </c>
      <c r="AM82" s="2">
        <v>0.20648225416667501</v>
      </c>
      <c r="AN82" s="2">
        <v>4.9515450970872302E-2</v>
      </c>
      <c r="AO82" s="2">
        <v>1.8670210231133199E-2</v>
      </c>
      <c r="AP82" s="2">
        <v>0.100182954039283</v>
      </c>
      <c r="AQ82" s="2">
        <v>0.49353735116214298</v>
      </c>
      <c r="AR82" s="2">
        <v>0.287074285061651</v>
      </c>
      <c r="AS82" s="2">
        <v>0.208351472945426</v>
      </c>
      <c r="AT82" s="2">
        <v>-3.7925243291414001E-2</v>
      </c>
    </row>
    <row r="83" spans="1:46" x14ac:dyDescent="0.25">
      <c r="A83" s="2">
        <v>1967.25</v>
      </c>
      <c r="B83" s="2">
        <v>851.1</v>
      </c>
      <c r="C83" s="2">
        <v>4328.8744214434664</v>
      </c>
      <c r="D83" s="2">
        <v>19.661000000000001</v>
      </c>
      <c r="E83" s="2">
        <v>504.2</v>
      </c>
      <c r="F83" s="2">
        <v>137.5</v>
      </c>
      <c r="G83" s="2">
        <v>2583.7859997950191</v>
      </c>
      <c r="H83" s="2">
        <v>316.88211211759773</v>
      </c>
      <c r="I83" s="2">
        <v>151.88809857093995</v>
      </c>
      <c r="J83" s="2">
        <v>27.135999999999999</v>
      </c>
      <c r="K83" s="2">
        <v>42.064999999999998</v>
      </c>
      <c r="L83" s="2">
        <v>64.509</v>
      </c>
      <c r="M83" s="2">
        <v>0.43262172311031433</v>
      </c>
      <c r="N83" s="2">
        <v>0.49873705623702208</v>
      </c>
      <c r="O83" s="2">
        <v>0.43665685589643266</v>
      </c>
      <c r="P83" s="2">
        <v>0.50698081264771244</v>
      </c>
      <c r="Q83" s="2">
        <v>6.8376603248465786</v>
      </c>
      <c r="R83" s="2">
        <v>198369</v>
      </c>
      <c r="S83" s="2">
        <v>129527</v>
      </c>
      <c r="T83" s="2">
        <v>5.98</v>
      </c>
      <c r="U83" s="2">
        <v>4.82</v>
      </c>
      <c r="V83" s="2">
        <v>3.66</v>
      </c>
      <c r="W83" s="2">
        <v>91.660000000000011</v>
      </c>
      <c r="X83" s="2">
        <v>43.374088287353516</v>
      </c>
      <c r="Y83" s="2">
        <v>0.28831324166251299</v>
      </c>
      <c r="Z83" s="2">
        <v>4.1344133205711842E-3</v>
      </c>
      <c r="AA83" s="2">
        <v>-7.0403184508904815E-4</v>
      </c>
      <c r="AB83" s="2">
        <v>1.1359960459013601</v>
      </c>
      <c r="AC83" s="2">
        <v>-0.75847329968146504</v>
      </c>
      <c r="AD83" s="2">
        <v>-0.75039940495171498</v>
      </c>
      <c r="AE83" s="2">
        <v>0.18361025222625599</v>
      </c>
      <c r="AF83" s="2">
        <v>0.10050000000000001</v>
      </c>
      <c r="AG83" s="2">
        <v>-2.2536999999999998</v>
      </c>
      <c r="AH83" s="2">
        <v>0.14599999999999999</v>
      </c>
      <c r="AI83" s="2">
        <v>0.41586406798126302</v>
      </c>
      <c r="AJ83" s="2">
        <v>-0.42330225165812702</v>
      </c>
      <c r="AK83" s="2">
        <v>-0.142197753627928</v>
      </c>
      <c r="AL83" s="2">
        <v>0.84473174667408002</v>
      </c>
      <c r="AM83" s="2">
        <v>3.5149240098411097E-2</v>
      </c>
      <c r="AN83" s="2">
        <v>5.0139366255094499E-2</v>
      </c>
      <c r="AO83" s="2">
        <v>0.147586125135591</v>
      </c>
      <c r="AP83" s="2">
        <v>2.22073484327227E-2</v>
      </c>
      <c r="AQ83" s="2">
        <v>0.19911565736317499</v>
      </c>
      <c r="AR83" s="2">
        <v>-0.68349499748400799</v>
      </c>
      <c r="AS83" s="2">
        <v>-5.5168842801437697E-2</v>
      </c>
      <c r="AT83" s="2">
        <v>-0.378507670327214</v>
      </c>
    </row>
    <row r="84" spans="1:46" x14ac:dyDescent="0.25">
      <c r="A84" s="2">
        <v>1967.5</v>
      </c>
      <c r="B84" s="2">
        <v>866.6</v>
      </c>
      <c r="C84" s="2">
        <v>4365.9630208070939</v>
      </c>
      <c r="D84" s="2">
        <v>19.849</v>
      </c>
      <c r="E84" s="2">
        <v>511.4</v>
      </c>
      <c r="F84" s="2">
        <v>142.80000000000001</v>
      </c>
      <c r="G84" s="2">
        <v>2596.7299685183307</v>
      </c>
      <c r="H84" s="2">
        <v>316.36247198206854</v>
      </c>
      <c r="I84" s="2">
        <v>152.82225809763989</v>
      </c>
      <c r="J84" s="2">
        <v>27.335000000000001</v>
      </c>
      <c r="K84" s="2">
        <v>42.113999999999997</v>
      </c>
      <c r="L84" s="2">
        <v>64.906999999999996</v>
      </c>
      <c r="M84" s="2">
        <v>0.43306694628416814</v>
      </c>
      <c r="N84" s="2">
        <v>0.4991327945869683</v>
      </c>
      <c r="O84" s="2">
        <v>0.43197703603867754</v>
      </c>
      <c r="P84" s="2">
        <v>0.48815316618118221</v>
      </c>
      <c r="Q84" s="2">
        <v>6.7893015790078604</v>
      </c>
      <c r="R84" s="2">
        <v>198912</v>
      </c>
      <c r="S84" s="2">
        <v>130166</v>
      </c>
      <c r="T84" s="2">
        <v>6.33</v>
      </c>
      <c r="U84" s="2">
        <v>5.25</v>
      </c>
      <c r="V84" s="2">
        <v>4.3</v>
      </c>
      <c r="W84" s="2">
        <v>94.436666666666667</v>
      </c>
      <c r="X84" s="2">
        <v>46.014568328857422</v>
      </c>
      <c r="Y84" s="2">
        <v>-0.83306290426043905</v>
      </c>
      <c r="Z84" s="2">
        <v>1.1293595656752586E-2</v>
      </c>
      <c r="AA84" s="2">
        <v>-3.3495153184048831E-4</v>
      </c>
      <c r="AB84" s="2">
        <v>-0.73135273443939097</v>
      </c>
      <c r="AC84" s="2">
        <v>-0.64205610498431798</v>
      </c>
      <c r="AD84" s="2">
        <v>-1.4125338771254099</v>
      </c>
      <c r="AE84" s="2">
        <v>-0.596874416630784</v>
      </c>
      <c r="AF84" s="2">
        <v>5.8700000000000002E-2</v>
      </c>
      <c r="AG84" s="2">
        <v>1.4588000000000001</v>
      </c>
      <c r="AH84" s="2">
        <v>-0.33579999999999999</v>
      </c>
      <c r="AI84" s="2">
        <v>0.192642411597822</v>
      </c>
      <c r="AJ84" s="2">
        <v>0.211523376741036</v>
      </c>
      <c r="AK84" s="2">
        <v>-0.30973791340956502</v>
      </c>
      <c r="AL84" s="2">
        <v>-0.518271454960189</v>
      </c>
      <c r="AM84" s="2">
        <v>-0.14065037951743001</v>
      </c>
      <c r="AN84" s="2">
        <v>-1.6707431438414699E-3</v>
      </c>
      <c r="AO84" s="2">
        <v>0.14777301871212101</v>
      </c>
      <c r="AP84" s="2">
        <v>0.231960212011632</v>
      </c>
      <c r="AQ84" s="2">
        <v>-0.19004128756618999</v>
      </c>
      <c r="AR84" s="2">
        <v>-0.25927068264869502</v>
      </c>
      <c r="AS84" s="2">
        <v>-0.15223046496003301</v>
      </c>
      <c r="AT84" s="2">
        <v>1.44426697241352E-2</v>
      </c>
    </row>
    <row r="85" spans="1:46" x14ac:dyDescent="0.25">
      <c r="A85" s="2">
        <v>1967.75</v>
      </c>
      <c r="B85" s="2">
        <v>883.2</v>
      </c>
      <c r="C85" s="2">
        <v>4401.255793093138</v>
      </c>
      <c r="D85" s="2">
        <v>20.067</v>
      </c>
      <c r="E85" s="2">
        <v>518.9</v>
      </c>
      <c r="F85" s="2">
        <v>147.69999999999999</v>
      </c>
      <c r="G85" s="2">
        <v>2612.5264323834458</v>
      </c>
      <c r="H85" s="2">
        <v>322.5397228124703</v>
      </c>
      <c r="I85" s="2">
        <v>153.58760807032064</v>
      </c>
      <c r="J85" s="2">
        <v>27.542000000000002</v>
      </c>
      <c r="K85" s="2">
        <v>42.24</v>
      </c>
      <c r="L85" s="2">
        <v>65.203000000000003</v>
      </c>
      <c r="M85" s="2">
        <v>0.43570668907561133</v>
      </c>
      <c r="N85" s="2">
        <v>0.50190132973663204</v>
      </c>
      <c r="O85" s="2">
        <v>0.44141143360872237</v>
      </c>
      <c r="P85" s="2">
        <v>0.51237140547229343</v>
      </c>
      <c r="Q85" s="2">
        <v>6.7198063360335611</v>
      </c>
      <c r="R85" s="2">
        <v>199489</v>
      </c>
      <c r="S85" s="2">
        <v>130757</v>
      </c>
      <c r="T85" s="2">
        <v>6.72</v>
      </c>
      <c r="U85" s="2">
        <v>5.64</v>
      </c>
      <c r="V85" s="2">
        <v>4.75</v>
      </c>
      <c r="W85" s="2">
        <v>94.54</v>
      </c>
      <c r="X85" s="2">
        <v>46.437530517578125</v>
      </c>
      <c r="Y85" s="2">
        <v>-1.02718971111879</v>
      </c>
      <c r="Z85" s="2">
        <v>-1.5663521364331245E-2</v>
      </c>
      <c r="AA85" s="2">
        <v>-6.2347115017473698E-3</v>
      </c>
      <c r="AB85" s="2">
        <v>-0.89690684844305801</v>
      </c>
      <c r="AC85" s="2">
        <v>-0.77168377449729897</v>
      </c>
      <c r="AD85" s="2">
        <v>-0.73101951839576695</v>
      </c>
      <c r="AE85" s="2">
        <v>-0.64283794882676104</v>
      </c>
      <c r="AF85" s="2">
        <v>0.1157</v>
      </c>
      <c r="AG85" s="2">
        <v>-0.82230000000000003</v>
      </c>
      <c r="AH85" s="2">
        <v>-0.4224</v>
      </c>
      <c r="AI85" s="2">
        <v>0.27287427490733801</v>
      </c>
      <c r="AJ85" s="2">
        <v>-0.11963803666060099</v>
      </c>
      <c r="AK85" s="2">
        <v>-0.92868542805000598</v>
      </c>
      <c r="AL85" s="2">
        <v>0.66304304334191699</v>
      </c>
      <c r="AM85" s="2">
        <v>-0.166994657217513</v>
      </c>
      <c r="AN85" s="2">
        <v>8.4911496169194106E-2</v>
      </c>
      <c r="AO85" s="2">
        <v>-0.31272947536639101</v>
      </c>
      <c r="AP85" s="2">
        <v>-0.36803548205261999</v>
      </c>
      <c r="AQ85" s="2">
        <v>-0.33127009337229701</v>
      </c>
      <c r="AR85" s="2">
        <v>-0.135462789542657</v>
      </c>
      <c r="AS85" s="2">
        <v>0.39606584884510099</v>
      </c>
      <c r="AT85" s="2">
        <v>0.21364488281502</v>
      </c>
    </row>
    <row r="86" spans="1:46" x14ac:dyDescent="0.25">
      <c r="A86" s="2">
        <v>1968</v>
      </c>
      <c r="B86" s="2">
        <v>911.1</v>
      </c>
      <c r="C86" s="2">
        <v>4490.3893543617551</v>
      </c>
      <c r="D86" s="2">
        <v>20.29</v>
      </c>
      <c r="E86" s="2">
        <v>536.9</v>
      </c>
      <c r="F86" s="2">
        <v>152.30000000000001</v>
      </c>
      <c r="G86" s="2">
        <v>2675.0037367345922</v>
      </c>
      <c r="H86" s="2">
        <v>332.24263780518498</v>
      </c>
      <c r="I86" s="2">
        <v>153.88936788468669</v>
      </c>
      <c r="J86" s="2">
        <v>28.164000000000001</v>
      </c>
      <c r="K86" s="2">
        <v>43.156999999999996</v>
      </c>
      <c r="L86" s="2">
        <v>65.260000000000005</v>
      </c>
      <c r="M86" s="2">
        <v>0.45142845671073029</v>
      </c>
      <c r="N86" s="2">
        <v>0.52234591558931143</v>
      </c>
      <c r="O86" s="2">
        <v>0.45632879717299285</v>
      </c>
      <c r="P86" s="2">
        <v>0.50912749654249412</v>
      </c>
      <c r="Q86" s="2">
        <v>6.5780375167541552</v>
      </c>
      <c r="R86" s="2">
        <v>199928</v>
      </c>
      <c r="S86" s="2">
        <v>131267</v>
      </c>
      <c r="T86" s="2">
        <v>6.83</v>
      </c>
      <c r="U86" s="2">
        <v>5.61</v>
      </c>
      <c r="V86" s="2">
        <v>5.05</v>
      </c>
      <c r="W86" s="2">
        <v>91.626666666666665</v>
      </c>
      <c r="X86" s="2">
        <v>44.903034210205078</v>
      </c>
      <c r="Y86" s="2">
        <v>1.7934629978590799</v>
      </c>
      <c r="Z86" s="2">
        <v>-7.0009082555770874E-2</v>
      </c>
      <c r="AA86" s="2">
        <v>-1.4494839124381542E-2</v>
      </c>
      <c r="AB86" s="2">
        <v>0.69296036568031805</v>
      </c>
      <c r="AC86" s="2">
        <v>1.59994293593708</v>
      </c>
      <c r="AD86" s="2">
        <v>0.63641414848472699</v>
      </c>
      <c r="AE86" s="2">
        <v>1.8672526697732801</v>
      </c>
      <c r="AF86" s="2">
        <v>1.6675</v>
      </c>
      <c r="AG86" s="2">
        <v>2.4935</v>
      </c>
      <c r="AH86" s="2">
        <v>7.0300000000000001E-2</v>
      </c>
      <c r="AI86" s="2">
        <v>0.70559267965002004</v>
      </c>
      <c r="AJ86" s="2">
        <v>3.6974439403079E-3</v>
      </c>
      <c r="AK86" s="2">
        <v>0.81102722470381206</v>
      </c>
      <c r="AL86" s="2">
        <v>3.5535553242631898E-2</v>
      </c>
      <c r="AM86" s="2">
        <v>4.6918557326363998E-2</v>
      </c>
      <c r="AN86" s="2">
        <v>0.194697166133488</v>
      </c>
      <c r="AO86" s="2">
        <v>7.8521949826616297E-2</v>
      </c>
      <c r="AP86" s="2">
        <v>0.15002847577765599</v>
      </c>
      <c r="AQ86" s="2">
        <v>0.13928420598161401</v>
      </c>
      <c r="AR86" s="2">
        <v>0.51265910362342204</v>
      </c>
      <c r="AS86" s="2">
        <v>-0.16075803687979201</v>
      </c>
      <c r="AT86" s="2">
        <v>-1.3965377475749701E-4</v>
      </c>
    </row>
    <row r="87" spans="1:46" x14ac:dyDescent="0.25">
      <c r="A87" s="2">
        <v>1968.25</v>
      </c>
      <c r="B87" s="2">
        <v>936.3</v>
      </c>
      <c r="C87" s="2">
        <v>4566.4260632071791</v>
      </c>
      <c r="D87" s="2">
        <v>20.504000000000001</v>
      </c>
      <c r="E87" s="2">
        <v>550.6</v>
      </c>
      <c r="F87" s="2">
        <v>158.9</v>
      </c>
      <c r="G87" s="2">
        <v>2715.6596794081383</v>
      </c>
      <c r="H87" s="2">
        <v>328.12938206973917</v>
      </c>
      <c r="I87" s="2">
        <v>155.16683760342073</v>
      </c>
      <c r="J87" s="2">
        <v>28.678000000000001</v>
      </c>
      <c r="K87" s="2">
        <v>43.607999999999997</v>
      </c>
      <c r="L87" s="2">
        <v>65.763999999999996</v>
      </c>
      <c r="M87" s="2">
        <v>0.45983877913144183</v>
      </c>
      <c r="N87" s="2">
        <v>0.53488824256405509</v>
      </c>
      <c r="O87" s="2">
        <v>0.46268892692585856</v>
      </c>
      <c r="P87" s="2">
        <v>0.51534661704809814</v>
      </c>
      <c r="Q87" s="2">
        <v>6.5148302079088243</v>
      </c>
      <c r="R87" s="2">
        <v>200368</v>
      </c>
      <c r="S87" s="2">
        <v>131712</v>
      </c>
      <c r="T87" s="2">
        <v>7.02</v>
      </c>
      <c r="U87" s="2">
        <v>5.74</v>
      </c>
      <c r="V87" s="2">
        <v>5.52</v>
      </c>
      <c r="W87" s="2">
        <v>98.013333333333335</v>
      </c>
      <c r="X87" s="2">
        <v>49.860252380371094</v>
      </c>
      <c r="Y87" s="2">
        <v>0.92007931679010602</v>
      </c>
      <c r="Z87" s="2">
        <v>5.702437087893486E-2</v>
      </c>
      <c r="AA87" s="2">
        <v>1.9440019503235817E-2</v>
      </c>
      <c r="AB87" s="2">
        <v>9.0317697310890899E-2</v>
      </c>
      <c r="AC87" s="2">
        <v>0.63807148855330897</v>
      </c>
      <c r="AD87" s="2">
        <v>-0.57133192570009705</v>
      </c>
      <c r="AE87" s="2">
        <v>0.73180132818286203</v>
      </c>
      <c r="AF87" s="2">
        <v>-0.20480000000000001</v>
      </c>
      <c r="AG87" s="2">
        <v>0.98729999999999996</v>
      </c>
      <c r="AH87" s="2">
        <v>0.41449999999999998</v>
      </c>
      <c r="AI87" s="2">
        <v>-0.13618156826413999</v>
      </c>
      <c r="AJ87" s="2">
        <v>0.41712788182554</v>
      </c>
      <c r="AK87" s="2">
        <v>0.138326235589007</v>
      </c>
      <c r="AL87" s="2">
        <v>-1.2449918007295699</v>
      </c>
      <c r="AM87" s="2">
        <v>1.95298288952271E-2</v>
      </c>
      <c r="AN87" s="2">
        <v>0.58076213832263002</v>
      </c>
      <c r="AO87" s="2">
        <v>-1.69095003708369E-2</v>
      </c>
      <c r="AP87" s="2">
        <v>-0.39751222518261697</v>
      </c>
      <c r="AQ87" s="2">
        <v>-0.40705651807038401</v>
      </c>
      <c r="AR87" s="2">
        <v>1.19193586740141</v>
      </c>
      <c r="AS87" s="2">
        <v>-0.94523116233507398</v>
      </c>
      <c r="AT87" s="2">
        <v>-0.841667693997461</v>
      </c>
    </row>
    <row r="88" spans="1:46" x14ac:dyDescent="0.25">
      <c r="A88" s="2">
        <v>1968.5</v>
      </c>
      <c r="B88" s="2">
        <v>952.3</v>
      </c>
      <c r="C88" s="2">
        <v>4599.1500048295184</v>
      </c>
      <c r="D88" s="2">
        <v>20.706</v>
      </c>
      <c r="E88" s="2">
        <v>566.70000000000005</v>
      </c>
      <c r="F88" s="2">
        <v>155.69999999999999</v>
      </c>
      <c r="G88" s="2">
        <v>2766.4144495972669</v>
      </c>
      <c r="H88" s="2">
        <v>332.59149357072209</v>
      </c>
      <c r="I88" s="2">
        <v>156.19796167316878</v>
      </c>
      <c r="J88" s="2">
        <v>28.864000000000001</v>
      </c>
      <c r="K88" s="2">
        <v>43.648000000000003</v>
      </c>
      <c r="L88" s="2">
        <v>66.128</v>
      </c>
      <c r="M88" s="2">
        <v>0.46290096296379418</v>
      </c>
      <c r="N88" s="2">
        <v>0.53687498894373631</v>
      </c>
      <c r="O88" s="2">
        <v>0.46089226086587298</v>
      </c>
      <c r="P88" s="2">
        <v>0.51511323694621014</v>
      </c>
      <c r="Q88" s="2">
        <v>6.4915983167721283</v>
      </c>
      <c r="R88" s="2">
        <v>200900</v>
      </c>
      <c r="S88" s="2">
        <v>132250</v>
      </c>
      <c r="T88" s="2">
        <v>6.86</v>
      </c>
      <c r="U88" s="2">
        <v>5.46</v>
      </c>
      <c r="V88" s="2">
        <v>5.2</v>
      </c>
      <c r="W88" s="2">
        <v>99.903333333333322</v>
      </c>
      <c r="X88" s="2">
        <v>50.8740234375</v>
      </c>
      <c r="Y88" s="2">
        <v>0.24047143893918899</v>
      </c>
      <c r="Z88" s="2">
        <v>-1.2468921951949596E-2</v>
      </c>
      <c r="AA88" s="2">
        <v>-5.909929983317852E-3</v>
      </c>
      <c r="AB88" s="2">
        <v>3.2230655398858901E-2</v>
      </c>
      <c r="AC88" s="2">
        <v>-3.0787292435144099E-2</v>
      </c>
      <c r="AD88" s="2">
        <v>-0.90606842768769902</v>
      </c>
      <c r="AE88" s="2">
        <v>-0.91276930310876003</v>
      </c>
      <c r="AF88" s="2">
        <v>-0.77280000000000004</v>
      </c>
      <c r="AG88" s="2">
        <v>-4.9805000000000001</v>
      </c>
      <c r="AH88" s="2">
        <v>0.10150000000000001</v>
      </c>
      <c r="AI88" s="2">
        <v>-0.47000283481035199</v>
      </c>
      <c r="AJ88" s="2">
        <v>0.74948790295024104</v>
      </c>
      <c r="AK88" s="2">
        <v>-0.27176552341326199</v>
      </c>
      <c r="AL88" s="2">
        <v>4.0028280400657201E-2</v>
      </c>
      <c r="AM88" s="2">
        <v>-8.6692939354868701E-3</v>
      </c>
      <c r="AN88" s="2">
        <v>0.23370105020729001</v>
      </c>
      <c r="AO88" s="2">
        <v>0.206976151460881</v>
      </c>
      <c r="AP88" s="2">
        <v>0.14357321011323501</v>
      </c>
      <c r="AQ88" s="2">
        <v>-0.12602364667844801</v>
      </c>
      <c r="AR88" s="2">
        <v>1.0545586502794999</v>
      </c>
      <c r="AS88" s="2">
        <v>9.6748612784184604E-2</v>
      </c>
      <c r="AT88" s="2">
        <v>-0.21807149319896199</v>
      </c>
    </row>
    <row r="89" spans="1:46" x14ac:dyDescent="0.25">
      <c r="A89" s="2">
        <v>1968.75</v>
      </c>
      <c r="B89" s="2">
        <v>970.1</v>
      </c>
      <c r="C89" s="2">
        <v>4619.743797323682</v>
      </c>
      <c r="D89" s="2">
        <v>20.998999999999999</v>
      </c>
      <c r="E89" s="2">
        <v>575.6</v>
      </c>
      <c r="F89" s="2">
        <v>160.80000000000001</v>
      </c>
      <c r="G89" s="2">
        <v>2778.9311060686523</v>
      </c>
      <c r="H89" s="2">
        <v>341.75017513934995</v>
      </c>
      <c r="I89" s="2">
        <v>156.81134824981385</v>
      </c>
      <c r="J89" s="2">
        <v>28.995999999999999</v>
      </c>
      <c r="K89" s="2">
        <v>43.593000000000004</v>
      </c>
      <c r="L89" s="2">
        <v>66.515000000000001</v>
      </c>
      <c r="M89" s="2">
        <v>0.46073998394349519</v>
      </c>
      <c r="N89" s="2">
        <v>0.5386340181769147</v>
      </c>
      <c r="O89" s="2">
        <v>0.45611887892068059</v>
      </c>
      <c r="P89" s="2">
        <v>0.51202416966181419</v>
      </c>
      <c r="Q89" s="2">
        <v>6.5163319049286459</v>
      </c>
      <c r="R89" s="2">
        <v>201459</v>
      </c>
      <c r="S89" s="2">
        <v>132880</v>
      </c>
      <c r="T89" s="2">
        <v>7.03</v>
      </c>
      <c r="U89" s="2">
        <v>5.77</v>
      </c>
      <c r="V89" s="2">
        <v>5.59</v>
      </c>
      <c r="W89" s="2">
        <v>105.23333333333333</v>
      </c>
      <c r="X89" s="2">
        <v>54.530323028564453</v>
      </c>
      <c r="Y89" s="2">
        <v>-0.55483027133364504</v>
      </c>
      <c r="Z89" s="2">
        <v>4.1806235909461975E-2</v>
      </c>
      <c r="AA89" s="2">
        <v>8.3473650738596916E-3</v>
      </c>
      <c r="AB89" s="2">
        <v>1.3756525960832899</v>
      </c>
      <c r="AC89" s="2">
        <v>-1.1411971263962</v>
      </c>
      <c r="AD89" s="2">
        <v>-0.53616135811396204</v>
      </c>
      <c r="AE89" s="2">
        <v>-1.07570516990224</v>
      </c>
      <c r="AF89" s="2">
        <v>-0.32419999999999999</v>
      </c>
      <c r="AG89" s="2">
        <v>0.2266</v>
      </c>
      <c r="AH89" s="2">
        <v>-0.84440000000000004</v>
      </c>
      <c r="AI89" s="2">
        <v>-0.74216188317876997</v>
      </c>
      <c r="AJ89" s="2">
        <v>-1.4889715221830899</v>
      </c>
      <c r="AK89" s="2">
        <v>-0.61147433874302604</v>
      </c>
      <c r="AL89" s="2">
        <v>0.91368828889451104</v>
      </c>
      <c r="AM89" s="2">
        <v>3.2618840811902201E-2</v>
      </c>
      <c r="AN89" s="2">
        <v>-0.35007640291696401</v>
      </c>
      <c r="AO89" s="2">
        <v>-0.32713142244542098</v>
      </c>
      <c r="AP89" s="2">
        <v>-0.388059271312235</v>
      </c>
      <c r="AQ89" s="2">
        <v>-8.3740065164616295E-2</v>
      </c>
      <c r="AR89" s="2">
        <v>-1.6709397189280499</v>
      </c>
      <c r="AS89" s="2">
        <v>0.40290531186516498</v>
      </c>
      <c r="AT89" s="2">
        <v>0.12901680963069101</v>
      </c>
    </row>
    <row r="90" spans="1:46" x14ac:dyDescent="0.25">
      <c r="A90" s="2">
        <v>1969</v>
      </c>
      <c r="B90" s="2">
        <v>995.4</v>
      </c>
      <c r="C90" s="2">
        <v>4691.5209501814588</v>
      </c>
      <c r="D90" s="2">
        <v>21.216999999999999</v>
      </c>
      <c r="E90" s="2">
        <v>587.79999999999995</v>
      </c>
      <c r="F90" s="2">
        <v>172.4</v>
      </c>
      <c r="G90" s="2">
        <v>2810.1544198498823</v>
      </c>
      <c r="H90" s="2">
        <v>350.45317220543808</v>
      </c>
      <c r="I90" s="2">
        <v>158.76650871914703</v>
      </c>
      <c r="J90" s="2">
        <v>29.495000000000001</v>
      </c>
      <c r="K90" s="2">
        <v>43.715000000000003</v>
      </c>
      <c r="L90" s="2">
        <v>67.471000000000004</v>
      </c>
      <c r="M90" s="2">
        <v>0.4597983739434488</v>
      </c>
      <c r="N90" s="2">
        <v>0.54234504959032193</v>
      </c>
      <c r="O90" s="2">
        <v>0.45425420485690404</v>
      </c>
      <c r="P90" s="2">
        <v>0.52857955809158164</v>
      </c>
      <c r="Q90" s="2">
        <v>6.5453254235958003</v>
      </c>
      <c r="R90" s="2">
        <v>201888</v>
      </c>
      <c r="S90" s="2">
        <v>133476</v>
      </c>
      <c r="T90" s="2">
        <v>7.38</v>
      </c>
      <c r="U90" s="2">
        <v>6.18</v>
      </c>
      <c r="V90" s="2">
        <v>6.09</v>
      </c>
      <c r="W90" s="2">
        <v>100.93333333333334</v>
      </c>
      <c r="X90" s="2">
        <v>52.454689025878906</v>
      </c>
      <c r="Y90" s="2">
        <v>-1.1581569154276801</v>
      </c>
      <c r="Z90" s="2">
        <v>-5.9694793075323105E-2</v>
      </c>
      <c r="AA90" s="2">
        <v>-1.9268503412604332E-2</v>
      </c>
      <c r="AB90" s="2">
        <v>-1.1034727887242699</v>
      </c>
      <c r="AC90" s="2">
        <v>1.2118476515049801</v>
      </c>
      <c r="AD90" s="2">
        <v>0.40502362178397999</v>
      </c>
      <c r="AE90" s="2">
        <v>-0.407886696896263</v>
      </c>
      <c r="AF90" s="2">
        <v>0.36120000000000002</v>
      </c>
      <c r="AG90" s="2">
        <v>5.3118999999999996</v>
      </c>
      <c r="AH90" s="2">
        <v>4.5600000000000002E-2</v>
      </c>
      <c r="AI90" s="2">
        <v>-0.68452119495920505</v>
      </c>
      <c r="AJ90" s="2">
        <v>-0.13705631797352899</v>
      </c>
      <c r="AK90" s="2">
        <v>0.22974041503711501</v>
      </c>
      <c r="AL90" s="2">
        <v>1.1711730579350099</v>
      </c>
      <c r="AM90" s="2">
        <v>9.5299163250662997E-3</v>
      </c>
      <c r="AN90" s="2">
        <v>0.32091552068905999</v>
      </c>
      <c r="AO90" s="2">
        <v>8.77945104577188E-2</v>
      </c>
      <c r="AP90" s="2">
        <v>7.5225734887413603E-2</v>
      </c>
      <c r="AQ90" s="2">
        <v>9.3841644111264402E-2</v>
      </c>
      <c r="AR90" s="2">
        <v>2.4057825908704902</v>
      </c>
      <c r="AS90" s="2">
        <v>-0.55139998161091597</v>
      </c>
      <c r="AT90" s="2">
        <v>3.1263730195988597E-2</v>
      </c>
    </row>
    <row r="91" spans="1:46" x14ac:dyDescent="0.25">
      <c r="A91" s="2">
        <v>1969.25</v>
      </c>
      <c r="B91" s="2">
        <v>1011.4</v>
      </c>
      <c r="C91" s="2">
        <v>4706.8131049888307</v>
      </c>
      <c r="D91" s="2">
        <v>21.488</v>
      </c>
      <c r="E91" s="2">
        <v>599.20000000000005</v>
      </c>
      <c r="F91" s="2">
        <v>172.7</v>
      </c>
      <c r="G91" s="2">
        <v>2828.2828282828286</v>
      </c>
      <c r="H91" s="2">
        <v>354.34249117136528</v>
      </c>
      <c r="I91" s="2">
        <v>159.22011782304895</v>
      </c>
      <c r="J91" s="2">
        <v>29.533000000000001</v>
      </c>
      <c r="K91" s="2">
        <v>43.68</v>
      </c>
      <c r="L91" s="2">
        <v>67.611999999999995</v>
      </c>
      <c r="M91" s="2">
        <v>0.45743910510431318</v>
      </c>
      <c r="N91" s="2">
        <v>0.54633136675371063</v>
      </c>
      <c r="O91" s="2">
        <v>0.44779229166960144</v>
      </c>
      <c r="P91" s="2">
        <v>0.533723981837946</v>
      </c>
      <c r="Q91" s="2">
        <v>6.5501398797887589</v>
      </c>
      <c r="R91" s="2">
        <v>202333</v>
      </c>
      <c r="S91" s="2">
        <v>134020</v>
      </c>
      <c r="T91" s="2">
        <v>7.59</v>
      </c>
      <c r="U91" s="2">
        <v>6.35</v>
      </c>
      <c r="V91" s="2">
        <v>6.2</v>
      </c>
      <c r="W91" s="2">
        <v>101.67999999999999</v>
      </c>
      <c r="X91" s="2">
        <v>52.52740478515625</v>
      </c>
      <c r="Y91" s="2">
        <v>-0.42987940999589103</v>
      </c>
      <c r="Z91" s="2">
        <v>1.5736250206828117E-2</v>
      </c>
      <c r="AA91" s="2">
        <v>2.6829482521861792E-3</v>
      </c>
      <c r="AB91" s="2">
        <v>0.942618775814559</v>
      </c>
      <c r="AC91" s="2">
        <v>-0.84644466970994703</v>
      </c>
      <c r="AD91" s="2">
        <v>8.33392437689481E-3</v>
      </c>
      <c r="AE91" s="2">
        <v>-0.85553824259653399</v>
      </c>
      <c r="AF91" s="2">
        <v>-1.5629999999999999</v>
      </c>
      <c r="AG91" s="2">
        <v>-3.3363999999999998</v>
      </c>
      <c r="AH91" s="2">
        <v>0.40949999999999998</v>
      </c>
      <c r="AI91" s="2">
        <v>-0.78548592401254902</v>
      </c>
      <c r="AJ91" s="2">
        <v>-0.444773693321803</v>
      </c>
      <c r="AK91" s="2">
        <v>-0.64857001617042398</v>
      </c>
      <c r="AL91" s="2">
        <v>0.46989133377499498</v>
      </c>
      <c r="AM91" s="2">
        <v>0.36872441516364401</v>
      </c>
      <c r="AN91" s="2">
        <v>-0.46214384221903798</v>
      </c>
      <c r="AO91" s="2">
        <v>-0.36628110830225402</v>
      </c>
      <c r="AP91" s="2">
        <v>-0.23005235340883901</v>
      </c>
      <c r="AQ91" s="2">
        <v>0.49195396679061199</v>
      </c>
      <c r="AR91" s="2">
        <v>0.28859558210357</v>
      </c>
      <c r="AS91" s="2">
        <v>-1.9293224618340299</v>
      </c>
      <c r="AT91" s="2">
        <v>0.88190302216041605</v>
      </c>
    </row>
    <row r="92" spans="1:46" x14ac:dyDescent="0.25">
      <c r="A92" s="2">
        <v>1969.5</v>
      </c>
      <c r="B92" s="2">
        <v>1032</v>
      </c>
      <c r="C92" s="2">
        <v>4736.1174850849011</v>
      </c>
      <c r="D92" s="2">
        <v>21.79</v>
      </c>
      <c r="E92" s="2">
        <v>609.5</v>
      </c>
      <c r="F92" s="2">
        <v>177.6</v>
      </c>
      <c r="G92" s="2">
        <v>2842.0218222512353</v>
      </c>
      <c r="H92" s="2">
        <v>362.28023441662225</v>
      </c>
      <c r="I92" s="2">
        <v>159.80723035651508</v>
      </c>
      <c r="J92" s="2">
        <v>29.7</v>
      </c>
      <c r="K92" s="2">
        <v>43.798999999999999</v>
      </c>
      <c r="L92" s="2">
        <v>67.81</v>
      </c>
      <c r="M92" s="2">
        <v>0.45706593553867109</v>
      </c>
      <c r="N92" s="2">
        <v>0.54933391236934725</v>
      </c>
      <c r="O92" s="2">
        <v>0.44623788566799449</v>
      </c>
      <c r="P92" s="2">
        <v>0.5343977064173735</v>
      </c>
      <c r="Q92" s="2">
        <v>6.5662874300528129</v>
      </c>
      <c r="R92" s="2">
        <v>202881</v>
      </c>
      <c r="S92" s="2">
        <v>134595</v>
      </c>
      <c r="T92" s="2">
        <v>7.92</v>
      </c>
      <c r="U92" s="2">
        <v>6.86</v>
      </c>
      <c r="V92" s="2">
        <v>7.02</v>
      </c>
      <c r="W92" s="2">
        <v>94.466666666666654</v>
      </c>
      <c r="X92" s="2">
        <v>48.188213348388672</v>
      </c>
      <c r="Y92" s="2">
        <v>-0.66497497414029405</v>
      </c>
      <c r="Z92" s="2">
        <v>-8.7203152477741241E-2</v>
      </c>
      <c r="AA92" s="2">
        <v>-2.6805352419614792E-2</v>
      </c>
      <c r="AB92" s="2">
        <v>-0.81823632349271203</v>
      </c>
      <c r="AC92" s="2">
        <v>8.3870762449529401E-2</v>
      </c>
      <c r="AD92" s="2">
        <v>0.30201303035890997</v>
      </c>
      <c r="AE92" s="2">
        <v>-0.197295285974289</v>
      </c>
      <c r="AF92" s="2">
        <v>0.1047</v>
      </c>
      <c r="AG92" s="2">
        <v>2.2595000000000001</v>
      </c>
      <c r="AH92" s="2">
        <v>0.55569999999999997</v>
      </c>
      <c r="AI92" s="2">
        <v>-0.82657023268841701</v>
      </c>
      <c r="AJ92" s="2">
        <v>0.95205218482049903</v>
      </c>
      <c r="AK92" s="2">
        <v>-0.33061879228302399</v>
      </c>
      <c r="AL92" s="2">
        <v>1.05536586812327</v>
      </c>
      <c r="AM92" s="2">
        <v>0.11416639742140899</v>
      </c>
      <c r="AN92" s="2">
        <v>3.9669626589570101E-2</v>
      </c>
      <c r="AO92" s="2">
        <v>0.105066416565448</v>
      </c>
      <c r="AP92" s="2">
        <v>6.1734383986999701E-2</v>
      </c>
      <c r="AQ92" s="2">
        <v>0.43037887882160702</v>
      </c>
      <c r="AR92" s="2">
        <v>-0.14155703145362999</v>
      </c>
      <c r="AS92" s="2">
        <v>-0.82384788987681301</v>
      </c>
      <c r="AT92" s="2">
        <v>-1.3447472874566899</v>
      </c>
    </row>
    <row r="93" spans="1:46" x14ac:dyDescent="0.25">
      <c r="A93" s="2">
        <v>1969.75</v>
      </c>
      <c r="B93" s="2">
        <v>1040.7</v>
      </c>
      <c r="C93" s="2">
        <v>4715.2371890716322</v>
      </c>
      <c r="D93" s="2">
        <v>22.071000000000002</v>
      </c>
      <c r="E93" s="2">
        <v>621.5</v>
      </c>
      <c r="F93" s="2">
        <v>171.6</v>
      </c>
      <c r="G93" s="2">
        <v>2864.7153722055773</v>
      </c>
      <c r="H93" s="2">
        <v>360.45253895401527</v>
      </c>
      <c r="I93" s="2">
        <v>159.4093068699068</v>
      </c>
      <c r="J93" s="2">
        <v>29.489000000000001</v>
      </c>
      <c r="K93" s="2">
        <v>43.7</v>
      </c>
      <c r="L93" s="2">
        <v>67.48</v>
      </c>
      <c r="M93" s="2">
        <v>0.4502159539779671</v>
      </c>
      <c r="N93" s="2">
        <v>0.54609541475512957</v>
      </c>
      <c r="O93" s="2">
        <v>0.44535662239823259</v>
      </c>
      <c r="P93" s="2">
        <v>0.54397079008705196</v>
      </c>
      <c r="Q93" s="2">
        <v>6.5737722136188186</v>
      </c>
      <c r="R93" s="2">
        <v>203492</v>
      </c>
      <c r="S93" s="2">
        <v>135247</v>
      </c>
      <c r="T93" s="2">
        <v>8.3699999999999992</v>
      </c>
      <c r="U93" s="2">
        <v>7.3</v>
      </c>
      <c r="V93" s="2">
        <v>7.35</v>
      </c>
      <c r="W93" s="2">
        <v>94.279999999999987</v>
      </c>
      <c r="X93" s="2">
        <v>49.513637542724609</v>
      </c>
      <c r="Y93" s="2">
        <v>-0.44490509335808298</v>
      </c>
      <c r="Z93" s="2">
        <v>2.2072197869420052E-2</v>
      </c>
      <c r="AA93" s="2">
        <v>1.7357981996610761E-3</v>
      </c>
      <c r="AB93" s="2">
        <v>0.87203470222361401</v>
      </c>
      <c r="AC93" s="2">
        <v>-0.25294287608980898</v>
      </c>
      <c r="AD93" s="2">
        <v>2.64559977597555E-2</v>
      </c>
      <c r="AE93" s="2">
        <v>-1.0244064104756301</v>
      </c>
      <c r="AF93" s="2">
        <v>-0.68679999999999997</v>
      </c>
      <c r="AG93" s="2">
        <v>-6.3478000000000003</v>
      </c>
      <c r="AH93" s="2">
        <v>-0.28549999999999998</v>
      </c>
      <c r="AI93" s="2">
        <v>-1.1423295243023099</v>
      </c>
      <c r="AJ93" s="2">
        <v>-1.70605408523105</v>
      </c>
      <c r="AK93" s="2">
        <v>-0.64867952858520495</v>
      </c>
      <c r="AL93" s="2">
        <v>-3.9947954634531102E-2</v>
      </c>
      <c r="AM93" s="2">
        <v>-0.40336240875663998</v>
      </c>
      <c r="AN93" s="2">
        <v>-0.145055843664947</v>
      </c>
      <c r="AO93" s="2">
        <v>-0.36812006724280799</v>
      </c>
      <c r="AP93" s="2">
        <v>-0.39942243555163298</v>
      </c>
      <c r="AQ93" s="2">
        <v>-1.1079246362947599</v>
      </c>
      <c r="AR93" s="2">
        <v>-1.8320759536968101</v>
      </c>
      <c r="AS93" s="2">
        <v>-0.57406393908523801</v>
      </c>
      <c r="AT93" s="2">
        <v>-0.39956383098889597</v>
      </c>
    </row>
    <row r="94" spans="1:46" x14ac:dyDescent="0.25">
      <c r="A94" s="2">
        <v>1970</v>
      </c>
      <c r="B94" s="2">
        <v>1053.5</v>
      </c>
      <c r="C94" s="2">
        <v>4706.907336252345</v>
      </c>
      <c r="D94" s="2">
        <v>22.382000000000001</v>
      </c>
      <c r="E94" s="2">
        <v>632.6</v>
      </c>
      <c r="F94" s="2">
        <v>168.1</v>
      </c>
      <c r="G94" s="2">
        <v>2882.3985054905002</v>
      </c>
      <c r="H94" s="2">
        <v>357.87587084092155</v>
      </c>
      <c r="I94" s="2">
        <v>158.21402516081505</v>
      </c>
      <c r="J94" s="2">
        <v>29.454000000000001</v>
      </c>
      <c r="K94" s="2">
        <v>43.878999999999998</v>
      </c>
      <c r="L94" s="2">
        <v>67.126000000000005</v>
      </c>
      <c r="M94" s="2">
        <v>0.44464340305982808</v>
      </c>
      <c r="N94" s="2">
        <v>0.54326494549183257</v>
      </c>
      <c r="O94" s="2">
        <v>0.4564052607139788</v>
      </c>
      <c r="P94" s="2">
        <v>0.5712374435383063</v>
      </c>
      <c r="Q94" s="2">
        <v>6.5759266938371077</v>
      </c>
      <c r="R94" s="2">
        <v>204004</v>
      </c>
      <c r="S94" s="2">
        <v>135950</v>
      </c>
      <c r="T94" s="2">
        <v>8.76</v>
      </c>
      <c r="U94" s="2">
        <v>7.37</v>
      </c>
      <c r="V94" s="2">
        <v>7.21</v>
      </c>
      <c r="W94" s="2">
        <v>88.706666666666663</v>
      </c>
      <c r="X94" s="2">
        <v>46.317203521728516</v>
      </c>
      <c r="Y94" s="2">
        <v>0.41916989426434698</v>
      </c>
      <c r="Z94" s="2">
        <v>-6.4053647220134735E-2</v>
      </c>
      <c r="AA94" s="2">
        <v>-2.3052316159009933E-2</v>
      </c>
      <c r="AB94" s="2">
        <v>5.5272404050850502E-2</v>
      </c>
      <c r="AC94" s="2">
        <v>0.187926687753383</v>
      </c>
      <c r="AD94" s="2">
        <v>0.53171671847105295</v>
      </c>
      <c r="AE94" s="2">
        <v>-0.24141338563418399</v>
      </c>
      <c r="AF94" s="2">
        <v>5.8000000000000003E-2</v>
      </c>
      <c r="AG94" s="2">
        <v>-0.99299999999999999</v>
      </c>
      <c r="AH94" s="2">
        <v>0.50900000000000001</v>
      </c>
      <c r="AI94" s="2">
        <v>0.17597931185070201</v>
      </c>
      <c r="AJ94" s="2">
        <v>0.33916967151008198</v>
      </c>
      <c r="AK94" s="2">
        <v>0.49326180542528703</v>
      </c>
      <c r="AL94" s="2">
        <v>0.85565023320403399</v>
      </c>
      <c r="AM94" s="2">
        <v>0.247458744533706</v>
      </c>
      <c r="AN94" s="2">
        <v>-2.4283176149840199E-2</v>
      </c>
      <c r="AO94" s="2">
        <v>6.7452993036117903E-2</v>
      </c>
      <c r="AP94" s="2">
        <v>-0.19679903637395499</v>
      </c>
      <c r="AQ94" s="2">
        <v>1.22332602346763</v>
      </c>
      <c r="AR94" s="2">
        <v>2.2953295583116099E-2</v>
      </c>
      <c r="AS94" s="2">
        <v>-9.2264395946227901E-2</v>
      </c>
      <c r="AT94" s="2">
        <v>0.32790537355312499</v>
      </c>
    </row>
    <row r="95" spans="1:46" x14ac:dyDescent="0.25">
      <c r="A95" s="2">
        <v>1970.25</v>
      </c>
      <c r="B95" s="2">
        <v>1070.0999999999999</v>
      </c>
      <c r="C95" s="2">
        <v>4715.343262536353</v>
      </c>
      <c r="D95" s="2">
        <v>22.693999999999999</v>
      </c>
      <c r="E95" s="2">
        <v>642.5</v>
      </c>
      <c r="F95" s="2">
        <v>171.5</v>
      </c>
      <c r="G95" s="2">
        <v>2895.4484001802612</v>
      </c>
      <c r="H95" s="2">
        <v>355.50752253917693</v>
      </c>
      <c r="I95" s="2">
        <v>157.08935124686866</v>
      </c>
      <c r="J95" s="2">
        <v>29.515999999999998</v>
      </c>
      <c r="K95" s="2">
        <v>44.405999999999999</v>
      </c>
      <c r="L95" s="2">
        <v>66.468999999999994</v>
      </c>
      <c r="M95" s="2">
        <v>0.44845291644009344</v>
      </c>
      <c r="N95" s="2">
        <v>0.55368071155413612</v>
      </c>
      <c r="O95" s="2">
        <v>0.47445207187691824</v>
      </c>
      <c r="P95" s="2">
        <v>0.59454396398108522</v>
      </c>
      <c r="Q95" s="2">
        <v>6.5592651505387876</v>
      </c>
      <c r="R95" s="2">
        <v>204613</v>
      </c>
      <c r="S95" s="2">
        <v>136677</v>
      </c>
      <c r="T95" s="2">
        <v>8.98</v>
      </c>
      <c r="U95" s="2">
        <v>7.71</v>
      </c>
      <c r="V95" s="2">
        <v>6.68</v>
      </c>
      <c r="W95" s="2">
        <v>79.2</v>
      </c>
      <c r="X95" s="2">
        <v>39.605396270751953</v>
      </c>
      <c r="Y95" s="2">
        <v>8.7624584585882501E-2</v>
      </c>
      <c r="Z95" s="2">
        <v>-0.11844002455472946</v>
      </c>
      <c r="AA95" s="2">
        <v>-3.3270608633756638E-2</v>
      </c>
      <c r="AB95" s="2">
        <v>-0.21477198508824699</v>
      </c>
      <c r="AC95" s="2">
        <v>-0.69943601601056105</v>
      </c>
      <c r="AD95" s="2">
        <v>-5.07044790599398E-2</v>
      </c>
      <c r="AE95" s="2">
        <v>0.53180489812665999</v>
      </c>
      <c r="AF95" s="2">
        <v>1.5672999999999999</v>
      </c>
      <c r="AG95" s="2">
        <v>1.0684</v>
      </c>
      <c r="AH95" s="2">
        <v>-0.3387</v>
      </c>
      <c r="AI95" s="2">
        <v>-0.82985500406619095</v>
      </c>
      <c r="AJ95" s="2">
        <v>-2.5464436022596502</v>
      </c>
      <c r="AK95" s="2">
        <v>0.86589573936712005</v>
      </c>
      <c r="AL95" s="2">
        <v>0.26565254368355501</v>
      </c>
      <c r="AM95" s="2">
        <v>-0.67058845548568702</v>
      </c>
      <c r="AN95" s="2">
        <v>-9.0183621691187099E-2</v>
      </c>
      <c r="AO95" s="2">
        <v>-0.27288692073743998</v>
      </c>
      <c r="AP95" s="2">
        <v>-0.13471406604689001</v>
      </c>
      <c r="AQ95" s="2">
        <v>-0.28648765759529599</v>
      </c>
      <c r="AR95" s="2">
        <v>0.69132586212949898</v>
      </c>
      <c r="AS95" s="2">
        <v>0.16048729245586199</v>
      </c>
      <c r="AT95" s="2">
        <v>-0.37355552327136698</v>
      </c>
    </row>
    <row r="96" spans="1:46" x14ac:dyDescent="0.25">
      <c r="A96" s="2">
        <v>1970.5</v>
      </c>
      <c r="B96" s="2">
        <v>1088.5</v>
      </c>
      <c r="C96" s="2">
        <v>4757.4300699300702</v>
      </c>
      <c r="D96" s="2">
        <v>22.88</v>
      </c>
      <c r="E96" s="2">
        <v>654.5</v>
      </c>
      <c r="F96" s="2">
        <v>173.9</v>
      </c>
      <c r="G96" s="2">
        <v>2921.0925644916542</v>
      </c>
      <c r="H96" s="2">
        <v>356.91072992906999</v>
      </c>
      <c r="I96" s="2">
        <v>155.75549025970668</v>
      </c>
      <c r="J96" s="2">
        <v>29.821999999999999</v>
      </c>
      <c r="K96" s="2">
        <v>45.167000000000002</v>
      </c>
      <c r="L96" s="2">
        <v>66.025999999999996</v>
      </c>
      <c r="M96" s="2">
        <v>0.45975196923497669</v>
      </c>
      <c r="N96" s="2">
        <v>0.56318626055316456</v>
      </c>
      <c r="O96" s="2">
        <v>0.48845080073185843</v>
      </c>
      <c r="P96" s="2">
        <v>0.60072025027583797</v>
      </c>
      <c r="Q96" s="2">
        <v>6.5275008418455291</v>
      </c>
      <c r="R96" s="2">
        <v>205296</v>
      </c>
      <c r="S96" s="2">
        <v>137456</v>
      </c>
      <c r="T96" s="2">
        <v>9.41</v>
      </c>
      <c r="U96" s="2">
        <v>7.46</v>
      </c>
      <c r="V96" s="2">
        <v>6.33</v>
      </c>
      <c r="W96" s="2">
        <v>78.739999999999995</v>
      </c>
      <c r="X96" s="2">
        <v>42.128406524658203</v>
      </c>
      <c r="Y96" s="2">
        <v>1.4438503869057</v>
      </c>
      <c r="Z96" s="2">
        <v>8.3931945264339447E-3</v>
      </c>
      <c r="AA96" s="2">
        <v>9.0941227972507477E-3</v>
      </c>
      <c r="AB96" s="2">
        <v>1.00298650166301</v>
      </c>
      <c r="AC96" s="2">
        <v>-0.66205158622267402</v>
      </c>
      <c r="AD96" s="2">
        <v>-0.26494868643309499</v>
      </c>
      <c r="AE96" s="2">
        <v>1.1606692053665899</v>
      </c>
      <c r="AF96" s="2">
        <v>0.48849999999999999</v>
      </c>
      <c r="AG96" s="2">
        <v>-1.4413</v>
      </c>
      <c r="AH96" s="2">
        <v>0.78249999999999997</v>
      </c>
      <c r="AI96" s="2">
        <v>0.85487524914187296</v>
      </c>
      <c r="AJ96" s="2">
        <v>1.12561385372415</v>
      </c>
      <c r="AK96" s="2">
        <v>1.1322086145776</v>
      </c>
      <c r="AL96" s="2">
        <v>0.69279290967555496</v>
      </c>
      <c r="AM96" s="2">
        <v>0.29375527625678699</v>
      </c>
      <c r="AN96" s="2">
        <v>7.9917040097208195E-2</v>
      </c>
      <c r="AO96" s="2">
        <v>0.123355116493231</v>
      </c>
      <c r="AP96" s="2">
        <v>-0.123016853888197</v>
      </c>
      <c r="AQ96" s="2">
        <v>0.247763862435631</v>
      </c>
      <c r="AR96" s="2">
        <v>-6.2464145548547297E-2</v>
      </c>
      <c r="AS96" s="2">
        <v>-1.4303607940955001</v>
      </c>
      <c r="AT96" s="2">
        <v>0.17819361877520301</v>
      </c>
    </row>
    <row r="97" spans="1:46" x14ac:dyDescent="0.25">
      <c r="A97" s="2">
        <v>1970.75</v>
      </c>
      <c r="B97" s="2">
        <v>1091.5</v>
      </c>
      <c r="C97" s="2">
        <v>4708.3944439651459</v>
      </c>
      <c r="D97" s="2">
        <v>23.181999999999999</v>
      </c>
      <c r="E97" s="2">
        <v>661.2</v>
      </c>
      <c r="F97" s="2">
        <v>166.8</v>
      </c>
      <c r="G97" s="2">
        <v>2913.2886852308775</v>
      </c>
      <c r="H97" s="2">
        <v>344.48132548603945</v>
      </c>
      <c r="I97" s="2">
        <v>154.98340366212909</v>
      </c>
      <c r="J97" s="2">
        <v>29.366</v>
      </c>
      <c r="K97" s="2">
        <v>44.905999999999999</v>
      </c>
      <c r="L97" s="2">
        <v>65.394000000000005</v>
      </c>
      <c r="M97" s="2">
        <v>0.44925115669294263</v>
      </c>
      <c r="N97" s="2">
        <v>0.55100234384959579</v>
      </c>
      <c r="O97" s="2">
        <v>0.48798606400833949</v>
      </c>
      <c r="P97" s="2">
        <v>0.60993415967802578</v>
      </c>
      <c r="Q97" s="2">
        <v>6.4915678355391817</v>
      </c>
      <c r="R97" s="2">
        <v>206017</v>
      </c>
      <c r="S97" s="2">
        <v>138260</v>
      </c>
      <c r="T97" s="2">
        <v>9.2799999999999994</v>
      </c>
      <c r="U97" s="2">
        <v>6.85</v>
      </c>
      <c r="V97" s="2">
        <v>5.35</v>
      </c>
      <c r="W97" s="2">
        <v>86.233333333333334</v>
      </c>
      <c r="X97" s="2">
        <v>45.712581634521484</v>
      </c>
      <c r="Y97" s="2">
        <v>-1.0311174677678201</v>
      </c>
      <c r="Z97" s="2">
        <v>7.8983046114444733E-2</v>
      </c>
      <c r="AA97" s="2">
        <v>1.3971405103802681E-2</v>
      </c>
      <c r="AB97" s="2">
        <v>-0.16171930683916499</v>
      </c>
      <c r="AC97" s="2">
        <v>-1.34997625991248</v>
      </c>
      <c r="AD97" s="2">
        <v>-0.84095062328946901</v>
      </c>
      <c r="AE97" s="2">
        <v>-1.5665967571452699</v>
      </c>
      <c r="AF97" s="2">
        <v>-1.1303000000000001</v>
      </c>
      <c r="AG97" s="2">
        <v>-11.276899999999999</v>
      </c>
      <c r="AH97" s="2">
        <v>-0.45679999999999998</v>
      </c>
      <c r="AI97" s="2">
        <v>2.84524691026997</v>
      </c>
      <c r="AJ97" s="2">
        <v>-0.71448584654657199</v>
      </c>
      <c r="AK97" s="2">
        <v>-0.423503759675809</v>
      </c>
      <c r="AL97" s="2">
        <v>-0.60007012107555302</v>
      </c>
      <c r="AM97" s="2">
        <v>6.52609490315849E-2</v>
      </c>
      <c r="AN97" s="2">
        <v>-3.1743015993742602E-2</v>
      </c>
      <c r="AO97" s="2">
        <v>-0.31206854662759898</v>
      </c>
      <c r="AP97" s="2">
        <v>-8.2287128898445194E-2</v>
      </c>
      <c r="AQ97" s="2">
        <v>-0.72640548221025003</v>
      </c>
      <c r="AR97" s="2">
        <v>-0.84072870582032</v>
      </c>
      <c r="AS97" s="2">
        <v>1.5166777855489799E-3</v>
      </c>
      <c r="AT97" s="2">
        <v>0.211788111187033</v>
      </c>
    </row>
    <row r="98" spans="1:46" x14ac:dyDescent="0.25">
      <c r="A98" s="2">
        <v>1971</v>
      </c>
      <c r="B98" s="2">
        <v>1137.8</v>
      </c>
      <c r="C98" s="2">
        <v>4834.2963970088376</v>
      </c>
      <c r="D98" s="2">
        <v>23.536000000000001</v>
      </c>
      <c r="E98" s="2">
        <v>680.2</v>
      </c>
      <c r="F98" s="2">
        <v>189.5</v>
      </c>
      <c r="G98" s="2">
        <v>2968.8795774955261</v>
      </c>
      <c r="H98" s="2">
        <v>347.42662228701892</v>
      </c>
      <c r="I98" s="2">
        <v>155.36079206933087</v>
      </c>
      <c r="J98" s="2">
        <v>30.349</v>
      </c>
      <c r="K98" s="2">
        <v>46.186</v>
      </c>
      <c r="L98" s="2">
        <v>65.709999999999994</v>
      </c>
      <c r="M98" s="2">
        <v>0.47236638367938788</v>
      </c>
      <c r="N98" s="2">
        <v>0.57247544702628794</v>
      </c>
      <c r="O98" s="2">
        <v>0.50001418132408637</v>
      </c>
      <c r="P98" s="2">
        <v>0.59869477577268015</v>
      </c>
      <c r="Q98" s="2">
        <v>6.4593242812998177</v>
      </c>
      <c r="R98" s="2">
        <v>206663</v>
      </c>
      <c r="S98" s="2">
        <v>139034</v>
      </c>
      <c r="T98" s="2">
        <v>8.5299999999999994</v>
      </c>
      <c r="U98" s="2">
        <v>6.02</v>
      </c>
      <c r="V98" s="2">
        <v>3.84</v>
      </c>
      <c r="W98" s="2">
        <v>96.733333333333334</v>
      </c>
      <c r="X98" s="2">
        <v>52.179424285888672</v>
      </c>
      <c r="Y98" s="2">
        <v>0.75989032593578199</v>
      </c>
      <c r="Z98" s="2">
        <v>4.0487904101610184E-2</v>
      </c>
      <c r="AA98" s="2">
        <v>1.9871341064572334E-2</v>
      </c>
      <c r="AB98" s="2">
        <v>-0.35126382470233403</v>
      </c>
      <c r="AC98" s="2">
        <v>1.13020082267411</v>
      </c>
      <c r="AD98" s="2">
        <v>-0.868140901048853</v>
      </c>
      <c r="AE98" s="2">
        <v>2.0219955062214301</v>
      </c>
      <c r="AF98" s="2">
        <v>3.4291</v>
      </c>
      <c r="AG98" s="2">
        <v>17.027100000000001</v>
      </c>
      <c r="AH98" s="2">
        <v>-0.98440000000000005</v>
      </c>
      <c r="AI98" s="2">
        <v>-1.84020340963572</v>
      </c>
      <c r="AJ98" s="2">
        <v>-0.29219915877975799</v>
      </c>
      <c r="AK98" s="2">
        <v>1.3512211471034199</v>
      </c>
      <c r="AL98" s="2">
        <v>-0.263867011859519</v>
      </c>
      <c r="AM98" s="2">
        <v>-0.22234507451072599</v>
      </c>
      <c r="AN98" s="2">
        <v>1.621548141273E-2</v>
      </c>
      <c r="AO98" s="2">
        <v>-0.25524900385369997</v>
      </c>
      <c r="AP98" s="2">
        <v>0.15677423502811899</v>
      </c>
      <c r="AQ98" s="2">
        <v>-0.28819391561594498</v>
      </c>
      <c r="AR98" s="2">
        <v>1.1503427575952601</v>
      </c>
      <c r="AS98" s="2">
        <v>-0.48380905820416997</v>
      </c>
      <c r="AT98" s="2">
        <v>-0.16300649724532301</v>
      </c>
    </row>
    <row r="99" spans="1:46" x14ac:dyDescent="0.25">
      <c r="A99" s="2">
        <v>1971.25</v>
      </c>
      <c r="B99" s="2">
        <v>1159.4000000000001</v>
      </c>
      <c r="C99" s="2">
        <v>4862.0313679443097</v>
      </c>
      <c r="D99" s="2">
        <v>23.846</v>
      </c>
      <c r="E99" s="2">
        <v>694.3</v>
      </c>
      <c r="F99" s="2">
        <v>197.3</v>
      </c>
      <c r="G99" s="2">
        <v>2996.2886242016225</v>
      </c>
      <c r="H99" s="2">
        <v>352.16055257933806</v>
      </c>
      <c r="I99" s="2">
        <v>155.81571782030926</v>
      </c>
      <c r="J99" s="2">
        <v>30.553999999999998</v>
      </c>
      <c r="K99" s="2">
        <v>46.225999999999999</v>
      </c>
      <c r="L99" s="2">
        <v>66.096999999999994</v>
      </c>
      <c r="M99" s="2">
        <v>0.47341099323753755</v>
      </c>
      <c r="N99" s="2">
        <v>0.57882546532374646</v>
      </c>
      <c r="O99" s="2">
        <v>0.50081756401451316</v>
      </c>
      <c r="P99" s="2">
        <v>0.6150286490678758</v>
      </c>
      <c r="Q99" s="2">
        <v>6.365034170797661</v>
      </c>
      <c r="R99" s="2">
        <v>207262</v>
      </c>
      <c r="S99" s="2">
        <v>139827</v>
      </c>
      <c r="T99" s="2">
        <v>8.61</v>
      </c>
      <c r="U99" s="2">
        <v>6.25</v>
      </c>
      <c r="V99" s="2">
        <v>4.25</v>
      </c>
      <c r="W99" s="2">
        <v>101.44</v>
      </c>
      <c r="X99" s="2">
        <v>54.528064727783203</v>
      </c>
      <c r="Y99" s="2">
        <v>-0.44018189041886402</v>
      </c>
      <c r="Z99" s="2">
        <v>-4.7017810866236687E-3</v>
      </c>
      <c r="AA99" s="2">
        <v>-4.3522310443222523E-3</v>
      </c>
      <c r="AB99" s="2">
        <v>-0.80862218262804897</v>
      </c>
      <c r="AC99" s="2">
        <v>-0.78275369726922595</v>
      </c>
      <c r="AD99" s="2">
        <v>0.28533608672562499</v>
      </c>
      <c r="AE99" s="2">
        <v>-0.73846407223453903</v>
      </c>
      <c r="AF99" s="2">
        <v>-1.0760000000000001</v>
      </c>
      <c r="AG99" s="2">
        <v>-6.9405999999999999</v>
      </c>
      <c r="AH99" s="2">
        <v>0.15989999999999999</v>
      </c>
      <c r="AI99" s="2">
        <v>0.120789581590071</v>
      </c>
      <c r="AJ99" s="2">
        <v>-0.35186395611897298</v>
      </c>
      <c r="AK99" s="2">
        <v>0.35154262447257301</v>
      </c>
      <c r="AL99" s="2">
        <v>0.89799488541095995</v>
      </c>
      <c r="AM99" s="2">
        <v>0.21355731177182799</v>
      </c>
      <c r="AN99" s="2">
        <v>-0.197475335919512</v>
      </c>
      <c r="AO99" s="2">
        <v>-6.3160349220565196E-2</v>
      </c>
      <c r="AP99" s="2">
        <v>-5.1768022664745797E-2</v>
      </c>
      <c r="AQ99" s="2">
        <v>0.72085991396485005</v>
      </c>
      <c r="AR99" s="2">
        <v>0.24164317901663099</v>
      </c>
      <c r="AS99" s="2">
        <v>0.38749442721074401</v>
      </c>
      <c r="AT99" s="2">
        <v>0.41126372105297498</v>
      </c>
    </row>
    <row r="100" spans="1:46" x14ac:dyDescent="0.25">
      <c r="A100" s="2">
        <v>1971.5</v>
      </c>
      <c r="B100" s="2">
        <v>1180.3</v>
      </c>
      <c r="C100" s="2">
        <v>4899.9501826635669</v>
      </c>
      <c r="D100" s="2">
        <v>24.088000000000001</v>
      </c>
      <c r="E100" s="2">
        <v>706.7</v>
      </c>
      <c r="F100" s="2">
        <v>202.1</v>
      </c>
      <c r="G100" s="2">
        <v>3020.2145390828668</v>
      </c>
      <c r="H100" s="2">
        <v>353.68648065777057</v>
      </c>
      <c r="I100" s="2">
        <v>155.64247936695543</v>
      </c>
      <c r="J100" s="2">
        <v>30.826000000000001</v>
      </c>
      <c r="K100" s="2">
        <v>46.764000000000003</v>
      </c>
      <c r="L100" s="2">
        <v>65.918000000000006</v>
      </c>
      <c r="M100" s="2">
        <v>0.48208752393587084</v>
      </c>
      <c r="N100" s="2">
        <v>0.59637338831435138</v>
      </c>
      <c r="O100" s="2">
        <v>0.52252786202565071</v>
      </c>
      <c r="P100" s="2">
        <v>0.66069045300614659</v>
      </c>
      <c r="Q100" s="2">
        <v>6.2318636020574072</v>
      </c>
      <c r="R100" s="2">
        <v>207885</v>
      </c>
      <c r="S100" s="2">
        <v>140603</v>
      </c>
      <c r="T100" s="2">
        <v>8.6999999999999993</v>
      </c>
      <c r="U100" s="2">
        <v>6.48</v>
      </c>
      <c r="V100" s="2">
        <v>5.01</v>
      </c>
      <c r="W100" s="2">
        <v>98.546666666666667</v>
      </c>
      <c r="X100" s="2">
        <v>53.109180450439453</v>
      </c>
      <c r="Y100" s="2">
        <v>0.44064993431215999</v>
      </c>
      <c r="Z100" s="2">
        <v>-4.6460472047328949E-2</v>
      </c>
      <c r="AA100" s="2">
        <v>-1.1973237618803978E-2</v>
      </c>
      <c r="AB100" s="2">
        <v>1.1558303682996001</v>
      </c>
      <c r="AC100" s="2">
        <v>-0.57972238962632605</v>
      </c>
      <c r="AD100" s="2">
        <v>1.4970681504129899</v>
      </c>
      <c r="AE100" s="2">
        <v>-0.473991360428204</v>
      </c>
      <c r="AF100" s="2">
        <v>0.24709999999999999</v>
      </c>
      <c r="AG100" s="2">
        <v>-0.3599</v>
      </c>
      <c r="AH100" s="2">
        <v>0.30890000000000001</v>
      </c>
      <c r="AI100" s="2">
        <v>1.1153620636055901</v>
      </c>
      <c r="AJ100" s="2">
        <v>-0.78782115532622399</v>
      </c>
      <c r="AK100" s="2">
        <v>0.76365971188784698</v>
      </c>
      <c r="AL100" s="2">
        <v>-8.6330675200507898E-2</v>
      </c>
      <c r="AM100" s="2">
        <v>7.4679492023552396E-2</v>
      </c>
      <c r="AN100" s="2">
        <v>4.39978496756155E-2</v>
      </c>
      <c r="AO100" s="2">
        <v>-0.11930684558635</v>
      </c>
      <c r="AP100" s="2">
        <v>0.216440827172486</v>
      </c>
      <c r="AQ100" s="2">
        <v>-4.3621076768233298E-2</v>
      </c>
      <c r="AR100" s="2">
        <v>-0.17925900684389501</v>
      </c>
      <c r="AS100" s="2">
        <v>0.22115514398738101</v>
      </c>
      <c r="AT100" s="2">
        <v>5.3553272354941603E-2</v>
      </c>
    </row>
    <row r="101" spans="1:46" x14ac:dyDescent="0.25">
      <c r="A101" s="2">
        <v>1971.75</v>
      </c>
      <c r="B101" s="2">
        <v>1193.5999999999999</v>
      </c>
      <c r="C101" s="2">
        <v>4914.3610013175221</v>
      </c>
      <c r="D101" s="2">
        <v>24.288</v>
      </c>
      <c r="E101" s="2">
        <v>722.9</v>
      </c>
      <c r="F101" s="2">
        <v>198.4</v>
      </c>
      <c r="G101" s="2">
        <v>3070.4213387699624</v>
      </c>
      <c r="H101" s="2">
        <v>360.84545527605877</v>
      </c>
      <c r="I101" s="2">
        <v>156.47084083749999</v>
      </c>
      <c r="J101" s="2">
        <v>30.902000000000001</v>
      </c>
      <c r="K101" s="2">
        <v>46.408000000000001</v>
      </c>
      <c r="L101" s="2">
        <v>66.587999999999994</v>
      </c>
      <c r="M101" s="2">
        <v>0.48154385059683941</v>
      </c>
      <c r="N101" s="2">
        <v>0.60376706626407306</v>
      </c>
      <c r="O101" s="2">
        <v>0.50938850090478238</v>
      </c>
      <c r="P101" s="2">
        <v>0.62815386774206294</v>
      </c>
      <c r="Q101" s="2">
        <v>6.1044005595821451</v>
      </c>
      <c r="R101" s="2">
        <v>208547</v>
      </c>
      <c r="S101" s="2">
        <v>141402</v>
      </c>
      <c r="T101" s="2">
        <v>8.41</v>
      </c>
      <c r="U101" s="2">
        <v>5.89</v>
      </c>
      <c r="V101" s="2">
        <v>4.2300000000000004</v>
      </c>
      <c r="W101" s="2">
        <v>96.413333333333341</v>
      </c>
      <c r="X101" s="2">
        <v>53.023796081542969</v>
      </c>
      <c r="Y101" s="2">
        <v>1.57109828476267E-2</v>
      </c>
      <c r="Z101" s="2">
        <v>-2.7339033782482147E-2</v>
      </c>
      <c r="AA101" s="2">
        <v>-9.9894469603896141E-3</v>
      </c>
      <c r="AB101" s="2">
        <v>-1.1586062679411</v>
      </c>
      <c r="AC101" s="2">
        <v>0.90017084564273397</v>
      </c>
      <c r="AD101" s="2">
        <v>0.82890233070660502</v>
      </c>
      <c r="AE101" s="2">
        <v>-1.5196991433570199</v>
      </c>
      <c r="AF101" s="2">
        <v>-1.6043000000000001</v>
      </c>
      <c r="AG101" s="2">
        <v>-3.9304000000000001</v>
      </c>
      <c r="AH101" s="2">
        <v>0.22489999999999999</v>
      </c>
      <c r="AI101" s="2">
        <v>0.10819845819696</v>
      </c>
      <c r="AJ101" s="2">
        <v>-0.90444472888488303</v>
      </c>
      <c r="AK101" s="2">
        <v>-1.2939731734890001</v>
      </c>
      <c r="AL101" s="2">
        <v>0.36241382234881597</v>
      </c>
      <c r="AM101" s="2">
        <v>5.94026965457548E-2</v>
      </c>
      <c r="AN101" s="2">
        <v>0.25751296430924098</v>
      </c>
      <c r="AO101" s="2">
        <v>-5.1923788247825703E-2</v>
      </c>
      <c r="AP101" s="2">
        <v>0.45963924766401898</v>
      </c>
      <c r="AQ101" s="2">
        <v>-0.35624863411775598</v>
      </c>
      <c r="AR101" s="2">
        <v>-0.15700893320761</v>
      </c>
      <c r="AS101" s="2">
        <v>0.61876510685638597</v>
      </c>
      <c r="AT101" s="2">
        <v>-0.298911323089745</v>
      </c>
    </row>
    <row r="102" spans="1:46" x14ac:dyDescent="0.25">
      <c r="A102" s="2">
        <v>1972</v>
      </c>
      <c r="B102" s="2">
        <v>1233.8</v>
      </c>
      <c r="C102" s="2">
        <v>5002.4326954265325</v>
      </c>
      <c r="D102" s="2">
        <v>24.664000000000001</v>
      </c>
      <c r="E102" s="2">
        <v>740.1</v>
      </c>
      <c r="F102" s="2">
        <v>213</v>
      </c>
      <c r="G102" s="2">
        <v>3110.7094821788833</v>
      </c>
      <c r="H102" s="2">
        <v>372.43059970332695</v>
      </c>
      <c r="I102" s="2">
        <v>158.84635126412152</v>
      </c>
      <c r="J102" s="2">
        <v>31.623999999999999</v>
      </c>
      <c r="K102" s="2">
        <v>46.866</v>
      </c>
      <c r="L102" s="2">
        <v>67.477000000000004</v>
      </c>
      <c r="M102" s="2">
        <v>0.49032552577121052</v>
      </c>
      <c r="N102" s="2">
        <v>0.61722661460651351</v>
      </c>
      <c r="O102" s="2">
        <v>0.51265245946055604</v>
      </c>
      <c r="P102" s="2">
        <v>0.62323335729329021</v>
      </c>
      <c r="Q102" s="2">
        <v>5.9955806613718856</v>
      </c>
      <c r="R102" s="2">
        <v>209063</v>
      </c>
      <c r="S102" s="2">
        <v>143005</v>
      </c>
      <c r="T102" s="2">
        <v>8.23</v>
      </c>
      <c r="U102" s="2">
        <v>6.03</v>
      </c>
      <c r="V102" s="2">
        <v>3.44</v>
      </c>
      <c r="W102" s="2">
        <v>105.39999999999999</v>
      </c>
      <c r="X102" s="2">
        <v>59.061325073242188</v>
      </c>
      <c r="Y102" s="2">
        <v>-0.77703874158267805</v>
      </c>
      <c r="Z102" s="2">
        <v>6.8696342408657074E-2</v>
      </c>
      <c r="AA102" s="2">
        <v>2.4203084409236908E-2</v>
      </c>
      <c r="AB102" s="2">
        <v>1.1264354805813299</v>
      </c>
      <c r="AC102" s="2">
        <v>-0.72008055836695695</v>
      </c>
      <c r="AD102" s="2">
        <v>-1.47561225237739</v>
      </c>
      <c r="AE102" s="2">
        <v>-0.54861667685169901</v>
      </c>
      <c r="AF102" s="2">
        <v>1.1968000000000001</v>
      </c>
      <c r="AG102" s="2">
        <v>3.8536000000000001</v>
      </c>
      <c r="AH102" s="2">
        <v>0.1013</v>
      </c>
      <c r="AI102" s="2">
        <v>0.775832623368508</v>
      </c>
      <c r="AJ102" s="2">
        <v>-0.450372933579402</v>
      </c>
      <c r="AK102" s="2">
        <v>0.17546717813405799</v>
      </c>
      <c r="AL102" s="2">
        <v>-0.17434175688845699</v>
      </c>
      <c r="AM102" s="2">
        <v>8.3663547292713997E-2</v>
      </c>
      <c r="AN102" s="2">
        <v>-0.25844889211746302</v>
      </c>
      <c r="AO102" s="2">
        <v>0.151007100549817</v>
      </c>
      <c r="AP102" s="2">
        <v>-0.35500738331995602</v>
      </c>
      <c r="AQ102" s="2">
        <v>0.67248559218889403</v>
      </c>
      <c r="AR102" s="2">
        <v>-0.66692669005312299</v>
      </c>
      <c r="AS102" s="2">
        <v>-0.121783077121596</v>
      </c>
      <c r="AT102" s="2">
        <v>9.6692252177230001E-2</v>
      </c>
    </row>
    <row r="103" spans="1:46" x14ac:dyDescent="0.25">
      <c r="A103" s="2">
        <v>1972.25</v>
      </c>
      <c r="B103" s="2">
        <v>1270.0999999999999</v>
      </c>
      <c r="C103" s="2">
        <v>5118.2752367519633</v>
      </c>
      <c r="D103" s="2">
        <v>24.815000000000001</v>
      </c>
      <c r="E103" s="2">
        <v>758.6</v>
      </c>
      <c r="F103" s="2">
        <v>226.8</v>
      </c>
      <c r="G103" s="2">
        <v>3170.0793982448808</v>
      </c>
      <c r="H103" s="2">
        <v>378.51904423941329</v>
      </c>
      <c r="I103" s="2">
        <v>159.50724058576435</v>
      </c>
      <c r="J103" s="2">
        <v>32.558999999999997</v>
      </c>
      <c r="K103" s="2">
        <v>48.014000000000003</v>
      </c>
      <c r="L103" s="2">
        <v>67.811999999999998</v>
      </c>
      <c r="M103" s="2">
        <v>0.50626128700558903</v>
      </c>
      <c r="N103" s="2">
        <v>0.6323250230107017</v>
      </c>
      <c r="O103" s="2">
        <v>0.52021305847419608</v>
      </c>
      <c r="P103" s="2">
        <v>0.613554646255839</v>
      </c>
      <c r="Q103" s="2">
        <v>5.9422855377997088</v>
      </c>
      <c r="R103" s="2">
        <v>209552</v>
      </c>
      <c r="S103" s="2">
        <v>143759</v>
      </c>
      <c r="T103" s="2">
        <v>8.2200000000000006</v>
      </c>
      <c r="U103" s="2">
        <v>6.14</v>
      </c>
      <c r="V103" s="2">
        <v>3.77</v>
      </c>
      <c r="W103" s="2">
        <v>108.16666666666667</v>
      </c>
      <c r="X103" s="2">
        <v>60.552726745605469</v>
      </c>
      <c r="Y103" s="2">
        <v>1.53411294653122</v>
      </c>
      <c r="Z103" s="2">
        <v>-4.1522182524204254E-2</v>
      </c>
      <c r="AA103" s="2">
        <v>-5.6615062057971954E-3</v>
      </c>
      <c r="AB103" s="2">
        <v>0.29835274107381499</v>
      </c>
      <c r="AC103" s="2">
        <v>0.70575432010214101</v>
      </c>
      <c r="AD103" s="2">
        <v>-0.93376722047574101</v>
      </c>
      <c r="AE103" s="2">
        <v>1.5704238504435999</v>
      </c>
      <c r="AF103" s="2">
        <v>1.2229000000000001</v>
      </c>
      <c r="AG103" s="2">
        <v>-0.93579999999999997</v>
      </c>
      <c r="AH103" s="2">
        <v>-0.25819999999999999</v>
      </c>
      <c r="AI103" s="2">
        <v>0.116997318738483</v>
      </c>
      <c r="AJ103" s="2">
        <v>-0.70894909263904105</v>
      </c>
      <c r="AK103" s="2">
        <v>0.75934008702858302</v>
      </c>
      <c r="AL103" s="2">
        <v>-1.0964684224282999</v>
      </c>
      <c r="AM103" s="2">
        <v>-0.138864327792769</v>
      </c>
      <c r="AN103" s="2">
        <v>-2.8452013318510699E-2</v>
      </c>
      <c r="AO103" s="2">
        <v>-5.5945036094344799E-2</v>
      </c>
      <c r="AP103" s="2">
        <v>-0.38924971150376497</v>
      </c>
      <c r="AQ103" s="2">
        <v>0.111574634391885</v>
      </c>
      <c r="AR103" s="2">
        <v>-1.1370510366217399</v>
      </c>
      <c r="AS103" s="2">
        <v>0.60057767029602804</v>
      </c>
      <c r="AT103" s="2">
        <v>-0.46896080345716101</v>
      </c>
    </row>
    <row r="104" spans="1:46" x14ac:dyDescent="0.25">
      <c r="A104" s="2">
        <v>1972.5</v>
      </c>
      <c r="B104" s="2">
        <v>1293.8</v>
      </c>
      <c r="C104" s="2">
        <v>5165.2826572979884</v>
      </c>
      <c r="D104" s="2">
        <v>25.047999999999998</v>
      </c>
      <c r="E104" s="2">
        <v>777.1</v>
      </c>
      <c r="F104" s="2">
        <v>233.1</v>
      </c>
      <c r="G104" s="2">
        <v>3219.005012219875</v>
      </c>
      <c r="H104" s="2">
        <v>383.97241667537355</v>
      </c>
      <c r="I104" s="2">
        <v>160.50626000497797</v>
      </c>
      <c r="J104" s="2">
        <v>32.892000000000003</v>
      </c>
      <c r="K104" s="2">
        <v>48.134</v>
      </c>
      <c r="L104" s="2">
        <v>68.334999999999994</v>
      </c>
      <c r="M104" s="2">
        <v>0.51270578136288025</v>
      </c>
      <c r="N104" s="2">
        <v>0.64281761213373445</v>
      </c>
      <c r="O104" s="2">
        <v>0.52629856772953409</v>
      </c>
      <c r="P104" s="2">
        <v>0.62048417475434681</v>
      </c>
      <c r="Q104" s="2">
        <v>5.8898331049270451</v>
      </c>
      <c r="R104" s="2">
        <v>210083</v>
      </c>
      <c r="S104" s="2">
        <v>144523</v>
      </c>
      <c r="T104" s="2">
        <v>8.17</v>
      </c>
      <c r="U104" s="2">
        <v>6.29</v>
      </c>
      <c r="V104" s="2">
        <v>4.22</v>
      </c>
      <c r="W104" s="2">
        <v>109.2</v>
      </c>
      <c r="X104" s="2">
        <v>60.944061279296875</v>
      </c>
      <c r="Y104" s="2">
        <v>0.26811484528103102</v>
      </c>
      <c r="Z104" s="2">
        <v>-4.572330042719841E-3</v>
      </c>
      <c r="AA104" s="2">
        <v>1.2336071813479066E-4</v>
      </c>
      <c r="AB104" s="2">
        <v>0.97685430275582896</v>
      </c>
      <c r="AC104" s="2">
        <v>1.03690846676404</v>
      </c>
      <c r="AD104" s="2">
        <v>0.51426382203912602</v>
      </c>
      <c r="AE104" s="2">
        <v>-0.97976172667797801</v>
      </c>
      <c r="AF104" s="2">
        <v>-0.52890000000000004</v>
      </c>
      <c r="AG104" s="2">
        <v>-3.2368000000000001</v>
      </c>
      <c r="AH104" s="2">
        <v>-0.26500000000000001</v>
      </c>
      <c r="AI104" s="2">
        <v>0.15095104621998701</v>
      </c>
      <c r="AJ104" s="2">
        <v>-0.40548603453256699</v>
      </c>
      <c r="AK104" s="2">
        <v>-0.35888119364239601</v>
      </c>
      <c r="AL104" s="2">
        <v>-1.30669822371615</v>
      </c>
      <c r="AM104" s="2">
        <v>2.9644118098937002E-2</v>
      </c>
      <c r="AN104" s="2">
        <v>0.157355894246648</v>
      </c>
      <c r="AO104" s="2">
        <v>0.197222720486222</v>
      </c>
      <c r="AP104" s="2">
        <v>-0.43541916520446</v>
      </c>
      <c r="AQ104" s="2">
        <v>-9.1288488187531297E-2</v>
      </c>
      <c r="AR104" s="2">
        <v>-1.6947784156021299</v>
      </c>
      <c r="AS104" s="2">
        <v>0.142561536236154</v>
      </c>
      <c r="AT104" s="2">
        <v>-0.15616825489601899</v>
      </c>
    </row>
    <row r="105" spans="1:46" x14ac:dyDescent="0.25">
      <c r="A105" s="2">
        <v>1972.75</v>
      </c>
      <c r="B105" s="2">
        <v>1332</v>
      </c>
      <c r="C105" s="2">
        <v>5251.1235512102812</v>
      </c>
      <c r="D105" s="2">
        <v>25.366</v>
      </c>
      <c r="E105" s="2">
        <v>801.9</v>
      </c>
      <c r="F105" s="2">
        <v>239.7</v>
      </c>
      <c r="G105" s="2">
        <v>3294.7121903118455</v>
      </c>
      <c r="H105" s="2">
        <v>402.49285899766295</v>
      </c>
      <c r="I105" s="2">
        <v>161.62271946503631</v>
      </c>
      <c r="J105" s="2">
        <v>33.542999999999999</v>
      </c>
      <c r="K105" s="2">
        <v>48.646999999999998</v>
      </c>
      <c r="L105" s="2">
        <v>68.951999999999998</v>
      </c>
      <c r="M105" s="2">
        <v>0.52912955364559278</v>
      </c>
      <c r="N105" s="2">
        <v>0.67032279209945267</v>
      </c>
      <c r="O105" s="2">
        <v>0.53554881369239415</v>
      </c>
      <c r="P105" s="2">
        <v>0.63074938413571113</v>
      </c>
      <c r="Q105" s="2">
        <v>5.8459986466355085</v>
      </c>
      <c r="R105" s="2">
        <v>210652</v>
      </c>
      <c r="S105" s="2">
        <v>145215</v>
      </c>
      <c r="T105" s="2">
        <v>7.99</v>
      </c>
      <c r="U105" s="2">
        <v>6.37</v>
      </c>
      <c r="V105" s="2">
        <v>4.8600000000000003</v>
      </c>
      <c r="W105" s="2">
        <v>114.06666666666666</v>
      </c>
      <c r="X105" s="2">
        <v>64.149757385253906</v>
      </c>
      <c r="Y105" s="2">
        <v>1.50744491273232</v>
      </c>
      <c r="Z105" s="2">
        <v>1.0836206376552582E-2</v>
      </c>
      <c r="AA105" s="2">
        <v>9.634154848754406E-3</v>
      </c>
      <c r="AB105" s="2">
        <v>0.56782803455210995</v>
      </c>
      <c r="AC105" s="2">
        <v>1.07111281996798</v>
      </c>
      <c r="AD105" s="2">
        <v>1.05098032126128</v>
      </c>
      <c r="AE105" s="2">
        <v>-0.26459162190199398</v>
      </c>
      <c r="AF105" s="2">
        <v>0.55959999999999999</v>
      </c>
      <c r="AG105" s="2">
        <v>9.5999999999999992E-3</v>
      </c>
      <c r="AH105" s="2">
        <v>-0.48470000000000002</v>
      </c>
      <c r="AI105" s="2">
        <v>0.92629649177266304</v>
      </c>
      <c r="AJ105" s="2">
        <v>-0.18581218622568399</v>
      </c>
      <c r="AK105" s="2">
        <v>-0.52524748797239096</v>
      </c>
      <c r="AL105" s="2">
        <v>0.68130085795617501</v>
      </c>
      <c r="AM105" s="2">
        <v>0.28272611175725199</v>
      </c>
      <c r="AN105" s="2">
        <v>0.69752601280927695</v>
      </c>
      <c r="AO105" s="2">
        <v>0.42494497743271498</v>
      </c>
      <c r="AP105" s="2">
        <v>-0.15734591668186701</v>
      </c>
      <c r="AQ105" s="2">
        <v>5.1412034338728201E-2</v>
      </c>
      <c r="AR105" s="2">
        <v>2.82621070356634</v>
      </c>
      <c r="AS105" s="2">
        <v>-6.5919776601346805E-2</v>
      </c>
      <c r="AT105" s="2">
        <v>0.57552768132949195</v>
      </c>
    </row>
    <row r="106" spans="1:46" x14ac:dyDescent="0.25">
      <c r="A106" s="2">
        <v>1973</v>
      </c>
      <c r="B106" s="2">
        <v>1380.7</v>
      </c>
      <c r="C106" s="2">
        <v>5380.5385604614003</v>
      </c>
      <c r="D106" s="2">
        <v>25.661000000000001</v>
      </c>
      <c r="E106" s="2">
        <v>826.5</v>
      </c>
      <c r="F106" s="2">
        <v>254.3</v>
      </c>
      <c r="G106" s="2">
        <v>3354.9827481225898</v>
      </c>
      <c r="H106" s="2">
        <v>419.17709459807406</v>
      </c>
      <c r="I106" s="2">
        <v>163.4598645394764</v>
      </c>
      <c r="J106" s="2">
        <v>34.619999999999997</v>
      </c>
      <c r="K106" s="2">
        <v>49.543999999999997</v>
      </c>
      <c r="L106" s="2">
        <v>69.878</v>
      </c>
      <c r="M106" s="2">
        <v>0.54425836637724223</v>
      </c>
      <c r="N106" s="2">
        <v>0.69214165005714245</v>
      </c>
      <c r="O106" s="2">
        <v>0.5463990299728666</v>
      </c>
      <c r="P106" s="2">
        <v>0.64548844387990523</v>
      </c>
      <c r="Q106" s="2">
        <v>5.857126575979259</v>
      </c>
      <c r="R106" s="2">
        <v>211120</v>
      </c>
      <c r="S106" s="2">
        <v>145964</v>
      </c>
      <c r="T106" s="2">
        <v>7.97</v>
      </c>
      <c r="U106" s="2">
        <v>6.6</v>
      </c>
      <c r="V106" s="2">
        <v>5.7</v>
      </c>
      <c r="W106" s="2">
        <v>115</v>
      </c>
      <c r="X106" s="2">
        <v>61.678989410400391</v>
      </c>
      <c r="Y106" s="2">
        <v>1.77327822720728</v>
      </c>
      <c r="Z106" s="2">
        <v>-4.3811794370412827E-2</v>
      </c>
      <c r="AA106" s="2">
        <v>-7.2469627484679222E-3</v>
      </c>
      <c r="AB106" s="2">
        <v>-2.19614123592461</v>
      </c>
      <c r="AC106" s="2">
        <v>-1.67711786838209</v>
      </c>
      <c r="AD106" s="2">
        <v>-0.34844534097069602</v>
      </c>
      <c r="AE106" s="2">
        <v>1.38825253261606</v>
      </c>
      <c r="AF106" s="2">
        <v>0.38059999999999999</v>
      </c>
      <c r="AG106" s="2">
        <v>6.0605000000000002</v>
      </c>
      <c r="AH106" s="2">
        <v>1.0297000000000001</v>
      </c>
      <c r="AI106" s="2">
        <v>-0.57486021423445999</v>
      </c>
      <c r="AJ106" s="2">
        <v>0.433554721492588</v>
      </c>
      <c r="AK106" s="2">
        <v>1.0214748646138601</v>
      </c>
      <c r="AL106" s="2">
        <v>0.170204116103263</v>
      </c>
      <c r="AM106" s="2">
        <v>-0.309876440865477</v>
      </c>
      <c r="AN106" s="2">
        <v>0.41572324808479399</v>
      </c>
      <c r="AO106" s="2">
        <v>-0.35319792608542699</v>
      </c>
      <c r="AP106" s="2">
        <v>-0.65718867479020704</v>
      </c>
      <c r="AQ106" s="2">
        <v>-0.46887366186928597</v>
      </c>
      <c r="AR106" s="2">
        <v>1.95723446603066</v>
      </c>
      <c r="AS106" s="2">
        <v>-0.225541500430324</v>
      </c>
      <c r="AT106" s="2">
        <v>-1.0136708136275601</v>
      </c>
    </row>
    <row r="107" spans="1:46" x14ac:dyDescent="0.25">
      <c r="A107" s="2">
        <v>1973.25</v>
      </c>
      <c r="B107" s="2">
        <v>1417.6</v>
      </c>
      <c r="C107" s="2">
        <v>5441.4248426224476</v>
      </c>
      <c r="D107" s="2">
        <v>26.052</v>
      </c>
      <c r="E107" s="2">
        <v>842</v>
      </c>
      <c r="F107" s="2">
        <v>268.2</v>
      </c>
      <c r="G107" s="2">
        <v>3353.2457188371168</v>
      </c>
      <c r="H107" s="2">
        <v>434.90403168477712</v>
      </c>
      <c r="I107" s="2">
        <v>165.00827913759949</v>
      </c>
      <c r="J107" s="2">
        <v>35.097999999999999</v>
      </c>
      <c r="K107" s="2">
        <v>49.692999999999998</v>
      </c>
      <c r="L107" s="2">
        <v>70.63</v>
      </c>
      <c r="M107" s="2">
        <v>0.5429817154782306</v>
      </c>
      <c r="N107" s="2">
        <v>0.69827254768791958</v>
      </c>
      <c r="O107" s="2">
        <v>0.5409024351219659</v>
      </c>
      <c r="P107" s="2">
        <v>0.65241209434399827</v>
      </c>
      <c r="Q107" s="2">
        <v>5.8104324201926669</v>
      </c>
      <c r="R107" s="2">
        <v>211581</v>
      </c>
      <c r="S107" s="2">
        <v>146720</v>
      </c>
      <c r="T107" s="2">
        <v>8.09</v>
      </c>
      <c r="U107" s="2">
        <v>6.81</v>
      </c>
      <c r="V107" s="2">
        <v>6.6</v>
      </c>
      <c r="W107" s="2">
        <v>107.43333333333334</v>
      </c>
      <c r="X107" s="2">
        <v>56.158561706542969</v>
      </c>
      <c r="Y107" s="2">
        <v>-0.53450465244885004</v>
      </c>
      <c r="Z107" s="2">
        <v>-6.8686887621879578E-2</v>
      </c>
      <c r="AA107" s="2">
        <v>-2.137855626642704E-2</v>
      </c>
      <c r="AB107" s="2">
        <v>-1.41289125588412</v>
      </c>
      <c r="AC107" s="2">
        <v>-0.54730312579007101</v>
      </c>
      <c r="AD107" s="2">
        <v>1.2142491391962</v>
      </c>
      <c r="AE107" s="2">
        <v>-0.73229514998362</v>
      </c>
      <c r="AF107" s="2">
        <v>-1.3533999999999999</v>
      </c>
      <c r="AG107" s="2">
        <v>-1.4493</v>
      </c>
      <c r="AH107" s="2">
        <v>0.80300000000000005</v>
      </c>
      <c r="AI107" s="2">
        <v>-0.65223221300091805</v>
      </c>
      <c r="AJ107" s="2">
        <v>-0.151668702277549</v>
      </c>
      <c r="AK107" s="2">
        <v>-0.121414587889493</v>
      </c>
      <c r="AL107" s="2">
        <v>-0.96401547443318802</v>
      </c>
      <c r="AM107" s="2">
        <v>-8.0054313423054399E-2</v>
      </c>
      <c r="AN107" s="2">
        <v>0.45173584371658798</v>
      </c>
      <c r="AO107" s="2">
        <v>-0.35179906645196402</v>
      </c>
      <c r="AP107" s="2">
        <v>-0.37677867079426097</v>
      </c>
      <c r="AQ107" s="2">
        <v>-0.62138004386157597</v>
      </c>
      <c r="AR107" s="2">
        <v>0.67088681083384905</v>
      </c>
      <c r="AS107" s="2">
        <v>-0.84943451422934002</v>
      </c>
      <c r="AT107" s="2">
        <v>-1.57693268379889</v>
      </c>
    </row>
    <row r="108" spans="1:46" x14ac:dyDescent="0.25">
      <c r="A108" s="2">
        <v>1973.5</v>
      </c>
      <c r="B108" s="2">
        <v>1436.8</v>
      </c>
      <c r="C108" s="2">
        <v>5411.8799201476513</v>
      </c>
      <c r="D108" s="2">
        <v>26.548999999999999</v>
      </c>
      <c r="E108" s="2">
        <v>860.5</v>
      </c>
      <c r="F108" s="2">
        <v>264.3</v>
      </c>
      <c r="G108" s="2">
        <v>3365.403418201729</v>
      </c>
      <c r="H108" s="2">
        <v>441.45585441455859</v>
      </c>
      <c r="I108" s="2">
        <v>165.98219738864523</v>
      </c>
      <c r="J108" s="2">
        <v>34.798999999999999</v>
      </c>
      <c r="K108" s="2">
        <v>48.99</v>
      </c>
      <c r="L108" s="2">
        <v>71.033000000000001</v>
      </c>
      <c r="M108" s="2">
        <v>0.53180531269425069</v>
      </c>
      <c r="N108" s="2">
        <v>0.70001190674802372</v>
      </c>
      <c r="O108" s="2">
        <v>0.5313626297736056</v>
      </c>
      <c r="P108" s="2">
        <v>0.66452325955553004</v>
      </c>
      <c r="Q108" s="2">
        <v>5.7105158989476683</v>
      </c>
      <c r="R108" s="2">
        <v>212097</v>
      </c>
      <c r="S108" s="2">
        <v>147478</v>
      </c>
      <c r="T108" s="2">
        <v>8.4700000000000006</v>
      </c>
      <c r="U108" s="2">
        <v>7.21</v>
      </c>
      <c r="V108" s="2">
        <v>8.32</v>
      </c>
      <c r="W108" s="2">
        <v>105.06666666666666</v>
      </c>
      <c r="X108" s="2">
        <v>58.245765686035156</v>
      </c>
      <c r="Y108" s="2">
        <v>-1.9116796073550899</v>
      </c>
      <c r="Z108" s="2">
        <v>1.100476086139679E-2</v>
      </c>
      <c r="AA108" s="2">
        <v>-2.1035319659858942E-3</v>
      </c>
      <c r="AB108" s="2">
        <v>-0.39491906943753602</v>
      </c>
      <c r="AC108" s="2">
        <v>-0.13013357735084499</v>
      </c>
      <c r="AD108" s="2">
        <v>1.8792831864359401</v>
      </c>
      <c r="AE108" s="2">
        <v>-2.3786031409628898</v>
      </c>
      <c r="AF108" s="2">
        <v>-1.9469000000000001</v>
      </c>
      <c r="AG108" s="2">
        <v>-2.1339999999999999</v>
      </c>
      <c r="AH108" s="2">
        <v>5.9900000000000002E-2</v>
      </c>
      <c r="AI108" s="2">
        <v>-2.0874889563447199</v>
      </c>
      <c r="AJ108" s="2">
        <v>0.28932808904374002</v>
      </c>
      <c r="AK108" s="2">
        <v>-0.82630097210061004</v>
      </c>
      <c r="AL108" s="2">
        <v>0.26906388742878501</v>
      </c>
      <c r="AM108" s="2">
        <v>-0.11515152934933</v>
      </c>
      <c r="AN108" s="2">
        <v>0.16661186719899701</v>
      </c>
      <c r="AO108" s="2">
        <v>-0.43656229361252102</v>
      </c>
      <c r="AP108" s="2">
        <v>0.26218314366281897</v>
      </c>
      <c r="AQ108" s="2">
        <v>-1.2083754647312901</v>
      </c>
      <c r="AR108" s="2">
        <v>-0.42415770629424898</v>
      </c>
      <c r="AS108" s="2">
        <v>-1.2698112027094</v>
      </c>
      <c r="AT108" s="2">
        <v>-1.1241766898563501</v>
      </c>
    </row>
    <row r="109" spans="1:46" x14ac:dyDescent="0.25">
      <c r="A109" s="2">
        <v>1973.75</v>
      </c>
      <c r="B109" s="2">
        <v>1479.1</v>
      </c>
      <c r="C109" s="2">
        <v>5462.5697086087821</v>
      </c>
      <c r="D109" s="2">
        <v>27.077000000000002</v>
      </c>
      <c r="E109" s="2">
        <v>875.6</v>
      </c>
      <c r="F109" s="2">
        <v>280.89999999999998</v>
      </c>
      <c r="G109" s="2">
        <v>3355.5606652870392</v>
      </c>
      <c r="H109" s="2">
        <v>444.77921564753535</v>
      </c>
      <c r="I109" s="2">
        <v>166.50245989260813</v>
      </c>
      <c r="J109" s="2">
        <v>35.136000000000003</v>
      </c>
      <c r="K109" s="2">
        <v>49.173999999999999</v>
      </c>
      <c r="L109" s="2">
        <v>71.453000000000003</v>
      </c>
      <c r="M109" s="2">
        <v>0.53296967458868216</v>
      </c>
      <c r="N109" s="2">
        <v>0.71397248720151807</v>
      </c>
      <c r="O109" s="2">
        <v>0.53399184313822723</v>
      </c>
      <c r="P109" s="2">
        <v>0.68681524992610854</v>
      </c>
      <c r="Q109" s="2">
        <v>5.5213788851408081</v>
      </c>
      <c r="R109" s="2">
        <v>212631</v>
      </c>
      <c r="S109" s="2">
        <v>148226</v>
      </c>
      <c r="T109" s="2">
        <v>8.44</v>
      </c>
      <c r="U109" s="2">
        <v>6.75</v>
      </c>
      <c r="V109" s="2">
        <v>7.5</v>
      </c>
      <c r="W109" s="2">
        <v>102.19333333333334</v>
      </c>
      <c r="X109" s="2">
        <v>54.934566497802734</v>
      </c>
      <c r="Y109" s="2">
        <v>-0.240632270580798</v>
      </c>
      <c r="Z109" s="2">
        <v>-5.302075669169426E-2</v>
      </c>
      <c r="AA109" s="2">
        <v>-1.3794838450849056E-2</v>
      </c>
      <c r="AB109" s="2">
        <v>-1.64079198416953</v>
      </c>
      <c r="AC109" s="2">
        <v>-0.100749729145917</v>
      </c>
      <c r="AD109" s="2">
        <v>1.9149158348428601</v>
      </c>
      <c r="AE109" s="2">
        <v>0.210622339946999</v>
      </c>
      <c r="AF109" s="2">
        <v>0.14199999999999999</v>
      </c>
      <c r="AG109" s="2">
        <v>4.2511999999999999</v>
      </c>
      <c r="AH109" s="2">
        <v>0.32879999999999998</v>
      </c>
      <c r="AI109" s="2">
        <v>-2.3933353252716101</v>
      </c>
      <c r="AJ109" s="2">
        <v>0.95910299326700899</v>
      </c>
      <c r="AK109" s="2">
        <v>-0.76187022477840405</v>
      </c>
      <c r="AL109" s="2">
        <v>0.95050911839848895</v>
      </c>
      <c r="AM109" s="2">
        <v>0.16263200207667999</v>
      </c>
      <c r="AN109" s="2">
        <v>-0.35073218441260801</v>
      </c>
      <c r="AO109" s="2">
        <v>-0.234367855538301</v>
      </c>
      <c r="AP109" s="2">
        <v>-1.54402926588387E-2</v>
      </c>
      <c r="AQ109" s="2">
        <v>0.92450775330054502</v>
      </c>
      <c r="AR109" s="2">
        <v>0.105460646251181</v>
      </c>
      <c r="AS109" s="2">
        <v>-0.76291235242903599</v>
      </c>
      <c r="AT109" s="2">
        <v>0.422754446805711</v>
      </c>
    </row>
    <row r="110" spans="1:46" x14ac:dyDescent="0.25">
      <c r="A110" s="2">
        <v>1974</v>
      </c>
      <c r="B110" s="2">
        <v>1494.7</v>
      </c>
      <c r="C110" s="2">
        <v>5417.1498985213111</v>
      </c>
      <c r="D110" s="2">
        <v>27.591999999999999</v>
      </c>
      <c r="E110" s="2">
        <v>893.8</v>
      </c>
      <c r="F110" s="2">
        <v>268.39999999999998</v>
      </c>
      <c r="G110" s="2">
        <v>3326.3863044287309</v>
      </c>
      <c r="H110" s="2">
        <v>444.41213531065233</v>
      </c>
      <c r="I110" s="2">
        <v>166.78180365451215</v>
      </c>
      <c r="J110" s="2">
        <v>34.643000000000001</v>
      </c>
      <c r="K110" s="2">
        <v>48.488</v>
      </c>
      <c r="L110" s="2">
        <v>71.447000000000003</v>
      </c>
      <c r="M110" s="2">
        <v>0.5137699421950036</v>
      </c>
      <c r="N110" s="2">
        <v>0.7049529767774052</v>
      </c>
      <c r="O110" s="2">
        <v>0.52675652008571627</v>
      </c>
      <c r="P110" s="2">
        <v>0.70180790250553615</v>
      </c>
      <c r="Q110" s="2">
        <v>5.2987784883234745</v>
      </c>
      <c r="R110" s="2">
        <v>213072</v>
      </c>
      <c r="S110" s="2">
        <v>148987</v>
      </c>
      <c r="T110" s="2">
        <v>8.5399999999999991</v>
      </c>
      <c r="U110" s="2">
        <v>7.05</v>
      </c>
      <c r="V110" s="2">
        <v>7.62</v>
      </c>
      <c r="W110" s="2">
        <v>95.666666666666671</v>
      </c>
      <c r="X110" s="2">
        <v>52.821617126464844</v>
      </c>
      <c r="Y110" s="2">
        <v>-1.5607253228437501</v>
      </c>
      <c r="Z110" s="2">
        <v>-4.8296257853507996E-2</v>
      </c>
      <c r="AA110" s="2">
        <v>-2.2652948275208473E-2</v>
      </c>
      <c r="AB110" s="2">
        <v>-1.1247386753100801</v>
      </c>
      <c r="AC110" s="2">
        <v>-2.2334537485019301</v>
      </c>
      <c r="AD110" s="2">
        <v>2.1554860667161102</v>
      </c>
      <c r="AE110" s="2">
        <v>-1.5872873477101299</v>
      </c>
      <c r="AF110" s="2">
        <v>-2.6846999999999999</v>
      </c>
      <c r="AG110" s="2">
        <v>-7.9947999999999997</v>
      </c>
      <c r="AH110" s="2">
        <v>1.7915000000000001</v>
      </c>
      <c r="AI110" s="2">
        <v>1.0595969773643099</v>
      </c>
      <c r="AJ110" s="2">
        <v>-0.62836911460096201</v>
      </c>
      <c r="AK110" s="2">
        <v>-0.154792110635635</v>
      </c>
      <c r="AL110" s="2">
        <v>0.58779166854956799</v>
      </c>
      <c r="AM110" s="2">
        <v>0.71283143342628696</v>
      </c>
      <c r="AN110" s="2">
        <v>0.27428909363288301</v>
      </c>
      <c r="AO110" s="2">
        <v>-0.44234108255063298</v>
      </c>
      <c r="AP110" s="2">
        <v>0.41898449407754201</v>
      </c>
      <c r="AQ110" s="2">
        <v>1.53227983643321</v>
      </c>
      <c r="AR110" s="2">
        <v>1.3417539006110299</v>
      </c>
      <c r="AS110" s="2">
        <v>-0.12112202793549599</v>
      </c>
      <c r="AT110" s="2">
        <v>8.7641765647425998E-2</v>
      </c>
    </row>
    <row r="111" spans="1:46" x14ac:dyDescent="0.25">
      <c r="A111" s="2">
        <v>1974.25</v>
      </c>
      <c r="B111" s="2">
        <v>1534.2</v>
      </c>
      <c r="C111" s="2">
        <v>5431.1809685641456</v>
      </c>
      <c r="D111" s="2">
        <v>28.248000000000001</v>
      </c>
      <c r="E111" s="2">
        <v>922.3</v>
      </c>
      <c r="F111" s="2">
        <v>277.39999999999998</v>
      </c>
      <c r="G111" s="2">
        <v>3337.9175563678477</v>
      </c>
      <c r="H111" s="2">
        <v>443.60902255639093</v>
      </c>
      <c r="I111" s="2">
        <v>166.09895451847495</v>
      </c>
      <c r="J111" s="2">
        <v>34.703000000000003</v>
      </c>
      <c r="K111" s="2">
        <v>48.667000000000002</v>
      </c>
      <c r="L111" s="2">
        <v>71.307000000000002</v>
      </c>
      <c r="M111" s="2">
        <v>0.50774055989081923</v>
      </c>
      <c r="N111" s="2">
        <v>0.69771406161610039</v>
      </c>
      <c r="O111" s="2">
        <v>0.53502840533585383</v>
      </c>
      <c r="P111" s="2">
        <v>0.72821647026861791</v>
      </c>
      <c r="Q111" s="2">
        <v>5.2469176064241339</v>
      </c>
      <c r="R111" s="2">
        <v>213520</v>
      </c>
      <c r="S111" s="2">
        <v>149747</v>
      </c>
      <c r="T111" s="2">
        <v>9.06</v>
      </c>
      <c r="U111" s="2">
        <v>7.54</v>
      </c>
      <c r="V111" s="2">
        <v>8.15</v>
      </c>
      <c r="W111" s="2">
        <v>90.64</v>
      </c>
      <c r="X111" s="2">
        <v>48.025062561035156</v>
      </c>
      <c r="Y111" s="2">
        <v>-0.37820524715152098</v>
      </c>
      <c r="Z111" s="2">
        <v>-5.2838053554296494E-2</v>
      </c>
      <c r="AA111" s="2">
        <v>-1.7365645617246628E-2</v>
      </c>
      <c r="AB111" s="2">
        <v>-1.28015598001414</v>
      </c>
      <c r="AC111" s="2">
        <v>-0.99569665624655701</v>
      </c>
      <c r="AD111" s="2">
        <v>-1.1251699718444901</v>
      </c>
      <c r="AE111" s="2">
        <v>0.68347519925892197</v>
      </c>
      <c r="AF111" s="2">
        <v>-0.35720000000000002</v>
      </c>
      <c r="AG111" s="2">
        <v>8.7772000000000006</v>
      </c>
      <c r="AH111" s="2">
        <v>-0.98570000000000002</v>
      </c>
      <c r="AI111" s="2">
        <v>1.1661985237089101</v>
      </c>
      <c r="AJ111" s="2">
        <v>-1.7455408269405099</v>
      </c>
      <c r="AK111" s="2">
        <v>-0.35694388156386198</v>
      </c>
      <c r="AL111" s="2">
        <v>1.1607926031862901</v>
      </c>
      <c r="AM111" s="2">
        <v>0.58307281217673301</v>
      </c>
      <c r="AN111" s="2">
        <v>2.8312536930610099E-2</v>
      </c>
      <c r="AO111" s="2">
        <v>-0.268830439169989</v>
      </c>
      <c r="AP111" s="2">
        <v>-0.30769131403871097</v>
      </c>
      <c r="AQ111" s="2">
        <v>0.62997921893050401</v>
      </c>
      <c r="AR111" s="2">
        <v>0.483549802731156</v>
      </c>
      <c r="AS111" s="2">
        <v>-1.9663760090207101</v>
      </c>
      <c r="AT111" s="2">
        <v>9.5472891312960495E-2</v>
      </c>
    </row>
    <row r="112" spans="1:46" x14ac:dyDescent="0.25">
      <c r="A112" s="2">
        <v>1974.5</v>
      </c>
      <c r="B112" s="2">
        <v>1563.4</v>
      </c>
      <c r="C112" s="2">
        <v>5378.6080434857395</v>
      </c>
      <c r="D112" s="2">
        <v>29.067</v>
      </c>
      <c r="E112" s="2">
        <v>951.1</v>
      </c>
      <c r="F112" s="2">
        <v>271</v>
      </c>
      <c r="G112" s="2">
        <v>3351.77614885819</v>
      </c>
      <c r="H112" s="2">
        <v>439.17088150289021</v>
      </c>
      <c r="I112" s="2">
        <v>166.03734484783433</v>
      </c>
      <c r="J112" s="2">
        <v>34.209000000000003</v>
      </c>
      <c r="K112" s="2">
        <v>48.244</v>
      </c>
      <c r="L112" s="2">
        <v>70.908000000000001</v>
      </c>
      <c r="M112" s="2">
        <v>0.4963603288624388</v>
      </c>
      <c r="N112" s="2">
        <v>0.68267126030439107</v>
      </c>
      <c r="O112" s="2">
        <v>0.51916486009288643</v>
      </c>
      <c r="P112" s="2">
        <v>0.69300096123443033</v>
      </c>
      <c r="Q112" s="2">
        <v>5.3747346062746244</v>
      </c>
      <c r="R112" s="2">
        <v>214047</v>
      </c>
      <c r="S112" s="2">
        <v>150498</v>
      </c>
      <c r="T112" s="2">
        <v>9.81</v>
      </c>
      <c r="U112" s="2">
        <v>7.96</v>
      </c>
      <c r="V112" s="2">
        <v>8.19</v>
      </c>
      <c r="W112" s="2">
        <v>74.486666666666665</v>
      </c>
      <c r="X112" s="2">
        <v>39.272884368896484</v>
      </c>
      <c r="Y112" s="2">
        <v>-1.28363114667119</v>
      </c>
      <c r="Z112" s="2">
        <v>-0.20331710577011108</v>
      </c>
      <c r="AA112" s="2">
        <v>-6.4781852066516876E-2</v>
      </c>
      <c r="AB112" s="2">
        <v>-0.32895579348431703</v>
      </c>
      <c r="AC112" s="2">
        <v>-1.1154527586597001</v>
      </c>
      <c r="AD112" s="2">
        <v>-2.9719358299470802</v>
      </c>
      <c r="AE112" s="2">
        <v>-4.7680364085604603E-2</v>
      </c>
      <c r="AF112" s="2">
        <v>-0.6048</v>
      </c>
      <c r="AG112" s="2">
        <v>-1.8813</v>
      </c>
      <c r="AH112" s="2">
        <v>-0.84379999999999999</v>
      </c>
      <c r="AI112" s="2">
        <v>3.4321201563058602E-2</v>
      </c>
      <c r="AJ112" s="2">
        <v>-1.7735311681304899</v>
      </c>
      <c r="AK112" s="2">
        <v>-1.4037093933496101</v>
      </c>
      <c r="AL112" s="2">
        <v>1.32767642708341</v>
      </c>
      <c r="AM112" s="2">
        <v>0.13116376639480001</v>
      </c>
      <c r="AN112" s="2">
        <v>-2.7986598888948701E-2</v>
      </c>
      <c r="AO112" s="2">
        <v>0.22678458827060399</v>
      </c>
      <c r="AP112" s="2">
        <v>0.25302174878594702</v>
      </c>
      <c r="AQ112" s="2">
        <v>-0.26783967327172797</v>
      </c>
      <c r="AR112" s="2">
        <v>-0.11028712498827301</v>
      </c>
      <c r="AS112" s="2">
        <v>-2.23224615437347</v>
      </c>
      <c r="AT112" s="2">
        <v>-0.29518742357836097</v>
      </c>
    </row>
    <row r="113" spans="1:46" x14ac:dyDescent="0.25">
      <c r="A113" s="2">
        <v>1974.75</v>
      </c>
      <c r="B113" s="2">
        <v>1603</v>
      </c>
      <c r="C113" s="2">
        <v>5357.0831801624172</v>
      </c>
      <c r="D113" s="2">
        <v>29.922999999999998</v>
      </c>
      <c r="E113" s="2">
        <v>960.9</v>
      </c>
      <c r="F113" s="2">
        <v>281.3</v>
      </c>
      <c r="G113" s="2">
        <v>3302.6293177521911</v>
      </c>
      <c r="H113" s="2">
        <v>427.66860012120162</v>
      </c>
      <c r="I113" s="2">
        <v>164.44934857707599</v>
      </c>
      <c r="J113" s="2">
        <v>33.963000000000001</v>
      </c>
      <c r="K113" s="2">
        <v>48.619</v>
      </c>
      <c r="L113" s="2">
        <v>69.855000000000004</v>
      </c>
      <c r="M113" s="2">
        <v>0.4907882785326928</v>
      </c>
      <c r="N113" s="2">
        <v>0.67173547665043076</v>
      </c>
      <c r="O113" s="2">
        <v>0.53304567283365034</v>
      </c>
      <c r="P113" s="2">
        <v>0.70439203197636702</v>
      </c>
      <c r="Q113" s="2">
        <v>5.6362152198221374</v>
      </c>
      <c r="R113" s="2">
        <v>214619</v>
      </c>
      <c r="S113" s="2">
        <v>151253</v>
      </c>
      <c r="T113" s="2">
        <v>10.57</v>
      </c>
      <c r="U113" s="2">
        <v>7.67</v>
      </c>
      <c r="V113" s="2">
        <v>7.36</v>
      </c>
      <c r="W113" s="2">
        <v>69.416666666666671</v>
      </c>
      <c r="X113" s="2">
        <v>39.520591735839844</v>
      </c>
      <c r="Y113" s="2">
        <v>-0.93247757620751404</v>
      </c>
      <c r="Z113" s="2">
        <v>-1.9020719453692436E-2</v>
      </c>
      <c r="AA113" s="2">
        <v>-5.5477074347436428E-3</v>
      </c>
      <c r="AB113" s="2">
        <v>0.70689830131906894</v>
      </c>
      <c r="AC113" s="2">
        <v>-1.0503708320087299</v>
      </c>
      <c r="AD113" s="2">
        <v>-1.52521133718248</v>
      </c>
      <c r="AE113" s="2">
        <v>0.48084459187435002</v>
      </c>
      <c r="AF113" s="2">
        <v>1.8560000000000001</v>
      </c>
      <c r="AG113" s="2">
        <v>-3.5158999999999998</v>
      </c>
      <c r="AH113" s="2">
        <v>-0.76170000000000004</v>
      </c>
      <c r="AI113" s="2">
        <v>-3.4592500097970702</v>
      </c>
      <c r="AJ113" s="2">
        <v>-1.2207001540311899</v>
      </c>
      <c r="AK113" s="2">
        <v>0.50702576694971202</v>
      </c>
      <c r="AL113" s="2">
        <v>-0.76446377104901697</v>
      </c>
      <c r="AM113" s="2">
        <v>-0.48704416694716701</v>
      </c>
      <c r="AN113" s="2">
        <v>-0.30517371713086799</v>
      </c>
      <c r="AO113" s="2">
        <v>-7.3624559688133806E-2</v>
      </c>
      <c r="AP113" s="2">
        <v>0.15238119280336301</v>
      </c>
      <c r="AQ113" s="2">
        <v>-0.29518360251213599</v>
      </c>
      <c r="AR113" s="2">
        <v>0.17679471350782999</v>
      </c>
      <c r="AS113" s="2">
        <v>-0.47064408733121199</v>
      </c>
      <c r="AT113" s="2">
        <v>0.66051167373411801</v>
      </c>
    </row>
    <row r="114" spans="1:46" x14ac:dyDescent="0.25">
      <c r="A114" s="2">
        <v>1975</v>
      </c>
      <c r="B114" s="2">
        <v>1619.6</v>
      </c>
      <c r="C114" s="2">
        <v>5292.6374955066831</v>
      </c>
      <c r="D114" s="2">
        <v>30.600999999999999</v>
      </c>
      <c r="E114" s="2">
        <v>987.1</v>
      </c>
      <c r="F114" s="2">
        <v>244.3</v>
      </c>
      <c r="G114" s="2">
        <v>3330.1845416821297</v>
      </c>
      <c r="H114" s="2">
        <v>403.12310807707559</v>
      </c>
      <c r="I114" s="2">
        <v>160.71356230076015</v>
      </c>
      <c r="J114" s="2">
        <v>33.341000000000001</v>
      </c>
      <c r="K114" s="2">
        <v>49.293999999999997</v>
      </c>
      <c r="L114" s="2">
        <v>67.637</v>
      </c>
      <c r="M114" s="2">
        <v>0.49255006221127157</v>
      </c>
      <c r="N114" s="2">
        <v>0.66972030177785624</v>
      </c>
      <c r="O114" s="2">
        <v>0.55829879343215671</v>
      </c>
      <c r="P114" s="2">
        <v>0.74564621519573271</v>
      </c>
      <c r="Q114" s="2">
        <v>6.0123350901426251</v>
      </c>
      <c r="R114" s="2">
        <v>215065</v>
      </c>
      <c r="S114" s="2">
        <v>151987</v>
      </c>
      <c r="T114" s="2">
        <v>10.65</v>
      </c>
      <c r="U114" s="2">
        <v>7.54</v>
      </c>
      <c r="V114" s="2">
        <v>5.75</v>
      </c>
      <c r="W114" s="2">
        <v>78.813333333333333</v>
      </c>
      <c r="X114" s="2">
        <v>45.927627563476563</v>
      </c>
      <c r="Y114" s="2">
        <v>2.58496084538461</v>
      </c>
      <c r="Z114" s="2">
        <v>9.2192515730857849E-2</v>
      </c>
      <c r="AA114" s="2">
        <v>2.7458921074867249E-2</v>
      </c>
      <c r="AB114" s="2">
        <v>3.2421835404973698</v>
      </c>
      <c r="AC114" s="2">
        <v>-0.227561366049326</v>
      </c>
      <c r="AD114" s="2">
        <v>-0.42242129524592398</v>
      </c>
      <c r="AE114" s="2">
        <v>1.22065459994418</v>
      </c>
      <c r="AF114" s="2">
        <v>1.8156000000000001</v>
      </c>
      <c r="AG114" s="2">
        <v>-16.810600000000001</v>
      </c>
      <c r="AH114" s="2">
        <v>-1.0508999999999999</v>
      </c>
      <c r="AI114" s="2">
        <v>0.18635284416731701</v>
      </c>
      <c r="AJ114" s="2">
        <v>-3.08303576265914</v>
      </c>
      <c r="AK114" s="2">
        <v>1.734313358838</v>
      </c>
      <c r="AL114" s="2">
        <v>-0.84692120961547102</v>
      </c>
      <c r="AM114" s="2">
        <v>0.17665610434252599</v>
      </c>
      <c r="AN114" s="2">
        <v>-0.21910855175060001</v>
      </c>
      <c r="AO114" s="2">
        <v>0.37788744106530803</v>
      </c>
      <c r="AP114" s="2">
        <v>-0.113018455113797</v>
      </c>
      <c r="AQ114" s="2">
        <v>0.578807638858302</v>
      </c>
      <c r="AR114" s="2">
        <v>-0.38612514112818103</v>
      </c>
      <c r="AS114" s="2">
        <v>-0.26620956776397298</v>
      </c>
      <c r="AT114" s="2">
        <v>0.371009045335981</v>
      </c>
    </row>
    <row r="115" spans="1:46" x14ac:dyDescent="0.25">
      <c r="A115" s="2">
        <v>1975.25</v>
      </c>
      <c r="B115" s="2">
        <v>1656.4</v>
      </c>
      <c r="C115" s="2">
        <v>5333.0757590392477</v>
      </c>
      <c r="D115" s="2">
        <v>31.059000000000001</v>
      </c>
      <c r="E115" s="2">
        <v>1015.8</v>
      </c>
      <c r="F115" s="2">
        <v>243.3</v>
      </c>
      <c r="G115" s="2">
        <v>3385.6614338566142</v>
      </c>
      <c r="H115" s="2">
        <v>393.5661203298381</v>
      </c>
      <c r="I115" s="2">
        <v>159.89568011589046</v>
      </c>
      <c r="J115" s="2">
        <v>33.628999999999998</v>
      </c>
      <c r="K115" s="2">
        <v>50.128</v>
      </c>
      <c r="L115" s="2">
        <v>67.085999999999999</v>
      </c>
      <c r="M115" s="2">
        <v>0.5055548660602609</v>
      </c>
      <c r="N115" s="2">
        <v>0.67280800519071771</v>
      </c>
      <c r="O115" s="2">
        <v>0.56955154483968917</v>
      </c>
      <c r="P115" s="2">
        <v>0.7425676601411787</v>
      </c>
      <c r="Q115" s="2">
        <v>6.2734410336200401</v>
      </c>
      <c r="R115" s="2">
        <v>215548</v>
      </c>
      <c r="S115" s="2">
        <v>152708</v>
      </c>
      <c r="T115" s="2">
        <v>10.63</v>
      </c>
      <c r="U115" s="2">
        <v>8.0500000000000007</v>
      </c>
      <c r="V115" s="2">
        <v>5.39</v>
      </c>
      <c r="W115" s="2">
        <v>89.073333333333338</v>
      </c>
      <c r="X115" s="2">
        <v>52.774528503417969</v>
      </c>
      <c r="Y115" s="2">
        <v>0.98871455019324295</v>
      </c>
      <c r="Z115" s="2">
        <v>3.6843009293079376E-2</v>
      </c>
      <c r="AA115" s="2">
        <v>1.3283097185194492E-2</v>
      </c>
      <c r="AB115" s="2">
        <v>0.44689752342107503</v>
      </c>
      <c r="AC115" s="2">
        <v>1.86188022167929</v>
      </c>
      <c r="AD115" s="2">
        <v>-0.88127897569688296</v>
      </c>
      <c r="AE115" s="2">
        <v>1.0779808480762501</v>
      </c>
      <c r="AF115" s="2">
        <v>1.5255000000000001</v>
      </c>
      <c r="AG115" s="2">
        <v>8.1893999999999991</v>
      </c>
      <c r="AH115" s="2">
        <v>-1.1867000000000001</v>
      </c>
      <c r="AI115" s="2">
        <v>1.6945742995212401</v>
      </c>
      <c r="AJ115" s="2">
        <v>-1.7416403617716001</v>
      </c>
      <c r="AK115" s="2">
        <v>1.62267952553737</v>
      </c>
      <c r="AL115" s="2">
        <v>0.64180359347501903</v>
      </c>
      <c r="AM115" s="2">
        <v>9.6462031829585397E-3</v>
      </c>
      <c r="AN115" s="2">
        <v>-9.7962790022945695E-2</v>
      </c>
      <c r="AO115" s="2">
        <v>-0.27386521983287598</v>
      </c>
      <c r="AP115" s="2">
        <v>-3.1020317218092199E-2</v>
      </c>
      <c r="AQ115" s="2">
        <v>0.18596101159536699</v>
      </c>
      <c r="AR115" s="2">
        <v>-0.104452799938863</v>
      </c>
      <c r="AS115" s="2">
        <v>-0.106371961205125</v>
      </c>
      <c r="AT115" s="2">
        <v>0.30036895416188297</v>
      </c>
    </row>
    <row r="116" spans="1:46" x14ac:dyDescent="0.25">
      <c r="A116" s="2">
        <v>1975.5</v>
      </c>
      <c r="B116" s="2">
        <v>1713.8</v>
      </c>
      <c r="C116" s="2">
        <v>5421.3589776034423</v>
      </c>
      <c r="D116" s="2">
        <v>31.611999999999998</v>
      </c>
      <c r="E116" s="2">
        <v>1049.5999999999999</v>
      </c>
      <c r="F116" s="2">
        <v>265.2</v>
      </c>
      <c r="G116" s="2">
        <v>3434.1054835754476</v>
      </c>
      <c r="H116" s="2">
        <v>397.69185917928303</v>
      </c>
      <c r="I116" s="2">
        <v>160.85888094646344</v>
      </c>
      <c r="J116" s="2">
        <v>34.317</v>
      </c>
      <c r="K116" s="2">
        <v>50.634</v>
      </c>
      <c r="L116" s="2">
        <v>67.774000000000001</v>
      </c>
      <c r="M116" s="2">
        <v>0.51970283625938518</v>
      </c>
      <c r="N116" s="2">
        <v>0.69239497584744381</v>
      </c>
      <c r="O116" s="2">
        <v>0.56523605124002863</v>
      </c>
      <c r="P116" s="2">
        <v>0.73197004872330551</v>
      </c>
      <c r="Q116" s="2">
        <v>6.2846228237316142</v>
      </c>
      <c r="R116" s="2">
        <v>216187</v>
      </c>
      <c r="S116" s="2">
        <v>153579</v>
      </c>
      <c r="T116" s="2">
        <v>10.58</v>
      </c>
      <c r="U116" s="2">
        <v>8.3000000000000007</v>
      </c>
      <c r="V116" s="2">
        <v>6.33</v>
      </c>
      <c r="W116" s="2">
        <v>87.623333333333335</v>
      </c>
      <c r="X116" s="2">
        <v>50.701595306396484</v>
      </c>
      <c r="Y116" s="2">
        <v>-0.43862344016909799</v>
      </c>
      <c r="Z116" s="2">
        <v>-8.7486259639263153E-2</v>
      </c>
      <c r="AA116" s="2">
        <v>-2.1817328408360481E-2</v>
      </c>
      <c r="AB116" s="2">
        <v>-0.74252775957738903</v>
      </c>
      <c r="AC116" s="2">
        <v>-0.10577948337873699</v>
      </c>
      <c r="AD116" s="2">
        <v>0.81433956111283501</v>
      </c>
      <c r="AE116" s="2">
        <v>0.28261846255265499</v>
      </c>
      <c r="AF116" s="2">
        <v>-0.16259999999999999</v>
      </c>
      <c r="AG116" s="2">
        <v>12.242900000000001</v>
      </c>
      <c r="AH116" s="2">
        <v>0.91469999999999996</v>
      </c>
      <c r="AI116" s="2">
        <v>0.79197969000476098</v>
      </c>
      <c r="AJ116" s="2">
        <v>1.5864240790556501</v>
      </c>
      <c r="AK116" s="2">
        <v>0.38342668902134303</v>
      </c>
      <c r="AL116" s="2">
        <v>0.41881654578793298</v>
      </c>
      <c r="AM116" s="2">
        <v>7.1579344749799698E-2</v>
      </c>
      <c r="AN116" s="2">
        <v>-5.9330821532194697E-2</v>
      </c>
      <c r="AO116" s="2">
        <v>0.21186246514596699</v>
      </c>
      <c r="AP116" s="2">
        <v>-0.40796591082440897</v>
      </c>
      <c r="AQ116" s="2">
        <v>3.4955236955556301E-2</v>
      </c>
      <c r="AR116" s="2">
        <v>0.97616765161227204</v>
      </c>
      <c r="AS116" s="2">
        <v>-0.36942067661347</v>
      </c>
      <c r="AT116" s="2">
        <v>0.23100158083556299</v>
      </c>
    </row>
    <row r="117" spans="1:46" x14ac:dyDescent="0.25">
      <c r="A117" s="2">
        <v>1975.75</v>
      </c>
      <c r="B117" s="2">
        <v>1765.9</v>
      </c>
      <c r="C117" s="2">
        <v>5494.5704595662583</v>
      </c>
      <c r="D117" s="2">
        <v>32.139000000000003</v>
      </c>
      <c r="E117" s="2">
        <v>1078.5</v>
      </c>
      <c r="F117" s="2">
        <v>276.2</v>
      </c>
      <c r="G117" s="2">
        <v>3470.4122019499951</v>
      </c>
      <c r="H117" s="2">
        <v>402.49151970800023</v>
      </c>
      <c r="I117" s="2">
        <v>162.89300370967729</v>
      </c>
      <c r="J117" s="2">
        <v>34.9</v>
      </c>
      <c r="K117" s="2">
        <v>50.765000000000001</v>
      </c>
      <c r="L117" s="2">
        <v>68.748000000000005</v>
      </c>
      <c r="M117" s="2">
        <v>0.52335110599960799</v>
      </c>
      <c r="N117" s="2">
        <v>0.69662966058425091</v>
      </c>
      <c r="O117" s="2">
        <v>0.55457149396152927</v>
      </c>
      <c r="P117" s="2">
        <v>0.71331513413243375</v>
      </c>
      <c r="Q117" s="2">
        <v>6.2136739010379083</v>
      </c>
      <c r="R117" s="2">
        <v>216763</v>
      </c>
      <c r="S117" s="2">
        <v>154336</v>
      </c>
      <c r="T117" s="2">
        <v>10.58</v>
      </c>
      <c r="U117" s="2">
        <v>8.06</v>
      </c>
      <c r="V117" s="2">
        <v>5.63</v>
      </c>
      <c r="W117" s="2">
        <v>89.11333333333333</v>
      </c>
      <c r="X117" s="2">
        <v>52.760013580322266</v>
      </c>
      <c r="Y117" s="2">
        <v>-0.91053010021438796</v>
      </c>
      <c r="Z117" s="2">
        <v>1.3241127133369446E-2</v>
      </c>
      <c r="AA117" s="2">
        <v>3.3320484217256308E-3</v>
      </c>
      <c r="AB117" s="2">
        <v>-1.1524818796226599</v>
      </c>
      <c r="AC117" s="2">
        <v>-0.90543644442896898</v>
      </c>
      <c r="AD117" s="2">
        <v>-0.50812761458053501</v>
      </c>
      <c r="AE117" s="2">
        <v>-0.314509853232257</v>
      </c>
      <c r="AF117" s="2">
        <v>-0.99509999999999998</v>
      </c>
      <c r="AG117" s="2">
        <v>-4.3518999999999997</v>
      </c>
      <c r="AH117" s="2">
        <v>-2.58E-2</v>
      </c>
      <c r="AI117" s="2">
        <v>-1.1844792716882799</v>
      </c>
      <c r="AJ117" s="2">
        <v>0.60203527902564702</v>
      </c>
      <c r="AK117" s="2">
        <v>-4.7791844815493902E-2</v>
      </c>
      <c r="AL117" s="2">
        <v>-0.80836991451822804</v>
      </c>
      <c r="AM117" s="2">
        <v>-0.38388277186591002</v>
      </c>
      <c r="AN117" s="2">
        <v>-0.554321232773207</v>
      </c>
      <c r="AO117" s="2">
        <v>4.3624678996383399E-2</v>
      </c>
      <c r="AP117" s="2">
        <v>0.13306936884658299</v>
      </c>
      <c r="AQ117" s="2">
        <v>-0.12963471759484499</v>
      </c>
      <c r="AR117" s="2">
        <v>-1.53359179559228</v>
      </c>
      <c r="AS117" s="2">
        <v>0.288665344767771</v>
      </c>
      <c r="AT117" s="2">
        <v>2.7023424054525302E-2</v>
      </c>
    </row>
    <row r="118" spans="1:46" x14ac:dyDescent="0.25">
      <c r="A118" s="2">
        <v>1976</v>
      </c>
      <c r="B118" s="2">
        <v>1824.5</v>
      </c>
      <c r="C118" s="2">
        <v>5618.5138422689624</v>
      </c>
      <c r="D118" s="2">
        <v>32.472999999999999</v>
      </c>
      <c r="E118" s="2">
        <v>1112.3</v>
      </c>
      <c r="F118" s="2">
        <v>304.60000000000002</v>
      </c>
      <c r="G118" s="2">
        <v>3539.8765196359236</v>
      </c>
      <c r="H118" s="2">
        <v>411.05835262724167</v>
      </c>
      <c r="I118" s="2">
        <v>164.85132811127684</v>
      </c>
      <c r="J118" s="2">
        <v>35.914000000000001</v>
      </c>
      <c r="K118" s="2">
        <v>51.494</v>
      </c>
      <c r="L118" s="2">
        <v>69.742999999999995</v>
      </c>
      <c r="M118" s="2">
        <v>0.53944571641015526</v>
      </c>
      <c r="N118" s="2">
        <v>0.70900951329821216</v>
      </c>
      <c r="O118" s="2">
        <v>0.55542247830302194</v>
      </c>
      <c r="P118" s="2">
        <v>0.69714979416277734</v>
      </c>
      <c r="Q118" s="2">
        <v>6.0815643079891846</v>
      </c>
      <c r="R118" s="2">
        <v>217242</v>
      </c>
      <c r="S118" s="2">
        <v>155075</v>
      </c>
      <c r="T118" s="2">
        <v>10.26</v>
      </c>
      <c r="U118" s="2">
        <v>7.75</v>
      </c>
      <c r="V118" s="2">
        <v>4.92</v>
      </c>
      <c r="W118" s="2">
        <v>99.519999999999982</v>
      </c>
      <c r="X118" s="2">
        <v>60.377799987792969</v>
      </c>
      <c r="Y118" s="2">
        <v>-0.127878484132329</v>
      </c>
      <c r="Z118" s="2">
        <v>5.8227621018886566E-2</v>
      </c>
      <c r="AA118" s="2">
        <v>2.3210169747471809E-2</v>
      </c>
      <c r="AB118" s="2">
        <v>0.56556944643016904</v>
      </c>
      <c r="AC118" s="2">
        <v>1.1118835998926799</v>
      </c>
      <c r="AD118" s="2">
        <v>-0.77721374188595005</v>
      </c>
      <c r="AE118" s="2">
        <v>1.77770163427287</v>
      </c>
      <c r="AF118" s="2">
        <v>0.60429999999999995</v>
      </c>
      <c r="AG118" s="2">
        <v>5.5994999999999999</v>
      </c>
      <c r="AH118" s="2">
        <v>-1.2699999999999999E-2</v>
      </c>
      <c r="AI118" s="2">
        <v>-0.48533806989274098</v>
      </c>
      <c r="AJ118" s="2">
        <v>0.86726430397175602</v>
      </c>
      <c r="AK118" s="2">
        <v>0.72441832500703696</v>
      </c>
      <c r="AL118" s="2">
        <v>0.190275734040394</v>
      </c>
      <c r="AM118" s="2">
        <v>-0.16540678863924299</v>
      </c>
      <c r="AN118" s="2">
        <v>-0.14995419947761399</v>
      </c>
      <c r="AO118" s="2">
        <v>-0.14426728202575601</v>
      </c>
      <c r="AP118" s="2">
        <v>-0.61643248675216999</v>
      </c>
      <c r="AQ118" s="2">
        <v>-0.185876496662018</v>
      </c>
      <c r="AR118" s="2">
        <v>-0.27550038983625702</v>
      </c>
      <c r="AS118" s="2">
        <v>0.59778289602371404</v>
      </c>
      <c r="AT118" s="2">
        <v>0.211963979904949</v>
      </c>
    </row>
    <row r="119" spans="1:46" x14ac:dyDescent="0.25">
      <c r="A119" s="2">
        <v>1976.25</v>
      </c>
      <c r="B119" s="2">
        <v>1856.9</v>
      </c>
      <c r="C119" s="2">
        <v>5660.7627351156907</v>
      </c>
      <c r="D119" s="2">
        <v>32.802999999999997</v>
      </c>
      <c r="E119" s="2">
        <v>1132</v>
      </c>
      <c r="F119" s="2">
        <v>322.3</v>
      </c>
      <c r="G119" s="2">
        <v>3572.555702834059</v>
      </c>
      <c r="H119" s="2">
        <v>416.51329936651234</v>
      </c>
      <c r="I119" s="2">
        <v>165.18927850934071</v>
      </c>
      <c r="J119" s="2">
        <v>36.24</v>
      </c>
      <c r="K119" s="2">
        <v>51.845999999999997</v>
      </c>
      <c r="L119" s="2">
        <v>69.900000000000006</v>
      </c>
      <c r="M119" s="2">
        <v>0.54406525270372896</v>
      </c>
      <c r="N119" s="2">
        <v>0.71226445404969063</v>
      </c>
      <c r="O119" s="2">
        <v>0.56372497608150884</v>
      </c>
      <c r="P119" s="2">
        <v>0.71023366178761649</v>
      </c>
      <c r="Q119" s="2">
        <v>5.9750977494222886</v>
      </c>
      <c r="R119" s="2">
        <v>217691</v>
      </c>
      <c r="S119" s="2">
        <v>155774</v>
      </c>
      <c r="T119" s="2">
        <v>9.9</v>
      </c>
      <c r="U119" s="2">
        <v>7.77</v>
      </c>
      <c r="V119" s="2">
        <v>5.16</v>
      </c>
      <c r="W119" s="2">
        <v>101.63333333333334</v>
      </c>
      <c r="X119" s="2">
        <v>61.444049835205078</v>
      </c>
      <c r="Y119" s="2">
        <v>0.46279385698917203</v>
      </c>
      <c r="Z119" s="2">
        <v>-4.1636288166046143E-2</v>
      </c>
      <c r="AA119" s="2">
        <v>-1.1617949232459068E-2</v>
      </c>
      <c r="AB119" s="2">
        <v>1.80974233044996</v>
      </c>
      <c r="AC119" s="2">
        <v>-0.15195054202517499</v>
      </c>
      <c r="AD119" s="2">
        <v>-0.53529029493923697</v>
      </c>
      <c r="AE119" s="2">
        <v>0.625953088151045</v>
      </c>
      <c r="AF119" s="2">
        <v>0.4975</v>
      </c>
      <c r="AG119" s="2">
        <v>-5.3742999999999999</v>
      </c>
      <c r="AH119" s="2">
        <v>-0.89329999999999998</v>
      </c>
      <c r="AI119" s="2">
        <v>0.26495991350423598</v>
      </c>
      <c r="AJ119" s="2">
        <v>-1.1052405705652899</v>
      </c>
      <c r="AK119" s="2">
        <v>0.40819211046168102</v>
      </c>
      <c r="AL119" s="2">
        <v>-0.92193469379874005</v>
      </c>
      <c r="AM119" s="2">
        <v>-0.19827103873054899</v>
      </c>
      <c r="AN119" s="2">
        <v>-5.0687482156920302E-2</v>
      </c>
      <c r="AO119" s="2">
        <v>-5.3306153719410998E-2</v>
      </c>
      <c r="AP119" s="2">
        <v>0.18427989083642099</v>
      </c>
      <c r="AQ119" s="2">
        <v>-0.20087765634469101</v>
      </c>
      <c r="AR119" s="2">
        <v>1.12908344832452</v>
      </c>
      <c r="AS119" s="2">
        <v>0.10468623129297901</v>
      </c>
      <c r="AT119" s="2">
        <v>-6.6530518236876696E-2</v>
      </c>
    </row>
    <row r="120" spans="1:46" x14ac:dyDescent="0.25">
      <c r="A120" s="2">
        <v>1976.5</v>
      </c>
      <c r="B120" s="2">
        <v>1890.5</v>
      </c>
      <c r="C120" s="2">
        <v>5689.8212243423823</v>
      </c>
      <c r="D120" s="2">
        <v>33.225999999999999</v>
      </c>
      <c r="E120" s="2">
        <v>1161.3</v>
      </c>
      <c r="F120" s="2">
        <v>328.3</v>
      </c>
      <c r="G120" s="2">
        <v>3610.2216557341371</v>
      </c>
      <c r="H120" s="2">
        <v>425.58072841984512</v>
      </c>
      <c r="I120" s="2">
        <v>165.894467114874</v>
      </c>
      <c r="J120" s="2">
        <v>36.438000000000002</v>
      </c>
      <c r="K120" s="2">
        <v>51.887999999999998</v>
      </c>
      <c r="L120" s="2">
        <v>70.224999999999994</v>
      </c>
      <c r="M120" s="2">
        <v>0.54547872982216083</v>
      </c>
      <c r="N120" s="2">
        <v>0.71448921917615682</v>
      </c>
      <c r="O120" s="2">
        <v>0.56244453112199466</v>
      </c>
      <c r="P120" s="2">
        <v>0.70674289896054199</v>
      </c>
      <c r="Q120" s="2">
        <v>5.883603003486666</v>
      </c>
      <c r="R120" s="2">
        <v>218236</v>
      </c>
      <c r="S120" s="2">
        <v>156527</v>
      </c>
      <c r="T120" s="2">
        <v>9.6199999999999992</v>
      </c>
      <c r="U120" s="2">
        <v>7.73</v>
      </c>
      <c r="V120" s="2">
        <v>5.15</v>
      </c>
      <c r="W120" s="2">
        <v>104.33333333333333</v>
      </c>
      <c r="X120" s="2">
        <v>63.131977081298828</v>
      </c>
      <c r="Y120" s="2">
        <v>0.139011374225437</v>
      </c>
      <c r="Z120" s="2">
        <v>2.210458368062973E-2</v>
      </c>
      <c r="AA120" s="2">
        <v>7.5769987888634205E-3</v>
      </c>
      <c r="AB120" s="2">
        <v>1.79117857776839</v>
      </c>
      <c r="AC120" s="2">
        <v>-0.91883206610046597</v>
      </c>
      <c r="AD120" s="2">
        <v>0.38325754727037298</v>
      </c>
      <c r="AE120" s="2">
        <v>-0.116671327041817</v>
      </c>
      <c r="AF120" s="2">
        <v>-0.83040000000000003</v>
      </c>
      <c r="AG120" s="2">
        <v>-1.6294999999999999</v>
      </c>
      <c r="AH120" s="2">
        <v>0.1394</v>
      </c>
      <c r="AI120" s="2">
        <v>-0.10060590257253101</v>
      </c>
      <c r="AJ120" s="2">
        <v>1.1520812574794199</v>
      </c>
      <c r="AK120" s="2">
        <v>-0.14337756578125099</v>
      </c>
      <c r="AL120" s="2">
        <v>-1.07728124002838</v>
      </c>
      <c r="AM120" s="2">
        <v>-9.7945940997406205E-3</v>
      </c>
      <c r="AN120" s="2">
        <v>-0.36388487295859201</v>
      </c>
      <c r="AO120" s="2">
        <v>-0.32667360949084601</v>
      </c>
      <c r="AP120" s="2">
        <v>4.8638086732107497E-2</v>
      </c>
      <c r="AQ120" s="2">
        <v>0.57759419853940697</v>
      </c>
      <c r="AR120" s="2">
        <v>0.35317106772947199</v>
      </c>
      <c r="AS120" s="2">
        <v>0.69944020125912498</v>
      </c>
      <c r="AT120" s="2">
        <v>0.36103114564746103</v>
      </c>
    </row>
    <row r="121" spans="1:46" x14ac:dyDescent="0.25">
      <c r="A121" s="2">
        <v>1976.75</v>
      </c>
      <c r="B121" s="2">
        <v>1938.4</v>
      </c>
      <c r="C121" s="2">
        <v>5732.3672926216177</v>
      </c>
      <c r="D121" s="2">
        <v>33.814999999999998</v>
      </c>
      <c r="E121" s="2">
        <v>1195.0999999999999</v>
      </c>
      <c r="F121" s="2">
        <v>337.6</v>
      </c>
      <c r="G121" s="2">
        <v>3657.5363427697016</v>
      </c>
      <c r="H121" s="2">
        <v>433.78307077711617</v>
      </c>
      <c r="I121" s="2">
        <v>167.0839138573279</v>
      </c>
      <c r="J121" s="2">
        <v>36.759</v>
      </c>
      <c r="K121" s="2">
        <v>52.231000000000002</v>
      </c>
      <c r="L121" s="2">
        <v>70.378</v>
      </c>
      <c r="M121" s="2">
        <v>0.54760202677378633</v>
      </c>
      <c r="N121" s="2">
        <v>0.71709614962457713</v>
      </c>
      <c r="O121" s="2">
        <v>0.57280673609650345</v>
      </c>
      <c r="P121" s="2">
        <v>0.72338366233218576</v>
      </c>
      <c r="Q121" s="2">
        <v>5.8488469618634227</v>
      </c>
      <c r="R121" s="2">
        <v>218828</v>
      </c>
      <c r="S121" s="2">
        <v>157222</v>
      </c>
      <c r="T121" s="2">
        <v>9.2100000000000009</v>
      </c>
      <c r="U121" s="2">
        <v>7.19</v>
      </c>
      <c r="V121" s="2">
        <v>4.67</v>
      </c>
      <c r="W121" s="2">
        <v>102.60000000000001</v>
      </c>
      <c r="X121" s="2">
        <v>64.452133178710938</v>
      </c>
      <c r="Y121" s="2">
        <v>0.11319582742006901</v>
      </c>
      <c r="Z121" s="2">
        <v>-5.2336860448122025E-2</v>
      </c>
      <c r="AA121" s="2">
        <v>-1.4346983283758163E-2</v>
      </c>
      <c r="AB121" s="2">
        <v>2.4760307717824701</v>
      </c>
      <c r="AC121" s="2">
        <v>-1.0842330198678301</v>
      </c>
      <c r="AD121" s="2">
        <v>-1.0135597677606301</v>
      </c>
      <c r="AE121" s="2">
        <v>0.79242172844829795</v>
      </c>
      <c r="AF121" s="2">
        <v>0.2039</v>
      </c>
      <c r="AG121" s="2">
        <v>0.1148</v>
      </c>
      <c r="AH121" s="2">
        <v>-0.61409999999999998</v>
      </c>
      <c r="AI121" s="2">
        <v>-0.259931187033487</v>
      </c>
      <c r="AJ121" s="2">
        <v>1.3518178682211699</v>
      </c>
      <c r="AK121" s="2">
        <v>0.10559432822673</v>
      </c>
      <c r="AL121" s="2">
        <v>0.68454077354120801</v>
      </c>
      <c r="AM121" s="2">
        <v>-0.25443663735862099</v>
      </c>
      <c r="AN121" s="2">
        <v>-0.47405230621427602</v>
      </c>
      <c r="AO121" s="2">
        <v>0.189089239995233</v>
      </c>
      <c r="AP121" s="2">
        <v>0.43452944192502702</v>
      </c>
      <c r="AQ121" s="2">
        <v>-0.48891356444492101</v>
      </c>
      <c r="AR121" s="2">
        <v>-0.31649630451906702</v>
      </c>
      <c r="AS121" s="2">
        <v>1.1932813856453299</v>
      </c>
      <c r="AT121" s="2">
        <v>-0.20707281898362701</v>
      </c>
    </row>
    <row r="122" spans="1:46" x14ac:dyDescent="0.25">
      <c r="A122" s="2">
        <v>1977</v>
      </c>
      <c r="B122" s="2">
        <v>1992.5</v>
      </c>
      <c r="C122" s="2">
        <v>5799.062836520271</v>
      </c>
      <c r="D122" s="2">
        <v>34.359000000000002</v>
      </c>
      <c r="E122" s="2">
        <v>1230.5999999999999</v>
      </c>
      <c r="F122" s="2">
        <v>360.3</v>
      </c>
      <c r="G122" s="2">
        <v>3699.3837366601529</v>
      </c>
      <c r="H122" s="2">
        <v>449.71442302360401</v>
      </c>
      <c r="I122" s="2">
        <v>167.93829980906963</v>
      </c>
      <c r="J122" s="2">
        <v>37.338999999999999</v>
      </c>
      <c r="K122" s="2">
        <v>52.529000000000003</v>
      </c>
      <c r="L122" s="2">
        <v>71.082999999999998</v>
      </c>
      <c r="M122" s="2">
        <v>0.55208439845506307</v>
      </c>
      <c r="N122" s="2">
        <v>0.72442887230294084</v>
      </c>
      <c r="O122" s="2">
        <v>0.57784046825492785</v>
      </c>
      <c r="P122" s="2">
        <v>0.72299399761175809</v>
      </c>
      <c r="Q122" s="2">
        <v>5.8369726173789793</v>
      </c>
      <c r="R122" s="2">
        <v>219342</v>
      </c>
      <c r="S122" s="2">
        <v>157911</v>
      </c>
      <c r="T122" s="2">
        <v>9.11</v>
      </c>
      <c r="U122" s="2">
        <v>7.35</v>
      </c>
      <c r="V122" s="2">
        <v>4.63</v>
      </c>
      <c r="W122" s="2">
        <v>101.8</v>
      </c>
      <c r="X122" s="2">
        <v>63.787376403808594</v>
      </c>
      <c r="Y122" s="2">
        <v>-8.6380842241426101E-2</v>
      </c>
      <c r="Z122" s="2">
        <v>-2.3657472804188728E-2</v>
      </c>
      <c r="AA122" s="2">
        <v>-3.7862509489059448E-3</v>
      </c>
      <c r="AB122" s="2">
        <v>-0.248245417483794</v>
      </c>
      <c r="AC122" s="2">
        <v>-0.576865182908186</v>
      </c>
      <c r="AD122" s="2">
        <v>0.97587243800999601</v>
      </c>
      <c r="AE122" s="2">
        <v>0.25323803120742899</v>
      </c>
      <c r="AF122" s="2">
        <v>-0.66559999999999997</v>
      </c>
      <c r="AG122" s="2">
        <v>4.6784999999999997</v>
      </c>
      <c r="AH122" s="2">
        <v>0.14330000000000001</v>
      </c>
      <c r="AI122" s="2">
        <v>1.31001587717991</v>
      </c>
      <c r="AJ122" s="2">
        <v>-0.71884980838141899</v>
      </c>
      <c r="AK122" s="2">
        <v>2.5634161008713598E-2</v>
      </c>
      <c r="AL122" s="2">
        <v>-0.23629284312127599</v>
      </c>
      <c r="AM122" s="2">
        <v>-1.53806550061371E-2</v>
      </c>
      <c r="AN122" s="2">
        <v>-0.54575489725846604</v>
      </c>
      <c r="AO122" s="2">
        <v>-0.50196157428238997</v>
      </c>
      <c r="AP122" s="2">
        <v>0.14439269661773499</v>
      </c>
      <c r="AQ122" s="2">
        <v>4.6023410578279203E-2</v>
      </c>
      <c r="AR122" s="2">
        <v>-1.0105830452381099</v>
      </c>
      <c r="AS122" s="2">
        <v>1.0851590691159101</v>
      </c>
      <c r="AT122" s="2">
        <v>0.21273856367573199</v>
      </c>
    </row>
    <row r="123" spans="1:46" x14ac:dyDescent="0.25">
      <c r="A123" s="2">
        <v>1977.25</v>
      </c>
      <c r="B123" s="2">
        <v>2060.1999999999998</v>
      </c>
      <c r="C123" s="2">
        <v>5913.1483022875336</v>
      </c>
      <c r="D123" s="2">
        <v>34.841000000000001</v>
      </c>
      <c r="E123" s="2">
        <v>1258.5</v>
      </c>
      <c r="F123" s="2">
        <v>389.7</v>
      </c>
      <c r="G123" s="2">
        <v>3719.6311402730976</v>
      </c>
      <c r="H123" s="2">
        <v>462.01194638694642</v>
      </c>
      <c r="I123" s="2">
        <v>171.23603911610101</v>
      </c>
      <c r="J123" s="2">
        <v>38.247999999999998</v>
      </c>
      <c r="K123" s="2">
        <v>52.625999999999998</v>
      </c>
      <c r="L123" s="2">
        <v>72.677999999999997</v>
      </c>
      <c r="M123" s="2">
        <v>0.56194739622422829</v>
      </c>
      <c r="N123" s="2">
        <v>0.74005375346723123</v>
      </c>
      <c r="O123" s="2">
        <v>0.57257308217679981</v>
      </c>
      <c r="P123" s="2">
        <v>0.7053003962268013</v>
      </c>
      <c r="Q123" s="2">
        <v>5.7977305235239767</v>
      </c>
      <c r="R123" s="2">
        <v>219863</v>
      </c>
      <c r="S123" s="2">
        <v>158652</v>
      </c>
      <c r="T123" s="2">
        <v>9</v>
      </c>
      <c r="U123" s="2">
        <v>7.37</v>
      </c>
      <c r="V123" s="2">
        <v>4.84</v>
      </c>
      <c r="W123" s="2">
        <v>99.033333333333346</v>
      </c>
      <c r="X123" s="2">
        <v>63.963306427001953</v>
      </c>
      <c r="Y123" s="2">
        <v>-0.88863281578058195</v>
      </c>
      <c r="Z123" s="2">
        <v>-6.0932077467441559E-2</v>
      </c>
      <c r="AA123" s="2">
        <v>-1.1526072397828102E-2</v>
      </c>
      <c r="AB123" s="2">
        <v>-2.2987856085950198</v>
      </c>
      <c r="AC123" s="2">
        <v>0.56060250566235204</v>
      </c>
      <c r="AD123" s="2">
        <v>1.59626907033387</v>
      </c>
      <c r="AE123" s="2">
        <v>0.112587301041459</v>
      </c>
      <c r="AF123" s="2">
        <v>-0.80369999999999997</v>
      </c>
      <c r="AG123" s="2">
        <v>3.3317000000000001</v>
      </c>
      <c r="AH123" s="2">
        <v>0.96150000000000002</v>
      </c>
      <c r="AI123" s="2">
        <v>-0.28243872804513298</v>
      </c>
      <c r="AJ123" s="2">
        <v>-0.31783331178312102</v>
      </c>
      <c r="AK123" s="2">
        <v>-0.14701706561303299</v>
      </c>
      <c r="AL123" s="2">
        <v>0.80104067882068697</v>
      </c>
      <c r="AM123" s="2">
        <v>1.6409165607193799E-2</v>
      </c>
      <c r="AN123" s="2">
        <v>-0.57358181178915102</v>
      </c>
      <c r="AO123" s="2">
        <v>0.157527581735905</v>
      </c>
      <c r="AP123" s="2">
        <v>0.129223565204515</v>
      </c>
      <c r="AQ123" s="2">
        <v>0.70027659824135202</v>
      </c>
      <c r="AR123" s="2">
        <v>-0.39805676510419702</v>
      </c>
      <c r="AS123" s="2">
        <v>0.206607611035585</v>
      </c>
      <c r="AT123" s="2">
        <v>0.275068782621195</v>
      </c>
    </row>
    <row r="124" spans="1:46" x14ac:dyDescent="0.25">
      <c r="A124" s="2">
        <v>1977.5</v>
      </c>
      <c r="B124" s="2">
        <v>2122.4</v>
      </c>
      <c r="C124" s="2">
        <v>6017.5786787638217</v>
      </c>
      <c r="D124" s="2">
        <v>35.270000000000003</v>
      </c>
      <c r="E124" s="2">
        <v>1289.7</v>
      </c>
      <c r="F124" s="2">
        <v>414.1</v>
      </c>
      <c r="G124" s="2">
        <v>3755.1317513466297</v>
      </c>
      <c r="H124" s="2">
        <v>471.38227975007607</v>
      </c>
      <c r="I124" s="2">
        <v>172.79266069143193</v>
      </c>
      <c r="J124" s="2">
        <v>39.036999999999999</v>
      </c>
      <c r="K124" s="2">
        <v>53.295000000000002</v>
      </c>
      <c r="L124" s="2">
        <v>73.247</v>
      </c>
      <c r="M124" s="2">
        <v>0.57482504974307813</v>
      </c>
      <c r="N124" s="2">
        <v>0.75317168346572183</v>
      </c>
      <c r="O124" s="2">
        <v>0.59034292347123463</v>
      </c>
      <c r="P124" s="2">
        <v>0.72623174143138691</v>
      </c>
      <c r="Q124" s="2">
        <v>5.7663558170811253</v>
      </c>
      <c r="R124" s="2">
        <v>220462</v>
      </c>
      <c r="S124" s="2">
        <v>159430</v>
      </c>
      <c r="T124" s="2">
        <v>8.83</v>
      </c>
      <c r="U124" s="2">
        <v>7.36</v>
      </c>
      <c r="V124" s="2">
        <v>5.5</v>
      </c>
      <c r="W124" s="2">
        <v>98.06</v>
      </c>
      <c r="X124" s="2">
        <v>64.497688293457031</v>
      </c>
      <c r="Y124" s="2">
        <v>0.17318283889806399</v>
      </c>
      <c r="Z124" s="2">
        <v>-3.8725666701793671E-2</v>
      </c>
      <c r="AA124" s="2">
        <v>-4.3905642814934254E-3</v>
      </c>
      <c r="AB124" s="2">
        <v>-5.2955872511082303E-2</v>
      </c>
      <c r="AC124" s="2">
        <v>0.25800135225244297</v>
      </c>
      <c r="AD124" s="2">
        <v>-0.11810867949743201</v>
      </c>
      <c r="AE124" s="2">
        <v>1.13186914290398</v>
      </c>
      <c r="AF124" s="2">
        <v>0.1033</v>
      </c>
      <c r="AG124" s="2">
        <v>-0.43099999999999999</v>
      </c>
      <c r="AH124" s="2">
        <v>0.1792</v>
      </c>
      <c r="AI124" s="2">
        <v>-0.613248807370261</v>
      </c>
      <c r="AJ124" s="2">
        <v>-1.78014606871958</v>
      </c>
      <c r="AK124" s="2">
        <v>0.54587709427390396</v>
      </c>
      <c r="AL124" s="2">
        <v>-1.0733504620057299</v>
      </c>
      <c r="AM124" s="2">
        <v>-0.39849247197031101</v>
      </c>
      <c r="AN124" s="2">
        <v>-0.35305183804616902</v>
      </c>
      <c r="AO124" s="2">
        <v>-1.2825267678568701E-3</v>
      </c>
      <c r="AP124" s="2">
        <v>-4.4618183852148802E-2</v>
      </c>
      <c r="AQ124" s="2">
        <v>4.5351643001213401E-2</v>
      </c>
      <c r="AR124" s="2">
        <v>0.43088261066376199</v>
      </c>
      <c r="AS124" s="2">
        <v>0.157969097165926</v>
      </c>
      <c r="AT124" s="2">
        <v>3.5614418562655799E-2</v>
      </c>
    </row>
    <row r="125" spans="1:46" x14ac:dyDescent="0.25">
      <c r="A125" s="2">
        <v>1977.75</v>
      </c>
      <c r="B125" s="2">
        <v>2168.6999999999998</v>
      </c>
      <c r="C125" s="2">
        <v>6018.1485181485168</v>
      </c>
      <c r="D125" s="2">
        <v>36.036000000000001</v>
      </c>
      <c r="E125" s="2">
        <v>1327.9</v>
      </c>
      <c r="F125" s="2">
        <v>422.3</v>
      </c>
      <c r="G125" s="2">
        <v>3811.8612929153751</v>
      </c>
      <c r="H125" s="2">
        <v>485.58555387377237</v>
      </c>
      <c r="I125" s="2">
        <v>174.38639549555256</v>
      </c>
      <c r="J125" s="2">
        <v>38.994</v>
      </c>
      <c r="K125" s="2">
        <v>52.701000000000001</v>
      </c>
      <c r="L125" s="2">
        <v>73.991</v>
      </c>
      <c r="M125" s="2">
        <v>0.56731177057751625</v>
      </c>
      <c r="N125" s="2">
        <v>0.74547185926949344</v>
      </c>
      <c r="O125" s="2">
        <v>0.5774619197059383</v>
      </c>
      <c r="P125" s="2">
        <v>0.71171045570487101</v>
      </c>
      <c r="Q125" s="2">
        <v>5.7296811972308435</v>
      </c>
      <c r="R125" s="2">
        <v>221105</v>
      </c>
      <c r="S125" s="2">
        <v>160140</v>
      </c>
      <c r="T125" s="2">
        <v>8.94</v>
      </c>
      <c r="U125" s="2">
        <v>7.6</v>
      </c>
      <c r="V125" s="2">
        <v>6.11</v>
      </c>
      <c r="W125" s="2">
        <v>93.946666666666658</v>
      </c>
      <c r="X125" s="2">
        <v>63.798606872558594</v>
      </c>
      <c r="Y125" s="2">
        <v>-1.53290433614899</v>
      </c>
      <c r="Z125" s="2">
        <v>-4.6624302864074707E-2</v>
      </c>
      <c r="AA125" s="2">
        <v>-1.7830630764365196E-2</v>
      </c>
      <c r="AB125" s="2">
        <v>-0.75389103322858297</v>
      </c>
      <c r="AC125" s="2">
        <v>1.0454430673155499</v>
      </c>
      <c r="AD125" s="2">
        <v>-0.82730192259068602</v>
      </c>
      <c r="AE125" s="2">
        <v>-1.7287706047045299</v>
      </c>
      <c r="AF125" s="2">
        <v>-0.97119999999999995</v>
      </c>
      <c r="AG125" s="2">
        <v>-3.6137000000000001</v>
      </c>
      <c r="AH125" s="2">
        <v>-2.3660000000000001</v>
      </c>
      <c r="AI125" s="2">
        <v>7.7198654114457602E-2</v>
      </c>
      <c r="AJ125" s="2">
        <v>1.10291719677693</v>
      </c>
      <c r="AK125" s="2">
        <v>-1.0285585797385901</v>
      </c>
      <c r="AL125" s="2">
        <v>-0.373632817756891</v>
      </c>
      <c r="AM125" s="2">
        <v>-0.220908082784981</v>
      </c>
      <c r="AN125" s="2">
        <v>2.50302110249686E-2</v>
      </c>
      <c r="AO125" s="2">
        <v>0.42385041389848199</v>
      </c>
      <c r="AP125" s="2">
        <v>0.16952650021381799</v>
      </c>
      <c r="AQ125" s="2">
        <v>6.7661775581027497E-2</v>
      </c>
      <c r="AR125" s="2">
        <v>-0.197344810772415</v>
      </c>
      <c r="AS125" s="2">
        <v>0.396298511380962</v>
      </c>
      <c r="AT125" s="2">
        <v>-1.2187863923092299</v>
      </c>
    </row>
    <row r="126" spans="1:46" x14ac:dyDescent="0.25">
      <c r="A126" s="2">
        <v>1978</v>
      </c>
      <c r="B126" s="2">
        <v>2208.6999999999998</v>
      </c>
      <c r="C126" s="2">
        <v>6039.1545675771731</v>
      </c>
      <c r="D126" s="2">
        <v>36.573</v>
      </c>
      <c r="E126" s="2">
        <v>1357.8</v>
      </c>
      <c r="F126" s="2">
        <v>434.8</v>
      </c>
      <c r="G126" s="2">
        <v>3833.968657348581</v>
      </c>
      <c r="H126" s="2">
        <v>489.87805089597026</v>
      </c>
      <c r="I126" s="2">
        <v>175.03537662068771</v>
      </c>
      <c r="J126" s="2">
        <v>39.052999999999997</v>
      </c>
      <c r="K126" s="2">
        <v>52.514000000000003</v>
      </c>
      <c r="L126" s="2">
        <v>74.367000000000004</v>
      </c>
      <c r="M126" s="2">
        <v>0.56365149218058364</v>
      </c>
      <c r="N126" s="2">
        <v>0.74892113776404823</v>
      </c>
      <c r="O126" s="2">
        <v>0.58637266552986067</v>
      </c>
      <c r="P126" s="2">
        <v>0.7451116714877849</v>
      </c>
      <c r="Q126" s="2">
        <v>5.6324647780138788</v>
      </c>
      <c r="R126" s="2">
        <v>221633</v>
      </c>
      <c r="S126" s="2">
        <v>160829</v>
      </c>
      <c r="T126" s="2">
        <v>9.1999999999999993</v>
      </c>
      <c r="U126" s="2">
        <v>8.01</v>
      </c>
      <c r="V126" s="2">
        <v>6.39</v>
      </c>
      <c r="W126" s="2">
        <v>89.350000000000009</v>
      </c>
      <c r="X126" s="2">
        <v>61.770675659179688</v>
      </c>
      <c r="Y126" s="2">
        <v>-0.41121840976642798</v>
      </c>
      <c r="Z126" s="2">
        <v>-4.2620807886123657E-2</v>
      </c>
      <c r="AA126" s="2">
        <v>-1.3584640808403492E-2</v>
      </c>
      <c r="AB126" s="2">
        <v>0.60114719964867203</v>
      </c>
      <c r="AC126" s="2">
        <v>-3.8628029925473498E-2</v>
      </c>
      <c r="AD126" s="2">
        <v>-0.55880940924619904</v>
      </c>
      <c r="AE126" s="2">
        <v>-1.7816682777687201</v>
      </c>
      <c r="AF126" s="2">
        <v>-0.70989999999999998</v>
      </c>
      <c r="AG126" s="2">
        <v>2.9064999999999999</v>
      </c>
      <c r="AH126" s="2">
        <v>0.75770000000000004</v>
      </c>
      <c r="AI126" s="2">
        <v>0.43386634979395999</v>
      </c>
      <c r="AJ126" s="2">
        <v>-2.3971848572115402</v>
      </c>
      <c r="AK126" s="2">
        <v>-0.15425070675111799</v>
      </c>
      <c r="AL126" s="2">
        <v>-0.46661248953659401</v>
      </c>
      <c r="AM126" s="2">
        <v>-0.44777302230719401</v>
      </c>
      <c r="AN126" s="2">
        <v>-0.129325355273676</v>
      </c>
      <c r="AO126" s="2">
        <v>0.13976687739574201</v>
      </c>
      <c r="AP126" s="2">
        <v>-0.21679336916537201</v>
      </c>
      <c r="AQ126" s="2">
        <v>-0.53315373219262896</v>
      </c>
      <c r="AR126" s="2">
        <v>-0.58566907008054603</v>
      </c>
      <c r="AS126" s="2">
        <v>0.42654567322425002</v>
      </c>
      <c r="AT126" s="2">
        <v>-1.1306643807510799</v>
      </c>
    </row>
    <row r="127" spans="1:46" x14ac:dyDescent="0.25">
      <c r="A127" s="2">
        <v>1978.25</v>
      </c>
      <c r="B127" s="2">
        <v>2336.6</v>
      </c>
      <c r="C127" s="2">
        <v>6274.0991353847812</v>
      </c>
      <c r="D127" s="2">
        <v>37.241999999999997</v>
      </c>
      <c r="E127" s="2">
        <v>1415.3</v>
      </c>
      <c r="F127" s="2">
        <v>470.6</v>
      </c>
      <c r="G127" s="2">
        <v>3915.617651127403</v>
      </c>
      <c r="H127" s="2">
        <v>527.78867976042181</v>
      </c>
      <c r="I127" s="2">
        <v>180.02809935028554</v>
      </c>
      <c r="J127" s="2">
        <v>40.947000000000003</v>
      </c>
      <c r="K127" s="2">
        <v>53.536000000000001</v>
      </c>
      <c r="L127" s="2">
        <v>76.483999999999995</v>
      </c>
      <c r="M127" s="2">
        <v>0.58319740435816059</v>
      </c>
      <c r="N127" s="2">
        <v>0.77231747616118407</v>
      </c>
      <c r="O127" s="2">
        <v>0.58548548764518804</v>
      </c>
      <c r="P127" s="2">
        <v>0.73578920138632919</v>
      </c>
      <c r="Q127" s="2">
        <v>5.5142819112652175</v>
      </c>
      <c r="R127" s="2">
        <v>222182</v>
      </c>
      <c r="S127" s="2">
        <v>161525</v>
      </c>
      <c r="T127" s="2">
        <v>9.4700000000000006</v>
      </c>
      <c r="U127" s="2">
        <v>8.32</v>
      </c>
      <c r="V127" s="2">
        <v>6.48</v>
      </c>
      <c r="W127" s="2">
        <v>95.926666666666662</v>
      </c>
      <c r="X127" s="2">
        <v>69.020492553710938</v>
      </c>
      <c r="Y127" s="2">
        <v>1.22602074566349</v>
      </c>
      <c r="Z127" s="2">
        <v>3.0925612896680832E-2</v>
      </c>
      <c r="AA127" s="2">
        <v>2.163139171898365E-2</v>
      </c>
      <c r="AB127" s="2">
        <v>-2.5571518218895299</v>
      </c>
      <c r="AC127" s="2">
        <v>-1.1154030188630499</v>
      </c>
      <c r="AD127" s="2">
        <v>1.9964731976557501E-2</v>
      </c>
      <c r="AE127" s="2">
        <v>2.2433886148134898</v>
      </c>
      <c r="AF127" s="2">
        <v>0.61050000000000004</v>
      </c>
      <c r="AG127" s="2">
        <v>8.766</v>
      </c>
      <c r="AH127" s="2">
        <v>0.31190000000000001</v>
      </c>
      <c r="AI127" s="2">
        <v>-0.27534206251839</v>
      </c>
      <c r="AJ127" s="2">
        <v>5.6085893053014903E-2</v>
      </c>
      <c r="AK127" s="2">
        <v>1.4812348167659</v>
      </c>
      <c r="AL127" s="2">
        <v>2.4748046372103101</v>
      </c>
      <c r="AM127" s="2">
        <v>-0.58302006773541504</v>
      </c>
      <c r="AN127" s="2">
        <v>-0.21653748442542101</v>
      </c>
      <c r="AO127" s="2">
        <v>4.8887858014118803E-2</v>
      </c>
      <c r="AP127" s="2">
        <v>-8.7487815464283802E-2</v>
      </c>
      <c r="AQ127" s="2">
        <v>-0.36748566872145499</v>
      </c>
      <c r="AR127" s="2">
        <v>8.65112282688901E-2</v>
      </c>
      <c r="AS127" s="2">
        <v>-9.7757077518873206E-2</v>
      </c>
      <c r="AT127" s="2">
        <v>-1.38972613975862</v>
      </c>
    </row>
    <row r="128" spans="1:46" x14ac:dyDescent="0.25">
      <c r="A128" s="2">
        <v>1978.5</v>
      </c>
      <c r="B128" s="2">
        <v>2398.9</v>
      </c>
      <c r="C128" s="2">
        <v>6335.4020863594342</v>
      </c>
      <c r="D128" s="2">
        <v>37.865000000000002</v>
      </c>
      <c r="E128" s="2">
        <v>1446.2</v>
      </c>
      <c r="F128" s="2">
        <v>492.4</v>
      </c>
      <c r="G128" s="2">
        <v>3931.9213724477313</v>
      </c>
      <c r="H128" s="2">
        <v>545.79031310333255</v>
      </c>
      <c r="I128" s="2">
        <v>180.76618257930235</v>
      </c>
      <c r="J128" s="2">
        <v>41.371000000000002</v>
      </c>
      <c r="K128" s="2">
        <v>53.652000000000001</v>
      </c>
      <c r="L128" s="2">
        <v>77.11</v>
      </c>
      <c r="M128" s="2">
        <v>0.58258513441584625</v>
      </c>
      <c r="N128" s="2">
        <v>0.77344250752348798</v>
      </c>
      <c r="O128" s="2">
        <v>0.58558777310308174</v>
      </c>
      <c r="P128" s="2">
        <v>0.7395150075402851</v>
      </c>
      <c r="Q128" s="2">
        <v>5.4202568782836487</v>
      </c>
      <c r="R128" s="2">
        <v>222814</v>
      </c>
      <c r="S128" s="2">
        <v>162265</v>
      </c>
      <c r="T128" s="2">
        <v>9.5</v>
      </c>
      <c r="U128" s="2">
        <v>8.49</v>
      </c>
      <c r="V128" s="2">
        <v>7.31</v>
      </c>
      <c r="W128" s="2">
        <v>101.66333333333334</v>
      </c>
      <c r="X128" s="2">
        <v>74.803901672363281</v>
      </c>
      <c r="Y128" s="2">
        <v>-0.17565209171354301</v>
      </c>
      <c r="Z128" s="2">
        <v>7.3390244506299496E-3</v>
      </c>
      <c r="AA128" s="2">
        <v>1.0436297161504626E-3</v>
      </c>
      <c r="AB128" s="2">
        <v>0.50705385659774205</v>
      </c>
      <c r="AC128" s="2">
        <v>-9.4922871281346993E-2</v>
      </c>
      <c r="AD128" s="2">
        <v>0.278496113977096</v>
      </c>
      <c r="AE128" s="2">
        <v>0.15522485735497499</v>
      </c>
      <c r="AF128" s="2">
        <v>-0.74619999999999997</v>
      </c>
      <c r="AG128" s="2">
        <v>-4.1957000000000004</v>
      </c>
      <c r="AH128" s="2">
        <v>-6.25E-2</v>
      </c>
      <c r="AI128" s="2">
        <v>-1.66938236515878</v>
      </c>
      <c r="AJ128" s="2">
        <v>-2.39086330167947E-2</v>
      </c>
      <c r="AK128" s="2">
        <v>0.201259523695097</v>
      </c>
      <c r="AL128" s="2">
        <v>1.4107732633232799</v>
      </c>
      <c r="AM128" s="2">
        <v>-0.37712232524044598</v>
      </c>
      <c r="AN128" s="2">
        <v>9.6611869160697902E-2</v>
      </c>
      <c r="AO128" s="2">
        <v>-5.6027182667354299E-2</v>
      </c>
      <c r="AP128" s="2">
        <v>-6.0705890205968102E-3</v>
      </c>
      <c r="AQ128" s="2">
        <v>0.118502508273752</v>
      </c>
      <c r="AR128" s="2">
        <v>0.19139608237487099</v>
      </c>
      <c r="AS128" s="2">
        <v>-0.24437051390245601</v>
      </c>
      <c r="AT128" s="2">
        <v>-1.21512383104709</v>
      </c>
    </row>
    <row r="129" spans="1:46" x14ac:dyDescent="0.25">
      <c r="A129" s="2">
        <v>1978.75</v>
      </c>
      <c r="B129" s="2">
        <v>2482.1999999999998</v>
      </c>
      <c r="C129" s="2">
        <v>6420.4236827810964</v>
      </c>
      <c r="D129" s="2">
        <v>38.661000000000001</v>
      </c>
      <c r="E129" s="2">
        <v>1485.4</v>
      </c>
      <c r="F129" s="2">
        <v>515.79999999999995</v>
      </c>
      <c r="G129" s="2">
        <v>3963.4976118686131</v>
      </c>
      <c r="H129" s="2">
        <v>563.36633663366331</v>
      </c>
      <c r="I129" s="2">
        <v>182.82287557618642</v>
      </c>
      <c r="J129" s="2">
        <v>41.972999999999999</v>
      </c>
      <c r="K129" s="2">
        <v>53.847999999999999</v>
      </c>
      <c r="L129" s="2">
        <v>77.947999999999993</v>
      </c>
      <c r="M129" s="2">
        <v>0.58368653485656996</v>
      </c>
      <c r="N129" s="2">
        <v>0.77983585044426251</v>
      </c>
      <c r="O129" s="2">
        <v>0.58413345902838865</v>
      </c>
      <c r="P129" s="2">
        <v>0.73920626999559969</v>
      </c>
      <c r="Q129" s="2">
        <v>5.3186388033390513</v>
      </c>
      <c r="R129" s="2">
        <v>223473</v>
      </c>
      <c r="S129" s="2">
        <v>163024</v>
      </c>
      <c r="T129" s="2">
        <v>9.7899999999999991</v>
      </c>
      <c r="U129" s="2">
        <v>8.82</v>
      </c>
      <c r="V129" s="2">
        <v>8.57</v>
      </c>
      <c r="W129" s="2">
        <v>97.14</v>
      </c>
      <c r="X129" s="2">
        <v>68.874359130859375</v>
      </c>
      <c r="Y129" s="2">
        <v>-0.46535792011553101</v>
      </c>
      <c r="Z129" s="2">
        <v>-7.8239604830741882E-2</v>
      </c>
      <c r="AA129" s="2">
        <v>-2.4054117500782013E-2</v>
      </c>
      <c r="AB129" s="2">
        <v>-0.870933908116031</v>
      </c>
      <c r="AC129" s="2">
        <v>0.57279483290260302</v>
      </c>
      <c r="AD129" s="2">
        <v>0.76794684723093598</v>
      </c>
      <c r="AE129" s="2">
        <v>0.35541835975680802</v>
      </c>
      <c r="AF129" s="2">
        <v>-8.0500000000000002E-2</v>
      </c>
      <c r="AG129" s="2">
        <v>3.0968</v>
      </c>
      <c r="AH129" s="2">
        <v>-0.47420000000000001</v>
      </c>
      <c r="AI129" s="2">
        <v>0.74623443119051602</v>
      </c>
      <c r="AJ129" s="2">
        <v>1.5468081002116401</v>
      </c>
      <c r="AK129" s="2">
        <v>0.63102505263307596</v>
      </c>
      <c r="AL129" s="2">
        <v>1.1682241437063501</v>
      </c>
      <c r="AM129" s="2">
        <v>0.103408219847408</v>
      </c>
      <c r="AN129" s="2">
        <v>0.12400179673172999</v>
      </c>
      <c r="AO129" s="2">
        <v>0.14599908654875099</v>
      </c>
      <c r="AP129" s="2">
        <v>0.12876993484542601</v>
      </c>
      <c r="AQ129" s="2">
        <v>-1.2894628267881399E-2</v>
      </c>
      <c r="AR129" s="2">
        <v>-0.27090709212084801</v>
      </c>
      <c r="AS129" s="2">
        <v>-2.0039447619363502</v>
      </c>
      <c r="AT129" s="2">
        <v>-0.28728322702957998</v>
      </c>
    </row>
    <row r="130" spans="1:46" x14ac:dyDescent="0.25">
      <c r="A130" s="2">
        <v>1979</v>
      </c>
      <c r="B130" s="2">
        <v>2531.6</v>
      </c>
      <c r="C130" s="2">
        <v>6433.2181337670263</v>
      </c>
      <c r="D130" s="2">
        <v>39.351999999999997</v>
      </c>
      <c r="E130" s="2">
        <v>1521</v>
      </c>
      <c r="F130" s="2">
        <v>525.79999999999995</v>
      </c>
      <c r="G130" s="2">
        <v>3983.6567926455568</v>
      </c>
      <c r="H130" s="2">
        <v>576.3916942716329</v>
      </c>
      <c r="I130" s="2">
        <v>183.28895911869145</v>
      </c>
      <c r="J130" s="2">
        <v>42.027999999999999</v>
      </c>
      <c r="K130" s="2">
        <v>53.545999999999999</v>
      </c>
      <c r="L130" s="2">
        <v>78.489999999999995</v>
      </c>
      <c r="M130" s="2">
        <v>0.58203031186388798</v>
      </c>
      <c r="N130" s="2">
        <v>0.7803516968557519</v>
      </c>
      <c r="O130" s="2">
        <v>0.58400723846549862</v>
      </c>
      <c r="P130" s="2">
        <v>0.74179899439547436</v>
      </c>
      <c r="Q130" s="2">
        <v>5.2517615365851906</v>
      </c>
      <c r="R130" s="2">
        <v>224051</v>
      </c>
      <c r="S130" s="2">
        <v>163756</v>
      </c>
      <c r="T130" s="2">
        <v>10.16</v>
      </c>
      <c r="U130" s="2">
        <v>9.11</v>
      </c>
      <c r="V130" s="2">
        <v>9.3800000000000008</v>
      </c>
      <c r="W130" s="2">
        <v>99.34666666666665</v>
      </c>
      <c r="X130" s="2">
        <v>74.081321716308594</v>
      </c>
      <c r="Y130" s="2">
        <v>-0.32419050098339802</v>
      </c>
      <c r="Z130" s="2">
        <v>2.2366484627127647E-2</v>
      </c>
      <c r="AA130" s="2">
        <v>6.3231843523681164E-3</v>
      </c>
      <c r="AB130" s="2">
        <v>-0.51481628034855897</v>
      </c>
      <c r="AC130" s="2">
        <v>-0.50320692759161501</v>
      </c>
      <c r="AD130" s="2">
        <v>-0.65539872933691801</v>
      </c>
      <c r="AE130" s="2">
        <v>0.17064107769185699</v>
      </c>
      <c r="AF130" s="2">
        <v>-1.4054</v>
      </c>
      <c r="AG130" s="2">
        <v>-2.2200000000000001E-2</v>
      </c>
      <c r="AH130" s="2">
        <v>8.3400000000000002E-2</v>
      </c>
      <c r="AI130" s="2">
        <v>-0.46252113801639799</v>
      </c>
      <c r="AJ130" s="2">
        <v>0.84051675967694095</v>
      </c>
      <c r="AK130" s="2">
        <v>-0.45479621550729898</v>
      </c>
      <c r="AL130" s="2">
        <v>1.7977443343747701</v>
      </c>
      <c r="AM130" s="2">
        <v>-3.2257627759112999E-2</v>
      </c>
      <c r="AN130" s="2">
        <v>0.37560660671726298</v>
      </c>
      <c r="AO130" s="2">
        <v>-0.179469119977339</v>
      </c>
      <c r="AP130" s="2">
        <v>6.64565903252652E-2</v>
      </c>
      <c r="AQ130" s="2">
        <v>-0.24714539419654399</v>
      </c>
      <c r="AR130" s="2">
        <v>1.8124487943945899</v>
      </c>
      <c r="AS130" s="2">
        <v>-1.9149931281230499</v>
      </c>
      <c r="AT130" s="2">
        <v>-0.39769683456780303</v>
      </c>
    </row>
    <row r="131" spans="1:46" x14ac:dyDescent="0.25">
      <c r="A131" s="2">
        <v>1979.25</v>
      </c>
      <c r="B131" s="2">
        <v>2595.9</v>
      </c>
      <c r="C131" s="2">
        <v>6440.7999206034137</v>
      </c>
      <c r="D131" s="2">
        <v>40.304000000000002</v>
      </c>
      <c r="E131" s="2">
        <v>1561.5</v>
      </c>
      <c r="F131" s="2">
        <v>539.29999999999995</v>
      </c>
      <c r="G131" s="2">
        <v>3981.1840293712712</v>
      </c>
      <c r="H131" s="2">
        <v>575.88643513175987</v>
      </c>
      <c r="I131" s="2">
        <v>183.09829859888367</v>
      </c>
      <c r="J131" s="2">
        <v>42.076999999999998</v>
      </c>
      <c r="K131" s="2">
        <v>53.448</v>
      </c>
      <c r="L131" s="2">
        <v>78.724000000000004</v>
      </c>
      <c r="M131" s="2">
        <v>0.57083629099474942</v>
      </c>
      <c r="N131" s="2">
        <v>0.77783401908738548</v>
      </c>
      <c r="O131" s="2">
        <v>0.59587065017584928</v>
      </c>
      <c r="P131" s="2">
        <v>0.80237161130096635</v>
      </c>
      <c r="Q131" s="2">
        <v>5.1402217418662044</v>
      </c>
      <c r="R131" s="2">
        <v>224638</v>
      </c>
      <c r="S131" s="2">
        <v>164447</v>
      </c>
      <c r="T131" s="2">
        <v>10.39</v>
      </c>
      <c r="U131" s="2">
        <v>9.11</v>
      </c>
      <c r="V131" s="2">
        <v>9.3800000000000008</v>
      </c>
      <c r="W131" s="2">
        <v>101.17666666666666</v>
      </c>
      <c r="X131" s="2">
        <v>77.524131774902344</v>
      </c>
      <c r="Y131" s="2">
        <v>-0.23969985028585</v>
      </c>
      <c r="Z131" s="2">
        <v>-5.2095623686909676E-3</v>
      </c>
      <c r="AA131" s="2">
        <v>-7.004887331277132E-3</v>
      </c>
      <c r="AB131" s="2">
        <v>-0.56019110943333394</v>
      </c>
      <c r="AC131" s="2">
        <v>-0.97898012410602397</v>
      </c>
      <c r="AD131" s="2">
        <v>1.21166761721921</v>
      </c>
      <c r="AE131" s="2">
        <v>-0.163461019076237</v>
      </c>
      <c r="AF131" s="2">
        <v>-1.0958000000000001</v>
      </c>
      <c r="AG131" s="2">
        <v>1.1640999999999999</v>
      </c>
      <c r="AH131" s="2">
        <v>0.28310000000000002</v>
      </c>
      <c r="AI131" s="2">
        <v>-0.14891341470476999</v>
      </c>
      <c r="AJ131" s="2">
        <v>0.75303826514623495</v>
      </c>
      <c r="AK131" s="2">
        <v>0.107293450059741</v>
      </c>
      <c r="AL131" s="2">
        <v>1.59424098047906</v>
      </c>
      <c r="AM131" s="2">
        <v>7.4232753957120701E-2</v>
      </c>
      <c r="AN131" s="2">
        <v>3.7376957367180497E-2</v>
      </c>
      <c r="AO131" s="2">
        <v>1.1752177900153701E-2</v>
      </c>
      <c r="AP131" s="2">
        <v>-0.37870917547109301</v>
      </c>
      <c r="AQ131" s="2">
        <v>0.32839813441971699</v>
      </c>
      <c r="AR131" s="2">
        <v>-1.4158357492473299</v>
      </c>
      <c r="AS131" s="2">
        <v>-1.6027374160771299</v>
      </c>
      <c r="AT131" s="2">
        <v>-0.157602798088851</v>
      </c>
    </row>
    <row r="132" spans="1:46" x14ac:dyDescent="0.25">
      <c r="A132" s="2">
        <v>1979.5</v>
      </c>
      <c r="B132" s="2">
        <v>2670.4</v>
      </c>
      <c r="C132" s="2">
        <v>6487.0642536135065</v>
      </c>
      <c r="D132" s="2">
        <v>41.164999999999999</v>
      </c>
      <c r="E132" s="2">
        <v>1616</v>
      </c>
      <c r="F132" s="2">
        <v>545.6</v>
      </c>
      <c r="G132" s="2">
        <v>4020.5005722247097</v>
      </c>
      <c r="H132" s="2">
        <v>592.82419589511812</v>
      </c>
      <c r="I132" s="2">
        <v>185.59316335813801</v>
      </c>
      <c r="J132" s="2">
        <v>42.423999999999999</v>
      </c>
      <c r="K132" s="2">
        <v>53.445999999999998</v>
      </c>
      <c r="L132" s="2">
        <v>79.376999999999995</v>
      </c>
      <c r="M132" s="2">
        <v>0.5670987223313918</v>
      </c>
      <c r="N132" s="2">
        <v>0.77968083081984696</v>
      </c>
      <c r="O132" s="2">
        <v>0.58262511987852716</v>
      </c>
      <c r="P132" s="2">
        <v>0.78657533846740935</v>
      </c>
      <c r="Q132" s="2">
        <v>5.0357764736216986</v>
      </c>
      <c r="R132" s="2">
        <v>225299</v>
      </c>
      <c r="S132" s="2">
        <v>165200</v>
      </c>
      <c r="T132" s="2">
        <v>10.39</v>
      </c>
      <c r="U132" s="2">
        <v>9.1</v>
      </c>
      <c r="V132" s="2">
        <v>9.67</v>
      </c>
      <c r="W132" s="2">
        <v>106.23333333333335</v>
      </c>
      <c r="X132" s="2">
        <v>84.188385009765625</v>
      </c>
      <c r="Y132" s="2">
        <v>-1.1767697402231001</v>
      </c>
      <c r="Z132" s="2">
        <v>2.4144276976585388E-2</v>
      </c>
      <c r="AA132" s="2">
        <v>5.7065021246671677E-3</v>
      </c>
      <c r="AB132" s="2">
        <v>-1.6983190892603099</v>
      </c>
      <c r="AC132" s="2">
        <v>1.13422403551543E-2</v>
      </c>
      <c r="AD132" s="2">
        <v>1.3515265670196399</v>
      </c>
      <c r="AE132" s="2">
        <v>0.80145922934610303</v>
      </c>
      <c r="AF132" s="2">
        <v>-0.94669999999999999</v>
      </c>
      <c r="AG132" s="2">
        <v>2.6932999999999998</v>
      </c>
      <c r="AH132" s="2">
        <v>3.5799999999999998E-2</v>
      </c>
      <c r="AI132" s="2">
        <v>-1.8408754576994999</v>
      </c>
      <c r="AJ132" s="2">
        <v>-0.75563637427543395</v>
      </c>
      <c r="AK132" s="2">
        <v>0.53316622843197803</v>
      </c>
      <c r="AL132" s="2">
        <v>4.1187773818087701</v>
      </c>
      <c r="AM132" s="2">
        <v>0.26488589334569701</v>
      </c>
      <c r="AN132" s="2">
        <v>0.68124523355176203</v>
      </c>
      <c r="AO132" s="2">
        <v>2.6843726306926802E-2</v>
      </c>
      <c r="AP132" s="2">
        <v>3.2893791944212797E-2</v>
      </c>
      <c r="AQ132" s="2">
        <v>0.28057546848078502</v>
      </c>
      <c r="AR132" s="2">
        <v>1.0783955332461299</v>
      </c>
      <c r="AS132" s="2">
        <v>-1.7485882263885999</v>
      </c>
      <c r="AT132" s="2">
        <v>-0.27058377179836501</v>
      </c>
    </row>
    <row r="133" spans="1:46" x14ac:dyDescent="0.25">
      <c r="A133" s="2">
        <v>1979.75</v>
      </c>
      <c r="B133" s="2">
        <v>2730.7</v>
      </c>
      <c r="C133" s="2">
        <v>6503.8346115371796</v>
      </c>
      <c r="D133" s="2">
        <v>41.985999999999997</v>
      </c>
      <c r="E133" s="2">
        <v>1659.5</v>
      </c>
      <c r="F133" s="2">
        <v>547.9</v>
      </c>
      <c r="G133" s="2">
        <v>4031.3373011053081</v>
      </c>
      <c r="H133" s="2">
        <v>594.38275636838671</v>
      </c>
      <c r="I133" s="2">
        <v>186.11595234145278</v>
      </c>
      <c r="J133" s="2">
        <v>42.484999999999999</v>
      </c>
      <c r="K133" s="2">
        <v>53.341000000000001</v>
      </c>
      <c r="L133" s="2">
        <v>79.647999999999996</v>
      </c>
      <c r="M133" s="2">
        <v>0.56353174798697114</v>
      </c>
      <c r="N133" s="2">
        <v>0.77631637989177882</v>
      </c>
      <c r="O133" s="2">
        <v>0.58132277690814949</v>
      </c>
      <c r="P133" s="2">
        <v>0.79055737596011477</v>
      </c>
      <c r="Q133" s="2">
        <v>4.9523573029203414</v>
      </c>
      <c r="R133" s="2">
        <v>226024</v>
      </c>
      <c r="S133" s="2">
        <v>166055</v>
      </c>
      <c r="T133" s="2">
        <v>11.82</v>
      </c>
      <c r="U133" s="2">
        <v>10.45</v>
      </c>
      <c r="V133" s="2">
        <v>11.84</v>
      </c>
      <c r="W133" s="2">
        <v>105.33333333333333</v>
      </c>
      <c r="X133" s="2">
        <v>83.7471923828125</v>
      </c>
      <c r="Y133" s="2">
        <v>-0.420773528422836</v>
      </c>
      <c r="Z133" s="2">
        <v>-4.2617302387952805E-2</v>
      </c>
      <c r="AA133" s="2">
        <v>-1.397035364061594E-2</v>
      </c>
      <c r="AB133" s="2">
        <v>-0.35911726153700002</v>
      </c>
      <c r="AC133" s="2">
        <v>-0.16104756099301101</v>
      </c>
      <c r="AD133" s="2">
        <v>0.53992843883445796</v>
      </c>
      <c r="AE133" s="2">
        <v>-0.121770480774398</v>
      </c>
      <c r="AF133" s="2">
        <v>-0.73719999999999997</v>
      </c>
      <c r="AG133" s="2">
        <v>2.3618000000000001</v>
      </c>
      <c r="AH133" s="2">
        <v>0.2316</v>
      </c>
      <c r="AI133" s="2">
        <v>-1.1587114561532099</v>
      </c>
      <c r="AJ133" s="2">
        <v>-0.86428339320284797</v>
      </c>
      <c r="AK133" s="2">
        <v>0.65731899780382697</v>
      </c>
      <c r="AL133" s="2">
        <v>3.98330789596438</v>
      </c>
      <c r="AM133" s="2">
        <v>-0.20386657129587199</v>
      </c>
      <c r="AN133" s="2">
        <v>0.42724593961727603</v>
      </c>
      <c r="AO133" s="2">
        <v>4.0566739464019598E-2</v>
      </c>
      <c r="AP133" s="2">
        <v>-0.16214436037647301</v>
      </c>
      <c r="AQ133" s="2">
        <v>-0.65294053931738705</v>
      </c>
      <c r="AR133" s="2">
        <v>0.45823371631693799</v>
      </c>
      <c r="AS133" s="2">
        <v>-2.26146213068444</v>
      </c>
      <c r="AT133" s="2">
        <v>-0.13625422025811099</v>
      </c>
    </row>
    <row r="134" spans="1:46" x14ac:dyDescent="0.25">
      <c r="A134" s="2">
        <v>1980</v>
      </c>
      <c r="B134" s="2">
        <v>2796.5</v>
      </c>
      <c r="C134" s="2">
        <v>6524.8839216967262</v>
      </c>
      <c r="D134" s="2">
        <v>42.859000000000002</v>
      </c>
      <c r="E134" s="2">
        <v>1706.5</v>
      </c>
      <c r="F134" s="2">
        <v>554.6</v>
      </c>
      <c r="G134" s="2">
        <v>4024.9540072644932</v>
      </c>
      <c r="H134" s="2">
        <v>600.88833429891417</v>
      </c>
      <c r="I134" s="2">
        <v>185.50042423218446</v>
      </c>
      <c r="J134" s="2">
        <v>42.561999999999998</v>
      </c>
      <c r="K134" s="2">
        <v>53.692999999999998</v>
      </c>
      <c r="L134" s="2">
        <v>79.269000000000005</v>
      </c>
      <c r="M134" s="2">
        <v>0.56271337358718965</v>
      </c>
      <c r="N134" s="2">
        <v>0.77117307263469992</v>
      </c>
      <c r="O134" s="2">
        <v>0.60287202516553928</v>
      </c>
      <c r="P134" s="2">
        <v>0.80380034041062176</v>
      </c>
      <c r="Q134" s="2">
        <v>4.89205747065136</v>
      </c>
      <c r="R134" s="2">
        <v>226652</v>
      </c>
      <c r="S134" s="2">
        <v>166762</v>
      </c>
      <c r="T134" s="2">
        <v>13.48</v>
      </c>
      <c r="U134" s="2">
        <v>11.99</v>
      </c>
      <c r="V134" s="2">
        <v>13.35</v>
      </c>
      <c r="W134" s="2">
        <v>110.3</v>
      </c>
      <c r="X134" s="2">
        <v>88.632598876953125</v>
      </c>
      <c r="Y134" s="2">
        <v>0.36869045601042999</v>
      </c>
      <c r="Z134" s="2">
        <v>2.3926384747028351E-2</v>
      </c>
      <c r="AA134" s="2">
        <v>6.2234788201749325E-3</v>
      </c>
      <c r="AB134" s="2">
        <v>0.18776488817583301</v>
      </c>
      <c r="AC134" s="2">
        <v>-1.74695435248248</v>
      </c>
      <c r="AD134" s="2">
        <v>-0.121340976061383</v>
      </c>
      <c r="AE134" s="2">
        <v>0.417402169631303</v>
      </c>
      <c r="AF134" s="2">
        <v>-0.65180000000000005</v>
      </c>
      <c r="AG134" s="2">
        <v>5.4744999999999999</v>
      </c>
      <c r="AH134" s="2">
        <v>0.5343</v>
      </c>
      <c r="AI134" s="2">
        <v>0.29750682596519701</v>
      </c>
      <c r="AJ134" s="2">
        <v>-1.0201950175127099</v>
      </c>
      <c r="AK134" s="2">
        <v>0.88143757596906303</v>
      </c>
      <c r="AL134" s="2">
        <v>3.7000629052491099</v>
      </c>
      <c r="AM134" s="2">
        <v>0.178444030482697</v>
      </c>
      <c r="AN134" s="2">
        <v>0.312495998141952</v>
      </c>
      <c r="AO134" s="2">
        <v>5.8066636152905001E-3</v>
      </c>
      <c r="AP134" s="2">
        <v>-0.324228400626764</v>
      </c>
      <c r="AQ134" s="2">
        <v>0.66993896548688803</v>
      </c>
      <c r="AR134" s="2">
        <v>-0.81000350781005603</v>
      </c>
      <c r="AS134" s="2">
        <v>-1.8156988297708601</v>
      </c>
      <c r="AT134" s="2">
        <v>4.4423822936407502E-2</v>
      </c>
    </row>
    <row r="135" spans="1:46" x14ac:dyDescent="0.25">
      <c r="A135" s="2">
        <v>1980.25</v>
      </c>
      <c r="B135" s="2">
        <v>2799.9</v>
      </c>
      <c r="C135" s="2">
        <v>6392.465753424658</v>
      </c>
      <c r="D135" s="2">
        <v>43.8</v>
      </c>
      <c r="E135" s="2">
        <v>1708.9</v>
      </c>
      <c r="F135" s="2">
        <v>519.29999999999995</v>
      </c>
      <c r="G135" s="2">
        <v>3934.384712789225</v>
      </c>
      <c r="H135" s="2">
        <v>573.14204396944797</v>
      </c>
      <c r="I135" s="2">
        <v>183.23827331848727</v>
      </c>
      <c r="J135" s="2">
        <v>41.374000000000002</v>
      </c>
      <c r="K135" s="2">
        <v>53.09</v>
      </c>
      <c r="L135" s="2">
        <v>77.930999999999997</v>
      </c>
      <c r="M135" s="2">
        <v>0.54158873544490427</v>
      </c>
      <c r="N135" s="2">
        <v>0.74817036208554499</v>
      </c>
      <c r="O135" s="2">
        <v>0.59439533182728699</v>
      </c>
      <c r="P135" s="2">
        <v>0.82642478165615973</v>
      </c>
      <c r="Q135" s="2">
        <v>4.8878272103319462</v>
      </c>
      <c r="R135" s="2">
        <v>227278</v>
      </c>
      <c r="S135" s="2">
        <v>167416</v>
      </c>
      <c r="T135" s="2">
        <v>13.36</v>
      </c>
      <c r="U135" s="2">
        <v>10.48</v>
      </c>
      <c r="V135" s="2">
        <v>9.6199999999999992</v>
      </c>
      <c r="W135" s="2">
        <v>108.43333333333332</v>
      </c>
      <c r="X135" s="2">
        <v>90.181381225585938</v>
      </c>
      <c r="Y135" s="2">
        <v>-0.88908787613461104</v>
      </c>
      <c r="Z135" s="2">
        <v>-3.2743386924266815E-2</v>
      </c>
      <c r="AA135" s="2">
        <v>-2.2154657170176506E-2</v>
      </c>
      <c r="AB135" s="2">
        <v>1.6849462250470399</v>
      </c>
      <c r="AC135" s="2">
        <v>-0.77181379359177305</v>
      </c>
      <c r="AD135" s="2">
        <v>0.114821354212313</v>
      </c>
      <c r="AE135" s="2">
        <v>-2.0865353553084498</v>
      </c>
      <c r="AF135" s="2">
        <v>-1.0341</v>
      </c>
      <c r="AG135" s="2">
        <v>-12.763400000000001</v>
      </c>
      <c r="AH135" s="2">
        <v>-0.1694</v>
      </c>
      <c r="AI135" s="2">
        <v>-2.00490070119523</v>
      </c>
      <c r="AJ135" s="2">
        <v>-0.33039757502928402</v>
      </c>
      <c r="AK135" s="2">
        <v>0.38841813928472402</v>
      </c>
      <c r="AL135" s="2">
        <v>-0.27569049983199301</v>
      </c>
      <c r="AM135" s="2">
        <v>-0.24397971849713199</v>
      </c>
      <c r="AN135" s="2">
        <v>0.890156427976451</v>
      </c>
      <c r="AO135" s="2">
        <v>-0.40335142735850399</v>
      </c>
      <c r="AP135" s="2">
        <v>0.171643669364621</v>
      </c>
      <c r="AQ135" s="2">
        <v>-1.2432962326436701</v>
      </c>
      <c r="AR135" s="2">
        <v>0.71275036205523801</v>
      </c>
      <c r="AS135" s="2">
        <v>-2.0413500840069099</v>
      </c>
      <c r="AT135" s="2">
        <v>-0.76319176740015604</v>
      </c>
    </row>
    <row r="136" spans="1:46" x14ac:dyDescent="0.25">
      <c r="A136" s="2">
        <v>1980.5</v>
      </c>
      <c r="B136" s="2">
        <v>2860</v>
      </c>
      <c r="C136" s="2">
        <v>6382.7887877164794</v>
      </c>
      <c r="D136" s="2">
        <v>44.808</v>
      </c>
      <c r="E136" s="2">
        <v>1767.7</v>
      </c>
      <c r="F136" s="2">
        <v>495.1</v>
      </c>
      <c r="G136" s="2">
        <v>3976.9173659699882</v>
      </c>
      <c r="H136" s="2">
        <v>576.89299680056877</v>
      </c>
      <c r="I136" s="2">
        <v>182.67644173857622</v>
      </c>
      <c r="J136" s="2">
        <v>41.247</v>
      </c>
      <c r="K136" s="2">
        <v>53.125999999999998</v>
      </c>
      <c r="L136" s="2">
        <v>77.64</v>
      </c>
      <c r="M136" s="2">
        <v>0.54224220742728124</v>
      </c>
      <c r="N136" s="2">
        <v>0.75169288945614909</v>
      </c>
      <c r="O136" s="2">
        <v>0.58927336596859692</v>
      </c>
      <c r="P136" s="2">
        <v>0.81433779037144793</v>
      </c>
      <c r="Q136" s="2">
        <v>4.89996048787087</v>
      </c>
      <c r="R136" s="2">
        <v>227955</v>
      </c>
      <c r="S136" s="2">
        <v>168111</v>
      </c>
      <c r="T136" s="2">
        <v>13.17</v>
      </c>
      <c r="U136" s="2">
        <v>10.95</v>
      </c>
      <c r="V136" s="2">
        <v>9.15</v>
      </c>
      <c r="W136" s="2">
        <v>123.26666666666667</v>
      </c>
      <c r="X136" s="2">
        <v>103.39353942871094</v>
      </c>
      <c r="Y136" s="2">
        <v>-0.41926465301049398</v>
      </c>
      <c r="Z136" s="2">
        <v>0.12098599970340729</v>
      </c>
      <c r="AA136" s="2">
        <v>3.522786870598793E-2</v>
      </c>
      <c r="AB136" s="2">
        <v>-0.32141110226307901</v>
      </c>
      <c r="AC136" s="2">
        <v>1.32798067308768</v>
      </c>
      <c r="AD136" s="2">
        <v>1.2338271637574401</v>
      </c>
      <c r="AE136" s="2">
        <v>-0.32552797192432498</v>
      </c>
      <c r="AF136" s="2">
        <v>0.13719999999999999</v>
      </c>
      <c r="AG136" s="2">
        <v>3.2858999999999998</v>
      </c>
      <c r="AH136" s="2">
        <v>0.2452</v>
      </c>
      <c r="AI136" s="2">
        <v>0.44339773796920101</v>
      </c>
      <c r="AJ136" s="2">
        <v>-1.3163748625270401E-2</v>
      </c>
      <c r="AK136" s="2">
        <v>1.2149069187899899</v>
      </c>
      <c r="AL136" s="2">
        <v>3.5144946666426198</v>
      </c>
      <c r="AM136" s="2">
        <v>0.72531722315657998</v>
      </c>
      <c r="AN136" s="2">
        <v>0.37799188180856103</v>
      </c>
      <c r="AO136" s="2">
        <v>5.7850940033341798E-2</v>
      </c>
      <c r="AP136" s="2">
        <v>7.0522083061955607E-2</v>
      </c>
      <c r="AQ136" s="2">
        <v>0.67502212390203198</v>
      </c>
      <c r="AR136" s="2">
        <v>0.50142133826745405</v>
      </c>
      <c r="AS136" s="2">
        <v>-0.336572701461404</v>
      </c>
      <c r="AT136" s="2">
        <v>1.45212105209395</v>
      </c>
    </row>
    <row r="137" spans="1:46" x14ac:dyDescent="0.25">
      <c r="A137" s="2">
        <v>1980.75</v>
      </c>
      <c r="B137" s="2">
        <v>2993.5</v>
      </c>
      <c r="C137" s="2">
        <v>6501.1075880641101</v>
      </c>
      <c r="D137" s="2">
        <v>46.045999999999999</v>
      </c>
      <c r="E137" s="2">
        <v>1835.4</v>
      </c>
      <c r="F137" s="2">
        <v>551.5</v>
      </c>
      <c r="G137" s="2">
        <v>4029.6836235097812</v>
      </c>
      <c r="H137" s="2">
        <v>589.12049938691337</v>
      </c>
      <c r="I137" s="2">
        <v>184.63844083312975</v>
      </c>
      <c r="J137" s="2">
        <v>42.226999999999997</v>
      </c>
      <c r="K137" s="2">
        <v>53.707000000000001</v>
      </c>
      <c r="L137" s="2">
        <v>78.625</v>
      </c>
      <c r="M137" s="2">
        <v>0.55745810390722683</v>
      </c>
      <c r="N137" s="2">
        <v>0.77598754294598782</v>
      </c>
      <c r="O137" s="2">
        <v>0.58197907611057065</v>
      </c>
      <c r="P137" s="2">
        <v>0.78547575014570137</v>
      </c>
      <c r="Q137" s="2">
        <v>4.9023414019257645</v>
      </c>
      <c r="R137" s="2">
        <v>228603</v>
      </c>
      <c r="S137" s="2">
        <v>168694</v>
      </c>
      <c r="T137" s="2">
        <v>14.67</v>
      </c>
      <c r="U137" s="2">
        <v>12.42</v>
      </c>
      <c r="V137" s="2">
        <v>13.61</v>
      </c>
      <c r="W137" s="2">
        <v>133.13333333333333</v>
      </c>
      <c r="X137" s="2">
        <v>114.71120452880859</v>
      </c>
      <c r="Y137" s="2">
        <v>-0.96345597096896696</v>
      </c>
      <c r="Z137" s="2">
        <v>-3.0550342053174973E-2</v>
      </c>
      <c r="AA137" s="2">
        <v>-2.5991809088736773E-3</v>
      </c>
      <c r="AB137" s="2">
        <v>-0.30499539085894201</v>
      </c>
      <c r="AC137" s="2">
        <v>1.06094156418357</v>
      </c>
      <c r="AD137" s="2">
        <v>0.90531105862378602</v>
      </c>
      <c r="AE137" s="2">
        <v>6.6060078671899503E-2</v>
      </c>
      <c r="AF137" s="2">
        <v>0.69799999999999995</v>
      </c>
      <c r="AG137" s="2">
        <v>23.509899999999998</v>
      </c>
      <c r="AH137" s="2">
        <v>0.51200000000000001</v>
      </c>
      <c r="AI137" s="2">
        <v>0.12795216171338999</v>
      </c>
      <c r="AJ137" s="2">
        <v>0.61694081473198903</v>
      </c>
      <c r="AK137" s="2">
        <v>0.31299233209956001</v>
      </c>
      <c r="AL137" s="2">
        <v>3.4889237097464298</v>
      </c>
      <c r="AM137" s="2">
        <v>0.44937796679521402</v>
      </c>
      <c r="AN137" s="2">
        <v>7.3664150193782807E-2</v>
      </c>
      <c r="AO137" s="2">
        <v>-0.15891788740214199</v>
      </c>
      <c r="AP137" s="2">
        <v>0.166210771180409</v>
      </c>
      <c r="AQ137" s="2">
        <v>0.253761381890801</v>
      </c>
      <c r="AR137" s="2">
        <v>0.74418840918875095</v>
      </c>
      <c r="AS137" s="2">
        <v>-0.47322825842917599</v>
      </c>
      <c r="AT137" s="2">
        <v>0.92560185336825995</v>
      </c>
    </row>
    <row r="138" spans="1:46" x14ac:dyDescent="0.25">
      <c r="A138" s="2">
        <v>1981</v>
      </c>
      <c r="B138" s="2">
        <v>3131.8</v>
      </c>
      <c r="C138" s="2">
        <v>6635.7318416814987</v>
      </c>
      <c r="D138" s="2">
        <v>47.195999999999998</v>
      </c>
      <c r="E138" s="2">
        <v>1890.7</v>
      </c>
      <c r="F138" s="2">
        <v>619.4</v>
      </c>
      <c r="G138" s="2">
        <v>4050.7766470273168</v>
      </c>
      <c r="H138" s="2">
        <v>601.13442071267673</v>
      </c>
      <c r="I138" s="2">
        <v>185.27633060736514</v>
      </c>
      <c r="J138" s="2">
        <v>43.319000000000003</v>
      </c>
      <c r="K138" s="2">
        <v>54.798999999999999</v>
      </c>
      <c r="L138" s="2">
        <v>79.051000000000002</v>
      </c>
      <c r="M138" s="2">
        <v>0.56802984237174514</v>
      </c>
      <c r="N138" s="2">
        <v>0.79713043678957085</v>
      </c>
      <c r="O138" s="2">
        <v>0.5948494220592494</v>
      </c>
      <c r="P138" s="2">
        <v>0.82088248455104418</v>
      </c>
      <c r="Q138" s="2">
        <v>4.956108643438963</v>
      </c>
      <c r="R138" s="2">
        <v>229077</v>
      </c>
      <c r="S138" s="2">
        <v>169279</v>
      </c>
      <c r="T138" s="2">
        <v>15.25</v>
      </c>
      <c r="U138" s="2">
        <v>12.96</v>
      </c>
      <c r="V138" s="2">
        <v>14.39</v>
      </c>
      <c r="W138" s="2">
        <v>131.53333333333333</v>
      </c>
      <c r="X138" s="2">
        <v>114.32862091064453</v>
      </c>
      <c r="Y138" s="2">
        <v>0.12186307588954801</v>
      </c>
      <c r="Z138" s="2">
        <v>-7.5580373406410217E-2</v>
      </c>
      <c r="AA138" s="2">
        <v>-1.8968800082802773E-2</v>
      </c>
      <c r="AB138" s="2">
        <v>0.36256443127798699</v>
      </c>
      <c r="AC138" s="2">
        <v>0.69505941012776795</v>
      </c>
      <c r="AD138" s="2">
        <v>0.37396201915430399</v>
      </c>
      <c r="AE138" s="2">
        <v>1.5447640425120801</v>
      </c>
      <c r="AF138" s="2">
        <v>0.7853</v>
      </c>
      <c r="AG138" s="2">
        <v>6.2755000000000001</v>
      </c>
      <c r="AH138" s="2">
        <v>0.1409</v>
      </c>
      <c r="AI138" s="2">
        <v>-1.4483671264366</v>
      </c>
      <c r="AJ138" s="2">
        <v>-0.42178556249431498</v>
      </c>
      <c r="AK138" s="2">
        <v>1.27234085077564</v>
      </c>
      <c r="AL138" s="2">
        <v>1.3568001921375901</v>
      </c>
      <c r="AM138" s="2">
        <v>0.15710666990911001</v>
      </c>
      <c r="AN138" s="2">
        <v>-5.0885172931487803E-2</v>
      </c>
      <c r="AO138" s="2">
        <v>-0.34759853802709501</v>
      </c>
      <c r="AP138" s="2">
        <v>0.181147749024094</v>
      </c>
      <c r="AQ138" s="2">
        <v>-0.67865676272744802</v>
      </c>
      <c r="AR138" s="2">
        <v>0.30205648413419001</v>
      </c>
      <c r="AS138" s="2">
        <v>-0.98259082651468199</v>
      </c>
      <c r="AT138" s="2">
        <v>0.53765167558544402</v>
      </c>
    </row>
    <row r="139" spans="1:46" x14ac:dyDescent="0.25">
      <c r="A139" s="2">
        <v>1981.25</v>
      </c>
      <c r="B139" s="2">
        <v>3167.3</v>
      </c>
      <c r="C139" s="2">
        <v>6587.4253863272388</v>
      </c>
      <c r="D139" s="2">
        <v>48.081000000000003</v>
      </c>
      <c r="E139" s="2">
        <v>1921.9</v>
      </c>
      <c r="F139" s="2">
        <v>609.79999999999995</v>
      </c>
      <c r="G139" s="2">
        <v>4050.0273949508996</v>
      </c>
      <c r="H139" s="2">
        <v>613.42945362505134</v>
      </c>
      <c r="I139" s="2">
        <v>184.29822967545695</v>
      </c>
      <c r="J139" s="2">
        <v>42.877000000000002</v>
      </c>
      <c r="K139" s="2">
        <v>54.329000000000001</v>
      </c>
      <c r="L139" s="2">
        <v>78.921000000000006</v>
      </c>
      <c r="M139" s="2">
        <v>0.56002821231349331</v>
      </c>
      <c r="N139" s="2">
        <v>0.78799028726840536</v>
      </c>
      <c r="O139" s="2">
        <v>0.58501810520810904</v>
      </c>
      <c r="P139" s="2">
        <v>0.80226954085877489</v>
      </c>
      <c r="Q139" s="2">
        <v>5.0321693560700531</v>
      </c>
      <c r="R139" s="2">
        <v>229580</v>
      </c>
      <c r="S139" s="2">
        <v>169837</v>
      </c>
      <c r="T139" s="2">
        <v>15.77</v>
      </c>
      <c r="U139" s="2">
        <v>13.75</v>
      </c>
      <c r="V139" s="2">
        <v>14.91</v>
      </c>
      <c r="W139" s="2">
        <v>132.80000000000001</v>
      </c>
      <c r="X139" s="2">
        <v>117.90766906738281</v>
      </c>
      <c r="Y139" s="2">
        <v>-0.54325622200264601</v>
      </c>
      <c r="Z139" s="2">
        <v>1.6841407865285873E-2</v>
      </c>
      <c r="AA139" s="2">
        <v>-1.0577024659141898E-3</v>
      </c>
      <c r="AB139" s="2">
        <v>0.744717865392305</v>
      </c>
      <c r="AC139" s="2">
        <v>-0.50939871454809205</v>
      </c>
      <c r="AD139" s="2">
        <v>-1.03208335400124</v>
      </c>
      <c r="AE139" s="2">
        <v>-0.40506756962495599</v>
      </c>
      <c r="AF139" s="2">
        <v>-1.7291000000000001</v>
      </c>
      <c r="AG139" s="2">
        <v>-7.5616000000000003</v>
      </c>
      <c r="AH139" s="2">
        <v>-1.1012999999999999</v>
      </c>
      <c r="AI139" s="2">
        <v>0.44888105009541901</v>
      </c>
      <c r="AJ139" s="2">
        <v>-1.3409853614851699</v>
      </c>
      <c r="AK139" s="2">
        <v>-0.98385666984985398</v>
      </c>
      <c r="AL139" s="2">
        <v>1.6406919778785301</v>
      </c>
      <c r="AM139" s="2">
        <v>0.91112821686592704</v>
      </c>
      <c r="AN139" s="2">
        <v>0.197692670911121</v>
      </c>
      <c r="AO139" s="2">
        <v>0.18349305724102299</v>
      </c>
      <c r="AP139" s="2">
        <v>0.27156897695427701</v>
      </c>
      <c r="AQ139" s="2">
        <v>0.52715838900795897</v>
      </c>
      <c r="AR139" s="2">
        <v>1.2100873220047399</v>
      </c>
      <c r="AS139" s="2">
        <v>-1.0618982280451299</v>
      </c>
      <c r="AT139" s="2">
        <v>0.27590096947624498</v>
      </c>
    </row>
    <row r="140" spans="1:46" x14ac:dyDescent="0.25">
      <c r="A140" s="2">
        <v>1981.5</v>
      </c>
      <c r="B140" s="2">
        <v>3261.2</v>
      </c>
      <c r="C140" s="2">
        <v>6662.8529399746658</v>
      </c>
      <c r="D140" s="2">
        <v>48.945999999999998</v>
      </c>
      <c r="E140" s="2">
        <v>1961.2</v>
      </c>
      <c r="F140" s="2">
        <v>652.29999999999995</v>
      </c>
      <c r="G140" s="2">
        <v>4066.264435736352</v>
      </c>
      <c r="H140" s="2">
        <v>627.38310581315147</v>
      </c>
      <c r="I140" s="2">
        <v>183.5435604919688</v>
      </c>
      <c r="J140" s="2">
        <v>43.442999999999998</v>
      </c>
      <c r="K140" s="2">
        <v>55.024000000000001</v>
      </c>
      <c r="L140" s="2">
        <v>78.953000000000003</v>
      </c>
      <c r="M140" s="2">
        <v>0.57037235194420621</v>
      </c>
      <c r="N140" s="2">
        <v>0.80327692052070843</v>
      </c>
      <c r="O140" s="2">
        <v>0.60541155622377962</v>
      </c>
      <c r="P140" s="2">
        <v>0.82966917978534827</v>
      </c>
      <c r="Q140" s="2">
        <v>5.0466599751803622</v>
      </c>
      <c r="R140" s="2">
        <v>230188</v>
      </c>
      <c r="S140" s="2">
        <v>170413</v>
      </c>
      <c r="T140" s="2">
        <v>16.48</v>
      </c>
      <c r="U140" s="2">
        <v>14.85</v>
      </c>
      <c r="V140" s="2">
        <v>15.05</v>
      </c>
      <c r="W140" s="2">
        <v>125.66666666666667</v>
      </c>
      <c r="X140" s="2">
        <v>110.56886291503906</v>
      </c>
      <c r="Y140" s="2">
        <v>1.2890579616734399</v>
      </c>
      <c r="Z140" s="2">
        <v>-0.10251159220933914</v>
      </c>
      <c r="AA140" s="2">
        <v>-2.56390031427145E-2</v>
      </c>
      <c r="AB140" s="2">
        <v>-1.00552856659783</v>
      </c>
      <c r="AC140" s="2">
        <v>0.21065911683707</v>
      </c>
      <c r="AD140" s="2">
        <v>-0.300949706472598</v>
      </c>
      <c r="AE140" s="2">
        <v>1.5089602513664699</v>
      </c>
      <c r="AF140" s="2">
        <v>1.5389999999999999</v>
      </c>
      <c r="AG140" s="2">
        <v>13.8995</v>
      </c>
      <c r="AH140" s="2">
        <v>0.32969999999999999</v>
      </c>
      <c r="AI140" s="2">
        <v>-1.1829790936652</v>
      </c>
      <c r="AJ140" s="2">
        <v>-0.57039206768960804</v>
      </c>
      <c r="AK140" s="2">
        <v>0.21594175432924601</v>
      </c>
      <c r="AL140" s="2">
        <v>4.2646423302355003E-3</v>
      </c>
      <c r="AM140" s="2">
        <v>-9.9922013088106498E-2</v>
      </c>
      <c r="AN140" s="2">
        <v>-0.26779371935541602</v>
      </c>
      <c r="AO140" s="2">
        <v>-5.9005398241621598E-2</v>
      </c>
      <c r="AP140" s="2">
        <v>0.26264540570818701</v>
      </c>
      <c r="AQ140" s="2">
        <v>-0.39442637375344503</v>
      </c>
      <c r="AR140" s="2">
        <v>0.113224759454761</v>
      </c>
      <c r="AS140" s="2">
        <v>0.33874187042431197</v>
      </c>
      <c r="AT140" s="2">
        <v>-2.89692447401723E-2</v>
      </c>
    </row>
    <row r="141" spans="1:46" x14ac:dyDescent="0.25">
      <c r="A141" s="2">
        <v>1981.75</v>
      </c>
      <c r="B141" s="2">
        <v>3283.5</v>
      </c>
      <c r="C141" s="2">
        <v>6585.0430178689612</v>
      </c>
      <c r="D141" s="2">
        <v>49.863</v>
      </c>
      <c r="E141" s="2">
        <v>1976.1</v>
      </c>
      <c r="F141" s="2">
        <v>643.4</v>
      </c>
      <c r="G141" s="2">
        <v>4035.8222367453641</v>
      </c>
      <c r="H141" s="2">
        <v>641.63631269263101</v>
      </c>
      <c r="I141" s="2">
        <v>184.50711517319721</v>
      </c>
      <c r="J141" s="2">
        <v>42.716999999999999</v>
      </c>
      <c r="K141" s="2">
        <v>54.286000000000001</v>
      </c>
      <c r="L141" s="2">
        <v>78.688000000000002</v>
      </c>
      <c r="M141" s="2">
        <v>0.55086884797140701</v>
      </c>
      <c r="N141" s="2">
        <v>0.78511698431121024</v>
      </c>
      <c r="O141" s="2">
        <v>0.59968331869858693</v>
      </c>
      <c r="P141" s="2">
        <v>0.83353648942933378</v>
      </c>
      <c r="Q141" s="2">
        <v>5.0429433075127292</v>
      </c>
      <c r="R141" s="2">
        <v>230817</v>
      </c>
      <c r="S141" s="2">
        <v>170990</v>
      </c>
      <c r="T141" s="2">
        <v>16.68</v>
      </c>
      <c r="U141" s="2">
        <v>14.09</v>
      </c>
      <c r="V141" s="2">
        <v>11.75</v>
      </c>
      <c r="W141" s="2">
        <v>122.16666666666667</v>
      </c>
      <c r="X141" s="2">
        <v>112.51589965820313</v>
      </c>
      <c r="Y141" s="2">
        <v>-2.7569674597012201</v>
      </c>
      <c r="Z141" s="2">
        <v>1.9648578017950058E-3</v>
      </c>
      <c r="AA141" s="2">
        <v>-7.1534579619765282E-3</v>
      </c>
      <c r="AB141" s="2">
        <v>-9.2482885536653396E-3</v>
      </c>
      <c r="AC141" s="2">
        <v>0.67489558906152303</v>
      </c>
      <c r="AD141" s="2">
        <v>-0.54429839330333396</v>
      </c>
      <c r="AE141" s="2">
        <v>-0.81560605027045197</v>
      </c>
      <c r="AF141" s="2">
        <v>-1.6633</v>
      </c>
      <c r="AG141" s="2">
        <v>-11.9032</v>
      </c>
      <c r="AH141" s="2">
        <v>-0.96460000000000001</v>
      </c>
      <c r="AI141" s="2">
        <v>-2.3243327340100701</v>
      </c>
      <c r="AJ141" s="2">
        <v>-0.71982903150434696</v>
      </c>
      <c r="AK141" s="2">
        <v>-0.65329527273176002</v>
      </c>
      <c r="AL141" s="2">
        <v>0.972662071098232</v>
      </c>
      <c r="AM141" s="2">
        <v>2.6264424639600201E-2</v>
      </c>
      <c r="AN141" s="2">
        <v>0.14772815137831999</v>
      </c>
      <c r="AO141" s="2">
        <v>0.16745209484787599</v>
      </c>
      <c r="AP141" s="2">
        <v>0.17748201714004699</v>
      </c>
      <c r="AQ141" s="2">
        <v>0.26705951964282398</v>
      </c>
      <c r="AR141" s="2">
        <v>-0.14354336955427599</v>
      </c>
      <c r="AS141" s="2">
        <v>1.26371451338705</v>
      </c>
      <c r="AT141" s="2">
        <v>0.17696094070879001</v>
      </c>
    </row>
    <row r="142" spans="1:46" x14ac:dyDescent="0.25">
      <c r="A142" s="2">
        <v>1982</v>
      </c>
      <c r="B142" s="2">
        <v>3273.8</v>
      </c>
      <c r="C142" s="2">
        <v>6474.9510492276659</v>
      </c>
      <c r="D142" s="2">
        <v>50.561</v>
      </c>
      <c r="E142" s="2">
        <v>2014.4</v>
      </c>
      <c r="F142" s="2">
        <v>588.29999999999995</v>
      </c>
      <c r="G142" s="2">
        <v>4062.600838980316</v>
      </c>
      <c r="H142" s="2">
        <v>624.89066600024989</v>
      </c>
      <c r="I142" s="2">
        <v>181.61597028283759</v>
      </c>
      <c r="J142" s="2">
        <v>41.74</v>
      </c>
      <c r="K142" s="2">
        <v>53.924999999999997</v>
      </c>
      <c r="L142" s="2">
        <v>77.403999999999996</v>
      </c>
      <c r="M142" s="2">
        <v>0.53815881843977997</v>
      </c>
      <c r="N142" s="2">
        <v>0.7778631283779639</v>
      </c>
      <c r="O142" s="2">
        <v>0.60366245867834467</v>
      </c>
      <c r="P142" s="2">
        <v>0.86473768557350006</v>
      </c>
      <c r="Q142" s="2">
        <v>5.049705788575408</v>
      </c>
      <c r="R142" s="2">
        <v>231313</v>
      </c>
      <c r="S142" s="2">
        <v>171497</v>
      </c>
      <c r="T142" s="2">
        <v>17.03</v>
      </c>
      <c r="U142" s="2">
        <v>14.29</v>
      </c>
      <c r="V142" s="2">
        <v>12.81</v>
      </c>
      <c r="W142" s="2">
        <v>114.2</v>
      </c>
      <c r="X142" s="2">
        <v>105.36970520019531</v>
      </c>
      <c r="Y142" s="2">
        <v>-0.102251671461075</v>
      </c>
      <c r="Z142" s="2">
        <v>-4.480385035276413E-2</v>
      </c>
      <c r="AA142" s="2">
        <v>-1.7488140612840652E-2</v>
      </c>
      <c r="AB142" s="2">
        <v>0.67705289405871305</v>
      </c>
      <c r="AC142" s="2">
        <v>-0.125886647668535</v>
      </c>
      <c r="AD142" s="2">
        <v>-1.3163363287275199E-2</v>
      </c>
      <c r="AE142" s="2">
        <v>-0.89369598503296099</v>
      </c>
      <c r="AF142" s="2">
        <v>-4.19E-2</v>
      </c>
      <c r="AG142" s="2">
        <v>0.14530000000000001</v>
      </c>
      <c r="AH142" s="2">
        <v>-5.91E-2</v>
      </c>
      <c r="AI142" s="2">
        <v>1.3845490719623901</v>
      </c>
      <c r="AJ142" s="2">
        <v>-0.97156918716183605</v>
      </c>
      <c r="AK142" s="2">
        <v>-0.72553268793915204</v>
      </c>
      <c r="AL142" s="2">
        <v>-0.64388830111982398</v>
      </c>
      <c r="AM142" s="2">
        <v>-1.3597948795638901E-2</v>
      </c>
      <c r="AN142" s="2">
        <v>0.23261481608675399</v>
      </c>
      <c r="AO142" s="2">
        <v>0.19648325372318801</v>
      </c>
      <c r="AP142" s="2">
        <v>0.72877486917385004</v>
      </c>
      <c r="AQ142" s="2">
        <v>0.11932016443975001</v>
      </c>
      <c r="AR142" s="2">
        <v>-0.60694713791636001</v>
      </c>
      <c r="AS142" s="2">
        <v>0.83736729124430398</v>
      </c>
      <c r="AT142" s="2">
        <v>-0.30162886095507102</v>
      </c>
    </row>
    <row r="143" spans="1:46" x14ac:dyDescent="0.25">
      <c r="A143" s="2">
        <v>1982.25</v>
      </c>
      <c r="B143" s="2">
        <v>3331.3</v>
      </c>
      <c r="C143" s="2">
        <v>6510.2599179206563</v>
      </c>
      <c r="D143" s="2">
        <v>51.17</v>
      </c>
      <c r="E143" s="2">
        <v>2041.1</v>
      </c>
      <c r="F143" s="2">
        <v>593.6</v>
      </c>
      <c r="G143" s="2">
        <v>4077.6330509828995</v>
      </c>
      <c r="H143" s="2">
        <v>605.02438121103637</v>
      </c>
      <c r="I143" s="2">
        <v>182.9194927004099</v>
      </c>
      <c r="J143" s="2">
        <v>41.978000000000002</v>
      </c>
      <c r="K143" s="2">
        <v>54.097999999999999</v>
      </c>
      <c r="L143" s="2">
        <v>77.596999999999994</v>
      </c>
      <c r="M143" s="2">
        <v>0.5363962965824346</v>
      </c>
      <c r="N143" s="2">
        <v>0.7773121001422677</v>
      </c>
      <c r="O143" s="2">
        <v>0.59820300750164934</v>
      </c>
      <c r="P143" s="2">
        <v>0.84346500433544203</v>
      </c>
      <c r="Q143" s="2">
        <v>5.0596953685094244</v>
      </c>
      <c r="R143" s="2">
        <v>231815</v>
      </c>
      <c r="S143" s="2">
        <v>172020</v>
      </c>
      <c r="T143" s="2">
        <v>16.78</v>
      </c>
      <c r="U143" s="2">
        <v>13.93</v>
      </c>
      <c r="V143" s="2">
        <v>12.42</v>
      </c>
      <c r="W143" s="2">
        <v>114.13333333333333</v>
      </c>
      <c r="X143" s="2">
        <v>104.64361572265625</v>
      </c>
      <c r="Y143" s="2">
        <v>-0.56823890029310997</v>
      </c>
      <c r="Z143" s="2">
        <v>-9.5353759825229645E-3</v>
      </c>
      <c r="AA143" s="2">
        <v>-1.9342690939083695E-3</v>
      </c>
      <c r="AB143" s="2">
        <v>-1.2559481013467999</v>
      </c>
      <c r="AC143" s="2">
        <v>-0.65926965555316597</v>
      </c>
      <c r="AD143" s="2">
        <v>-0.80925987902613705</v>
      </c>
      <c r="AE143" s="2">
        <v>-7.6308321841192794E-2</v>
      </c>
      <c r="AF143" s="2">
        <v>0.2878</v>
      </c>
      <c r="AG143" s="2">
        <v>10.208299999999999</v>
      </c>
      <c r="AH143" s="2">
        <v>-0.46339999999999998</v>
      </c>
      <c r="AI143" s="2">
        <v>-1.6207626168006499</v>
      </c>
      <c r="AJ143" s="2">
        <v>-0.313328144428966</v>
      </c>
      <c r="AK143" s="2">
        <v>-0.372597064918475</v>
      </c>
      <c r="AL143" s="2">
        <v>-1.1691365404288201</v>
      </c>
      <c r="AM143" s="2">
        <v>-0.26793431627305297</v>
      </c>
      <c r="AN143" s="2">
        <v>8.8142071727110693E-2</v>
      </c>
      <c r="AO143" s="2">
        <v>9.9210217048835495E-2</v>
      </c>
      <c r="AP143" s="2">
        <v>-0.21220638315488499</v>
      </c>
      <c r="AQ143" s="2">
        <v>-1.4872692789617699E-2</v>
      </c>
      <c r="AR143" s="2">
        <v>5.69556348941486E-2</v>
      </c>
      <c r="AS143" s="2">
        <v>-1.7553774896674199</v>
      </c>
      <c r="AT143" s="2">
        <v>-2.4223113116054001E-2</v>
      </c>
    </row>
    <row r="144" spans="1:46" x14ac:dyDescent="0.25">
      <c r="A144" s="2">
        <v>1982.5</v>
      </c>
      <c r="B144" s="2">
        <v>3367.1</v>
      </c>
      <c r="C144" s="2">
        <v>6486.7936887125052</v>
      </c>
      <c r="D144" s="2">
        <v>51.906999999999996</v>
      </c>
      <c r="E144" s="2">
        <v>2089.1999999999998</v>
      </c>
      <c r="F144" s="2">
        <v>593</v>
      </c>
      <c r="G144" s="2">
        <v>4109.1202328737481</v>
      </c>
      <c r="H144" s="2">
        <v>587.3547563833572</v>
      </c>
      <c r="I144" s="2">
        <v>181.61458328812822</v>
      </c>
      <c r="J144" s="2">
        <v>41.726999999999997</v>
      </c>
      <c r="K144" s="2">
        <v>54.118000000000002</v>
      </c>
      <c r="L144" s="2">
        <v>77.102999999999994</v>
      </c>
      <c r="M144" s="2">
        <v>0.53044191240248206</v>
      </c>
      <c r="N144" s="2">
        <v>0.77838042869582824</v>
      </c>
      <c r="O144" s="2">
        <v>0.59211856430470522</v>
      </c>
      <c r="P144" s="2">
        <v>0.85192206627472711</v>
      </c>
      <c r="Q144" s="2">
        <v>5.0125559031882725</v>
      </c>
      <c r="R144" s="2">
        <v>232393</v>
      </c>
      <c r="S144" s="2">
        <v>172522</v>
      </c>
      <c r="T144" s="2">
        <v>16.25</v>
      </c>
      <c r="U144" s="2">
        <v>13.12</v>
      </c>
      <c r="V144" s="2">
        <v>9.32</v>
      </c>
      <c r="W144" s="2">
        <v>113.83333333333333</v>
      </c>
      <c r="X144" s="2">
        <v>108.52555847167969</v>
      </c>
      <c r="Y144" s="2">
        <v>-0.79064121902292595</v>
      </c>
      <c r="Z144" s="2">
        <v>-9.6281943842768669E-3</v>
      </c>
      <c r="AA144" s="2">
        <v>-4.9848868511617184E-3</v>
      </c>
      <c r="AB144" s="2">
        <v>1.3196119358894101</v>
      </c>
      <c r="AC144" s="2">
        <v>1.49656188121425</v>
      </c>
      <c r="AD144" s="2">
        <v>0.93159062090153999</v>
      </c>
      <c r="AE144" s="2">
        <v>-1.0675583321409501</v>
      </c>
      <c r="AF144" s="2">
        <v>-0.40539999999999998</v>
      </c>
      <c r="AG144" s="2">
        <v>-1.4323999999999999</v>
      </c>
      <c r="AH144" s="2">
        <v>0.56100000000000005</v>
      </c>
      <c r="AI144" s="2">
        <v>0.436775212311522</v>
      </c>
      <c r="AJ144" s="2">
        <v>1.56975751906376</v>
      </c>
      <c r="AK144" s="2">
        <v>-0.69429997995479797</v>
      </c>
      <c r="AL144" s="2">
        <v>-1.7258533363914801</v>
      </c>
      <c r="AM144" s="2">
        <v>-0.111815385742473</v>
      </c>
      <c r="AN144" s="2">
        <v>0.146200170594494</v>
      </c>
      <c r="AO144" s="2">
        <v>0.27064474115454001</v>
      </c>
      <c r="AP144" s="2">
        <v>0.21385312846527699</v>
      </c>
      <c r="AQ144" s="2">
        <v>0.162036555110465</v>
      </c>
      <c r="AR144" s="2">
        <v>-0.31703737191195902</v>
      </c>
      <c r="AS144" s="2">
        <v>0.26664829471194401</v>
      </c>
      <c r="AT144" s="2">
        <v>0.31381341045067701</v>
      </c>
    </row>
    <row r="145" spans="1:46" x14ac:dyDescent="0.25">
      <c r="A145" s="2">
        <v>1982.75</v>
      </c>
      <c r="B145" s="2">
        <v>3407.8</v>
      </c>
      <c r="C145" s="2">
        <v>6493.1501629098948</v>
      </c>
      <c r="D145" s="2">
        <v>52.482999999999997</v>
      </c>
      <c r="E145" s="2">
        <v>2150.9</v>
      </c>
      <c r="F145" s="2">
        <v>549.20000000000005</v>
      </c>
      <c r="G145" s="2">
        <v>4184.0605365028114</v>
      </c>
      <c r="H145" s="2">
        <v>577.18909522701961</v>
      </c>
      <c r="I145" s="2">
        <v>180.51135610643769</v>
      </c>
      <c r="J145" s="2">
        <v>41.741999999999997</v>
      </c>
      <c r="K145" s="2">
        <v>54.634999999999998</v>
      </c>
      <c r="L145" s="2">
        <v>76.400999999999996</v>
      </c>
      <c r="M145" s="2">
        <v>0.53195273879019789</v>
      </c>
      <c r="N145" s="2">
        <v>0.78350574776186088</v>
      </c>
      <c r="O145" s="2">
        <v>0.59517497445401302</v>
      </c>
      <c r="P145" s="2">
        <v>0.8586939980600613</v>
      </c>
      <c r="Q145" s="2">
        <v>4.9915109615386672</v>
      </c>
      <c r="R145" s="2">
        <v>232990</v>
      </c>
      <c r="S145" s="2">
        <v>173046</v>
      </c>
      <c r="T145" s="2">
        <v>14.39</v>
      </c>
      <c r="U145" s="2">
        <v>10.67</v>
      </c>
      <c r="V145" s="2">
        <v>7.91</v>
      </c>
      <c r="W145" s="2">
        <v>136.73333333333332</v>
      </c>
      <c r="X145" s="2">
        <v>132.41134643554688</v>
      </c>
      <c r="Y145" s="2">
        <v>2.1929270105227698</v>
      </c>
      <c r="Z145" s="2">
        <v>0.15963611006736755</v>
      </c>
      <c r="AA145" s="2">
        <v>4.5352190732955933E-2</v>
      </c>
      <c r="AB145" s="2">
        <v>2.6045325553091301</v>
      </c>
      <c r="AC145" s="2">
        <v>0.95735742437648996</v>
      </c>
      <c r="AD145" s="2">
        <v>-4.8512179514221598E-2</v>
      </c>
      <c r="AE145" s="2">
        <v>-0.35481152054700899</v>
      </c>
      <c r="AF145" s="2">
        <v>0.8266</v>
      </c>
      <c r="AG145" s="2">
        <v>-6.7196999999999996</v>
      </c>
      <c r="AH145" s="2">
        <v>0.26119999999999999</v>
      </c>
      <c r="AI145" s="2">
        <v>0.80155780303985102</v>
      </c>
      <c r="AJ145" s="2">
        <v>0.85749911435906501</v>
      </c>
      <c r="AK145" s="2">
        <v>0.22442050961349899</v>
      </c>
      <c r="AL145" s="2">
        <v>-0.43546402906612097</v>
      </c>
      <c r="AM145" s="2">
        <v>0.21787123269490799</v>
      </c>
      <c r="AN145" s="2">
        <v>0.170784043670202</v>
      </c>
      <c r="AO145" s="2">
        <v>0.17887358837241599</v>
      </c>
      <c r="AP145" s="2">
        <v>1.68736453913346E-2</v>
      </c>
      <c r="AQ145" s="2">
        <v>6.6883270456653501E-2</v>
      </c>
      <c r="AR145" s="2">
        <v>2.3282230042899001E-2</v>
      </c>
      <c r="AS145" s="2">
        <v>0.78157520696773197</v>
      </c>
      <c r="AT145" s="2">
        <v>0.781169789059183</v>
      </c>
    </row>
    <row r="146" spans="1:46" x14ac:dyDescent="0.25">
      <c r="A146" s="2">
        <v>1983</v>
      </c>
      <c r="B146" s="2">
        <v>3480.3</v>
      </c>
      <c r="C146" s="2">
        <v>6578.1465590564576</v>
      </c>
      <c r="D146" s="2">
        <v>52.906999999999996</v>
      </c>
      <c r="E146" s="2">
        <v>2190.6</v>
      </c>
      <c r="F146" s="2">
        <v>565.5</v>
      </c>
      <c r="G146" s="2">
        <v>4224.8794599807134</v>
      </c>
      <c r="H146" s="2">
        <v>568.71046348487459</v>
      </c>
      <c r="I146" s="2">
        <v>181.6725483187501</v>
      </c>
      <c r="J146" s="2">
        <v>42.378999999999998</v>
      </c>
      <c r="K146" s="2">
        <v>55.177999999999997</v>
      </c>
      <c r="L146" s="2">
        <v>76.805000000000007</v>
      </c>
      <c r="M146" s="2">
        <v>0.5382263705189051</v>
      </c>
      <c r="N146" s="2">
        <v>0.79352810140064367</v>
      </c>
      <c r="O146" s="2">
        <v>0.5922083689851626</v>
      </c>
      <c r="P146" s="2">
        <v>0.84072715290033684</v>
      </c>
      <c r="Q146" s="2">
        <v>4.9714491535001066</v>
      </c>
      <c r="R146" s="2">
        <v>233469</v>
      </c>
      <c r="S146" s="2">
        <v>173505</v>
      </c>
      <c r="T146" s="2">
        <v>13.83</v>
      </c>
      <c r="U146" s="2">
        <v>10.56</v>
      </c>
      <c r="V146" s="2">
        <v>8.11</v>
      </c>
      <c r="W146" s="2">
        <v>147.66666666666666</v>
      </c>
      <c r="X146" s="2">
        <v>146.28616333007813</v>
      </c>
      <c r="Y146" s="2">
        <v>0.421876252313231</v>
      </c>
      <c r="Z146" s="2">
        <v>-1.101683359593153E-2</v>
      </c>
      <c r="AA146" s="2">
        <v>-4.786068107932806E-3</v>
      </c>
      <c r="AB146" s="2">
        <v>3.8315575424979702E-2</v>
      </c>
      <c r="AC146" s="2">
        <v>1.0423870430401501</v>
      </c>
      <c r="AD146" s="2">
        <v>-9.0850725726324605E-2</v>
      </c>
      <c r="AE146" s="2">
        <v>-1.76668735982264</v>
      </c>
      <c r="AF146" s="2">
        <v>0.33979999999999999</v>
      </c>
      <c r="AG146" s="2">
        <v>8.609</v>
      </c>
      <c r="AH146" s="2">
        <v>0.45910000000000001</v>
      </c>
      <c r="AI146" s="2">
        <v>0.34890371874338499</v>
      </c>
      <c r="AJ146" s="2">
        <v>0.75764821582377195</v>
      </c>
      <c r="AK146" s="2">
        <v>0.124929483921386</v>
      </c>
      <c r="AL146" s="2">
        <v>0.29953265959195602</v>
      </c>
      <c r="AM146" s="2">
        <v>0.25554965998758</v>
      </c>
      <c r="AN146" s="2">
        <v>9.2166163377441004E-2</v>
      </c>
      <c r="AO146" s="2">
        <v>0.62647251717504604</v>
      </c>
      <c r="AP146" s="2">
        <v>0.39887735204729502</v>
      </c>
      <c r="AQ146" s="2">
        <v>-0.16901565229023999</v>
      </c>
      <c r="AR146" s="2">
        <v>-0.43775357751016802</v>
      </c>
      <c r="AS146" s="2">
        <v>-7.8152647649400997E-2</v>
      </c>
      <c r="AT146" s="2">
        <v>0.56442352138589502</v>
      </c>
    </row>
    <row r="147" spans="1:46" x14ac:dyDescent="0.25">
      <c r="A147" s="2">
        <v>1983.25</v>
      </c>
      <c r="B147" s="2">
        <v>3583.8</v>
      </c>
      <c r="C147" s="2">
        <v>6728.2455646296821</v>
      </c>
      <c r="D147" s="2">
        <v>53.265000000000001</v>
      </c>
      <c r="E147" s="2">
        <v>2254.5</v>
      </c>
      <c r="F147" s="2">
        <v>613.79999999999995</v>
      </c>
      <c r="G147" s="2">
        <v>4308.4008561382052</v>
      </c>
      <c r="H147" s="2">
        <v>576.65677546983193</v>
      </c>
      <c r="I147" s="2">
        <v>183.42784619219142</v>
      </c>
      <c r="J147" s="2">
        <v>43.584000000000003</v>
      </c>
      <c r="K147" s="2">
        <v>56.179000000000002</v>
      </c>
      <c r="L147" s="2">
        <v>77.581000000000003</v>
      </c>
      <c r="M147" s="2">
        <v>0.55332538958165078</v>
      </c>
      <c r="N147" s="2">
        <v>0.81298265611258469</v>
      </c>
      <c r="O147" s="2">
        <v>0.5898221709756627</v>
      </c>
      <c r="P147" s="2">
        <v>0.82918002096373111</v>
      </c>
      <c r="Q147" s="2">
        <v>4.8854379232431331</v>
      </c>
      <c r="R147" s="2">
        <v>233940</v>
      </c>
      <c r="S147" s="2">
        <v>173957</v>
      </c>
      <c r="T147" s="2">
        <v>13.25</v>
      </c>
      <c r="U147" s="2">
        <v>10.54</v>
      </c>
      <c r="V147" s="2">
        <v>8.4</v>
      </c>
      <c r="W147" s="2">
        <v>162.73333333333332</v>
      </c>
      <c r="X147" s="2">
        <v>165.67495727539063</v>
      </c>
      <c r="Y147" s="2">
        <v>0.192779614572888</v>
      </c>
      <c r="Z147" s="2">
        <v>5.0977952778339386E-2</v>
      </c>
      <c r="AA147" s="2">
        <v>1.9634531810879707E-2</v>
      </c>
      <c r="AB147" s="2">
        <v>1.3317852885931101</v>
      </c>
      <c r="AC147" s="2">
        <v>-0.68963528696445398</v>
      </c>
      <c r="AD147" s="2">
        <v>4.6515352639046097E-2</v>
      </c>
      <c r="AE147" s="2">
        <v>-0.10584087787544499</v>
      </c>
      <c r="AF147" s="2">
        <v>0.66400000000000003</v>
      </c>
      <c r="AG147" s="2">
        <v>10.1187</v>
      </c>
      <c r="AH147" s="2">
        <v>0.47039999999999998</v>
      </c>
      <c r="AI147" s="2">
        <v>0.18952556705281501</v>
      </c>
      <c r="AJ147" s="2">
        <v>0.54713539219667495</v>
      </c>
      <c r="AK147" s="2">
        <v>0.974038102481526</v>
      </c>
      <c r="AL147" s="2">
        <v>0.88607935802899296</v>
      </c>
      <c r="AM147" s="2">
        <v>0.187649763265303</v>
      </c>
      <c r="AN147" s="2">
        <v>8.9374308697812405E-2</v>
      </c>
      <c r="AO147" s="2">
        <v>-0.176477803371134</v>
      </c>
      <c r="AP147" s="2">
        <v>-3.1891239618611802E-2</v>
      </c>
      <c r="AQ147" s="2">
        <v>0.243511431979162</v>
      </c>
      <c r="AR147" s="2">
        <v>-0.46831459933266301</v>
      </c>
      <c r="AS147" s="2">
        <v>0.65409904511849004</v>
      </c>
      <c r="AT147" s="2">
        <v>0.38708606859810302</v>
      </c>
    </row>
    <row r="148" spans="1:46" x14ac:dyDescent="0.25">
      <c r="A148" s="2">
        <v>1983.5</v>
      </c>
      <c r="B148" s="2">
        <v>3692.3</v>
      </c>
      <c r="C148" s="2">
        <v>6860.0784051427827</v>
      </c>
      <c r="D148" s="2">
        <v>53.823</v>
      </c>
      <c r="E148" s="2">
        <v>2324.3000000000002</v>
      </c>
      <c r="F148" s="2">
        <v>652.29999999999995</v>
      </c>
      <c r="G148" s="2">
        <v>4383.9827982949191</v>
      </c>
      <c r="H148" s="2">
        <v>601.08477598632885</v>
      </c>
      <c r="I148" s="2">
        <v>186.25845088349186</v>
      </c>
      <c r="J148" s="2">
        <v>44.631999999999998</v>
      </c>
      <c r="K148" s="2">
        <v>56.4</v>
      </c>
      <c r="L148" s="2">
        <v>79.135000000000005</v>
      </c>
      <c r="M148" s="2">
        <v>0.55698222476834414</v>
      </c>
      <c r="N148" s="2">
        <v>0.82459078866678159</v>
      </c>
      <c r="O148" s="2">
        <v>0.57799744984328283</v>
      </c>
      <c r="P148" s="2">
        <v>0.80955937795918409</v>
      </c>
      <c r="Q148" s="2">
        <v>4.7330975739441827</v>
      </c>
      <c r="R148" s="2">
        <v>234503</v>
      </c>
      <c r="S148" s="2">
        <v>174449</v>
      </c>
      <c r="T148" s="2">
        <v>13.53</v>
      </c>
      <c r="U148" s="2">
        <v>11.63</v>
      </c>
      <c r="V148" s="2">
        <v>9.14</v>
      </c>
      <c r="W148" s="2">
        <v>165.53333333333333</v>
      </c>
      <c r="X148" s="2">
        <v>165.96112060546875</v>
      </c>
      <c r="Y148" s="2">
        <v>0.247813436262805</v>
      </c>
      <c r="Z148" s="2">
        <v>-3.4934211522340775E-2</v>
      </c>
      <c r="AA148" s="2">
        <v>-1.1191347613930702E-2</v>
      </c>
      <c r="AB148" s="2">
        <v>-2.6658708554926198E-2</v>
      </c>
      <c r="AC148" s="2">
        <v>0.65598837308547397</v>
      </c>
      <c r="AD148" s="2">
        <v>0.82573621230773897</v>
      </c>
      <c r="AE148" s="2">
        <v>-0.37069841774366202</v>
      </c>
      <c r="AF148" s="2">
        <v>-1.0618000000000001</v>
      </c>
      <c r="AG148" s="2">
        <v>1.8926000000000001</v>
      </c>
      <c r="AH148" s="2">
        <v>0.65210000000000001</v>
      </c>
      <c r="AI148" s="2">
        <v>-0.81617287014598805</v>
      </c>
      <c r="AJ148" s="2">
        <v>0.989007505945111</v>
      </c>
      <c r="AK148" s="2">
        <v>0.36007719395114102</v>
      </c>
      <c r="AL148" s="2">
        <v>1.4209835675199101</v>
      </c>
      <c r="AM148" s="2">
        <v>1.1459131155490101E-2</v>
      </c>
      <c r="AN148" s="2">
        <v>4.4159794581525101E-2</v>
      </c>
      <c r="AO148" s="2">
        <v>0.12678237284794899</v>
      </c>
      <c r="AP148" s="2">
        <v>-0.12483418382176099</v>
      </c>
      <c r="AQ148" s="2">
        <v>-0.24975539650950301</v>
      </c>
      <c r="AR148" s="2">
        <v>0.67330665233783604</v>
      </c>
      <c r="AS148" s="2">
        <v>0.282137624688095</v>
      </c>
      <c r="AT148" s="2">
        <v>0.28877231184732199</v>
      </c>
    </row>
    <row r="149" spans="1:46" x14ac:dyDescent="0.25">
      <c r="A149" s="2">
        <v>1983.75</v>
      </c>
      <c r="B149" s="2">
        <v>3796.1</v>
      </c>
      <c r="C149" s="2">
        <v>7001.4201663623453</v>
      </c>
      <c r="D149" s="2">
        <v>54.219000000000001</v>
      </c>
      <c r="E149" s="2">
        <v>2376.6999999999998</v>
      </c>
      <c r="F149" s="2">
        <v>718.5</v>
      </c>
      <c r="G149" s="2">
        <v>4453.1674504880921</v>
      </c>
      <c r="H149" s="2">
        <v>637.41516817754007</v>
      </c>
      <c r="I149" s="2">
        <v>188.36613492705095</v>
      </c>
      <c r="J149" s="2">
        <v>45.746000000000002</v>
      </c>
      <c r="K149" s="2">
        <v>56.896000000000001</v>
      </c>
      <c r="L149" s="2">
        <v>80.402000000000001</v>
      </c>
      <c r="M149" s="2">
        <v>0.56853493295172985</v>
      </c>
      <c r="N149" s="2">
        <v>0.83878935739341243</v>
      </c>
      <c r="O149" s="2">
        <v>0.5791291828438575</v>
      </c>
      <c r="P149" s="2">
        <v>0.80580132088505885</v>
      </c>
      <c r="Q149" s="2">
        <v>4.5933604694386139</v>
      </c>
      <c r="R149" s="2">
        <v>235073</v>
      </c>
      <c r="S149" s="2">
        <v>174950</v>
      </c>
      <c r="T149" s="2">
        <v>13.61</v>
      </c>
      <c r="U149" s="2">
        <v>11.69</v>
      </c>
      <c r="V149" s="2">
        <v>8.8000000000000007</v>
      </c>
      <c r="W149" s="2">
        <v>165.76666666666665</v>
      </c>
      <c r="X149" s="2">
        <v>165.98078918457031</v>
      </c>
      <c r="Y149" s="2">
        <v>0.40558992994794901</v>
      </c>
      <c r="Z149" s="2">
        <v>-2.6392528787255287E-2</v>
      </c>
      <c r="AA149" s="2">
        <v>-3.587427781894803E-3</v>
      </c>
      <c r="AB149" s="2">
        <v>0.53794972435917898</v>
      </c>
      <c r="AC149" s="2">
        <v>-0.19524337251196</v>
      </c>
      <c r="AD149" s="2">
        <v>-0.75839532285465405</v>
      </c>
      <c r="AE149" s="2">
        <v>-0.24709606920591701</v>
      </c>
      <c r="AF149" s="2">
        <v>0.15479999999999999</v>
      </c>
      <c r="AG149" s="2">
        <v>6.6943000000000001</v>
      </c>
      <c r="AH149" s="2">
        <v>-0.48480000000000001</v>
      </c>
      <c r="AI149" s="2">
        <v>-0.15231262853241601</v>
      </c>
      <c r="AJ149" s="2">
        <v>0.24900788499983401</v>
      </c>
      <c r="AK149" s="2">
        <v>-0.18489338533008901</v>
      </c>
      <c r="AL149" s="2">
        <v>0.96889170396624202</v>
      </c>
      <c r="AM149" s="2">
        <v>-3.6242755645173499E-2</v>
      </c>
      <c r="AN149" s="2">
        <v>-2.15007821537598E-2</v>
      </c>
      <c r="AO149" s="2">
        <v>-6.5050813418683906E-2</v>
      </c>
      <c r="AP149" s="2">
        <v>-4.7860779649043099E-4</v>
      </c>
      <c r="AQ149" s="2">
        <v>-0.181277336458849</v>
      </c>
      <c r="AR149" s="2">
        <v>-0.273463403998639</v>
      </c>
      <c r="AS149" s="2">
        <v>0.74655529577692203</v>
      </c>
      <c r="AT149" s="2">
        <v>3.0699760941021201E-2</v>
      </c>
    </row>
    <row r="150" spans="1:46" x14ac:dyDescent="0.25">
      <c r="A150" s="2">
        <v>1984</v>
      </c>
      <c r="B150" s="2">
        <v>3912.8</v>
      </c>
      <c r="C150" s="2">
        <v>7140.6672019855469</v>
      </c>
      <c r="D150" s="2">
        <v>54.795999999999999</v>
      </c>
      <c r="E150" s="2">
        <v>2422.8000000000002</v>
      </c>
      <c r="F150" s="2">
        <v>790.9</v>
      </c>
      <c r="G150" s="2">
        <v>4490.9913249796109</v>
      </c>
      <c r="H150" s="2">
        <v>657.674936583555</v>
      </c>
      <c r="I150" s="2">
        <v>191.73568833262817</v>
      </c>
      <c r="J150" s="2">
        <v>46.872</v>
      </c>
      <c r="K150" s="2">
        <v>57.185000000000002</v>
      </c>
      <c r="L150" s="2">
        <v>81.965999999999994</v>
      </c>
      <c r="M150" s="2">
        <v>0.58126348382159954</v>
      </c>
      <c r="N150" s="2">
        <v>0.85877273004631116</v>
      </c>
      <c r="O150" s="2">
        <v>0.58671978243896594</v>
      </c>
      <c r="P150" s="2">
        <v>0.81789659493868405</v>
      </c>
      <c r="Q150" s="2">
        <v>4.3893359664385585</v>
      </c>
      <c r="R150" s="2">
        <v>235529</v>
      </c>
      <c r="S150" s="2">
        <v>175679</v>
      </c>
      <c r="T150" s="2">
        <v>13.74</v>
      </c>
      <c r="U150" s="2">
        <v>11.94</v>
      </c>
      <c r="V150" s="2">
        <v>9.17</v>
      </c>
      <c r="W150" s="2">
        <v>160.36666666666667</v>
      </c>
      <c r="X150" s="2">
        <v>160.64169311523438</v>
      </c>
      <c r="Y150" s="2">
        <v>-0.45136017604641598</v>
      </c>
      <c r="Z150" s="2">
        <v>-6.4668014645576477E-2</v>
      </c>
      <c r="AA150" s="2">
        <v>-1.1284683831036091E-2</v>
      </c>
      <c r="AB150" s="2">
        <v>-0.31256446492803902</v>
      </c>
      <c r="AC150" s="2">
        <v>-1.0571221135607001</v>
      </c>
      <c r="AD150" s="2">
        <v>1.0379956446102601</v>
      </c>
      <c r="AE150" s="2">
        <v>0.49780824128527101</v>
      </c>
      <c r="AF150" s="2">
        <v>-0.3659</v>
      </c>
      <c r="AG150" s="2">
        <v>4.9104000000000001</v>
      </c>
      <c r="AH150" s="2">
        <v>0.51429999999999998</v>
      </c>
      <c r="AI150" s="2">
        <v>-0.52832583170177305</v>
      </c>
      <c r="AJ150" s="2">
        <v>2.3172282590073698</v>
      </c>
      <c r="AK150" s="2">
        <v>-0.666046536438892</v>
      </c>
      <c r="AL150" s="2">
        <v>6.2064563330243197E-2</v>
      </c>
      <c r="AM150" s="2">
        <v>-0.14434781544314701</v>
      </c>
      <c r="AN150" s="2">
        <v>0.10276418323620901</v>
      </c>
      <c r="AO150" s="2">
        <v>0.28773306336656002</v>
      </c>
      <c r="AP150" s="2">
        <v>-0.14241881167064299</v>
      </c>
      <c r="AQ150" s="2">
        <v>-0.51661691486071704</v>
      </c>
      <c r="AR150" s="2">
        <v>-0.20212048042282499</v>
      </c>
      <c r="AS150" s="2">
        <v>9.4801745016727501E-2</v>
      </c>
      <c r="AT150" s="2">
        <v>-0.18575119389395101</v>
      </c>
    </row>
    <row r="151" spans="1:46" x14ac:dyDescent="0.25">
      <c r="A151" s="2">
        <v>1984.25</v>
      </c>
      <c r="B151" s="2">
        <v>4015</v>
      </c>
      <c r="C151" s="2">
        <v>7266.0477405577576</v>
      </c>
      <c r="D151" s="2">
        <v>55.256999999999998</v>
      </c>
      <c r="E151" s="2">
        <v>2481.1999999999998</v>
      </c>
      <c r="F151" s="2">
        <v>818.9</v>
      </c>
      <c r="G151" s="2">
        <v>4554.8334985497668</v>
      </c>
      <c r="H151" s="2">
        <v>688.29055403506163</v>
      </c>
      <c r="I151" s="2">
        <v>194.40922835531964</v>
      </c>
      <c r="J151" s="2">
        <v>47.890999999999998</v>
      </c>
      <c r="K151" s="2">
        <v>57.69</v>
      </c>
      <c r="L151" s="2">
        <v>83.015000000000001</v>
      </c>
      <c r="M151" s="2">
        <v>0.58960178229212323</v>
      </c>
      <c r="N151" s="2">
        <v>0.87109063074607851</v>
      </c>
      <c r="O151" s="2">
        <v>0.59506826144448755</v>
      </c>
      <c r="P151" s="2">
        <v>0.83760887521510641</v>
      </c>
      <c r="Q151" s="2">
        <v>4.2394505769242476</v>
      </c>
      <c r="R151" s="2">
        <v>235997</v>
      </c>
      <c r="S151" s="2">
        <v>176125</v>
      </c>
      <c r="T151" s="2">
        <v>14.7</v>
      </c>
      <c r="U151" s="2">
        <v>13.2</v>
      </c>
      <c r="V151" s="2">
        <v>9.8000000000000007</v>
      </c>
      <c r="W151" s="2">
        <v>155.76666666666665</v>
      </c>
      <c r="X151" s="2">
        <v>156.03807067871094</v>
      </c>
      <c r="Y151" s="2">
        <v>0.35939619495906999</v>
      </c>
      <c r="Z151" s="2">
        <v>-3.9809413254261017E-2</v>
      </c>
      <c r="AA151" s="2">
        <v>-6.1719613149762154E-3</v>
      </c>
      <c r="AB151" s="2">
        <v>-6.5967139694882396E-2</v>
      </c>
      <c r="AC151" s="2">
        <v>1.50163111746575</v>
      </c>
      <c r="AD151" s="2">
        <v>6.9735786345243203E-2</v>
      </c>
      <c r="AE151" s="2">
        <v>1.4991226522845</v>
      </c>
      <c r="AF151" s="2">
        <v>-0.14050000000000001</v>
      </c>
      <c r="AG151" s="2">
        <v>-0.92679999999999996</v>
      </c>
      <c r="AH151" s="2">
        <v>4.4999999999999997E-3</v>
      </c>
      <c r="AI151" s="2">
        <v>-9.2647261408768194E-2</v>
      </c>
      <c r="AJ151" s="2">
        <v>-0.52205476949984697</v>
      </c>
      <c r="AK151" s="2">
        <v>9.9105677532593195E-2</v>
      </c>
      <c r="AL151" s="2">
        <v>0.98419401180931898</v>
      </c>
      <c r="AM151" s="2">
        <v>0.102256520306549</v>
      </c>
      <c r="AN151" s="2">
        <v>6.7696417757274599E-2</v>
      </c>
      <c r="AO151" s="2">
        <v>-7.0410408310732997E-3</v>
      </c>
      <c r="AP151" s="2">
        <v>-0.22280649475936801</v>
      </c>
      <c r="AQ151" s="2">
        <v>-0.20736758690611001</v>
      </c>
      <c r="AR151" s="2">
        <v>-0.200223050159345</v>
      </c>
      <c r="AS151" s="2">
        <v>0.85790482695244596</v>
      </c>
      <c r="AT151" s="2">
        <v>0.118446336648105</v>
      </c>
    </row>
    <row r="152" spans="1:46" x14ac:dyDescent="0.25">
      <c r="A152" s="2">
        <v>1984.5</v>
      </c>
      <c r="B152" s="2">
        <v>4087.4</v>
      </c>
      <c r="C152" s="2">
        <v>7337.5819046764209</v>
      </c>
      <c r="D152" s="2">
        <v>55.704999999999998</v>
      </c>
      <c r="E152" s="2">
        <v>2519.6999999999998</v>
      </c>
      <c r="F152" s="2">
        <v>838.9</v>
      </c>
      <c r="G152" s="2">
        <v>4589.8682988141427</v>
      </c>
      <c r="H152" s="2">
        <v>709.31233854102595</v>
      </c>
      <c r="I152" s="2">
        <v>195.10590531579498</v>
      </c>
      <c r="J152" s="2">
        <v>48.366999999999997</v>
      </c>
      <c r="K152" s="2">
        <v>57.982999999999997</v>
      </c>
      <c r="L152" s="2">
        <v>83.415000000000006</v>
      </c>
      <c r="M152" s="2">
        <v>0.59063646384701041</v>
      </c>
      <c r="N152" s="2">
        <v>0.87784226975810031</v>
      </c>
      <c r="O152" s="2">
        <v>0.59914553764394474</v>
      </c>
      <c r="P152" s="2">
        <v>0.85435106250962145</v>
      </c>
      <c r="Q152" s="2">
        <v>4.1263759524894139</v>
      </c>
      <c r="R152" s="2">
        <v>236552</v>
      </c>
      <c r="S152" s="2">
        <v>176595</v>
      </c>
      <c r="T152" s="2">
        <v>14.71</v>
      </c>
      <c r="U152" s="2">
        <v>12.87</v>
      </c>
      <c r="V152" s="2">
        <v>10.32</v>
      </c>
      <c r="W152" s="2">
        <v>160.53333333333333</v>
      </c>
      <c r="X152" s="2">
        <v>164.233154296875</v>
      </c>
      <c r="Y152" s="2">
        <v>0.91948146209211001</v>
      </c>
      <c r="Z152" s="2">
        <v>2.6670347899198532E-2</v>
      </c>
      <c r="AA152" s="2">
        <v>9.2520443722605705E-3</v>
      </c>
      <c r="AB152" s="2">
        <v>0.76831845466138704</v>
      </c>
      <c r="AC152" s="2">
        <v>1.1175206258782</v>
      </c>
      <c r="AD152" s="2">
        <v>0.29137546866874903</v>
      </c>
      <c r="AE152" s="2">
        <v>0.33786964794683</v>
      </c>
      <c r="AF152" s="2">
        <v>9.9099999999999994E-2</v>
      </c>
      <c r="AG152" s="2">
        <v>2.0541999999999998</v>
      </c>
      <c r="AH152" s="2">
        <v>7.3899999999999993E-2</v>
      </c>
      <c r="AI152" s="2">
        <v>0.67683923570313198</v>
      </c>
      <c r="AJ152" s="2">
        <v>0.72263735207531599</v>
      </c>
      <c r="AK152" s="2">
        <v>-0.26357086624058201</v>
      </c>
      <c r="AL152" s="2">
        <v>1.1287522292017601E-2</v>
      </c>
      <c r="AM152" s="2">
        <v>-3.5626659488092197E-2</v>
      </c>
      <c r="AN152" s="2">
        <v>-0.19969247452104399</v>
      </c>
      <c r="AO152" s="2">
        <v>-0.115602260759706</v>
      </c>
      <c r="AP152" s="2">
        <v>-0.163693695889429</v>
      </c>
      <c r="AQ152" s="2">
        <v>0.25765509345795201</v>
      </c>
      <c r="AR152" s="2">
        <v>-0.10283855896267299</v>
      </c>
      <c r="AS152" s="2">
        <v>0.247129317968626</v>
      </c>
      <c r="AT152" s="2">
        <v>0.190516381333974</v>
      </c>
    </row>
    <row r="153" spans="1:46" x14ac:dyDescent="0.25">
      <c r="A153" s="2">
        <v>1984.75</v>
      </c>
      <c r="B153" s="2">
        <v>4147.6000000000004</v>
      </c>
      <c r="C153" s="2">
        <v>7395.9949357156875</v>
      </c>
      <c r="D153" s="2">
        <v>56.079000000000001</v>
      </c>
      <c r="E153" s="2">
        <v>2568.9</v>
      </c>
      <c r="F153" s="2">
        <v>831.7</v>
      </c>
      <c r="G153" s="2">
        <v>4650.5186552978876</v>
      </c>
      <c r="H153" s="2">
        <v>726.04624874056969</v>
      </c>
      <c r="I153" s="2">
        <v>195.80869485087342</v>
      </c>
      <c r="J153" s="2">
        <v>48.734999999999999</v>
      </c>
      <c r="K153" s="2">
        <v>58.093000000000004</v>
      </c>
      <c r="L153" s="2">
        <v>83.891999999999996</v>
      </c>
      <c r="M153" s="2">
        <v>0.58986353255303936</v>
      </c>
      <c r="N153" s="2">
        <v>0.88163916118120444</v>
      </c>
      <c r="O153" s="2">
        <v>0.60295885833426832</v>
      </c>
      <c r="P153" s="2">
        <v>0.86240677547306621</v>
      </c>
      <c r="Q153" s="2">
        <v>4.0562014752917364</v>
      </c>
      <c r="R153" s="2">
        <v>237150</v>
      </c>
      <c r="S153" s="2">
        <v>177132</v>
      </c>
      <c r="T153" s="2">
        <v>13.61</v>
      </c>
      <c r="U153" s="2">
        <v>11.74</v>
      </c>
      <c r="V153" s="2">
        <v>8.8000000000000007</v>
      </c>
      <c r="W153" s="2">
        <v>165.20000000000002</v>
      </c>
      <c r="X153" s="2">
        <v>170.45838928222656</v>
      </c>
      <c r="Y153" s="2">
        <v>1.0424121578111301</v>
      </c>
      <c r="Z153" s="2">
        <v>9.8549947142601013E-3</v>
      </c>
      <c r="AA153" s="2">
        <v>2.4565001949667931E-3</v>
      </c>
      <c r="AB153" s="2">
        <v>-0.61291901454531905</v>
      </c>
      <c r="AC153" s="2">
        <v>1.92266231690544</v>
      </c>
      <c r="AD153" s="2">
        <v>-1.12151739248856</v>
      </c>
      <c r="AE153" s="2">
        <v>4.0534403027331502E-2</v>
      </c>
      <c r="AF153" s="2">
        <v>-0.40660000000000002</v>
      </c>
      <c r="AG153" s="2">
        <v>-2.3538999999999999</v>
      </c>
      <c r="AH153" s="2">
        <v>-0.26469999999999999</v>
      </c>
      <c r="AI153" s="2">
        <v>-0.216984571417003</v>
      </c>
      <c r="AJ153" s="2">
        <v>0.25214060329138599</v>
      </c>
      <c r="AK153" s="2">
        <v>-0.71996283582360199</v>
      </c>
      <c r="AL153" s="2">
        <v>0.29640219078978502</v>
      </c>
      <c r="AM153" s="2">
        <v>0.25900967251397899</v>
      </c>
      <c r="AN153" s="2">
        <v>-8.6797188747702606E-2</v>
      </c>
      <c r="AO153" s="2">
        <v>0.103310102477181</v>
      </c>
      <c r="AP153" s="2">
        <v>5.8508205342125801E-2</v>
      </c>
      <c r="AQ153" s="2">
        <v>0.236673334993732</v>
      </c>
      <c r="AR153" s="2">
        <v>-0.403284830342655</v>
      </c>
      <c r="AS153" s="2">
        <v>1.37300526241777</v>
      </c>
      <c r="AT153" s="2">
        <v>0.66120900641550995</v>
      </c>
    </row>
    <row r="154" spans="1:46" x14ac:dyDescent="0.25">
      <c r="A154" s="2">
        <v>1985</v>
      </c>
      <c r="B154" s="2">
        <v>4237</v>
      </c>
      <c r="C154" s="2">
        <v>7469.5014455962209</v>
      </c>
      <c r="D154" s="2">
        <v>56.723999999999997</v>
      </c>
      <c r="E154" s="2">
        <v>2643.9</v>
      </c>
      <c r="F154" s="2">
        <v>809.9</v>
      </c>
      <c r="G154" s="2">
        <v>4729.6958855098392</v>
      </c>
      <c r="H154" s="2">
        <v>734.17194370613527</v>
      </c>
      <c r="I154" s="2">
        <v>197.13099020130207</v>
      </c>
      <c r="J154" s="2">
        <v>49.279000000000003</v>
      </c>
      <c r="K154" s="2">
        <v>58.292999999999999</v>
      </c>
      <c r="L154" s="2">
        <v>84.537000000000006</v>
      </c>
      <c r="M154" s="2">
        <v>0.59412107658078905</v>
      </c>
      <c r="N154" s="2">
        <v>0.89494228446958279</v>
      </c>
      <c r="O154" s="2">
        <v>0.61414554880501604</v>
      </c>
      <c r="P154" s="2">
        <v>0.89260388571363847</v>
      </c>
      <c r="Q154" s="2">
        <v>3.9952026221303951</v>
      </c>
      <c r="R154" s="2">
        <v>237601</v>
      </c>
      <c r="S154" s="2">
        <v>177522</v>
      </c>
      <c r="T154" s="2">
        <v>13.39</v>
      </c>
      <c r="U154" s="2">
        <v>11.58</v>
      </c>
      <c r="V154" s="2">
        <v>8.18</v>
      </c>
      <c r="W154" s="2">
        <v>177.29999999999998</v>
      </c>
      <c r="X154" s="2">
        <v>189.68814086914063</v>
      </c>
      <c r="Y154" s="2">
        <v>1.2139357840565499</v>
      </c>
      <c r="Z154" s="2">
        <v>3.9989206939935684E-2</v>
      </c>
      <c r="AA154" s="2">
        <v>1.4507247135043144E-2</v>
      </c>
      <c r="AB154" s="2">
        <v>-0.32501874492430499</v>
      </c>
      <c r="AC154" s="2">
        <v>-0.39127857159709001</v>
      </c>
      <c r="AD154" s="2">
        <v>-0.35886741703057901</v>
      </c>
      <c r="AE154" s="2">
        <v>1.1227392991985199</v>
      </c>
      <c r="AF154" s="2">
        <v>-0.22559999999999999</v>
      </c>
      <c r="AG154" s="2">
        <v>-0.56459999999999999</v>
      </c>
      <c r="AH154" s="2">
        <v>0.39689999999999998</v>
      </c>
      <c r="AI154" s="2">
        <v>1.2346618025606699</v>
      </c>
      <c r="AJ154" s="2">
        <v>1.7150856017418901</v>
      </c>
      <c r="AK154" s="2">
        <v>-0.44050293846622901</v>
      </c>
      <c r="AL154" s="2">
        <v>-0.27575429317766598</v>
      </c>
      <c r="AM154" s="2">
        <v>0.20601577949524999</v>
      </c>
      <c r="AN154" s="2">
        <v>-6.8823999508321701E-2</v>
      </c>
      <c r="AO154" s="2">
        <v>-8.8108287937553695E-2</v>
      </c>
      <c r="AP154" s="2">
        <v>0.128430729147406</v>
      </c>
      <c r="AQ154" s="2">
        <v>6.3560186482901501E-2</v>
      </c>
      <c r="AR154" s="2">
        <v>-0.71772369498395205</v>
      </c>
      <c r="AS154" s="2">
        <v>0.22755747551896099</v>
      </c>
      <c r="AT154" s="2">
        <v>9.1798401880391293E-3</v>
      </c>
    </row>
    <row r="155" spans="1:46" x14ac:dyDescent="0.25">
      <c r="A155" s="2">
        <v>1985.25</v>
      </c>
      <c r="B155" s="2">
        <v>4302.3</v>
      </c>
      <c r="C155" s="2">
        <v>7537.976346911958</v>
      </c>
      <c r="D155" s="2">
        <v>57.075000000000003</v>
      </c>
      <c r="E155" s="2">
        <v>2691.2</v>
      </c>
      <c r="F155" s="2">
        <v>827</v>
      </c>
      <c r="G155" s="2">
        <v>4774.0859661882878</v>
      </c>
      <c r="H155" s="2">
        <v>744.73027828043234</v>
      </c>
      <c r="I155" s="2">
        <v>198.29755302963684</v>
      </c>
      <c r="J155" s="2">
        <v>49.768999999999998</v>
      </c>
      <c r="K155" s="2">
        <v>58.567999999999998</v>
      </c>
      <c r="L155" s="2">
        <v>84.977000000000004</v>
      </c>
      <c r="M155" s="2">
        <v>0.59191151701744094</v>
      </c>
      <c r="N155" s="2">
        <v>0.89539648211576361</v>
      </c>
      <c r="O155" s="2">
        <v>0.61087516498901584</v>
      </c>
      <c r="P155" s="2">
        <v>0.88828649542394156</v>
      </c>
      <c r="Q155" s="2">
        <v>3.9485348026161766</v>
      </c>
      <c r="R155" s="2">
        <v>238081</v>
      </c>
      <c r="S155" s="2">
        <v>177946</v>
      </c>
      <c r="T155" s="2">
        <v>13.02</v>
      </c>
      <c r="U155" s="2">
        <v>10.81</v>
      </c>
      <c r="V155" s="2">
        <v>7.46</v>
      </c>
      <c r="W155" s="2">
        <v>184.79999999999998</v>
      </c>
      <c r="X155" s="2">
        <v>198.58195495605469</v>
      </c>
      <c r="Y155" s="2">
        <v>-0.223209028571038</v>
      </c>
      <c r="Z155" s="2">
        <v>1.277641300112009E-2</v>
      </c>
      <c r="AA155" s="2">
        <v>1.9958827178925276E-3</v>
      </c>
      <c r="AB155" s="2">
        <v>0.43051062192077599</v>
      </c>
      <c r="AC155" s="2">
        <v>0.87303144091995699</v>
      </c>
      <c r="AD155" s="2">
        <v>-0.99782378825099904</v>
      </c>
      <c r="AE155" s="2">
        <v>-0.45709926682340501</v>
      </c>
      <c r="AF155" s="2">
        <v>-0.3987</v>
      </c>
      <c r="AG155" s="2">
        <v>3.5495000000000001</v>
      </c>
      <c r="AH155" s="2">
        <v>-0.1653</v>
      </c>
      <c r="AI155" s="2">
        <v>0.60584451546514095</v>
      </c>
      <c r="AJ155" s="2">
        <v>-3.5138183056878998E-2</v>
      </c>
      <c r="AK155" s="2">
        <v>-0.539945162213887</v>
      </c>
      <c r="AL155" s="2">
        <v>-5.01920341824693E-2</v>
      </c>
      <c r="AM155" s="2">
        <v>2.7840165286771499E-2</v>
      </c>
      <c r="AN155" s="2">
        <v>-4.5569250843906402E-2</v>
      </c>
      <c r="AO155" s="2">
        <v>-0.19458950313385101</v>
      </c>
      <c r="AP155" s="2">
        <v>-0.19895994247837101</v>
      </c>
      <c r="AQ155" s="2">
        <v>-0.105007577820998</v>
      </c>
      <c r="AR155" s="2">
        <v>-0.34509790019061098</v>
      </c>
      <c r="AS155" s="2">
        <v>0.27945297134765601</v>
      </c>
      <c r="AT155" s="2">
        <v>9.8556973154699301E-2</v>
      </c>
    </row>
    <row r="156" spans="1:46" x14ac:dyDescent="0.25">
      <c r="A156" s="2">
        <v>1985.5</v>
      </c>
      <c r="B156" s="2">
        <v>4394.6000000000004</v>
      </c>
      <c r="C156" s="2">
        <v>7655.2973556771085</v>
      </c>
      <c r="D156" s="2">
        <v>57.405999999999999</v>
      </c>
      <c r="E156" s="2">
        <v>2764.7</v>
      </c>
      <c r="F156" s="2">
        <v>822.2</v>
      </c>
      <c r="G156" s="2">
        <v>4865.7162970784939</v>
      </c>
      <c r="H156" s="2">
        <v>736.22023265728728</v>
      </c>
      <c r="I156" s="2">
        <v>199.17437600582628</v>
      </c>
      <c r="J156" s="2">
        <v>50.646000000000001</v>
      </c>
      <c r="K156" s="2">
        <v>59.521999999999998</v>
      </c>
      <c r="L156" s="2">
        <v>85.087999999999994</v>
      </c>
      <c r="M156" s="2">
        <v>0.6025180336188638</v>
      </c>
      <c r="N156" s="2">
        <v>0.91036344085450771</v>
      </c>
      <c r="O156" s="2">
        <v>0.61852391175233701</v>
      </c>
      <c r="P156" s="2">
        <v>0.89806250952346078</v>
      </c>
      <c r="Q156" s="2">
        <v>3.8993075882998696</v>
      </c>
      <c r="R156" s="2">
        <v>238681</v>
      </c>
      <c r="S156" s="2">
        <v>178413</v>
      </c>
      <c r="T156" s="2">
        <v>12.47</v>
      </c>
      <c r="U156" s="2">
        <v>10.34</v>
      </c>
      <c r="V156" s="2">
        <v>7.11</v>
      </c>
      <c r="W156" s="2">
        <v>188.29999999999998</v>
      </c>
      <c r="X156" s="2">
        <v>201.10577392578125</v>
      </c>
      <c r="Y156" s="2">
        <v>1.86317250370499</v>
      </c>
      <c r="Z156" s="2">
        <v>-2.200724370777607E-2</v>
      </c>
      <c r="AA156" s="2">
        <v>-1.8817605450749397E-3</v>
      </c>
      <c r="AB156" s="2">
        <v>0.86755574631307797</v>
      </c>
      <c r="AC156" s="2">
        <v>-0.34524204691211902</v>
      </c>
      <c r="AD156" s="2">
        <v>0.28183886773490102</v>
      </c>
      <c r="AE156" s="2">
        <v>1.5891001089619801</v>
      </c>
      <c r="AF156" s="2">
        <v>0.85189999999999999</v>
      </c>
      <c r="AG156" s="2">
        <v>0.6603</v>
      </c>
      <c r="AH156" s="2">
        <v>0.23930000000000001</v>
      </c>
      <c r="AI156" s="2">
        <v>-3.0238615406358599E-2</v>
      </c>
      <c r="AJ156" s="2">
        <v>-0.43478589147272301</v>
      </c>
      <c r="AK156" s="2">
        <v>0.34648376666474401</v>
      </c>
      <c r="AL156" s="2">
        <v>-0.6206886878872</v>
      </c>
      <c r="AM156" s="2">
        <v>-0.16729959147502399</v>
      </c>
      <c r="AN156" s="2">
        <v>-0.152149740558438</v>
      </c>
      <c r="AO156" s="2">
        <v>-0.14437375566350999</v>
      </c>
      <c r="AP156" s="2">
        <v>-7.6362261821077096E-2</v>
      </c>
      <c r="AQ156" s="2">
        <v>-4.1940513035239997E-2</v>
      </c>
      <c r="AR156" s="2">
        <v>-1.11320831981612</v>
      </c>
      <c r="AS156" s="2">
        <v>0.409764366966543</v>
      </c>
      <c r="AT156" s="2">
        <v>0.34357370441217899</v>
      </c>
    </row>
    <row r="157" spans="1:46" x14ac:dyDescent="0.25">
      <c r="A157" s="2">
        <v>1985.75</v>
      </c>
      <c r="B157" s="2">
        <v>4453.1000000000004</v>
      </c>
      <c r="C157" s="2">
        <v>7712.5982888219205</v>
      </c>
      <c r="D157" s="2">
        <v>57.738</v>
      </c>
      <c r="E157" s="2">
        <v>2790.9</v>
      </c>
      <c r="F157" s="2">
        <v>859.5</v>
      </c>
      <c r="G157" s="2">
        <v>4878.2576777193199</v>
      </c>
      <c r="H157" s="2">
        <v>749.61191423304547</v>
      </c>
      <c r="I157" s="2">
        <v>200.24021830570828</v>
      </c>
      <c r="J157" s="2">
        <v>51.021999999999998</v>
      </c>
      <c r="K157" s="2">
        <v>59.738999999999997</v>
      </c>
      <c r="L157" s="2">
        <v>85.409000000000006</v>
      </c>
      <c r="M157" s="2">
        <v>0.6025617448347631</v>
      </c>
      <c r="N157" s="2">
        <v>0.9106369234925008</v>
      </c>
      <c r="O157" s="2">
        <v>0.61552713220844701</v>
      </c>
      <c r="P157" s="2">
        <v>0.88914078325638424</v>
      </c>
      <c r="Q157" s="2">
        <v>3.85848434164844</v>
      </c>
      <c r="R157" s="2">
        <v>239299</v>
      </c>
      <c r="S157" s="2">
        <v>178941</v>
      </c>
      <c r="T157" s="2">
        <v>11.98</v>
      </c>
      <c r="U157" s="2">
        <v>9.76</v>
      </c>
      <c r="V157" s="2">
        <v>7.17</v>
      </c>
      <c r="W157" s="2">
        <v>197</v>
      </c>
      <c r="X157" s="2">
        <v>217.54573059082031</v>
      </c>
      <c r="Y157" s="2">
        <v>-0.43115070368029401</v>
      </c>
      <c r="Z157" s="2">
        <v>3.0326671898365021E-2</v>
      </c>
      <c r="AA157" s="2">
        <v>8.069230243563652E-3</v>
      </c>
      <c r="AB157" s="2">
        <v>0.40190846136026898</v>
      </c>
      <c r="AC157" s="2">
        <v>-0.84767986038724996</v>
      </c>
      <c r="AD157" s="2">
        <v>-0.17131647742105599</v>
      </c>
      <c r="AE157" s="2">
        <v>0.42367517284620498</v>
      </c>
      <c r="AF157" s="2">
        <v>-0.56950000000000001</v>
      </c>
      <c r="AG157" s="2">
        <v>2.7665999999999999</v>
      </c>
      <c r="AH157" s="2">
        <v>-0.41839999999999999</v>
      </c>
      <c r="AI157" s="2">
        <v>-0.18231941275216301</v>
      </c>
      <c r="AJ157" s="2">
        <v>-4.5087282685940797E-2</v>
      </c>
      <c r="AK157" s="2">
        <v>-0.26044952110479103</v>
      </c>
      <c r="AL157" s="2">
        <v>0.685169850986312</v>
      </c>
      <c r="AM157" s="2">
        <v>-0.171345316863459</v>
      </c>
      <c r="AN157" s="2">
        <v>-5.8223480667015798E-2</v>
      </c>
      <c r="AO157" s="2">
        <v>3.1120482333726999E-2</v>
      </c>
      <c r="AP157" s="2">
        <v>4.51538281249904E-2</v>
      </c>
      <c r="AQ157" s="2">
        <v>-0.30069723127259401</v>
      </c>
      <c r="AR157" s="2">
        <v>0.31966185882653197</v>
      </c>
      <c r="AS157" s="2">
        <v>0.98336726065167201</v>
      </c>
      <c r="AT157" s="2">
        <v>0.65003523014756603</v>
      </c>
    </row>
    <row r="158" spans="1:46" x14ac:dyDescent="0.25">
      <c r="A158" s="2">
        <v>1986</v>
      </c>
      <c r="B158" s="2">
        <v>4516.3</v>
      </c>
      <c r="C158" s="2">
        <v>7784.039986211651</v>
      </c>
      <c r="D158" s="2">
        <v>58.02</v>
      </c>
      <c r="E158" s="2">
        <v>2834.7</v>
      </c>
      <c r="F158" s="2">
        <v>863.5</v>
      </c>
      <c r="G158" s="2">
        <v>4919.5605768730147</v>
      </c>
      <c r="H158" s="2">
        <v>742.12512701408036</v>
      </c>
      <c r="I158" s="2">
        <v>199.93008436340946</v>
      </c>
      <c r="J158" s="2">
        <v>51.517000000000003</v>
      </c>
      <c r="K158" s="2">
        <v>60.296999999999997</v>
      </c>
      <c r="L158" s="2">
        <v>85.438999999999993</v>
      </c>
      <c r="M158" s="2">
        <v>0.6093774828569537</v>
      </c>
      <c r="N158" s="2">
        <v>0.9199545496898861</v>
      </c>
      <c r="O158" s="2">
        <v>0.62511478631219108</v>
      </c>
      <c r="P158" s="2">
        <v>0.90535447473817754</v>
      </c>
      <c r="Q158" s="2">
        <v>3.7940457319304639</v>
      </c>
      <c r="R158" s="2">
        <v>239785</v>
      </c>
      <c r="S158" s="2">
        <v>179825</v>
      </c>
      <c r="T158" s="2">
        <v>11.02</v>
      </c>
      <c r="U158" s="2">
        <v>8.56</v>
      </c>
      <c r="V158" s="2">
        <v>6.9</v>
      </c>
      <c r="W158" s="2">
        <v>219.9666666666667</v>
      </c>
      <c r="X158" s="2">
        <v>248.16070556640625</v>
      </c>
      <c r="Y158" s="2">
        <v>1.31590750593758</v>
      </c>
      <c r="Z158" s="2">
        <v>7.4777349829673767E-2</v>
      </c>
      <c r="AA158" s="2">
        <v>2.3658197373151779E-2</v>
      </c>
      <c r="AB158" s="2">
        <v>0.94970205923659701</v>
      </c>
      <c r="AC158" s="2">
        <v>0.43929224547375501</v>
      </c>
      <c r="AD158" s="2">
        <v>-4.1817022222412098E-2</v>
      </c>
      <c r="AE158" s="2">
        <v>0.62771456684062799</v>
      </c>
      <c r="AF158" s="2">
        <v>0.60609999999999997</v>
      </c>
      <c r="AG158" s="2">
        <v>0.21859999999999999</v>
      </c>
      <c r="AH158" s="2">
        <v>2.2599999999999999E-2</v>
      </c>
      <c r="AI158" s="2">
        <v>0.631175425874829</v>
      </c>
      <c r="AJ158" s="2">
        <v>-0.420618550170482</v>
      </c>
      <c r="AK158" s="2">
        <v>-1.0506636935292401E-2</v>
      </c>
      <c r="AL158" s="2">
        <v>-0.144330564400245</v>
      </c>
      <c r="AM158" s="2">
        <v>-9.4327158204736403E-2</v>
      </c>
      <c r="AN158" s="2">
        <v>-0.171091857084472</v>
      </c>
      <c r="AO158" s="2">
        <v>0.122122470415214</v>
      </c>
      <c r="AP158" s="2">
        <v>7.0981198146847294E-2</v>
      </c>
      <c r="AQ158" s="2">
        <v>-0.38466194865036102</v>
      </c>
      <c r="AR158" s="2">
        <v>-0.102843220672444</v>
      </c>
      <c r="AS158" s="2">
        <v>9.7671596731282201E-2</v>
      </c>
      <c r="AT158" s="2">
        <v>0.69644773094743595</v>
      </c>
    </row>
    <row r="159" spans="1:46" x14ac:dyDescent="0.25">
      <c r="A159" s="2">
        <v>1986.25</v>
      </c>
      <c r="B159" s="2">
        <v>4555.2</v>
      </c>
      <c r="C159" s="2">
        <v>7819.8173453271984</v>
      </c>
      <c r="D159" s="2">
        <v>58.252000000000002</v>
      </c>
      <c r="E159" s="2">
        <v>2863</v>
      </c>
      <c r="F159" s="2">
        <v>855.2</v>
      </c>
      <c r="G159" s="2">
        <v>4974.5452018139804</v>
      </c>
      <c r="H159" s="2">
        <v>727.08481053732169</v>
      </c>
      <c r="I159" s="2">
        <v>200.60520021946502</v>
      </c>
      <c r="J159" s="2">
        <v>51.723999999999997</v>
      </c>
      <c r="K159" s="2">
        <v>60.68</v>
      </c>
      <c r="L159" s="2">
        <v>85.241</v>
      </c>
      <c r="M159" s="2">
        <v>0.60964231447472395</v>
      </c>
      <c r="N159" s="2">
        <v>0.91598448520627307</v>
      </c>
      <c r="O159" s="2">
        <v>0.6333339955722781</v>
      </c>
      <c r="P159" s="2">
        <v>0.9190986123211411</v>
      </c>
      <c r="Q159" s="2">
        <v>3.8059308161441137</v>
      </c>
      <c r="R159" s="2">
        <v>240275</v>
      </c>
      <c r="S159" s="2">
        <v>180321</v>
      </c>
      <c r="T159" s="2">
        <v>10.27</v>
      </c>
      <c r="U159" s="2">
        <v>7.6</v>
      </c>
      <c r="V159" s="2">
        <v>6.14</v>
      </c>
      <c r="W159" s="2">
        <v>240.6</v>
      </c>
      <c r="X159" s="2">
        <v>271.42843627929688</v>
      </c>
      <c r="Y159" s="2">
        <v>0.194293583947802</v>
      </c>
      <c r="Z159" s="2">
        <v>4.3348792940378189E-2</v>
      </c>
      <c r="AA159" s="2">
        <v>1.0218800976872444E-2</v>
      </c>
      <c r="AB159" s="2">
        <v>0.41531953537145</v>
      </c>
      <c r="AC159" s="2">
        <v>-0.162081695923883</v>
      </c>
      <c r="AD159" s="2">
        <v>-2.11427608357369</v>
      </c>
      <c r="AE159" s="2">
        <v>0.47094561208911001</v>
      </c>
      <c r="AF159" s="2">
        <v>0.82410000000000005</v>
      </c>
      <c r="AG159" s="2">
        <v>-1.2307999999999999</v>
      </c>
      <c r="AH159" s="2">
        <v>-1.2871999999999999</v>
      </c>
      <c r="AI159" s="2">
        <v>0.66272405280887503</v>
      </c>
      <c r="AJ159" s="2">
        <v>-0.61786399835683603</v>
      </c>
      <c r="AK159" s="2">
        <v>-0.18186964044676501</v>
      </c>
      <c r="AL159" s="2">
        <v>-0.51655798681745801</v>
      </c>
      <c r="AM159" s="2">
        <v>3.0135676601818501E-2</v>
      </c>
      <c r="AN159" s="2">
        <v>0.183787436049974</v>
      </c>
      <c r="AO159" s="2">
        <v>-0.14532419290901</v>
      </c>
      <c r="AP159" s="2">
        <v>0.22047878988761199</v>
      </c>
      <c r="AQ159" s="2">
        <v>-5.5871636429320498E-2</v>
      </c>
      <c r="AR159" s="2">
        <v>-0.170735121732385</v>
      </c>
      <c r="AS159" s="2">
        <v>0.65527250582454899</v>
      </c>
      <c r="AT159" s="2">
        <v>-0.16571310597111999</v>
      </c>
    </row>
    <row r="160" spans="1:46" x14ac:dyDescent="0.25">
      <c r="A160" s="2">
        <v>1986.5</v>
      </c>
      <c r="B160" s="2">
        <v>4619.6000000000004</v>
      </c>
      <c r="C160" s="2">
        <v>7898.5073606100505</v>
      </c>
      <c r="D160" s="2">
        <v>58.487000000000002</v>
      </c>
      <c r="E160" s="2">
        <v>2929.7</v>
      </c>
      <c r="F160" s="2">
        <v>835.8</v>
      </c>
      <c r="G160" s="2">
        <v>5064.6544272724132</v>
      </c>
      <c r="H160" s="2">
        <v>718.78880504346171</v>
      </c>
      <c r="I160" s="2">
        <v>200.95858435664738</v>
      </c>
      <c r="J160" s="2">
        <v>52.298000000000002</v>
      </c>
      <c r="K160" s="2">
        <v>61.024000000000001</v>
      </c>
      <c r="L160" s="2">
        <v>85.700999999999993</v>
      </c>
      <c r="M160" s="2">
        <v>0.61160123571213132</v>
      </c>
      <c r="N160" s="2">
        <v>0.91305176307122438</v>
      </c>
      <c r="O160" s="2">
        <v>0.63480779262379861</v>
      </c>
      <c r="P160" s="2">
        <v>0.9110206419404</v>
      </c>
      <c r="Q160" s="2">
        <v>3.8010418141373035</v>
      </c>
      <c r="R160" s="2">
        <v>240858</v>
      </c>
      <c r="S160" s="2">
        <v>180836</v>
      </c>
      <c r="T160" s="2">
        <v>10.18</v>
      </c>
      <c r="U160" s="2">
        <v>7.31</v>
      </c>
      <c r="V160" s="2">
        <v>5.52</v>
      </c>
      <c r="W160" s="2">
        <v>241.16666666666666</v>
      </c>
      <c r="X160" s="2">
        <v>266.010498046875</v>
      </c>
      <c r="Y160" s="2">
        <v>1.2350041455119201</v>
      </c>
      <c r="Z160" s="2">
        <v>-2.3825256153941154E-2</v>
      </c>
      <c r="AA160" s="2">
        <v>-7.5380755588412285E-3</v>
      </c>
      <c r="AB160" s="2">
        <v>-1.2590333318222999</v>
      </c>
      <c r="AC160" s="2">
        <v>-0.73128616480327402</v>
      </c>
      <c r="AD160" s="2">
        <v>-1.26055509043472</v>
      </c>
      <c r="AE160" s="2">
        <v>0.23982754468598599</v>
      </c>
      <c r="AF160" s="2">
        <v>-0.28789999999999999</v>
      </c>
      <c r="AG160" s="2">
        <v>2.8509000000000002</v>
      </c>
      <c r="AH160" s="2">
        <v>-0.25359999999999999</v>
      </c>
      <c r="AI160" s="2">
        <v>-0.54920258883853501</v>
      </c>
      <c r="AJ160" s="2">
        <v>-0.43530357750127102</v>
      </c>
      <c r="AK160" s="2">
        <v>-0.291288213166007</v>
      </c>
      <c r="AL160" s="2">
        <v>-0.51246623663096402</v>
      </c>
      <c r="AM160" s="2">
        <v>-3.9729727471847498E-2</v>
      </c>
      <c r="AN160" s="2">
        <v>0.108933426277144</v>
      </c>
      <c r="AO160" s="2">
        <v>-4.0770166807837398E-2</v>
      </c>
      <c r="AP160" s="2">
        <v>3.3941448675914802E-2</v>
      </c>
      <c r="AQ160" s="2">
        <v>-0.452996015503768</v>
      </c>
      <c r="AR160" s="2">
        <v>-0.54027584739516998</v>
      </c>
      <c r="AS160" s="2">
        <v>1.08151485678881</v>
      </c>
      <c r="AT160" s="2">
        <v>0.43416238856554801</v>
      </c>
    </row>
    <row r="161" spans="1:46" x14ac:dyDescent="0.25">
      <c r="A161" s="2">
        <v>1986.75</v>
      </c>
      <c r="B161" s="2">
        <v>4669.3999999999996</v>
      </c>
      <c r="C161" s="2">
        <v>7939.4011528063511</v>
      </c>
      <c r="D161" s="2">
        <v>58.813000000000002</v>
      </c>
      <c r="E161" s="2">
        <v>2966.1</v>
      </c>
      <c r="F161" s="2">
        <v>842.1</v>
      </c>
      <c r="G161" s="2">
        <v>5097.092383832829</v>
      </c>
      <c r="H161" s="2">
        <v>725.74702260679396</v>
      </c>
      <c r="I161" s="2">
        <v>202.6874592853857</v>
      </c>
      <c r="J161" s="2">
        <v>52.533999999999999</v>
      </c>
      <c r="K161" s="2">
        <v>60.85</v>
      </c>
      <c r="L161" s="2">
        <v>86.332999999999998</v>
      </c>
      <c r="M161" s="2">
        <v>0.6087510432541674</v>
      </c>
      <c r="N161" s="2">
        <v>0.90972492579954023</v>
      </c>
      <c r="O161" s="2">
        <v>0.63212491377178792</v>
      </c>
      <c r="P161" s="2">
        <v>0.90952728346150258</v>
      </c>
      <c r="Q161" s="2">
        <v>3.782389538682934</v>
      </c>
      <c r="R161" s="2">
        <v>241454</v>
      </c>
      <c r="S161" s="2">
        <v>181365</v>
      </c>
      <c r="T161" s="2">
        <v>10.09</v>
      </c>
      <c r="U161" s="2">
        <v>7.26</v>
      </c>
      <c r="V161" s="2">
        <v>5.35</v>
      </c>
      <c r="W161" s="2">
        <v>243.70000000000002</v>
      </c>
      <c r="X161" s="2">
        <v>269.94338989257813</v>
      </c>
      <c r="Y161" s="2">
        <v>-0.80226201474737002</v>
      </c>
      <c r="Z161" s="2">
        <v>7.1454732678830624E-3</v>
      </c>
      <c r="AA161" s="2">
        <v>1.6528079868294299E-4</v>
      </c>
      <c r="AB161" s="2">
        <v>-0.28568206880192498</v>
      </c>
      <c r="AC161" s="2">
        <v>-0.43475292221381701</v>
      </c>
      <c r="AD161" s="2">
        <v>-0.66050717673011705</v>
      </c>
      <c r="AE161" s="2">
        <v>-0.45720969379682402</v>
      </c>
      <c r="AF161" s="2">
        <v>-0.83620000000000005</v>
      </c>
      <c r="AG161" s="2">
        <v>0.56799999999999995</v>
      </c>
      <c r="AH161" s="2">
        <v>-0.25140000000000001</v>
      </c>
      <c r="AI161" s="2">
        <v>-0.91172228440186598</v>
      </c>
      <c r="AJ161" s="2">
        <v>0.131818167335056</v>
      </c>
      <c r="AK161" s="2">
        <v>-0.87529809202146902</v>
      </c>
      <c r="AL161" s="2">
        <v>0.27184374280878498</v>
      </c>
      <c r="AM161" s="2">
        <v>-7.9567129967485301E-2</v>
      </c>
      <c r="AN161" s="2">
        <v>-9.6025612932375604E-2</v>
      </c>
      <c r="AO161" s="2">
        <v>3.3977114425932098E-2</v>
      </c>
      <c r="AP161" s="2">
        <v>-0.19585633454551299</v>
      </c>
      <c r="AQ161" s="2">
        <v>0.12024045865577999</v>
      </c>
      <c r="AR161" s="2">
        <v>-0.587452596403367</v>
      </c>
      <c r="AS161" s="2">
        <v>1.0253468878629</v>
      </c>
      <c r="AT161" s="2">
        <v>0.52937362319814296</v>
      </c>
    </row>
    <row r="162" spans="1:46" x14ac:dyDescent="0.25">
      <c r="A162" s="2">
        <v>1987</v>
      </c>
      <c r="B162" s="2">
        <v>4736.2</v>
      </c>
      <c r="C162" s="2">
        <v>7994.9358541525989</v>
      </c>
      <c r="D162" s="2">
        <v>59.24</v>
      </c>
      <c r="E162" s="2">
        <v>2998.3</v>
      </c>
      <c r="F162" s="2">
        <v>871.2</v>
      </c>
      <c r="G162" s="2">
        <v>5097.9358656102286</v>
      </c>
      <c r="H162" s="2">
        <v>708.59314686145262</v>
      </c>
      <c r="I162" s="2">
        <v>204.98179127118635</v>
      </c>
      <c r="J162" s="2">
        <v>52.901000000000003</v>
      </c>
      <c r="K162" s="2">
        <v>60.575000000000003</v>
      </c>
      <c r="L162" s="2">
        <v>87.331000000000003</v>
      </c>
      <c r="M162" s="2">
        <v>0.60557621110771187</v>
      </c>
      <c r="N162" s="2">
        <v>0.90616942258393962</v>
      </c>
      <c r="O162" s="2">
        <v>0.62088363717536366</v>
      </c>
      <c r="P162" s="2">
        <v>0.89053924860603961</v>
      </c>
      <c r="Q162" s="2">
        <v>3.7335427802381402</v>
      </c>
      <c r="R162" s="2">
        <v>241931</v>
      </c>
      <c r="S162" s="2">
        <v>182001</v>
      </c>
      <c r="T162" s="2">
        <v>9.66</v>
      </c>
      <c r="U162" s="2">
        <v>7.19</v>
      </c>
      <c r="V162" s="2">
        <v>5.54</v>
      </c>
      <c r="W162" s="2">
        <v>279.3</v>
      </c>
      <c r="X162" s="2">
        <v>312.46697998046875</v>
      </c>
      <c r="Y162" s="2">
        <v>-2.1645574770465599</v>
      </c>
      <c r="Z162" s="2">
        <v>0.12521134316921234</v>
      </c>
      <c r="AA162" s="2">
        <v>3.3913973718881607E-2</v>
      </c>
      <c r="AB162" s="2">
        <v>-0.68161492570208504</v>
      </c>
      <c r="AC162" s="2">
        <v>-3.9175234953952101E-2</v>
      </c>
      <c r="AD162" s="2">
        <v>0.89033037001300697</v>
      </c>
      <c r="AE162" s="2">
        <v>-1.69074086953962</v>
      </c>
      <c r="AF162" s="2">
        <v>-1.3016000000000001</v>
      </c>
      <c r="AG162" s="2">
        <v>2.0756999999999999</v>
      </c>
      <c r="AH162" s="2">
        <v>-8.5400000000000004E-2</v>
      </c>
      <c r="AI162" s="2">
        <v>-0.74353069327857402</v>
      </c>
      <c r="AJ162" s="2">
        <v>0.219349342178878</v>
      </c>
      <c r="AK162" s="2">
        <v>-0.92480581501367498</v>
      </c>
      <c r="AL162" s="2">
        <v>-0.86837343647952703</v>
      </c>
      <c r="AM162" s="2">
        <v>-0.23343099651681601</v>
      </c>
      <c r="AN162" s="2">
        <v>1.49190809081739E-2</v>
      </c>
      <c r="AO162" s="2">
        <v>2.63644223225197E-2</v>
      </c>
      <c r="AP162" s="2">
        <v>0.31627188089609798</v>
      </c>
      <c r="AQ162" s="2">
        <v>-0.187055272338463</v>
      </c>
      <c r="AR162" s="2">
        <v>-0.64594876749868102</v>
      </c>
      <c r="AS162" s="2">
        <v>0.79663624290054602</v>
      </c>
      <c r="AT162" s="2">
        <v>0.56072979780127497</v>
      </c>
    </row>
    <row r="163" spans="1:46" x14ac:dyDescent="0.25">
      <c r="A163" s="2">
        <v>1987.25</v>
      </c>
      <c r="B163" s="2">
        <v>4821.5</v>
      </c>
      <c r="C163" s="2">
        <v>8084.746046917182</v>
      </c>
      <c r="D163" s="2">
        <v>59.637</v>
      </c>
      <c r="E163" s="2">
        <v>3068.8</v>
      </c>
      <c r="F163" s="2">
        <v>874.6</v>
      </c>
      <c r="G163" s="2">
        <v>5168.5923131336949</v>
      </c>
      <c r="H163" s="2">
        <v>722.85721075018421</v>
      </c>
      <c r="I163" s="2">
        <v>205.50990141650894</v>
      </c>
      <c r="J163" s="2">
        <v>53.567</v>
      </c>
      <c r="K163" s="2">
        <v>60.959000000000003</v>
      </c>
      <c r="L163" s="2">
        <v>87.873000000000005</v>
      </c>
      <c r="M163" s="2">
        <v>0.61717288758677924</v>
      </c>
      <c r="N163" s="2">
        <v>0.9201905774275364</v>
      </c>
      <c r="O163" s="2">
        <v>0.63204069783708006</v>
      </c>
      <c r="P163" s="2">
        <v>0.9117730399323799</v>
      </c>
      <c r="Q163" s="2">
        <v>3.6708783052655183</v>
      </c>
      <c r="R163" s="2">
        <v>242428</v>
      </c>
      <c r="S163" s="2">
        <v>182527</v>
      </c>
      <c r="T163" s="2">
        <v>10.36</v>
      </c>
      <c r="U163" s="2">
        <v>8.34</v>
      </c>
      <c r="V163" s="2">
        <v>5.66</v>
      </c>
      <c r="W163" s="2">
        <v>293.26666666666671</v>
      </c>
      <c r="X163" s="2">
        <v>322.072998046875</v>
      </c>
      <c r="Y163" s="2">
        <v>0.70202239552948198</v>
      </c>
      <c r="Z163" s="2">
        <v>-3.18300761282444E-2</v>
      </c>
      <c r="AA163" s="2">
        <v>-5.8135990984737873E-3</v>
      </c>
      <c r="AB163" s="2">
        <v>0.73636463278379005</v>
      </c>
      <c r="AC163" s="2">
        <v>-0.69354273607194805</v>
      </c>
      <c r="AD163" s="2">
        <v>-0.34848392886315099</v>
      </c>
      <c r="AE163" s="2">
        <v>4.4101515449825698E-2</v>
      </c>
      <c r="AF163" s="2">
        <v>0.28029999999999999</v>
      </c>
      <c r="AG163" s="2">
        <v>3.3845000000000001</v>
      </c>
      <c r="AH163" s="2">
        <v>-0.10349999999999999</v>
      </c>
      <c r="AI163" s="2">
        <v>0.390512143422722</v>
      </c>
      <c r="AJ163" s="2">
        <v>-0.627954411294946</v>
      </c>
      <c r="AK163" s="2">
        <v>-0.17444817657963699</v>
      </c>
      <c r="AL163" s="2">
        <v>0.558272358224017</v>
      </c>
      <c r="AM163" s="2">
        <v>0.23036839380542201</v>
      </c>
      <c r="AN163" s="2">
        <v>6.54361915309217E-2</v>
      </c>
      <c r="AO163" s="2">
        <v>0.21811889348082</v>
      </c>
      <c r="AP163" s="2">
        <v>-4.4718047274329301E-3</v>
      </c>
      <c r="AQ163" s="2">
        <v>4.9580090422355103E-2</v>
      </c>
      <c r="AR163" s="2">
        <v>-2.2287433048923999E-2</v>
      </c>
      <c r="AS163" s="2">
        <v>0.19067199974944399</v>
      </c>
      <c r="AT163" s="2">
        <v>0.76002304681219102</v>
      </c>
    </row>
    <row r="164" spans="1:46" x14ac:dyDescent="0.25">
      <c r="A164" s="2">
        <v>1987.5</v>
      </c>
      <c r="B164" s="2">
        <v>4900.5</v>
      </c>
      <c r="C164" s="2">
        <v>8157.9823539204262</v>
      </c>
      <c r="D164" s="2">
        <v>60.07</v>
      </c>
      <c r="E164" s="2">
        <v>3133.5</v>
      </c>
      <c r="F164" s="2">
        <v>876.5</v>
      </c>
      <c r="G164" s="2">
        <v>5228.5127897081647</v>
      </c>
      <c r="H164" s="2">
        <v>742.93587352867814</v>
      </c>
      <c r="I164" s="2">
        <v>206.19474137719905</v>
      </c>
      <c r="J164" s="2">
        <v>53.985999999999997</v>
      </c>
      <c r="K164" s="2">
        <v>61.052</v>
      </c>
      <c r="L164" s="2">
        <v>88.426000000000002</v>
      </c>
      <c r="M164" s="2">
        <v>0.62093265547168663</v>
      </c>
      <c r="N164" s="2">
        <v>0.92864214940597534</v>
      </c>
      <c r="O164" s="2">
        <v>0.63586266488157128</v>
      </c>
      <c r="P164" s="2">
        <v>0.92400172857705598</v>
      </c>
      <c r="Q164" s="2">
        <v>3.6079435848869017</v>
      </c>
      <c r="R164" s="2">
        <v>243013</v>
      </c>
      <c r="S164" s="2">
        <v>183016</v>
      </c>
      <c r="T164" s="2">
        <v>10.91</v>
      </c>
      <c r="U164" s="2">
        <v>8.8800000000000008</v>
      </c>
      <c r="V164" s="2">
        <v>6.04</v>
      </c>
      <c r="W164" s="2">
        <v>319.40000000000003</v>
      </c>
      <c r="X164" s="2">
        <v>352.90676879882813</v>
      </c>
      <c r="Y164" s="2">
        <v>0.86759229250152203</v>
      </c>
      <c r="Z164" s="2">
        <v>6.2793567776679993E-2</v>
      </c>
      <c r="AA164" s="2">
        <v>1.8705587834119797E-2</v>
      </c>
      <c r="AB164" s="2">
        <v>0.73215995950957402</v>
      </c>
      <c r="AC164" s="2">
        <v>0.36683581460071402</v>
      </c>
      <c r="AD164" s="2">
        <v>0.49514406721877802</v>
      </c>
      <c r="AE164" s="2">
        <v>-0.73677918096328099</v>
      </c>
      <c r="AF164" s="2">
        <v>-0.4874</v>
      </c>
      <c r="AG164" s="2">
        <v>2.2915999999999999</v>
      </c>
      <c r="AH164" s="2">
        <v>0.16009999999999999</v>
      </c>
      <c r="AI164" s="2">
        <v>0.34481793715914399</v>
      </c>
      <c r="AJ164" s="2">
        <v>-2.8713006089339101E-2</v>
      </c>
      <c r="AK164" s="2">
        <v>-0.922729388516353</v>
      </c>
      <c r="AL164" s="2">
        <v>0.21196972770592101</v>
      </c>
      <c r="AM164" s="2">
        <v>9.1084166253275006E-2</v>
      </c>
      <c r="AN164" s="2">
        <v>3.4300271822503801E-2</v>
      </c>
      <c r="AO164" s="2">
        <v>3.5476109614648997E-2</v>
      </c>
      <c r="AP164" s="2">
        <v>2.3786061127214202E-2</v>
      </c>
      <c r="AQ164" s="2">
        <v>-0.23959043866462701</v>
      </c>
      <c r="AR164" s="2">
        <v>-6.3633867666093594E-2</v>
      </c>
      <c r="AS164" s="2">
        <v>0.98819828100468898</v>
      </c>
      <c r="AT164" s="2">
        <v>0.54506790056292598</v>
      </c>
    </row>
    <row r="165" spans="1:46" x14ac:dyDescent="0.25">
      <c r="A165" s="2">
        <v>1987.75</v>
      </c>
      <c r="B165" s="2">
        <v>5022.7</v>
      </c>
      <c r="C165" s="2">
        <v>8292.7997094127168</v>
      </c>
      <c r="D165" s="2">
        <v>60.567</v>
      </c>
      <c r="E165" s="2">
        <v>3167.6</v>
      </c>
      <c r="F165" s="2">
        <v>946.5</v>
      </c>
      <c r="G165" s="2">
        <v>5239.4263691549368</v>
      </c>
      <c r="H165" s="2">
        <v>741.92181873808568</v>
      </c>
      <c r="I165" s="2">
        <v>209.31034616477987</v>
      </c>
      <c r="J165" s="2">
        <v>54.972000000000001</v>
      </c>
      <c r="K165" s="2">
        <v>61.540999999999997</v>
      </c>
      <c r="L165" s="2">
        <v>89.325999999999993</v>
      </c>
      <c r="M165" s="2">
        <v>0.62467499876199051</v>
      </c>
      <c r="N165" s="2">
        <v>0.93016240478148648</v>
      </c>
      <c r="O165" s="2">
        <v>0.63689162971541835</v>
      </c>
      <c r="P165" s="2">
        <v>0.91660063813382109</v>
      </c>
      <c r="Q165" s="2">
        <v>3.5931073678840253</v>
      </c>
      <c r="R165" s="2">
        <v>243631</v>
      </c>
      <c r="S165" s="2">
        <v>183467</v>
      </c>
      <c r="T165" s="2">
        <v>11.38</v>
      </c>
      <c r="U165" s="2">
        <v>9.1199999999999992</v>
      </c>
      <c r="V165" s="2">
        <v>5.86</v>
      </c>
      <c r="W165" s="2">
        <v>255.4</v>
      </c>
      <c r="X165" s="2">
        <v>265.169677734375</v>
      </c>
      <c r="Y165" s="2">
        <v>-1.13409898243343</v>
      </c>
      <c r="Z165" s="2">
        <v>-0.2584136426448822</v>
      </c>
      <c r="AA165" s="2">
        <v>-7.5605466961860657E-2</v>
      </c>
      <c r="AB165" s="2">
        <v>-2.1786461697948498</v>
      </c>
      <c r="AC165" s="2">
        <v>0.70420670374636396</v>
      </c>
      <c r="AD165" s="2">
        <v>-0.27987983744954498</v>
      </c>
      <c r="AE165" s="2">
        <v>0.219300984906768</v>
      </c>
      <c r="AF165" s="2">
        <v>0.38329999999999997</v>
      </c>
      <c r="AG165" s="2">
        <v>4.9226999999999999</v>
      </c>
      <c r="AH165" s="2">
        <v>-0.46929999999999999</v>
      </c>
      <c r="AI165" s="2">
        <v>-1.6117514984972701</v>
      </c>
      <c r="AJ165" s="2">
        <v>-1.30463135036624E-2</v>
      </c>
      <c r="AK165" s="2">
        <v>-0.50239654559271096</v>
      </c>
      <c r="AL165" s="2">
        <v>-7.2775789578871097E-2</v>
      </c>
      <c r="AM165" s="2">
        <v>-0.16813782754308601</v>
      </c>
      <c r="AN165" s="2">
        <v>7.0474068989232197E-2</v>
      </c>
      <c r="AO165" s="2">
        <v>-0.201769232257099</v>
      </c>
      <c r="AP165" s="2">
        <v>9.1189400750966695E-2</v>
      </c>
      <c r="AQ165" s="2">
        <v>-0.40677160183007</v>
      </c>
      <c r="AR165" s="2">
        <v>-0.46192230326769501</v>
      </c>
      <c r="AS165" s="2">
        <v>0.653821590446655</v>
      </c>
      <c r="AT165" s="2">
        <v>7.2490247929403902E-3</v>
      </c>
    </row>
    <row r="166" spans="1:46" x14ac:dyDescent="0.25">
      <c r="A166" s="2">
        <v>1988</v>
      </c>
      <c r="B166" s="2">
        <v>5090.6000000000004</v>
      </c>
      <c r="C166" s="2">
        <v>8339.3673312255305</v>
      </c>
      <c r="D166" s="2">
        <v>61.042999999999999</v>
      </c>
      <c r="E166" s="2">
        <v>3249</v>
      </c>
      <c r="F166" s="2">
        <v>908.6</v>
      </c>
      <c r="G166" s="2">
        <v>5332.6986836490169</v>
      </c>
      <c r="H166" s="2">
        <v>747.91307186494419</v>
      </c>
      <c r="I166" s="2">
        <v>209.77079571993585</v>
      </c>
      <c r="J166" s="2">
        <v>55.198999999999998</v>
      </c>
      <c r="K166" s="2">
        <v>61.753</v>
      </c>
      <c r="L166" s="2">
        <v>89.385999999999996</v>
      </c>
      <c r="M166" s="2">
        <v>0.62914792980365608</v>
      </c>
      <c r="N166" s="2">
        <v>0.94011483263293205</v>
      </c>
      <c r="O166" s="2">
        <v>0.65128464257676077</v>
      </c>
      <c r="P166" s="2">
        <v>0.93535872409133802</v>
      </c>
      <c r="Q166" s="2">
        <v>3.5642865772489212</v>
      </c>
      <c r="R166" s="2">
        <v>244130</v>
      </c>
      <c r="S166" s="2">
        <v>183967</v>
      </c>
      <c r="T166" s="2">
        <v>10.75</v>
      </c>
      <c r="U166" s="2">
        <v>8.42</v>
      </c>
      <c r="V166" s="2">
        <v>5.72</v>
      </c>
      <c r="W166" s="2">
        <v>258.09999999999997</v>
      </c>
      <c r="X166" s="2">
        <v>290.72079467773438</v>
      </c>
      <c r="Y166" s="2">
        <v>0.73988439378249504</v>
      </c>
      <c r="Z166" s="2">
        <v>7.0676989853382111E-2</v>
      </c>
      <c r="AA166" s="2">
        <v>2.516627311706543E-2</v>
      </c>
      <c r="AB166" s="2">
        <v>1.6308269561381199</v>
      </c>
      <c r="AC166" s="2">
        <v>-0.176213754033203</v>
      </c>
      <c r="AD166" s="2">
        <v>0.40383918742548802</v>
      </c>
      <c r="AE166" s="2">
        <v>0.37252973689135599</v>
      </c>
      <c r="AF166" s="2">
        <v>-0.2447</v>
      </c>
      <c r="AG166" s="2">
        <v>-5.2272999999999996</v>
      </c>
      <c r="AH166" s="2">
        <v>-8.9999999999999993E-3</v>
      </c>
      <c r="AI166" s="2">
        <v>-0.66867124831212899</v>
      </c>
      <c r="AJ166" s="2">
        <v>0.25800566492889498</v>
      </c>
      <c r="AK166" s="2">
        <v>-0.51121154322055495</v>
      </c>
      <c r="AL166" s="2">
        <v>0.37353498257791301</v>
      </c>
      <c r="AM166" s="2">
        <v>6.7183980774020297E-2</v>
      </c>
      <c r="AN166" s="2">
        <v>5.5260784185239498E-2</v>
      </c>
      <c r="AO166" s="2">
        <v>0.311629188335934</v>
      </c>
      <c r="AP166" s="2">
        <v>0.24643235136057201</v>
      </c>
      <c r="AQ166" s="2">
        <v>-0.22859053227802401</v>
      </c>
      <c r="AR166" s="2">
        <v>-0.13938548634512499</v>
      </c>
      <c r="AS166" s="2">
        <v>1.4664276929998299</v>
      </c>
      <c r="AT166" s="2">
        <v>0.30233401567846302</v>
      </c>
    </row>
    <row r="167" spans="1:46" x14ac:dyDescent="0.25">
      <c r="A167" s="2">
        <v>1988.25</v>
      </c>
      <c r="B167" s="2">
        <v>5207.7</v>
      </c>
      <c r="C167" s="2">
        <v>8449.5319066084721</v>
      </c>
      <c r="D167" s="2">
        <v>61.633000000000003</v>
      </c>
      <c r="E167" s="2">
        <v>3309</v>
      </c>
      <c r="F167" s="2">
        <v>934.5</v>
      </c>
      <c r="G167" s="2">
        <v>5371.8404519553887</v>
      </c>
      <c r="H167" s="2">
        <v>764.69019262214294</v>
      </c>
      <c r="I167" s="2">
        <v>212.71279578067509</v>
      </c>
      <c r="J167" s="2">
        <v>56.043999999999997</v>
      </c>
      <c r="K167" s="2">
        <v>61.845999999999997</v>
      </c>
      <c r="L167" s="2">
        <v>90.619</v>
      </c>
      <c r="M167" s="2">
        <v>0.62952334346056871</v>
      </c>
      <c r="N167" s="2">
        <v>0.94442403770405248</v>
      </c>
      <c r="O167" s="2">
        <v>0.6543341334782008</v>
      </c>
      <c r="P167" s="2">
        <v>0.9356466353345233</v>
      </c>
      <c r="Q167" s="2">
        <v>3.5219873567119362</v>
      </c>
      <c r="R167" s="2">
        <v>244620</v>
      </c>
      <c r="S167" s="2">
        <v>184389</v>
      </c>
      <c r="T167" s="2">
        <v>10.98</v>
      </c>
      <c r="U167" s="2">
        <v>8.91</v>
      </c>
      <c r="V167" s="2">
        <v>6.21</v>
      </c>
      <c r="W167" s="2">
        <v>263.13333333333338</v>
      </c>
      <c r="X167" s="2">
        <v>300.61593627929688</v>
      </c>
      <c r="Y167" s="2">
        <v>-0.57081467191470603</v>
      </c>
      <c r="Z167" s="2">
        <v>-1.0712800547480583E-2</v>
      </c>
      <c r="AA167" s="2">
        <v>-2.5282811839133501E-3</v>
      </c>
      <c r="AB167" s="2">
        <v>-2.1582557716150301</v>
      </c>
      <c r="AC167" s="2">
        <v>-0.104132345475965</v>
      </c>
      <c r="AD167" s="2">
        <v>0.160637041234133</v>
      </c>
      <c r="AE167" s="2">
        <v>0.22099085563743801</v>
      </c>
      <c r="AF167" s="2">
        <v>-0.74150000000000005</v>
      </c>
      <c r="AG167" s="2">
        <v>6.8337000000000003</v>
      </c>
      <c r="AH167" s="2">
        <v>0.1323</v>
      </c>
      <c r="AI167" s="2">
        <v>-0.52082803158081104</v>
      </c>
      <c r="AJ167" s="2">
        <v>-3.7922403013863697E-4</v>
      </c>
      <c r="AK167" s="2">
        <v>-0.285993735457787</v>
      </c>
      <c r="AL167" s="2">
        <v>1.0154846474858601</v>
      </c>
      <c r="AM167" s="2">
        <v>-6.9245946702921404E-2</v>
      </c>
      <c r="AN167" s="2">
        <v>0.120706923800525</v>
      </c>
      <c r="AO167" s="2">
        <v>-4.6005148117687203E-2</v>
      </c>
      <c r="AP167" s="2">
        <v>0.29004680046526099</v>
      </c>
      <c r="AQ167" s="2">
        <v>-0.15933405701251799</v>
      </c>
      <c r="AR167" s="2">
        <v>-0.40048914109762801</v>
      </c>
      <c r="AS167" s="2">
        <v>0.89249387029279503</v>
      </c>
      <c r="AT167" s="2">
        <v>-0.29290267225289102</v>
      </c>
    </row>
    <row r="168" spans="1:46" x14ac:dyDescent="0.25">
      <c r="A168" s="2">
        <v>1988.5</v>
      </c>
      <c r="B168" s="2">
        <v>5299.5</v>
      </c>
      <c r="C168" s="2">
        <v>8498.3723279719052</v>
      </c>
      <c r="D168" s="2">
        <v>62.359000000000002</v>
      </c>
      <c r="E168" s="2">
        <v>3378.3</v>
      </c>
      <c r="F168" s="2">
        <v>942</v>
      </c>
      <c r="G168" s="2">
        <v>5417.5887616665068</v>
      </c>
      <c r="H168" s="2">
        <v>769.41730755906599</v>
      </c>
      <c r="I168" s="2">
        <v>212.96443840205694</v>
      </c>
      <c r="J168" s="2">
        <v>56.32</v>
      </c>
      <c r="K168" s="2">
        <v>62.029000000000003</v>
      </c>
      <c r="L168" s="2">
        <v>90.796000000000006</v>
      </c>
      <c r="M168" s="2">
        <v>0.63193076235247592</v>
      </c>
      <c r="N168" s="2">
        <v>0.95505412489700148</v>
      </c>
      <c r="O168" s="2">
        <v>0.65793614113223575</v>
      </c>
      <c r="P168" s="2">
        <v>0.94958989470326882</v>
      </c>
      <c r="Q168" s="2">
        <v>3.4772467738309358</v>
      </c>
      <c r="R168" s="2">
        <v>245242</v>
      </c>
      <c r="S168" s="2">
        <v>184840</v>
      </c>
      <c r="T168" s="2">
        <v>11.07</v>
      </c>
      <c r="U168" s="2">
        <v>9.1</v>
      </c>
      <c r="V168" s="2">
        <v>7.01</v>
      </c>
      <c r="W168" s="2">
        <v>266.93333333333334</v>
      </c>
      <c r="X168" s="2">
        <v>307.26016235351563</v>
      </c>
      <c r="Y168" s="2">
        <v>5.0191353173180998E-2</v>
      </c>
      <c r="Z168" s="2">
        <v>-1.3045408762991428E-2</v>
      </c>
      <c r="AA168" s="2">
        <v>-3.5770470276474953E-3</v>
      </c>
      <c r="AB168" s="2">
        <v>1.4783186685580501</v>
      </c>
      <c r="AC168" s="2">
        <v>0.268222081602979</v>
      </c>
      <c r="AD168" s="2">
        <v>0.25690626537007999</v>
      </c>
      <c r="AE168" s="2">
        <v>2.3033461707738501E-2</v>
      </c>
      <c r="AF168" s="2">
        <v>-9.3299999999999994E-2</v>
      </c>
      <c r="AG168" s="2">
        <v>0.83299999999999996</v>
      </c>
      <c r="AH168" s="2">
        <v>0.42399999999999999</v>
      </c>
      <c r="AI168" s="2">
        <v>0.388400056052566</v>
      </c>
      <c r="AJ168" s="2">
        <v>0.583654429832977</v>
      </c>
      <c r="AK168" s="2">
        <v>-0.74318212241150905</v>
      </c>
      <c r="AL168" s="2">
        <v>-0.323970695967013</v>
      </c>
      <c r="AM168" s="2">
        <v>5.8009488906409598E-2</v>
      </c>
      <c r="AN168" s="2">
        <v>0.26913081800541799</v>
      </c>
      <c r="AO168" s="2">
        <v>3.9906350500689997E-2</v>
      </c>
      <c r="AP168" s="2">
        <v>-4.4960697298165903E-2</v>
      </c>
      <c r="AQ168" s="2">
        <v>2.0677379686215299E-2</v>
      </c>
      <c r="AR168" s="2">
        <v>-0.31038926663472199</v>
      </c>
      <c r="AS168" s="2">
        <v>1.20551346290961</v>
      </c>
      <c r="AT168" s="2">
        <v>0.15681202522218199</v>
      </c>
    </row>
    <row r="169" spans="1:46" x14ac:dyDescent="0.25">
      <c r="A169" s="2">
        <v>1988.75</v>
      </c>
      <c r="B169" s="2">
        <v>5412.7</v>
      </c>
      <c r="C169" s="2">
        <v>8610.8592246138178</v>
      </c>
      <c r="D169" s="2">
        <v>62.859000000000002</v>
      </c>
      <c r="E169" s="2">
        <v>3451.3</v>
      </c>
      <c r="F169" s="2">
        <v>962.8</v>
      </c>
      <c r="G169" s="2">
        <v>5479.73262626423</v>
      </c>
      <c r="H169" s="2">
        <v>780.143466770396</v>
      </c>
      <c r="I169" s="2">
        <v>215.22278509537361</v>
      </c>
      <c r="J169" s="2">
        <v>57.097000000000001</v>
      </c>
      <c r="K169" s="2">
        <v>62.164999999999999</v>
      </c>
      <c r="L169" s="2">
        <v>91.847999999999999</v>
      </c>
      <c r="M169" s="2">
        <v>0.63371800206498752</v>
      </c>
      <c r="N169" s="2">
        <v>0.95662544646442693</v>
      </c>
      <c r="O169" s="2">
        <v>0.65813040258949507</v>
      </c>
      <c r="P169" s="2">
        <v>0.94432349764713996</v>
      </c>
      <c r="Q169" s="2">
        <v>3.480599972986917</v>
      </c>
      <c r="R169" s="2">
        <v>245878</v>
      </c>
      <c r="S169" s="2">
        <v>185253</v>
      </c>
      <c r="T169" s="2">
        <v>10.51</v>
      </c>
      <c r="U169" s="2">
        <v>8.9600000000000009</v>
      </c>
      <c r="V169" s="2">
        <v>7.73</v>
      </c>
      <c r="W169" s="2">
        <v>274.96666666666664</v>
      </c>
      <c r="X169" s="2">
        <v>316.37277221679688</v>
      </c>
      <c r="Y169" s="2">
        <v>-0.114162377454214</v>
      </c>
      <c r="Z169" s="2">
        <v>2.412249892950058E-2</v>
      </c>
      <c r="AA169" s="2">
        <v>8.9494651183485985E-3</v>
      </c>
      <c r="AB169" s="2">
        <v>-0.80343763012543601</v>
      </c>
      <c r="AC169" s="2">
        <v>0.78168437916506806</v>
      </c>
      <c r="AD169" s="2">
        <v>-0.935040203212266</v>
      </c>
      <c r="AE169" s="2">
        <v>0.272476083088805</v>
      </c>
      <c r="AF169" s="2">
        <v>-0.29780000000000001</v>
      </c>
      <c r="AG169" s="2">
        <v>4.7811000000000003</v>
      </c>
      <c r="AH169" s="2">
        <v>-0.3861</v>
      </c>
      <c r="AI169" s="2">
        <v>0.75596753402906003</v>
      </c>
      <c r="AJ169" s="2">
        <v>-0.68562048923023</v>
      </c>
      <c r="AK169" s="2">
        <v>-0.42248761530262302</v>
      </c>
      <c r="AL169" s="2">
        <v>0.15710961188161601</v>
      </c>
      <c r="AM169" s="2">
        <v>9.7181568520999698E-2</v>
      </c>
      <c r="AN169" s="2">
        <v>0.27542161351776701</v>
      </c>
      <c r="AO169" s="2">
        <v>8.53650446660731E-2</v>
      </c>
      <c r="AP169" s="2">
        <v>8.1866267819845004E-2</v>
      </c>
      <c r="AQ169" s="2">
        <v>-0.16269784958876199</v>
      </c>
      <c r="AR169" s="2">
        <v>-0.11740666484864699</v>
      </c>
      <c r="AS169" s="2">
        <v>0.28674269817025499</v>
      </c>
      <c r="AT169" s="2">
        <v>0.11712131009749099</v>
      </c>
    </row>
    <row r="170" spans="1:46" x14ac:dyDescent="0.25">
      <c r="A170" s="2">
        <v>1989</v>
      </c>
      <c r="B170" s="2">
        <v>5527.4</v>
      </c>
      <c r="C170" s="2">
        <v>8697.7183320220302</v>
      </c>
      <c r="D170" s="2">
        <v>63.55</v>
      </c>
      <c r="E170" s="2">
        <v>3506.1</v>
      </c>
      <c r="F170" s="2">
        <v>1005.4</v>
      </c>
      <c r="G170" s="2">
        <v>5505.0322661684122</v>
      </c>
      <c r="H170" s="2">
        <v>792.49277275727854</v>
      </c>
      <c r="I170" s="2">
        <v>217.21706992619539</v>
      </c>
      <c r="J170" s="2">
        <v>57.746000000000002</v>
      </c>
      <c r="K170" s="2">
        <v>62.284999999999997</v>
      </c>
      <c r="L170" s="2">
        <v>92.712999999999994</v>
      </c>
      <c r="M170" s="2">
        <v>0.63139987535742526</v>
      </c>
      <c r="N170" s="2">
        <v>0.95892955037449323</v>
      </c>
      <c r="O170" s="2">
        <v>0.65483741668147588</v>
      </c>
      <c r="P170" s="2">
        <v>0.93901642671017393</v>
      </c>
      <c r="Q170" s="2">
        <v>3.4555330760804548</v>
      </c>
      <c r="R170" s="2">
        <v>246377</v>
      </c>
      <c r="S170" s="2">
        <v>185773</v>
      </c>
      <c r="T170" s="2">
        <v>10.64</v>
      </c>
      <c r="U170" s="2">
        <v>9.2100000000000009</v>
      </c>
      <c r="V170" s="2">
        <v>8.5399999999999991</v>
      </c>
      <c r="W170" s="2">
        <v>290.7</v>
      </c>
      <c r="X170" s="2">
        <v>338.95538330078125</v>
      </c>
      <c r="Y170" s="2">
        <v>-0.96038063646998795</v>
      </c>
      <c r="Z170" s="2">
        <v>3.3308360725641251E-2</v>
      </c>
      <c r="AA170" s="2">
        <v>6.3481330871582031E-3</v>
      </c>
      <c r="AB170" s="2">
        <v>-0.53799209844989204</v>
      </c>
      <c r="AC170" s="2">
        <v>0.58462467331777301</v>
      </c>
      <c r="AD170" s="2">
        <v>1.0817667300640501</v>
      </c>
      <c r="AE170" s="2">
        <v>0.104115543404252</v>
      </c>
      <c r="AF170" s="2">
        <v>-0.55989999999999995</v>
      </c>
      <c r="AG170" s="2">
        <v>4.3407</v>
      </c>
      <c r="AH170" s="2">
        <v>-8.7599999999999997E-2</v>
      </c>
      <c r="AI170" s="2">
        <v>-1.1840249397165199</v>
      </c>
      <c r="AJ170" s="2">
        <v>1.0488587738905499</v>
      </c>
      <c r="AK170" s="2">
        <v>-1.2271186155270399</v>
      </c>
      <c r="AL170" s="2">
        <v>1.6254204333288901E-2</v>
      </c>
      <c r="AM170" s="2">
        <v>-0.14249394227828099</v>
      </c>
      <c r="AN170" s="2">
        <v>0.117904470383074</v>
      </c>
      <c r="AO170" s="2">
        <v>0.157873177632184</v>
      </c>
      <c r="AP170" s="2">
        <v>0.140272714087777</v>
      </c>
      <c r="AQ170" s="2">
        <v>-0.30648242827319599</v>
      </c>
      <c r="AR170" s="2">
        <v>0.15828265480647</v>
      </c>
      <c r="AS170" s="2">
        <v>-0.20671564096012801</v>
      </c>
      <c r="AT170" s="2">
        <v>2.3622757921708201E-2</v>
      </c>
    </row>
    <row r="171" spans="1:46" x14ac:dyDescent="0.25">
      <c r="A171" s="2">
        <v>1989.25</v>
      </c>
      <c r="B171" s="2">
        <v>5628.4</v>
      </c>
      <c r="C171" s="2">
        <v>8766.0223963119297</v>
      </c>
      <c r="D171" s="2">
        <v>64.206999999999994</v>
      </c>
      <c r="E171" s="2">
        <v>3569.5</v>
      </c>
      <c r="F171" s="2">
        <v>1001</v>
      </c>
      <c r="G171" s="2">
        <v>5530.850041835818</v>
      </c>
      <c r="H171" s="2">
        <v>803.30432417731845</v>
      </c>
      <c r="I171" s="2">
        <v>218.4534839564127</v>
      </c>
      <c r="J171" s="2">
        <v>58.203000000000003</v>
      </c>
      <c r="K171" s="2">
        <v>62.613</v>
      </c>
      <c r="L171" s="2">
        <v>92.956999999999994</v>
      </c>
      <c r="M171" s="2">
        <v>0.62365915387782089</v>
      </c>
      <c r="N171" s="2">
        <v>0.96049664282344849</v>
      </c>
      <c r="O171" s="2">
        <v>0.64967130418074903</v>
      </c>
      <c r="P171" s="2">
        <v>0.96040103987769421</v>
      </c>
      <c r="Q171" s="2">
        <v>3.4059587586174742</v>
      </c>
      <c r="R171" s="2">
        <v>246914</v>
      </c>
      <c r="S171" s="2">
        <v>186178</v>
      </c>
      <c r="T171" s="2">
        <v>10.37</v>
      </c>
      <c r="U171" s="2">
        <v>8.77</v>
      </c>
      <c r="V171" s="2">
        <v>8.41</v>
      </c>
      <c r="W171" s="2">
        <v>313.3</v>
      </c>
      <c r="X171" s="2">
        <v>368.31283569335938</v>
      </c>
      <c r="Y171" s="2">
        <v>-0.187172160157733</v>
      </c>
      <c r="Z171" s="2">
        <v>5.3711369633674622E-2</v>
      </c>
      <c r="AA171" s="2">
        <v>9.7846966236829758E-3</v>
      </c>
      <c r="AB171" s="2">
        <v>1.0798734074970199E-2</v>
      </c>
      <c r="AC171" s="2">
        <v>-0.25070519544540398</v>
      </c>
      <c r="AD171" s="2">
        <v>1.5948899941433601</v>
      </c>
      <c r="AE171" s="2">
        <v>0.11836877443633601</v>
      </c>
      <c r="AF171" s="2">
        <v>-0.43740000000000001</v>
      </c>
      <c r="AG171" s="2">
        <v>-0.66420000000000001</v>
      </c>
      <c r="AH171" s="2">
        <v>0.58130000000000004</v>
      </c>
      <c r="AI171" s="2">
        <v>0.304850844100434</v>
      </c>
      <c r="AJ171" s="2">
        <v>-2.2034647193579601E-2</v>
      </c>
      <c r="AK171" s="2">
        <v>-0.463591848696497</v>
      </c>
      <c r="AL171" s="2">
        <v>-3.9917357447719098E-2</v>
      </c>
      <c r="AM171" s="2">
        <v>0.23334740971062901</v>
      </c>
      <c r="AN171" s="2">
        <v>0.27989812407082498</v>
      </c>
      <c r="AO171" s="2">
        <v>0.30720679588689298</v>
      </c>
      <c r="AP171" s="2">
        <v>-3.5435617778268903E-2</v>
      </c>
      <c r="AQ171" s="2">
        <v>-9.0548823209404498E-3</v>
      </c>
      <c r="AR171" s="2">
        <v>0.33655922332484101</v>
      </c>
      <c r="AS171" s="2">
        <v>0.18539303743239499</v>
      </c>
      <c r="AT171" s="2">
        <v>3.6475893144306201E-2</v>
      </c>
    </row>
    <row r="172" spans="1:46" x14ac:dyDescent="0.25">
      <c r="A172" s="2">
        <v>1989.5</v>
      </c>
      <c r="B172" s="2">
        <v>5711.6</v>
      </c>
      <c r="C172" s="2">
        <v>8831.6427511133115</v>
      </c>
      <c r="D172" s="2">
        <v>64.671999999999997</v>
      </c>
      <c r="E172" s="2">
        <v>3625.6</v>
      </c>
      <c r="F172" s="2">
        <v>996.5</v>
      </c>
      <c r="G172" s="2">
        <v>5585.9242596986405</v>
      </c>
      <c r="H172" s="2">
        <v>823.91517459745114</v>
      </c>
      <c r="I172" s="2">
        <v>218.71079462069022</v>
      </c>
      <c r="J172" s="2">
        <v>58.646999999999998</v>
      </c>
      <c r="K172" s="2">
        <v>62.866</v>
      </c>
      <c r="L172" s="2">
        <v>93.289000000000001</v>
      </c>
      <c r="M172" s="2">
        <v>0.62354146058647641</v>
      </c>
      <c r="N172" s="2">
        <v>0.96286671617247155</v>
      </c>
      <c r="O172" s="2">
        <v>0.65496886030343293</v>
      </c>
      <c r="P172" s="2">
        <v>0.98059739747931196</v>
      </c>
      <c r="Q172" s="2">
        <v>3.3971953802118224</v>
      </c>
      <c r="R172" s="2">
        <v>247577</v>
      </c>
      <c r="S172" s="2">
        <v>186602</v>
      </c>
      <c r="T172" s="2">
        <v>9.89</v>
      </c>
      <c r="U172" s="2">
        <v>8.11</v>
      </c>
      <c r="V172" s="2">
        <v>7.84</v>
      </c>
      <c r="W172" s="2">
        <v>341.93333333333334</v>
      </c>
      <c r="X172" s="2">
        <v>406.71408081054688</v>
      </c>
      <c r="Y172" s="2">
        <v>0.72313796798757501</v>
      </c>
      <c r="Z172" s="2">
        <v>5.6731164455413818E-2</v>
      </c>
      <c r="AA172" s="2">
        <v>1.47283636033535E-2</v>
      </c>
      <c r="AB172" s="2">
        <v>-0.20201510630960501</v>
      </c>
      <c r="AC172" s="2">
        <v>-3.8924710619858603E-2</v>
      </c>
      <c r="AD172" s="2">
        <v>-1.4765913352942901</v>
      </c>
      <c r="AE172" s="2">
        <v>0.69421813316085301</v>
      </c>
      <c r="AF172" s="2">
        <v>0.55169999999999997</v>
      </c>
      <c r="AG172" s="2">
        <v>-3.7100000000000001E-2</v>
      </c>
      <c r="AH172" s="2">
        <v>-0.3538</v>
      </c>
      <c r="AI172" s="2">
        <v>0.24729045104768901</v>
      </c>
      <c r="AJ172" s="2">
        <v>-8.3192643706030994E-2</v>
      </c>
      <c r="AK172" s="2">
        <v>-0.245689651538538</v>
      </c>
      <c r="AL172" s="2">
        <v>0.812782067282388</v>
      </c>
      <c r="AM172" s="2">
        <v>0.253555195892115</v>
      </c>
      <c r="AN172" s="2">
        <v>0.163421614683738</v>
      </c>
      <c r="AO172" s="2">
        <v>-2.88907093660308E-2</v>
      </c>
      <c r="AP172" s="2">
        <v>6.2863844221645399E-2</v>
      </c>
      <c r="AQ172" s="2">
        <v>-8.7791655722762499E-2</v>
      </c>
      <c r="AR172" s="2">
        <v>-0.337340924448784</v>
      </c>
      <c r="AS172" s="2">
        <v>0.56013408534646103</v>
      </c>
      <c r="AT172" s="2">
        <v>0.284262935838345</v>
      </c>
    </row>
    <row r="173" spans="1:46" x14ac:dyDescent="0.25">
      <c r="A173" s="2">
        <v>1989.75</v>
      </c>
      <c r="B173" s="2">
        <v>5763.4</v>
      </c>
      <c r="C173" s="2">
        <v>8850.1581646755312</v>
      </c>
      <c r="D173" s="2">
        <v>65.122</v>
      </c>
      <c r="E173" s="2">
        <v>3670.1</v>
      </c>
      <c r="F173" s="2">
        <v>995.9</v>
      </c>
      <c r="G173" s="2">
        <v>5610.4868913857672</v>
      </c>
      <c r="H173" s="2">
        <v>815.69269408440596</v>
      </c>
      <c r="I173" s="2">
        <v>219.82393407777374</v>
      </c>
      <c r="J173" s="2">
        <v>58.698</v>
      </c>
      <c r="K173" s="2">
        <v>62.93</v>
      </c>
      <c r="L173" s="2">
        <v>93.275000000000006</v>
      </c>
      <c r="M173" s="2">
        <v>0.62033625497255818</v>
      </c>
      <c r="N173" s="2">
        <v>0.96132216357809763</v>
      </c>
      <c r="O173" s="2">
        <v>0.65255823646133915</v>
      </c>
      <c r="P173" s="2">
        <v>0.98098752900553576</v>
      </c>
      <c r="Q173" s="2">
        <v>3.374695359681732</v>
      </c>
      <c r="R173" s="2">
        <v>248276</v>
      </c>
      <c r="S173" s="2">
        <v>187018</v>
      </c>
      <c r="T173" s="2">
        <v>9.81</v>
      </c>
      <c r="U173" s="2">
        <v>7.91</v>
      </c>
      <c r="V173" s="2">
        <v>7.65</v>
      </c>
      <c r="W173" s="2">
        <v>345.39999999999992</v>
      </c>
      <c r="X173" s="2">
        <v>404.02529907226563</v>
      </c>
      <c r="Y173" s="2">
        <v>-1.0128939796062399</v>
      </c>
      <c r="Z173" s="2">
        <v>-2.2067248821258545E-2</v>
      </c>
      <c r="AA173" s="2">
        <v>-1.0164085775613785E-2</v>
      </c>
      <c r="AB173" s="2">
        <v>0.75688530395811304</v>
      </c>
      <c r="AC173" s="2">
        <v>-0.298112156232132</v>
      </c>
      <c r="AD173" s="2">
        <v>-7.2869008231300797E-2</v>
      </c>
      <c r="AE173" s="2">
        <v>-0.32557426247829102</v>
      </c>
      <c r="AF173" s="2">
        <v>-0.48470000000000002</v>
      </c>
      <c r="AG173" s="2">
        <v>-1.5690999999999999</v>
      </c>
      <c r="AH173" s="2">
        <v>-0.25269999999999998</v>
      </c>
      <c r="AI173" s="2">
        <v>-0.40918550065776499</v>
      </c>
      <c r="AJ173" s="2">
        <v>0.10626852445014</v>
      </c>
      <c r="AK173" s="2">
        <v>-0.65384695850485497</v>
      </c>
      <c r="AL173" s="2">
        <v>7.06470315859586E-2</v>
      </c>
      <c r="AM173" s="2">
        <v>0.18691564000108199</v>
      </c>
      <c r="AN173" s="2">
        <v>0.27518128829246302</v>
      </c>
      <c r="AO173" s="2">
        <v>8.0389490505990105E-2</v>
      </c>
      <c r="AP173" s="2">
        <v>0.27295984559166597</v>
      </c>
      <c r="AQ173" s="2">
        <v>-0.113284814724383</v>
      </c>
      <c r="AR173" s="2">
        <v>0.54163803836425495</v>
      </c>
      <c r="AS173" s="2">
        <v>8.9652967939671604E-2</v>
      </c>
      <c r="AT173" s="2">
        <v>0.44963000735963199</v>
      </c>
    </row>
    <row r="174" spans="1:46" x14ac:dyDescent="0.25">
      <c r="A174" s="2">
        <v>1990</v>
      </c>
      <c r="B174" s="2">
        <v>5890.8</v>
      </c>
      <c r="C174" s="2">
        <v>8947.00870278398</v>
      </c>
      <c r="D174" s="2">
        <v>65.840999999999994</v>
      </c>
      <c r="E174" s="2">
        <v>3754.5</v>
      </c>
      <c r="F174" s="2">
        <v>1010.8</v>
      </c>
      <c r="G174" s="2">
        <v>5658.7137711193836</v>
      </c>
      <c r="H174" s="2">
        <v>826.04914596619551</v>
      </c>
      <c r="I174" s="2">
        <v>219.98956779272834</v>
      </c>
      <c r="J174" s="2">
        <v>59.372</v>
      </c>
      <c r="K174" s="2">
        <v>63.585999999999999</v>
      </c>
      <c r="L174" s="2">
        <v>93.373000000000005</v>
      </c>
      <c r="M174" s="2">
        <v>0.6277133041951064</v>
      </c>
      <c r="N174" s="2">
        <v>0.9744715226512618</v>
      </c>
      <c r="O174" s="2">
        <v>0.65547086550805156</v>
      </c>
      <c r="P174" s="2">
        <v>0.99318669183545649</v>
      </c>
      <c r="Q174" s="2">
        <v>3.3247217031578993</v>
      </c>
      <c r="R174" s="2">
        <v>248833</v>
      </c>
      <c r="S174" s="2">
        <v>188520</v>
      </c>
      <c r="T174" s="2">
        <v>10.1</v>
      </c>
      <c r="U174" s="2">
        <v>8.42</v>
      </c>
      <c r="V174" s="2">
        <v>7.76</v>
      </c>
      <c r="W174" s="2">
        <v>336.29333333333335</v>
      </c>
      <c r="X174" s="2">
        <v>388.60198974609375</v>
      </c>
      <c r="Y174" s="2">
        <v>0.72411981915716805</v>
      </c>
      <c r="Z174" s="2">
        <v>-5.5731620639562607E-2</v>
      </c>
      <c r="AA174" s="2">
        <v>-1.354194525629282E-2</v>
      </c>
      <c r="AB174" s="2">
        <v>0.30788865174881203</v>
      </c>
      <c r="AC174" s="2">
        <v>-2.0743420215589601</v>
      </c>
      <c r="AD174" s="2">
        <v>1.02202290379075</v>
      </c>
      <c r="AE174" s="2">
        <v>0.46647486183308701</v>
      </c>
      <c r="AF174" s="2">
        <v>0.2427</v>
      </c>
      <c r="AG174" s="2">
        <v>5.7031999999999998</v>
      </c>
      <c r="AH174" s="2">
        <v>0.61970000000000003</v>
      </c>
      <c r="AI174" s="2">
        <v>0.16174914646553401</v>
      </c>
      <c r="AJ174" s="2">
        <v>0.91936439858700703</v>
      </c>
      <c r="AK174" s="2">
        <v>-0.117969568367397</v>
      </c>
      <c r="AL174" s="2">
        <v>0.70986225127703895</v>
      </c>
      <c r="AM174" s="2">
        <v>6.2748555506010203E-2</v>
      </c>
      <c r="AN174" s="2">
        <v>9.2115387883113506E-2</v>
      </c>
      <c r="AO174" s="2">
        <v>0.117583745855964</v>
      </c>
      <c r="AP174" s="2">
        <v>0.217195311957291</v>
      </c>
      <c r="AQ174" s="2">
        <v>4.3973082498009401E-2</v>
      </c>
      <c r="AR174" s="2">
        <v>1.15684192408366</v>
      </c>
      <c r="AS174" s="2">
        <v>-7.0069612134596601E-2</v>
      </c>
      <c r="AT174" s="2">
        <v>0.37407869576698799</v>
      </c>
    </row>
    <row r="175" spans="1:46" x14ac:dyDescent="0.25">
      <c r="A175" s="2">
        <v>1990.25</v>
      </c>
      <c r="B175" s="2">
        <v>5974.7</v>
      </c>
      <c r="C175" s="2">
        <v>8981.809981960314</v>
      </c>
      <c r="D175" s="2">
        <v>66.52</v>
      </c>
      <c r="E175" s="2">
        <v>3800.2</v>
      </c>
      <c r="F175" s="2">
        <v>1014.8</v>
      </c>
      <c r="G175" s="2">
        <v>5676.5154004720225</v>
      </c>
      <c r="H175" s="2">
        <v>815.370092731412</v>
      </c>
      <c r="I175" s="2">
        <v>218.73950294511485</v>
      </c>
      <c r="J175" s="2">
        <v>59.558999999999997</v>
      </c>
      <c r="K175" s="2">
        <v>64.19</v>
      </c>
      <c r="L175" s="2">
        <v>92.784999999999997</v>
      </c>
      <c r="M175" s="2">
        <v>0.6332656317475962</v>
      </c>
      <c r="N175" s="2">
        <v>0.98753916404112019</v>
      </c>
      <c r="O175" s="2">
        <v>0.65812169235715301</v>
      </c>
      <c r="P175" s="2">
        <v>0.99683599680318491</v>
      </c>
      <c r="Q175" s="2">
        <v>3.2812587292972437</v>
      </c>
      <c r="R175" s="2">
        <v>249573</v>
      </c>
      <c r="S175" s="2">
        <v>188916</v>
      </c>
      <c r="T175" s="2">
        <v>10.31</v>
      </c>
      <c r="U175" s="2">
        <v>8.68</v>
      </c>
      <c r="V175" s="2">
        <v>7.75</v>
      </c>
      <c r="W175" s="2">
        <v>349.60666666666674</v>
      </c>
      <c r="X175" s="2">
        <v>409.31692504882813</v>
      </c>
      <c r="Y175" s="2">
        <v>0.87692882467795696</v>
      </c>
      <c r="Z175" s="2">
        <v>2.4969059973955154E-2</v>
      </c>
      <c r="AA175" s="2">
        <v>9.2584267258644104E-3</v>
      </c>
      <c r="AB175" s="2">
        <v>0.43965789170985198</v>
      </c>
      <c r="AC175" s="2">
        <v>0.54801956745000802</v>
      </c>
      <c r="AD175" s="2">
        <v>1.0584837311014601</v>
      </c>
      <c r="AE175" s="2">
        <v>0.68816239696811898</v>
      </c>
      <c r="AF175" s="2">
        <v>0.63600000000000001</v>
      </c>
      <c r="AG175" s="2">
        <v>-2.956</v>
      </c>
      <c r="AH175" s="2">
        <v>0.37969999999999998</v>
      </c>
      <c r="AI175" s="2">
        <v>-0.15020492506506</v>
      </c>
      <c r="AJ175" s="2">
        <v>1.03690040768633</v>
      </c>
      <c r="AK175" s="2">
        <v>-0.49848401059027297</v>
      </c>
      <c r="AL175" s="2">
        <v>-0.73541558109607597</v>
      </c>
      <c r="AM175" s="2">
        <v>0.12989898772872799</v>
      </c>
      <c r="AN175" s="2">
        <v>-8.4354188303106294E-3</v>
      </c>
      <c r="AO175" s="2">
        <v>-4.74297478259946E-2</v>
      </c>
      <c r="AP175" s="2">
        <v>-6.0179314798807199E-2</v>
      </c>
      <c r="AQ175" s="2">
        <v>2.1447834019313501E-2</v>
      </c>
      <c r="AR175" s="2">
        <v>-0.46652754732810803</v>
      </c>
      <c r="AS175" s="2">
        <v>-0.44033780236733899</v>
      </c>
      <c r="AT175" s="2">
        <v>-2.1721459090477801E-2</v>
      </c>
    </row>
    <row r="176" spans="1:46" x14ac:dyDescent="0.25">
      <c r="A176" s="2">
        <v>1990.5</v>
      </c>
      <c r="B176" s="2">
        <v>6029.5</v>
      </c>
      <c r="C176" s="2">
        <v>8983.9675775546075</v>
      </c>
      <c r="D176" s="2">
        <v>67.114000000000004</v>
      </c>
      <c r="E176" s="2">
        <v>3863.4</v>
      </c>
      <c r="F176" s="2">
        <v>1000.7</v>
      </c>
      <c r="G176" s="2">
        <v>5699.3228790181001</v>
      </c>
      <c r="H176" s="2">
        <v>820.9342083494181</v>
      </c>
      <c r="I176" s="2">
        <v>218.79881795281347</v>
      </c>
      <c r="J176" s="2">
        <v>59.457000000000001</v>
      </c>
      <c r="K176" s="2">
        <v>64.554000000000002</v>
      </c>
      <c r="L176" s="2">
        <v>92.103999999999999</v>
      </c>
      <c r="M176" s="2">
        <v>0.63009104497331181</v>
      </c>
      <c r="N176" s="2">
        <v>0.98839733586093381</v>
      </c>
      <c r="O176" s="2">
        <v>0.65918808137526974</v>
      </c>
      <c r="P176" s="2">
        <v>1.0003848168760865</v>
      </c>
      <c r="Q176" s="2">
        <v>3.2417494316408026</v>
      </c>
      <c r="R176" s="2">
        <v>250441</v>
      </c>
      <c r="S176" s="2">
        <v>189353</v>
      </c>
      <c r="T176" s="2">
        <v>10.42</v>
      </c>
      <c r="U176" s="2">
        <v>8.6999999999999993</v>
      </c>
      <c r="V176" s="2">
        <v>7.48</v>
      </c>
      <c r="W176" s="2">
        <v>335.3966666666667</v>
      </c>
      <c r="X176" s="2">
        <v>381.51678466796875</v>
      </c>
      <c r="Y176" s="2">
        <v>-0.58648618301933297</v>
      </c>
      <c r="Z176" s="2">
        <v>-6.1713974922895432E-2</v>
      </c>
      <c r="AA176" s="2">
        <v>-2.1883118897676468E-2</v>
      </c>
      <c r="AB176" s="2">
        <v>-1.15801166059212</v>
      </c>
      <c r="AC176" s="2">
        <v>-1.13320636637781</v>
      </c>
      <c r="AD176" s="2">
        <v>0.75354722066838198</v>
      </c>
      <c r="AE176" s="2">
        <v>-0.35085819005163998</v>
      </c>
      <c r="AF176" s="2">
        <v>-0.33050000000000002</v>
      </c>
      <c r="AG176" s="2">
        <v>0.108</v>
      </c>
      <c r="AH176" s="2">
        <v>0.38300000000000001</v>
      </c>
      <c r="AI176" s="2">
        <v>-0.53955751632099302</v>
      </c>
      <c r="AJ176" s="2">
        <v>-0.216772574054615</v>
      </c>
      <c r="AK176" s="2">
        <v>-0.70251519936642204</v>
      </c>
      <c r="AL176" s="2">
        <v>0.50559168747112304</v>
      </c>
      <c r="AM176" s="2">
        <v>-1.4912817840214501E-3</v>
      </c>
      <c r="AN176" s="2">
        <v>6.2771917231167401E-2</v>
      </c>
      <c r="AO176" s="2">
        <v>4.4943700124107901E-2</v>
      </c>
      <c r="AP176" s="2">
        <v>9.7264084392837305E-2</v>
      </c>
      <c r="AQ176" s="2">
        <v>-0.368008732462832</v>
      </c>
      <c r="AR176" s="2">
        <v>0.64757893381685905</v>
      </c>
      <c r="AS176" s="2">
        <v>-4.5477517779178203E-2</v>
      </c>
      <c r="AT176" s="2">
        <v>0.116665391677975</v>
      </c>
    </row>
    <row r="177" spans="1:46" x14ac:dyDescent="0.25">
      <c r="A177" s="2">
        <v>1990.75</v>
      </c>
      <c r="B177" s="2">
        <v>6023.3</v>
      </c>
      <c r="C177" s="2">
        <v>8907.3082724557098</v>
      </c>
      <c r="D177" s="2">
        <v>67.622</v>
      </c>
      <c r="E177" s="2">
        <v>3884.4</v>
      </c>
      <c r="F177" s="2">
        <v>947.6</v>
      </c>
      <c r="G177" s="2">
        <v>5656.1244102743312</v>
      </c>
      <c r="H177" s="2">
        <v>808.21362436036509</v>
      </c>
      <c r="I177" s="2">
        <v>218.17243605972979</v>
      </c>
      <c r="J177" s="2">
        <v>58.72</v>
      </c>
      <c r="K177" s="2">
        <v>63.972000000000001</v>
      </c>
      <c r="L177" s="2">
        <v>91.790999999999997</v>
      </c>
      <c r="M177" s="2">
        <v>0.61989859242134593</v>
      </c>
      <c r="N177" s="2">
        <v>0.98091111817271481</v>
      </c>
      <c r="O177" s="2">
        <v>0.65844212542892011</v>
      </c>
      <c r="P177" s="2">
        <v>1.0203303322862394</v>
      </c>
      <c r="Q177" s="2">
        <v>3.2105676307926765</v>
      </c>
      <c r="R177" s="2">
        <v>251343</v>
      </c>
      <c r="S177" s="2">
        <v>189866</v>
      </c>
      <c r="T177" s="2">
        <v>10.6</v>
      </c>
      <c r="U177" s="2">
        <v>8.4</v>
      </c>
      <c r="V177" s="2">
        <v>6.99</v>
      </c>
      <c r="W177" s="2">
        <v>317.05333333333334</v>
      </c>
      <c r="X177" s="2">
        <v>370.18112182617188</v>
      </c>
      <c r="Y177" s="2">
        <v>-0.85877069505359904</v>
      </c>
      <c r="Z177" s="2">
        <v>-3.080381266772747E-2</v>
      </c>
      <c r="AA177" s="2">
        <v>-1.4434818178415298E-2</v>
      </c>
      <c r="AB177" s="2">
        <v>-0.76161451888980303</v>
      </c>
      <c r="AC177" s="2">
        <v>-1.61954987631504</v>
      </c>
      <c r="AD177" s="2">
        <v>-2.93033070312189E-2</v>
      </c>
      <c r="AE177" s="2">
        <v>-1.5934185292859999</v>
      </c>
      <c r="AF177" s="2">
        <v>-1.5486</v>
      </c>
      <c r="AG177" s="2">
        <v>-3.8249</v>
      </c>
      <c r="AH177" s="2">
        <v>0.53700000000000003</v>
      </c>
      <c r="AI177" s="2">
        <v>-1.9193907995514401</v>
      </c>
      <c r="AJ177" s="2">
        <v>-2.8897109241433402E-2</v>
      </c>
      <c r="AK177" s="2">
        <v>-0.97911415393296297</v>
      </c>
      <c r="AL177" s="2">
        <v>0.353356190484302</v>
      </c>
      <c r="AM177" s="2">
        <v>4.7212698048409502E-5</v>
      </c>
      <c r="AN177" s="2">
        <v>-8.5477108742764707E-2</v>
      </c>
      <c r="AO177" s="2">
        <v>0.19843491797833701</v>
      </c>
      <c r="AP177" s="2">
        <v>-3.2308554806974699E-2</v>
      </c>
      <c r="AQ177" s="2">
        <v>-5.5801898225841598E-3</v>
      </c>
      <c r="AR177" s="2">
        <v>0.83487386674740305</v>
      </c>
      <c r="AS177" s="2">
        <v>-6.3491194777090407E-2</v>
      </c>
      <c r="AT177" s="2">
        <v>0.22848315256670801</v>
      </c>
    </row>
    <row r="178" spans="1:46" x14ac:dyDescent="0.25">
      <c r="A178" s="2">
        <v>1991</v>
      </c>
      <c r="B178" s="2">
        <v>6054.9</v>
      </c>
      <c r="C178" s="2">
        <v>8865.6729530279954</v>
      </c>
      <c r="D178" s="2">
        <v>68.296000000000006</v>
      </c>
      <c r="E178" s="2">
        <v>3890.2</v>
      </c>
      <c r="F178" s="2">
        <v>924.6</v>
      </c>
      <c r="G178" s="2">
        <v>5636.6639619798307</v>
      </c>
      <c r="H178" s="2">
        <v>791.92664532580977</v>
      </c>
      <c r="I178" s="2">
        <v>216.53870157866982</v>
      </c>
      <c r="J178" s="2">
        <v>58.256999999999998</v>
      </c>
      <c r="K178" s="2">
        <v>64.141000000000005</v>
      </c>
      <c r="L178" s="2">
        <v>90.826999999999998</v>
      </c>
      <c r="M178" s="2">
        <v>0.61531395138973632</v>
      </c>
      <c r="N178" s="2">
        <v>0.97537965358047052</v>
      </c>
      <c r="O178" s="2">
        <v>0.66304483051224294</v>
      </c>
      <c r="P178" s="2">
        <v>1.0373333520043047</v>
      </c>
      <c r="Q178" s="2">
        <v>3.2055324010019377</v>
      </c>
      <c r="R178" s="2">
        <v>252132</v>
      </c>
      <c r="S178" s="2">
        <v>190272</v>
      </c>
      <c r="T178" s="2">
        <v>10.199999999999999</v>
      </c>
      <c r="U178" s="2">
        <v>8.02</v>
      </c>
      <c r="V178" s="2">
        <v>6.02</v>
      </c>
      <c r="W178" s="2">
        <v>353.34333333333331</v>
      </c>
      <c r="X178" s="2">
        <v>431.26593017578125</v>
      </c>
      <c r="Y178" s="2">
        <v>-0.62135514078544496</v>
      </c>
      <c r="Z178" s="2">
        <v>0.12367428094148636</v>
      </c>
      <c r="AA178" s="2">
        <v>3.4615170210599899E-2</v>
      </c>
      <c r="AB178" s="2">
        <v>0.97381295618983099</v>
      </c>
      <c r="AC178" s="2">
        <v>0.87142580299192696</v>
      </c>
      <c r="AD178" s="2">
        <v>-1.15822831294321</v>
      </c>
      <c r="AE178" s="2">
        <v>-1.11471123894062</v>
      </c>
      <c r="AF178" s="2">
        <v>1.4855</v>
      </c>
      <c r="AG178" s="2">
        <v>-1.556</v>
      </c>
      <c r="AH178" s="2">
        <v>-0.92359999999999998</v>
      </c>
      <c r="AI178" s="2">
        <v>-0.145999091042811</v>
      </c>
      <c r="AJ178" s="2">
        <v>0.59388265589563305</v>
      </c>
      <c r="AK178" s="2">
        <v>-9.63343856095112E-2</v>
      </c>
      <c r="AL178" s="2">
        <v>-0.90104425872688398</v>
      </c>
      <c r="AM178" s="2">
        <v>-4.7159440479299002E-3</v>
      </c>
      <c r="AN178" s="2">
        <v>-0.116835187815444</v>
      </c>
      <c r="AO178" s="2">
        <v>0.169939846917946</v>
      </c>
      <c r="AP178" s="2">
        <v>0.30513007747559701</v>
      </c>
      <c r="AQ178" s="2">
        <v>0.484385547200821</v>
      </c>
      <c r="AR178" s="2">
        <v>-0.70380575984089899</v>
      </c>
      <c r="AS178" s="2">
        <v>0.25935614456746903</v>
      </c>
      <c r="AT178" s="2">
        <v>-0.298299121442616</v>
      </c>
    </row>
    <row r="179" spans="1:46" x14ac:dyDescent="0.25">
      <c r="A179" s="2">
        <v>1991.25</v>
      </c>
      <c r="B179" s="2">
        <v>6143.6</v>
      </c>
      <c r="C179" s="2">
        <v>8934.3261008667323</v>
      </c>
      <c r="D179" s="2">
        <v>68.763999999999996</v>
      </c>
      <c r="E179" s="2">
        <v>3943.7</v>
      </c>
      <c r="F179" s="2">
        <v>926.6</v>
      </c>
      <c r="G179" s="2">
        <v>5684.0390879478828</v>
      </c>
      <c r="H179" s="2">
        <v>788.00429347413615</v>
      </c>
      <c r="I179" s="2">
        <v>215.55721888017365</v>
      </c>
      <c r="J179" s="2">
        <v>58.835000000000001</v>
      </c>
      <c r="K179" s="2">
        <v>65.171999999999997</v>
      </c>
      <c r="L179" s="2">
        <v>90.277000000000001</v>
      </c>
      <c r="M179" s="2">
        <v>0.6236880077086433</v>
      </c>
      <c r="N179" s="2">
        <v>0.98767974799625968</v>
      </c>
      <c r="O179" s="2">
        <v>0.66912695536769129</v>
      </c>
      <c r="P179" s="2">
        <v>1.0342230489337139</v>
      </c>
      <c r="Q179" s="2">
        <v>3.1617501959882217</v>
      </c>
      <c r="R179" s="2">
        <v>252921</v>
      </c>
      <c r="S179" s="2">
        <v>190656</v>
      </c>
      <c r="T179" s="2">
        <v>9.92</v>
      </c>
      <c r="U179" s="2">
        <v>8.1300000000000008</v>
      </c>
      <c r="V179" s="2">
        <v>5.56</v>
      </c>
      <c r="W179" s="2">
        <v>378.65333333333336</v>
      </c>
      <c r="X179" s="2">
        <v>457.07003784179688</v>
      </c>
      <c r="Y179" s="2">
        <v>0.28986301517540303</v>
      </c>
      <c r="Z179" s="2">
        <v>-2.5621047243475914E-3</v>
      </c>
      <c r="AA179" s="2">
        <v>1.425553229637444E-3</v>
      </c>
      <c r="AB179" s="2">
        <v>0.35032657947881801</v>
      </c>
      <c r="AC179" s="2">
        <v>0.57564585119406797</v>
      </c>
      <c r="AD179" s="2">
        <v>0.92192671460022502</v>
      </c>
      <c r="AE179" s="2">
        <v>0.61026945200424498</v>
      </c>
      <c r="AF179" s="2">
        <v>1.2096</v>
      </c>
      <c r="AG179" s="2">
        <v>3.1132</v>
      </c>
      <c r="AH179" s="2">
        <v>8.4199999999999997E-2</v>
      </c>
      <c r="AI179" s="2">
        <v>0.58406575930056104</v>
      </c>
      <c r="AJ179" s="2">
        <v>-0.252162751259145</v>
      </c>
      <c r="AK179" s="2">
        <v>0.18805971007977601</v>
      </c>
      <c r="AL179" s="2">
        <v>0.16004445077201601</v>
      </c>
      <c r="AM179" s="2">
        <v>5.3752540933307398E-2</v>
      </c>
      <c r="AN179" s="2">
        <v>3.9454783714946901E-2</v>
      </c>
      <c r="AO179" s="2">
        <v>-3.7722668517630203E-2</v>
      </c>
      <c r="AP179" s="2">
        <v>-0.177901389915747</v>
      </c>
      <c r="AQ179" s="2">
        <v>-0.16508470536651099</v>
      </c>
      <c r="AR179" s="2">
        <v>-0.53127106194407503</v>
      </c>
      <c r="AS179" s="2">
        <v>0.21441583839786199</v>
      </c>
      <c r="AT179" s="2">
        <v>0.14409158365517799</v>
      </c>
    </row>
    <row r="180" spans="1:46" x14ac:dyDescent="0.25">
      <c r="A180" s="2">
        <v>1991.5</v>
      </c>
      <c r="B180" s="2">
        <v>6218.4</v>
      </c>
      <c r="C180" s="2">
        <v>8977.1759372879642</v>
      </c>
      <c r="D180" s="2">
        <v>69.269000000000005</v>
      </c>
      <c r="E180" s="2">
        <v>3989.6</v>
      </c>
      <c r="F180" s="2">
        <v>947.5</v>
      </c>
      <c r="G180" s="2">
        <v>5711.5860903924067</v>
      </c>
      <c r="H180" s="2">
        <v>781.22287797257422</v>
      </c>
      <c r="I180" s="2">
        <v>215.74585210515986</v>
      </c>
      <c r="J180" s="2">
        <v>59.167999999999999</v>
      </c>
      <c r="K180" s="2">
        <v>65.593000000000004</v>
      </c>
      <c r="L180" s="2">
        <v>90.204999999999998</v>
      </c>
      <c r="M180" s="2">
        <v>0.62665472574232717</v>
      </c>
      <c r="N180" s="2">
        <v>0.99566320231390149</v>
      </c>
      <c r="O180" s="2">
        <v>0.66704969535768388</v>
      </c>
      <c r="P180" s="2">
        <v>1.0176894333718276</v>
      </c>
      <c r="Q180" s="2">
        <v>3.1104336691221861</v>
      </c>
      <c r="R180" s="2">
        <v>253809</v>
      </c>
      <c r="S180" s="2">
        <v>191121</v>
      </c>
      <c r="T180" s="2">
        <v>9.68</v>
      </c>
      <c r="U180" s="2">
        <v>7.94</v>
      </c>
      <c r="V180" s="2">
        <v>5.38</v>
      </c>
      <c r="W180" s="2">
        <v>385.60999999999996</v>
      </c>
      <c r="X180" s="2">
        <v>477.2239990234375</v>
      </c>
      <c r="Y180" s="2">
        <v>-1.11229376655131</v>
      </c>
      <c r="Z180" s="2">
        <v>-1.3197878375649452E-2</v>
      </c>
      <c r="AA180" s="2">
        <v>-4.564378410577774E-3</v>
      </c>
      <c r="AB180" s="2">
        <v>0.177895934753448</v>
      </c>
      <c r="AC180" s="2">
        <v>-0.22383384428993999</v>
      </c>
      <c r="AD180" s="2">
        <v>-0.28612204368564498</v>
      </c>
      <c r="AE180" s="2">
        <v>-6.3315705954563803E-2</v>
      </c>
      <c r="AF180" s="2">
        <v>2.7300000000000001E-2</v>
      </c>
      <c r="AG180" s="2">
        <v>3.3186</v>
      </c>
      <c r="AH180" s="2">
        <v>-4.6699999999999998E-2</v>
      </c>
      <c r="AI180" s="2">
        <v>1.8337028966018298E-2</v>
      </c>
      <c r="AJ180" s="2">
        <v>0.35798125556966398</v>
      </c>
      <c r="AK180" s="2">
        <v>-0.64324103462204196</v>
      </c>
      <c r="AL180" s="2">
        <v>-0.47135387701439102</v>
      </c>
      <c r="AM180" s="2">
        <v>2.6078838176421398E-2</v>
      </c>
      <c r="AN180" s="2">
        <v>4.5241316838311202E-2</v>
      </c>
      <c r="AO180" s="2">
        <v>6.0241690458908197E-2</v>
      </c>
      <c r="AP180" s="2">
        <v>-9.9219667369466205E-2</v>
      </c>
      <c r="AQ180" s="2">
        <v>0.29816416711814803</v>
      </c>
      <c r="AR180" s="2">
        <v>0.279781481553949</v>
      </c>
      <c r="AS180" s="2">
        <v>1.45026781674596E-2</v>
      </c>
      <c r="AT180" s="2">
        <v>0.40598251717585299</v>
      </c>
    </row>
    <row r="181" spans="1:46" x14ac:dyDescent="0.25">
      <c r="A181" s="2">
        <v>1991.75</v>
      </c>
      <c r="B181" s="2">
        <v>6279.3</v>
      </c>
      <c r="C181" s="2">
        <v>9016.4122740261046</v>
      </c>
      <c r="D181" s="2">
        <v>69.643000000000001</v>
      </c>
      <c r="E181" s="2">
        <v>4017.1</v>
      </c>
      <c r="F181" s="2">
        <v>978.8</v>
      </c>
      <c r="G181" s="2">
        <v>5710.0823016019676</v>
      </c>
      <c r="H181" s="2">
        <v>780.86574245358986</v>
      </c>
      <c r="I181" s="2">
        <v>215.59074621869757</v>
      </c>
      <c r="J181" s="2">
        <v>59.447000000000003</v>
      </c>
      <c r="K181" s="2">
        <v>66.016000000000005</v>
      </c>
      <c r="L181" s="2">
        <v>90.049000000000007</v>
      </c>
      <c r="M181" s="2">
        <v>0.62690436059165056</v>
      </c>
      <c r="N181" s="2">
        <v>0.9987894016611093</v>
      </c>
      <c r="O181" s="2">
        <v>0.6648073450059272</v>
      </c>
      <c r="P181" s="2">
        <v>1.0242064609229926</v>
      </c>
      <c r="Q181" s="2">
        <v>3.068883030911091</v>
      </c>
      <c r="R181" s="2">
        <v>254706</v>
      </c>
      <c r="S181" s="2">
        <v>191651</v>
      </c>
      <c r="T181" s="2">
        <v>9.4</v>
      </c>
      <c r="U181" s="2">
        <v>7.35</v>
      </c>
      <c r="V181" s="2">
        <v>4.54</v>
      </c>
      <c r="W181" s="2">
        <v>387.1033333333333</v>
      </c>
      <c r="X181" s="2">
        <v>491.22454833984375</v>
      </c>
      <c r="Y181" s="2">
        <v>-1.0248274772127901</v>
      </c>
      <c r="Z181" s="2">
        <v>6.1649421695619822E-4</v>
      </c>
      <c r="AA181" s="2">
        <v>-2.1677983459085226E-3</v>
      </c>
      <c r="AB181" s="2">
        <v>-1.3060946959311399</v>
      </c>
      <c r="AC181" s="2">
        <v>-1.0444588568831901</v>
      </c>
      <c r="AD181" s="2">
        <v>0.171340897514697</v>
      </c>
      <c r="AE181" s="2">
        <v>-1.0311246888652399</v>
      </c>
      <c r="AF181" s="2">
        <v>-4.8300000000000003E-2</v>
      </c>
      <c r="AG181" s="2">
        <v>-0.252</v>
      </c>
      <c r="AH181" s="2">
        <v>0.32429999999999998</v>
      </c>
      <c r="AI181" s="2">
        <v>-1.0602416220958599</v>
      </c>
      <c r="AJ181" s="2">
        <v>0.937705107031642</v>
      </c>
      <c r="AK181" s="2">
        <v>-0.37948867750208198</v>
      </c>
      <c r="AL181" s="2">
        <v>-0.65845514184726195</v>
      </c>
      <c r="AM181" s="2">
        <v>-0.130599113530453</v>
      </c>
      <c r="AN181" s="2">
        <v>-4.2046081259702099E-2</v>
      </c>
      <c r="AO181" s="2">
        <v>-6.4744690915886999E-2</v>
      </c>
      <c r="AP181" s="2">
        <v>4.2517101616697403E-2</v>
      </c>
      <c r="AQ181" s="2">
        <v>0.326017024130202</v>
      </c>
      <c r="AR181" s="2">
        <v>0.21891280972719801</v>
      </c>
      <c r="AS181" s="2">
        <v>-3.8884071732491497E-2</v>
      </c>
      <c r="AT181" s="2">
        <v>0.40350292927734099</v>
      </c>
    </row>
    <row r="182" spans="1:46" x14ac:dyDescent="0.25">
      <c r="A182" s="2">
        <v>1992</v>
      </c>
      <c r="B182" s="2">
        <v>6380.8</v>
      </c>
      <c r="C182" s="2">
        <v>9122.987618312316</v>
      </c>
      <c r="D182" s="2">
        <v>69.941999999999993</v>
      </c>
      <c r="E182" s="2">
        <v>4117.7</v>
      </c>
      <c r="F182" s="2">
        <v>956.8</v>
      </c>
      <c r="G182" s="2">
        <v>5817.3572750519188</v>
      </c>
      <c r="H182" s="2">
        <v>777.91937609602542</v>
      </c>
      <c r="I182" s="2">
        <v>214.93412861699136</v>
      </c>
      <c r="J182" s="2">
        <v>60.326999999999998</v>
      </c>
      <c r="K182" s="2">
        <v>67.382000000000005</v>
      </c>
      <c r="L182" s="2">
        <v>89.53</v>
      </c>
      <c r="M182" s="2">
        <v>0.65030733388791173</v>
      </c>
      <c r="N182" s="2">
        <v>1.0247243320971875</v>
      </c>
      <c r="O182" s="2">
        <v>0.68974511470156985</v>
      </c>
      <c r="P182" s="2">
        <v>1.0555838138771838</v>
      </c>
      <c r="Q182" s="2">
        <v>3.0375790869242523</v>
      </c>
      <c r="R182" s="2">
        <v>255455</v>
      </c>
      <c r="S182" s="2">
        <v>192075</v>
      </c>
      <c r="T182" s="2">
        <v>9.1999999999999993</v>
      </c>
      <c r="U182" s="2">
        <v>7.3</v>
      </c>
      <c r="V182" s="2">
        <v>3.89</v>
      </c>
      <c r="W182" s="2">
        <v>412</v>
      </c>
      <c r="X182" s="2">
        <v>519.4013671875</v>
      </c>
      <c r="Y182" s="2">
        <v>2.0641464067649902</v>
      </c>
      <c r="Z182" s="2">
        <v>1.0258697904646397E-2</v>
      </c>
      <c r="AA182" s="2">
        <v>1.2874155305325985E-2</v>
      </c>
      <c r="AB182" s="2">
        <v>0.77214302659593403</v>
      </c>
      <c r="AC182" s="2">
        <v>-0.50157442083029502</v>
      </c>
      <c r="AD182" s="2">
        <v>0.269252429563137</v>
      </c>
      <c r="AE182" s="2">
        <v>1.5838754710096301</v>
      </c>
      <c r="AF182" s="2">
        <v>1.2629999999999999</v>
      </c>
      <c r="AG182" s="2">
        <v>-2.8772000000000002</v>
      </c>
      <c r="AH182" s="2">
        <v>0.67620000000000002</v>
      </c>
      <c r="AI182" s="2">
        <v>6.6966861105291695E-2</v>
      </c>
      <c r="AJ182" s="2">
        <v>0.94333356047537498</v>
      </c>
      <c r="AK182" s="2">
        <v>0.71212169611230203</v>
      </c>
      <c r="AL182" s="2">
        <v>-0.10769296204956801</v>
      </c>
      <c r="AM182" s="2">
        <v>3.8454810124894503E-2</v>
      </c>
      <c r="AN182" s="2">
        <v>0.17051323088044201</v>
      </c>
      <c r="AO182" s="2">
        <v>0.30730007614400301</v>
      </c>
      <c r="AP182" s="2">
        <v>8.08373733830237E-2</v>
      </c>
      <c r="AQ182" s="2">
        <v>-0.19594136817350899</v>
      </c>
      <c r="AR182" s="2">
        <v>0.49698134503959002</v>
      </c>
      <c r="AS182" s="2">
        <v>2.6268641228746399E-2</v>
      </c>
      <c r="AT182" s="2">
        <v>0.36054965259093802</v>
      </c>
    </row>
    <row r="183" spans="1:46" x14ac:dyDescent="0.25">
      <c r="A183" s="2">
        <v>1992.25</v>
      </c>
      <c r="B183" s="2">
        <v>6492.3</v>
      </c>
      <c r="C183" s="2">
        <v>9223.5892481673</v>
      </c>
      <c r="D183" s="2">
        <v>70.388000000000005</v>
      </c>
      <c r="E183" s="2">
        <v>4173.3999999999996</v>
      </c>
      <c r="F183" s="2">
        <v>1013.1</v>
      </c>
      <c r="G183" s="2">
        <v>5857.2390950429453</v>
      </c>
      <c r="H183" s="2">
        <v>803.21416500397959</v>
      </c>
      <c r="I183" s="2">
        <v>216.01510537676006</v>
      </c>
      <c r="J183" s="2">
        <v>61.112000000000002</v>
      </c>
      <c r="K183" s="2">
        <v>67.867999999999995</v>
      </c>
      <c r="L183" s="2">
        <v>90.045000000000002</v>
      </c>
      <c r="M183" s="2">
        <v>0.65480275965170964</v>
      </c>
      <c r="N183" s="2">
        <v>1.0335270154399034</v>
      </c>
      <c r="O183" s="2">
        <v>0.68602739815165015</v>
      </c>
      <c r="P183" s="2">
        <v>1.0451801177846718</v>
      </c>
      <c r="Q183" s="2">
        <v>2.9862974349561333</v>
      </c>
      <c r="R183" s="2">
        <v>256289</v>
      </c>
      <c r="S183" s="2">
        <v>192507</v>
      </c>
      <c r="T183" s="2">
        <v>9.1300000000000008</v>
      </c>
      <c r="U183" s="2">
        <v>7.38</v>
      </c>
      <c r="V183" s="2">
        <v>3.68</v>
      </c>
      <c r="W183" s="2">
        <v>410.16333333333336</v>
      </c>
      <c r="X183" s="2">
        <v>519.35052490234375</v>
      </c>
      <c r="Y183" s="2">
        <v>-0.34992468583351299</v>
      </c>
      <c r="Z183" s="2">
        <v>-4.2512387037277222E-2</v>
      </c>
      <c r="AA183" s="2">
        <v>-1.1920160613954067E-2</v>
      </c>
      <c r="AB183" s="2">
        <v>-0.63781062547318002</v>
      </c>
      <c r="AC183" s="2">
        <v>0.54495943381751799</v>
      </c>
      <c r="AD183" s="2">
        <v>0.21256989677377899</v>
      </c>
      <c r="AE183" s="2">
        <v>0.12637732700617399</v>
      </c>
      <c r="AF183" s="2">
        <v>0.12180000000000001</v>
      </c>
      <c r="AG183" s="2">
        <v>5.4870999999999999</v>
      </c>
      <c r="AH183" s="2">
        <v>-0.1966</v>
      </c>
      <c r="AI183" s="2">
        <v>0.48197769010135399</v>
      </c>
      <c r="AJ183" s="2">
        <v>-0.55496302734027503</v>
      </c>
      <c r="AK183" s="2">
        <v>-0.12651048833537601</v>
      </c>
      <c r="AL183" s="2">
        <v>0.97523676219916999</v>
      </c>
      <c r="AM183" s="2">
        <v>-4.4453947376156397E-3</v>
      </c>
      <c r="AN183" s="2">
        <v>2.37800220175934E-2</v>
      </c>
      <c r="AO183" s="2">
        <v>-0.16713339962293999</v>
      </c>
      <c r="AP183" s="2">
        <v>-5.3529859246134397E-2</v>
      </c>
      <c r="AQ183" s="2">
        <v>-0.278615381333226</v>
      </c>
      <c r="AR183" s="2">
        <v>-0.36289936976310799</v>
      </c>
      <c r="AS183" s="2">
        <v>0.31679471831289102</v>
      </c>
      <c r="AT183" s="2">
        <v>0.14292080893341799</v>
      </c>
    </row>
    <row r="184" spans="1:46" x14ac:dyDescent="0.25">
      <c r="A184" s="2">
        <v>1992.5</v>
      </c>
      <c r="B184" s="2">
        <v>6586.5</v>
      </c>
      <c r="C184" s="2">
        <v>9313.0947499399063</v>
      </c>
      <c r="D184" s="2">
        <v>70.722999999999999</v>
      </c>
      <c r="E184" s="2">
        <v>4245.3999999999996</v>
      </c>
      <c r="F184" s="2">
        <v>1024.2</v>
      </c>
      <c r="G184" s="2">
        <v>5920.5645273756718</v>
      </c>
      <c r="H184" s="2">
        <v>815.64611026367402</v>
      </c>
      <c r="I184" s="2">
        <v>215.98969634099015</v>
      </c>
      <c r="J184" s="2">
        <v>61.762999999999998</v>
      </c>
      <c r="K184" s="2">
        <v>68.483999999999995</v>
      </c>
      <c r="L184" s="2">
        <v>90.186000000000007</v>
      </c>
      <c r="M184" s="2">
        <v>0.65605400044856754</v>
      </c>
      <c r="N184" s="2">
        <v>1.0390115883456834</v>
      </c>
      <c r="O184" s="2">
        <v>0.68709198380292935</v>
      </c>
      <c r="P184" s="2">
        <v>1.0537487978974578</v>
      </c>
      <c r="Q184" s="2">
        <v>2.9454823113852076</v>
      </c>
      <c r="R184" s="2">
        <v>257225</v>
      </c>
      <c r="S184" s="2">
        <v>193024</v>
      </c>
      <c r="T184" s="2">
        <v>8.6999999999999993</v>
      </c>
      <c r="U184" s="2">
        <v>6.62</v>
      </c>
      <c r="V184" s="2">
        <v>3.08</v>
      </c>
      <c r="W184" s="2">
        <v>417.15333333333336</v>
      </c>
      <c r="X184" s="2">
        <v>529.2220458984375</v>
      </c>
      <c r="Y184" s="2">
        <v>0.94328513851642204</v>
      </c>
      <c r="Z184" s="2">
        <v>2.5740696117281914E-2</v>
      </c>
      <c r="AA184" s="2">
        <v>6.8994872272014618E-3</v>
      </c>
      <c r="AB184" s="2">
        <v>0.24834190965570699</v>
      </c>
      <c r="AC184" s="2">
        <v>-4.28996881908284E-2</v>
      </c>
      <c r="AD184" s="2">
        <v>-9.1265871777547594E-2</v>
      </c>
      <c r="AE184" s="2">
        <v>-3.0581461068168801E-2</v>
      </c>
      <c r="AF184" s="2">
        <v>0.31690000000000002</v>
      </c>
      <c r="AG184" s="2">
        <v>-2.5398999999999998</v>
      </c>
      <c r="AH184" s="2">
        <v>-6.1800000000000001E-2</v>
      </c>
      <c r="AI184" s="2">
        <v>-0.83065851273454405</v>
      </c>
      <c r="AJ184" s="2">
        <v>0.22026484435010901</v>
      </c>
      <c r="AK184" s="2">
        <v>0.24812442362385401</v>
      </c>
      <c r="AL184" s="2">
        <v>0.114435234815274</v>
      </c>
      <c r="AM184" s="2">
        <v>-9.19207825423469E-3</v>
      </c>
      <c r="AN184" s="2">
        <v>-0.12750791937174599</v>
      </c>
      <c r="AO184" s="2">
        <v>-9.8047398514553005E-2</v>
      </c>
      <c r="AP184" s="2">
        <v>-5.5807992240009201E-2</v>
      </c>
      <c r="AQ184" s="2">
        <v>9.7675713485031498E-2</v>
      </c>
      <c r="AR184" s="2">
        <v>-0.75008825496942799</v>
      </c>
      <c r="AS184" s="2">
        <v>0.59287577095157495</v>
      </c>
      <c r="AT184" s="2">
        <v>0.278338007287457</v>
      </c>
    </row>
    <row r="185" spans="1:46" x14ac:dyDescent="0.25">
      <c r="A185" s="2">
        <v>1992.75</v>
      </c>
      <c r="B185" s="2">
        <v>6697.6</v>
      </c>
      <c r="C185" s="2">
        <v>9406.6094577323365</v>
      </c>
      <c r="D185" s="2">
        <v>71.200999999999993</v>
      </c>
      <c r="E185" s="2">
        <v>4326.2</v>
      </c>
      <c r="F185" s="2">
        <v>1058</v>
      </c>
      <c r="G185" s="2">
        <v>5991.0539945437677</v>
      </c>
      <c r="H185" s="2">
        <v>837.07399982567767</v>
      </c>
      <c r="I185" s="2">
        <v>217.22662893187587</v>
      </c>
      <c r="J185" s="2">
        <v>62.491999999999997</v>
      </c>
      <c r="K185" s="2">
        <v>68.840999999999994</v>
      </c>
      <c r="L185" s="2">
        <v>90.778000000000006</v>
      </c>
      <c r="M185" s="2">
        <v>0.65799141501154068</v>
      </c>
      <c r="N185" s="2">
        <v>1.0482927152651831</v>
      </c>
      <c r="O185" s="2">
        <v>0.68524857454295396</v>
      </c>
      <c r="P185" s="2">
        <v>1.0603277559843762</v>
      </c>
      <c r="Q185" s="2">
        <v>2.8937297477065194</v>
      </c>
      <c r="R185" s="2">
        <v>258140</v>
      </c>
      <c r="S185" s="2">
        <v>193616</v>
      </c>
      <c r="T185" s="2">
        <v>8.8699999999999992</v>
      </c>
      <c r="U185" s="2">
        <v>6.74</v>
      </c>
      <c r="V185" s="2">
        <v>3.07</v>
      </c>
      <c r="W185" s="2">
        <v>423.66</v>
      </c>
      <c r="X185" s="2">
        <v>556.12750244140625</v>
      </c>
      <c r="Y185" s="2">
        <v>0.119447408088803</v>
      </c>
      <c r="Z185" s="2">
        <v>-9.123876690864563E-3</v>
      </c>
      <c r="AA185" s="2">
        <v>-2.5468561798334122E-3</v>
      </c>
      <c r="AB185" s="2">
        <v>0.25353028802656302</v>
      </c>
      <c r="AC185" s="2">
        <v>-0.34921522186273601</v>
      </c>
      <c r="AD185" s="2">
        <v>0.174203032046547</v>
      </c>
      <c r="AE185" s="2">
        <v>0.55115510001755197</v>
      </c>
      <c r="AF185" s="2">
        <v>-1.44E-2</v>
      </c>
      <c r="AG185" s="2">
        <v>1.9822</v>
      </c>
      <c r="AH185" s="2">
        <v>-0.11550000000000001</v>
      </c>
      <c r="AI185" s="2">
        <v>-0.63088208040579896</v>
      </c>
      <c r="AJ185" s="2">
        <v>-0.31747934930046201</v>
      </c>
      <c r="AK185" s="2">
        <v>0.66335800582132198</v>
      </c>
      <c r="AL185" s="2">
        <v>0.676544423968784</v>
      </c>
      <c r="AM185" s="2">
        <v>-5.50496341753565E-2</v>
      </c>
      <c r="AN185" s="2">
        <v>6.7715732274959703E-3</v>
      </c>
      <c r="AO185" s="2">
        <v>1.8527035398787101E-2</v>
      </c>
      <c r="AP185" s="2">
        <v>-0.110534823113502</v>
      </c>
      <c r="AQ185" s="2">
        <v>0.115638798780095</v>
      </c>
      <c r="AR185" s="2">
        <v>0.14281030869318601</v>
      </c>
      <c r="AS185" s="2">
        <v>0.730098079498958</v>
      </c>
      <c r="AT185" s="2">
        <v>0.54428506685553102</v>
      </c>
    </row>
    <row r="186" spans="1:46" x14ac:dyDescent="0.25">
      <c r="A186" s="2">
        <v>1993</v>
      </c>
      <c r="B186" s="2">
        <v>6748.2</v>
      </c>
      <c r="C186" s="2">
        <v>9424.0706086082173</v>
      </c>
      <c r="D186" s="2">
        <v>71.605999999999995</v>
      </c>
      <c r="E186" s="2">
        <v>4368.5</v>
      </c>
      <c r="F186" s="2">
        <v>1083.9000000000001</v>
      </c>
      <c r="G186" s="2">
        <v>6013.8213956305663</v>
      </c>
      <c r="H186" s="2">
        <v>845.34331867462015</v>
      </c>
      <c r="I186" s="2">
        <v>218.71293047159915</v>
      </c>
      <c r="J186" s="2">
        <v>62.456000000000003</v>
      </c>
      <c r="K186" s="2">
        <v>68.31</v>
      </c>
      <c r="L186" s="2">
        <v>91.430999999999997</v>
      </c>
      <c r="M186" s="2">
        <v>0.64510805715008257</v>
      </c>
      <c r="N186" s="2">
        <v>1.0423488435580166</v>
      </c>
      <c r="O186" s="2">
        <v>0.66706975113673439</v>
      </c>
      <c r="P186" s="2">
        <v>1.0352473747350575</v>
      </c>
      <c r="Q186" s="2">
        <v>2.8616395326464659</v>
      </c>
      <c r="R186" s="2">
        <v>258917</v>
      </c>
      <c r="S186" s="2">
        <v>194106</v>
      </c>
      <c r="T186" s="2">
        <v>8.4</v>
      </c>
      <c r="U186" s="2">
        <v>6.28</v>
      </c>
      <c r="V186" s="2">
        <v>2.96</v>
      </c>
      <c r="W186" s="2">
        <v>442.3633333333334</v>
      </c>
      <c r="X186" s="2">
        <v>583.58941650390625</v>
      </c>
      <c r="Y186" s="2">
        <v>-1.47525203260473</v>
      </c>
      <c r="Z186" s="2">
        <v>5.559762567281723E-2</v>
      </c>
      <c r="AA186" s="2">
        <v>9.3626612797379494E-3</v>
      </c>
      <c r="AB186" s="2">
        <v>0.17694663406105701</v>
      </c>
      <c r="AC186" s="2">
        <v>0.17687185336924199</v>
      </c>
      <c r="AD186" s="2">
        <v>-0.69141074504765998</v>
      </c>
      <c r="AE186" s="2">
        <v>-1.4322956049919999</v>
      </c>
      <c r="AF186" s="2">
        <v>-1.0638000000000001</v>
      </c>
      <c r="AG186" s="2">
        <v>0.246</v>
      </c>
      <c r="AH186" s="2">
        <v>-0.2354</v>
      </c>
      <c r="AI186" s="2">
        <v>-0.56696444457414896</v>
      </c>
      <c r="AJ186" s="2">
        <v>0.84644746113293101</v>
      </c>
      <c r="AK186" s="2">
        <v>-0.61402514116009199</v>
      </c>
      <c r="AL186" s="2">
        <v>-0.69212180989627003</v>
      </c>
      <c r="AM186" s="2">
        <v>-2.8276859480834901E-2</v>
      </c>
      <c r="AN186" s="2">
        <v>-0.126373062831415</v>
      </c>
      <c r="AO186" s="2">
        <v>1.36156355513425E-2</v>
      </c>
      <c r="AP186" s="2">
        <v>0.115348874425385</v>
      </c>
      <c r="AQ186" s="2">
        <v>7.2222201568945904E-2</v>
      </c>
      <c r="AR186" s="2">
        <v>-0.58467656619988595</v>
      </c>
      <c r="AS186" s="2">
        <v>4.7855761093157298E-2</v>
      </c>
      <c r="AT186" s="2">
        <v>0.294975510173208</v>
      </c>
    </row>
    <row r="187" spans="1:46" x14ac:dyDescent="0.25">
      <c r="A187" s="2">
        <v>1993.25</v>
      </c>
      <c r="B187" s="2">
        <v>6829.6</v>
      </c>
      <c r="C187" s="2">
        <v>9480.1571327438542</v>
      </c>
      <c r="D187" s="2">
        <v>72.040999999999997</v>
      </c>
      <c r="E187" s="2">
        <v>4437.5</v>
      </c>
      <c r="F187" s="2">
        <v>1094.5</v>
      </c>
      <c r="G187" s="2">
        <v>6067.8781911911501</v>
      </c>
      <c r="H187" s="2">
        <v>861.85706050619422</v>
      </c>
      <c r="I187" s="2">
        <v>221.18387542546191</v>
      </c>
      <c r="J187" s="2">
        <v>62.856000000000002</v>
      </c>
      <c r="K187" s="2">
        <v>68.012</v>
      </c>
      <c r="L187" s="2">
        <v>92.42</v>
      </c>
      <c r="M187" s="2">
        <v>0.64573174525489485</v>
      </c>
      <c r="N187" s="2">
        <v>1.0474660304369212</v>
      </c>
      <c r="O187" s="2">
        <v>0.66213134197022716</v>
      </c>
      <c r="P187" s="2">
        <v>1.0276623547768253</v>
      </c>
      <c r="Q187" s="2">
        <v>2.8230965184580743</v>
      </c>
      <c r="R187" s="2">
        <v>259686</v>
      </c>
      <c r="S187" s="2">
        <v>194555</v>
      </c>
      <c r="T187" s="2">
        <v>8.14</v>
      </c>
      <c r="U187" s="2">
        <v>5.99</v>
      </c>
      <c r="V187" s="2">
        <v>2.97</v>
      </c>
      <c r="W187" s="2">
        <v>445.46333333333331</v>
      </c>
      <c r="X187" s="2">
        <v>590.46173095703125</v>
      </c>
      <c r="Y187" s="2">
        <v>-1.45155853731435</v>
      </c>
      <c r="Z187" s="2">
        <v>-1.4765068888664246E-2</v>
      </c>
      <c r="AA187" s="2">
        <v>-4.1223103180527687E-3</v>
      </c>
      <c r="AB187" s="2">
        <v>-1.9724242503274401</v>
      </c>
      <c r="AC187" s="2">
        <v>-0.126557566386829</v>
      </c>
      <c r="AD187" s="2">
        <v>-0.22680285028569699</v>
      </c>
      <c r="AE187" s="2">
        <v>-0.970054647995516</v>
      </c>
      <c r="AF187" s="2">
        <v>-0.65369999999999995</v>
      </c>
      <c r="AG187" s="2">
        <v>0.98029999999999995</v>
      </c>
      <c r="AH187" s="2">
        <v>-0.4168</v>
      </c>
      <c r="AI187" s="2">
        <v>-9.2365628162051502E-2</v>
      </c>
      <c r="AJ187" s="2">
        <v>-0.63258780402514903</v>
      </c>
      <c r="AK187" s="2">
        <v>-0.66014807085219396</v>
      </c>
      <c r="AL187" s="2">
        <v>-0.35970081655174602</v>
      </c>
      <c r="AM187" s="2">
        <v>2.9102934633424001E-2</v>
      </c>
      <c r="AN187" s="2">
        <v>-0.15603562835131099</v>
      </c>
      <c r="AO187" s="2">
        <v>-4.4013212527316499E-2</v>
      </c>
      <c r="AP187" s="2">
        <v>2.0592533269919201E-3</v>
      </c>
      <c r="AQ187" s="2">
        <v>-0.17924562862367199</v>
      </c>
      <c r="AR187" s="2">
        <v>-8.3932617445908797E-2</v>
      </c>
      <c r="AS187" s="2">
        <v>0.29418928317300602</v>
      </c>
      <c r="AT187" s="2">
        <v>0.63537760885855599</v>
      </c>
    </row>
    <row r="188" spans="1:46" x14ac:dyDescent="0.25">
      <c r="A188" s="2">
        <v>1993.5</v>
      </c>
      <c r="B188" s="2">
        <v>6904.2</v>
      </c>
      <c r="C188" s="2">
        <v>9526.3194204898246</v>
      </c>
      <c r="D188" s="2">
        <v>72.474999999999994</v>
      </c>
      <c r="E188" s="2">
        <v>4506</v>
      </c>
      <c r="F188" s="2">
        <v>1095.9000000000001</v>
      </c>
      <c r="G188" s="2">
        <v>6134.7020462621349</v>
      </c>
      <c r="H188" s="2">
        <v>868.82712690708854</v>
      </c>
      <c r="I188" s="2">
        <v>221.58617706674482</v>
      </c>
      <c r="J188" s="2">
        <v>63.165999999999997</v>
      </c>
      <c r="K188" s="2">
        <v>67.998000000000005</v>
      </c>
      <c r="L188" s="2">
        <v>92.893000000000001</v>
      </c>
      <c r="M188" s="2">
        <v>0.64071115538442713</v>
      </c>
      <c r="N188" s="2">
        <v>1.0462697085240089</v>
      </c>
      <c r="O188" s="2">
        <v>0.65330652748882212</v>
      </c>
      <c r="P188" s="2">
        <v>1.0197253568306468</v>
      </c>
      <c r="Q188" s="2">
        <v>2.7911889007740078</v>
      </c>
      <c r="R188" s="2">
        <v>260563</v>
      </c>
      <c r="S188" s="2">
        <v>195068</v>
      </c>
      <c r="T188" s="2">
        <v>7.62</v>
      </c>
      <c r="U188" s="2">
        <v>5.62</v>
      </c>
      <c r="V188" s="2">
        <v>3</v>
      </c>
      <c r="W188" s="2">
        <v>453.55333333333334</v>
      </c>
      <c r="X188" s="2">
        <v>614.17083740234375</v>
      </c>
      <c r="Y188" s="2">
        <v>0.129214761928652</v>
      </c>
      <c r="Z188" s="2">
        <v>1.0438889265060425E-2</v>
      </c>
      <c r="AA188" s="2">
        <v>-2.9920804081484675E-4</v>
      </c>
      <c r="AB188" s="2">
        <v>-0.23269346313082301</v>
      </c>
      <c r="AC188" s="2">
        <v>0.73941930862022798</v>
      </c>
      <c r="AD188" s="2">
        <v>-1.0340258496630801</v>
      </c>
      <c r="AE188" s="2">
        <v>-0.767638774998186</v>
      </c>
      <c r="AF188" s="2">
        <v>0.21310000000000001</v>
      </c>
      <c r="AG188" s="2">
        <v>-1.5780000000000001</v>
      </c>
      <c r="AH188" s="2">
        <v>-0.49819999999999998</v>
      </c>
      <c r="AI188" s="2">
        <v>-0.51640094494117394</v>
      </c>
      <c r="AJ188" s="2">
        <v>-0.38334169948172903</v>
      </c>
      <c r="AK188" s="2">
        <v>-0.14962582359945001</v>
      </c>
      <c r="AL188" s="2">
        <v>-0.17942685032236599</v>
      </c>
      <c r="AM188" s="2">
        <v>-0.15036277108830801</v>
      </c>
      <c r="AN188" s="2">
        <v>-4.8002803172410902E-2</v>
      </c>
      <c r="AO188" s="2">
        <v>-6.4661255913867302E-2</v>
      </c>
      <c r="AP188" s="2">
        <v>0.22445931636595801</v>
      </c>
      <c r="AQ188" s="2">
        <v>-0.45249262010135399</v>
      </c>
      <c r="AR188" s="2">
        <v>-0.13619965476582899</v>
      </c>
      <c r="AS188" s="2">
        <v>0.31349083669530198</v>
      </c>
      <c r="AT188" s="2">
        <v>0.22624865181221401</v>
      </c>
    </row>
    <row r="189" spans="1:46" x14ac:dyDescent="0.25">
      <c r="A189" s="2">
        <v>1993.75</v>
      </c>
      <c r="B189" s="2">
        <v>7032.8</v>
      </c>
      <c r="C189" s="2">
        <v>9653.4116645848499</v>
      </c>
      <c r="D189" s="2">
        <v>72.852999999999994</v>
      </c>
      <c r="E189" s="2">
        <v>4572</v>
      </c>
      <c r="F189" s="2">
        <v>1153</v>
      </c>
      <c r="G189" s="2">
        <v>6189.0838206627677</v>
      </c>
      <c r="H189" s="2">
        <v>900.0748706040647</v>
      </c>
      <c r="I189" s="2">
        <v>223.09047588515187</v>
      </c>
      <c r="J189" s="2">
        <v>64.245999999999995</v>
      </c>
      <c r="K189" s="2">
        <v>68.588999999999999</v>
      </c>
      <c r="L189" s="2">
        <v>93.668000000000006</v>
      </c>
      <c r="M189" s="2">
        <v>0.65334593109464989</v>
      </c>
      <c r="N189" s="2">
        <v>1.0602043095876974</v>
      </c>
      <c r="O189" s="2">
        <v>0.66352346981789201</v>
      </c>
      <c r="P189" s="2">
        <v>1.0194445714857694</v>
      </c>
      <c r="Q189" s="2">
        <v>2.7581635030666982</v>
      </c>
      <c r="R189" s="2">
        <v>261421</v>
      </c>
      <c r="S189" s="2">
        <v>195621</v>
      </c>
      <c r="T189" s="2">
        <v>7.55</v>
      </c>
      <c r="U189" s="2">
        <v>5.61</v>
      </c>
      <c r="V189" s="2">
        <v>3.06</v>
      </c>
      <c r="W189" s="2">
        <v>464.24666666666667</v>
      </c>
      <c r="X189" s="2">
        <v>629.796630859375</v>
      </c>
      <c r="Y189" s="2">
        <v>-0.21440919324739799</v>
      </c>
      <c r="Z189" s="2">
        <v>-7.1732797659933567E-3</v>
      </c>
      <c r="AA189" s="2">
        <v>3.3521822188049555E-3</v>
      </c>
      <c r="AB189" s="2">
        <v>-0.397821983483439</v>
      </c>
      <c r="AC189" s="2">
        <v>-0.65970785960840395</v>
      </c>
      <c r="AD189" s="2">
        <v>-0.32569045668888902</v>
      </c>
      <c r="AE189" s="2">
        <v>6.63849444096095E-2</v>
      </c>
      <c r="AF189" s="2">
        <v>0.40579999999999999</v>
      </c>
      <c r="AG189" s="2">
        <v>4.9417999999999997</v>
      </c>
      <c r="AH189" s="2">
        <v>-0.42899999999999999</v>
      </c>
      <c r="AI189" s="2">
        <v>-0.25210396696961301</v>
      </c>
      <c r="AJ189" s="2">
        <v>-2.28422914047282E-2</v>
      </c>
      <c r="AK189" s="2">
        <v>8.0975868873633394E-2</v>
      </c>
      <c r="AL189" s="2">
        <v>0.69977838223657596</v>
      </c>
      <c r="AM189" s="2">
        <v>-2.98430321471734E-2</v>
      </c>
      <c r="AN189" s="2">
        <v>0.118631280228621</v>
      </c>
      <c r="AO189" s="2">
        <v>-0.105071606944006</v>
      </c>
      <c r="AP189" s="2">
        <v>9.46382549062941E-2</v>
      </c>
      <c r="AQ189" s="2">
        <v>4.6686915566159802E-2</v>
      </c>
      <c r="AR189" s="2">
        <v>0.44021868812808701</v>
      </c>
      <c r="AS189" s="2">
        <v>0.91919965720803398</v>
      </c>
      <c r="AT189" s="2">
        <v>0.28071941084191199</v>
      </c>
    </row>
    <row r="190" spans="1:46" x14ac:dyDescent="0.25">
      <c r="A190" s="2">
        <v>1994</v>
      </c>
      <c r="B190" s="2">
        <v>7136.3</v>
      </c>
      <c r="C190" s="2">
        <v>9748.2446793978634</v>
      </c>
      <c r="D190" s="2">
        <v>73.206000000000003</v>
      </c>
      <c r="E190" s="2">
        <v>4640.8999999999996</v>
      </c>
      <c r="F190" s="2">
        <v>1202.0999999999999</v>
      </c>
      <c r="G190" s="2">
        <v>6260.1505382145833</v>
      </c>
      <c r="H190" s="2">
        <v>910.2222799385321</v>
      </c>
      <c r="I190" s="2">
        <v>224.26386743816468</v>
      </c>
      <c r="J190" s="2">
        <v>65</v>
      </c>
      <c r="K190" s="2">
        <v>68.89</v>
      </c>
      <c r="L190" s="2">
        <v>94.352999999999994</v>
      </c>
      <c r="M190" s="2">
        <v>0.64936208927024675</v>
      </c>
      <c r="N190" s="2">
        <v>1.0578956663886923</v>
      </c>
      <c r="O190" s="2">
        <v>0.65562423524555202</v>
      </c>
      <c r="P190" s="2">
        <v>1.0097058396561764</v>
      </c>
      <c r="Q190" s="2">
        <v>2.7453657765373491</v>
      </c>
      <c r="R190" s="2">
        <v>262131</v>
      </c>
      <c r="S190" s="2">
        <v>196085</v>
      </c>
      <c r="T190" s="2">
        <v>7.85</v>
      </c>
      <c r="U190" s="2">
        <v>6.07</v>
      </c>
      <c r="V190" s="2">
        <v>3.24</v>
      </c>
      <c r="W190" s="2">
        <v>469.46</v>
      </c>
      <c r="X190" s="2">
        <v>634.07916259765625</v>
      </c>
      <c r="Y190" s="2">
        <v>-0.43371205279608499</v>
      </c>
      <c r="Z190" s="2">
        <v>-5.8677271008491516E-3</v>
      </c>
      <c r="AA190" s="2">
        <v>-6.5871700644493103E-3</v>
      </c>
      <c r="AB190" s="2">
        <v>0.60497788800149299</v>
      </c>
      <c r="AC190" s="2">
        <v>1.02227960482369</v>
      </c>
      <c r="AD190" s="2">
        <v>-1.1085961507998101</v>
      </c>
      <c r="AE190" s="2">
        <v>-0.93081637189365796</v>
      </c>
      <c r="AF190" s="2">
        <v>0.40100000000000002</v>
      </c>
      <c r="AG190" s="2">
        <v>1.3942000000000001</v>
      </c>
      <c r="AH190" s="2">
        <v>-0.44550000000000001</v>
      </c>
      <c r="AI190" s="2">
        <v>-0.31939034950836898</v>
      </c>
      <c r="AJ190" s="2">
        <v>-7.3468339626898402E-2</v>
      </c>
      <c r="AK190" s="2">
        <v>-2.70523685587865E-2</v>
      </c>
      <c r="AL190" s="2">
        <v>-0.47317147253745201</v>
      </c>
      <c r="AM190" s="2">
        <v>-0.128665996536135</v>
      </c>
      <c r="AN190" s="2">
        <v>-6.7456803197273804E-2</v>
      </c>
      <c r="AO190" s="2">
        <v>9.9011530479049106E-2</v>
      </c>
      <c r="AP190" s="2">
        <v>0.16423362225206101</v>
      </c>
      <c r="AQ190" s="2">
        <v>-0.34623067217352699</v>
      </c>
      <c r="AR190" s="2">
        <v>0.61880650020943295</v>
      </c>
      <c r="AS190" s="2">
        <v>0.41708832060019102</v>
      </c>
      <c r="AT190" s="2">
        <v>0.33758209148587298</v>
      </c>
    </row>
    <row r="191" spans="1:46" x14ac:dyDescent="0.25">
      <c r="A191" s="2">
        <v>1994.25</v>
      </c>
      <c r="B191" s="2">
        <v>7269.8</v>
      </c>
      <c r="C191" s="2">
        <v>9881.3391145967835</v>
      </c>
      <c r="D191" s="2">
        <v>73.570999999999998</v>
      </c>
      <c r="E191" s="2">
        <v>4702.8999999999996</v>
      </c>
      <c r="F191" s="2">
        <v>1265.0999999999999</v>
      </c>
      <c r="G191" s="2">
        <v>6308.6375038566266</v>
      </c>
      <c r="H191" s="2">
        <v>924.13197256871319</v>
      </c>
      <c r="I191" s="2">
        <v>227.59972074805293</v>
      </c>
      <c r="J191" s="2">
        <v>66.081000000000003</v>
      </c>
      <c r="K191" s="2">
        <v>68.808000000000007</v>
      </c>
      <c r="L191" s="2">
        <v>96.037000000000006</v>
      </c>
      <c r="M191" s="2">
        <v>0.65207948793458181</v>
      </c>
      <c r="N191" s="2">
        <v>1.0612132575842221</v>
      </c>
      <c r="O191" s="2">
        <v>0.65345383124558687</v>
      </c>
      <c r="P191" s="2">
        <v>1.0033936489093727</v>
      </c>
      <c r="Q191" s="2">
        <v>2.7267077971919598</v>
      </c>
      <c r="R191" s="2">
        <v>262887</v>
      </c>
      <c r="S191" s="2">
        <v>196522</v>
      </c>
      <c r="T191" s="2">
        <v>8.6</v>
      </c>
      <c r="U191" s="2">
        <v>7.08</v>
      </c>
      <c r="V191" s="2">
        <v>3.99</v>
      </c>
      <c r="W191" s="2">
        <v>450.98666666666668</v>
      </c>
      <c r="X191" s="2">
        <v>613.57177734375</v>
      </c>
      <c r="Y191" s="2">
        <v>-1.31851157033574</v>
      </c>
      <c r="Z191" s="2">
        <v>-4.4886469841003418E-2</v>
      </c>
      <c r="AA191" s="2">
        <v>-1.3557166792452335E-2</v>
      </c>
      <c r="AB191" s="2">
        <v>-2.0182136474731101</v>
      </c>
      <c r="AC191" s="2">
        <v>-0.34672523993509902</v>
      </c>
      <c r="AD191" s="2">
        <v>-1.13043541989691</v>
      </c>
      <c r="AE191" s="2">
        <v>-0.78097262562492198</v>
      </c>
      <c r="AF191" s="2">
        <v>-0.91500000000000004</v>
      </c>
      <c r="AG191" s="2">
        <v>3.6918000000000002</v>
      </c>
      <c r="AH191" s="2">
        <v>-0.34339999999999998</v>
      </c>
      <c r="AI191" s="2">
        <v>-0.44309790339310301</v>
      </c>
      <c r="AJ191" s="2">
        <v>-0.56060558293219198</v>
      </c>
      <c r="AK191" s="2">
        <v>-0.53969237781595403</v>
      </c>
      <c r="AL191" s="2">
        <v>8.3987148855709001E-2</v>
      </c>
      <c r="AM191" s="2">
        <v>-0.21698718641717099</v>
      </c>
      <c r="AN191" s="2">
        <v>-8.54164267086127E-2</v>
      </c>
      <c r="AO191" s="2">
        <v>-3.0825897079059798E-2</v>
      </c>
      <c r="AP191" s="2">
        <v>0.30589772524067999</v>
      </c>
      <c r="AQ191" s="2">
        <v>-0.15652148772642599</v>
      </c>
      <c r="AR191" s="2">
        <v>0.42732495962799</v>
      </c>
      <c r="AS191" s="2">
        <v>0.77580863491462704</v>
      </c>
      <c r="AT191" s="2">
        <v>-0.133295110348434</v>
      </c>
    </row>
    <row r="192" spans="1:46" x14ac:dyDescent="0.25">
      <c r="A192" s="2">
        <v>1994.5</v>
      </c>
      <c r="B192" s="2">
        <v>7352.3</v>
      </c>
      <c r="C192" s="2">
        <v>9939.7044707918194</v>
      </c>
      <c r="D192" s="2">
        <v>73.968999999999994</v>
      </c>
      <c r="E192" s="2">
        <v>4773.1000000000004</v>
      </c>
      <c r="F192" s="2">
        <v>1251.5999999999999</v>
      </c>
      <c r="G192" s="2">
        <v>6357.4368332023614</v>
      </c>
      <c r="H192" s="2">
        <v>939.70943266080349</v>
      </c>
      <c r="I192" s="2">
        <v>229.7822619239403</v>
      </c>
      <c r="J192" s="2">
        <v>66.477999999999994</v>
      </c>
      <c r="K192" s="2">
        <v>68.430999999999997</v>
      </c>
      <c r="L192" s="2">
        <v>97.144999999999996</v>
      </c>
      <c r="M192" s="2">
        <v>0.64776282527541917</v>
      </c>
      <c r="N192" s="2">
        <v>1.0586094888184492</v>
      </c>
      <c r="O192" s="2">
        <v>0.65195613555528376</v>
      </c>
      <c r="P192" s="2">
        <v>1.0053307681639825</v>
      </c>
      <c r="Q192" s="2">
        <v>2.6965687991202518</v>
      </c>
      <c r="R192" s="2">
        <v>263726</v>
      </c>
      <c r="S192" s="2">
        <v>197050</v>
      </c>
      <c r="T192" s="2">
        <v>8.84</v>
      </c>
      <c r="U192" s="2">
        <v>7.33</v>
      </c>
      <c r="V192" s="2">
        <v>4.4800000000000004</v>
      </c>
      <c r="W192" s="2">
        <v>460.86666666666662</v>
      </c>
      <c r="X192" s="2">
        <v>636.84820556640625</v>
      </c>
      <c r="Y192" s="2">
        <v>-0.57572073090790798</v>
      </c>
      <c r="Z192" s="2">
        <v>2.6844985783100128E-2</v>
      </c>
      <c r="AA192" s="2">
        <v>4.9227955751121044E-3</v>
      </c>
      <c r="AB192" s="2">
        <v>-0.98410032394414004</v>
      </c>
      <c r="AC192" s="2">
        <v>-6.9868374398359995E-2</v>
      </c>
      <c r="AD192" s="2">
        <v>-0.41414068703200901</v>
      </c>
      <c r="AE192" s="2">
        <v>-0.91326763747777495</v>
      </c>
      <c r="AF192" s="2">
        <v>-1.1208</v>
      </c>
      <c r="AG192" s="2">
        <v>-3.5693000000000001</v>
      </c>
      <c r="AH192" s="2">
        <v>-0.30520000000000003</v>
      </c>
      <c r="AI192" s="2">
        <v>-0.40407573133748997</v>
      </c>
      <c r="AJ192" s="2">
        <v>-0.121644781476365</v>
      </c>
      <c r="AK192" s="2">
        <v>-0.91815401803254504</v>
      </c>
      <c r="AL192" s="2">
        <v>-0.36451216213592702</v>
      </c>
      <c r="AM192" s="2">
        <v>6.6430879282625196E-3</v>
      </c>
      <c r="AN192" s="2">
        <v>-0.10988538552527601</v>
      </c>
      <c r="AO192" s="2">
        <v>0.20985131083134501</v>
      </c>
      <c r="AP192" s="2">
        <v>-0.13857813611660399</v>
      </c>
      <c r="AQ192" s="2">
        <v>7.60433540971366E-3</v>
      </c>
      <c r="AR192" s="2">
        <v>-0.240834575026704</v>
      </c>
      <c r="AS192" s="2">
        <v>0.68744776346022396</v>
      </c>
      <c r="AT192" s="2">
        <v>4.38540838289374E-2</v>
      </c>
    </row>
    <row r="193" spans="1:46" x14ac:dyDescent="0.25">
      <c r="A193" s="2">
        <v>1994.75</v>
      </c>
      <c r="B193" s="2">
        <v>7476.7</v>
      </c>
      <c r="C193" s="2">
        <v>10052.570721738195</v>
      </c>
      <c r="D193" s="2">
        <v>74.376000000000005</v>
      </c>
      <c r="E193" s="2">
        <v>4847.2</v>
      </c>
      <c r="F193" s="2">
        <v>1307.2</v>
      </c>
      <c r="G193" s="2">
        <v>6425.9200339378513</v>
      </c>
      <c r="H193" s="2">
        <v>976.27688099673708</v>
      </c>
      <c r="I193" s="2">
        <v>230.84921115130069</v>
      </c>
      <c r="J193" s="2">
        <v>67.433999999999997</v>
      </c>
      <c r="K193" s="2">
        <v>68.998000000000005</v>
      </c>
      <c r="L193" s="2">
        <v>97.733000000000004</v>
      </c>
      <c r="M193" s="2">
        <v>0.6576230804724682</v>
      </c>
      <c r="N193" s="2">
        <v>1.0737265603224808</v>
      </c>
      <c r="O193" s="2">
        <v>0.65871734721464592</v>
      </c>
      <c r="P193" s="2">
        <v>1.0118201811093208</v>
      </c>
      <c r="Q193" s="2">
        <v>2.6641339344036314</v>
      </c>
      <c r="R193" s="2">
        <v>264555</v>
      </c>
      <c r="S193" s="2">
        <v>197601</v>
      </c>
      <c r="T193" s="2">
        <v>9.2100000000000009</v>
      </c>
      <c r="U193" s="2">
        <v>7.84</v>
      </c>
      <c r="V193" s="2">
        <v>5.28</v>
      </c>
      <c r="W193" s="2">
        <v>460.00333333333333</v>
      </c>
      <c r="X193" s="2">
        <v>635.3394775390625</v>
      </c>
      <c r="Y193" s="2">
        <v>-0.23646789095794099</v>
      </c>
      <c r="Z193" s="2">
        <v>-2.9863609001040459E-2</v>
      </c>
      <c r="AA193" s="2">
        <v>-4.1356850415468216E-3</v>
      </c>
      <c r="AB193" s="2">
        <v>0.11221405248518</v>
      </c>
      <c r="AC193" s="2">
        <v>0.36847344490607198</v>
      </c>
      <c r="AD193" s="2">
        <v>0.38657421617108101</v>
      </c>
      <c r="AE193" s="2">
        <v>0.93716575619991105</v>
      </c>
      <c r="AF193" s="2">
        <v>0.6724</v>
      </c>
      <c r="AG193" s="2">
        <v>7.0960000000000001</v>
      </c>
      <c r="AH193" s="2">
        <v>-0.18629999999999999</v>
      </c>
      <c r="AI193" s="2">
        <v>2.1476981829704901E-2</v>
      </c>
      <c r="AJ193" s="2">
        <v>-0.44028352524558501</v>
      </c>
      <c r="AK193" s="2">
        <v>-0.102538671956014</v>
      </c>
      <c r="AL193" s="2">
        <v>-1.24705631698812E-2</v>
      </c>
      <c r="AM193" s="2">
        <v>3.8111299860236397E-2</v>
      </c>
      <c r="AN193" s="2">
        <v>-0.19206987496785899</v>
      </c>
      <c r="AO193" s="2">
        <v>6.8231698267989097E-2</v>
      </c>
      <c r="AP193" s="2">
        <v>0.26891217423435199</v>
      </c>
      <c r="AQ193" s="2">
        <v>0.15617767401959701</v>
      </c>
      <c r="AR193" s="2">
        <v>0.111862748355987</v>
      </c>
      <c r="AS193" s="2">
        <v>0.269793742659167</v>
      </c>
      <c r="AT193" s="2">
        <v>2.8968340143710199E-2</v>
      </c>
    </row>
    <row r="194" spans="1:46" x14ac:dyDescent="0.25">
      <c r="A194" s="2">
        <v>1995</v>
      </c>
      <c r="B194" s="2">
        <v>7545.3</v>
      </c>
      <c r="C194" s="2">
        <v>10086.894910631927</v>
      </c>
      <c r="D194" s="2">
        <v>74.802999999999997</v>
      </c>
      <c r="E194" s="2">
        <v>4883.3</v>
      </c>
      <c r="F194" s="2">
        <v>1327.3</v>
      </c>
      <c r="G194" s="2">
        <v>6442.8582737419847</v>
      </c>
      <c r="H194" s="2">
        <v>1012.6432960504444</v>
      </c>
      <c r="I194" s="2">
        <v>232.70985798924357</v>
      </c>
      <c r="J194" s="2">
        <v>67.619</v>
      </c>
      <c r="K194" s="2">
        <v>68.694000000000003</v>
      </c>
      <c r="L194" s="2">
        <v>98.435000000000002</v>
      </c>
      <c r="M194" s="2">
        <v>0.65207504310576481</v>
      </c>
      <c r="N194" s="2">
        <v>1.070159990162417</v>
      </c>
      <c r="O194" s="2">
        <v>0.6598633543088277</v>
      </c>
      <c r="P194" s="2">
        <v>1.0175087083337764</v>
      </c>
      <c r="Q194" s="2">
        <v>2.6425980535639932</v>
      </c>
      <c r="R194" s="2">
        <v>265270</v>
      </c>
      <c r="S194" s="2">
        <v>197882</v>
      </c>
      <c r="T194" s="2">
        <v>8.8800000000000008</v>
      </c>
      <c r="U194" s="2">
        <v>7.48</v>
      </c>
      <c r="V194" s="2">
        <v>5.74</v>
      </c>
      <c r="W194" s="2">
        <v>480.10666666666674</v>
      </c>
      <c r="X194" s="2">
        <v>670.169921875</v>
      </c>
      <c r="Y194" s="2">
        <v>-1.3513916350253501</v>
      </c>
      <c r="Z194" s="2">
        <v>4.0183279663324356E-2</v>
      </c>
      <c r="AA194" s="2">
        <v>7.577200885862112E-3</v>
      </c>
      <c r="AB194" s="2">
        <v>-0.76829431444489804</v>
      </c>
      <c r="AC194" s="2">
        <v>0.83000158413162495</v>
      </c>
      <c r="AD194" s="2">
        <v>-0.89543016647332796</v>
      </c>
      <c r="AE194" s="2">
        <v>-0.68600363106525397</v>
      </c>
      <c r="AF194" s="2">
        <v>-1.0071000000000001</v>
      </c>
      <c r="AG194" s="2">
        <v>-1.8419000000000001</v>
      </c>
      <c r="AH194" s="2">
        <v>-0.3206</v>
      </c>
      <c r="AI194" s="2">
        <v>-0.44704705979242099</v>
      </c>
      <c r="AJ194" s="2">
        <v>0.25947729149917298</v>
      </c>
      <c r="AK194" s="2">
        <v>-0.68517596586624097</v>
      </c>
      <c r="AL194" s="2">
        <v>0.35035215567548</v>
      </c>
      <c r="AM194" s="2">
        <v>-8.6753829795565895E-2</v>
      </c>
      <c r="AN194" s="2">
        <v>-0.31139201205821299</v>
      </c>
      <c r="AO194" s="2">
        <v>0.138015072054361</v>
      </c>
      <c r="AP194" s="2">
        <v>0.15729020324637699</v>
      </c>
      <c r="AQ194" s="2">
        <v>0.29444356151790302</v>
      </c>
      <c r="AR194" s="2">
        <v>-0.65731976965774597</v>
      </c>
      <c r="AS194" s="2">
        <v>0.53290885458113901</v>
      </c>
      <c r="AT194" s="2">
        <v>5.12315804943567E-2</v>
      </c>
    </row>
    <row r="195" spans="1:46" x14ac:dyDescent="0.25">
      <c r="A195" s="2">
        <v>1995.25</v>
      </c>
      <c r="B195" s="2">
        <v>7604.9</v>
      </c>
      <c r="C195" s="2">
        <v>10122.05185540116</v>
      </c>
      <c r="D195" s="2">
        <v>75.132000000000005</v>
      </c>
      <c r="E195" s="2">
        <v>4955</v>
      </c>
      <c r="F195" s="2">
        <v>1303.8</v>
      </c>
      <c r="G195" s="2">
        <v>6500.7478155912995</v>
      </c>
      <c r="H195" s="2">
        <v>1022.4454895254382</v>
      </c>
      <c r="I195" s="2">
        <v>232.82332927628289</v>
      </c>
      <c r="J195" s="2">
        <v>67.843000000000004</v>
      </c>
      <c r="K195" s="2">
        <v>68.861999999999995</v>
      </c>
      <c r="L195" s="2">
        <v>98.52</v>
      </c>
      <c r="M195" s="2">
        <v>0.65087869559985334</v>
      </c>
      <c r="N195" s="2">
        <v>1.0724100482914629</v>
      </c>
      <c r="O195" s="2">
        <v>0.66970901950146666</v>
      </c>
      <c r="P195" s="2">
        <v>1.0514669625366386</v>
      </c>
      <c r="Q195" s="2">
        <v>2.627253308163128</v>
      </c>
      <c r="R195" s="2">
        <v>266008</v>
      </c>
      <c r="S195" s="2">
        <v>198296</v>
      </c>
      <c r="T195" s="2">
        <v>8.23</v>
      </c>
      <c r="U195" s="2">
        <v>6.62</v>
      </c>
      <c r="V195" s="2">
        <v>5.6</v>
      </c>
      <c r="W195" s="2">
        <v>523.69000000000005</v>
      </c>
      <c r="X195" s="2">
        <v>732.35107421875</v>
      </c>
      <c r="Y195" s="2">
        <v>-0.33254486230198099</v>
      </c>
      <c r="Z195" s="2">
        <v>7.5553782284259796E-2</v>
      </c>
      <c r="AA195" s="2">
        <v>1.9233230501413345E-2</v>
      </c>
      <c r="AB195" s="2">
        <v>-0.44630407920196102</v>
      </c>
      <c r="AC195" s="2">
        <v>0.16574979395690201</v>
      </c>
      <c r="AD195" s="2">
        <v>-0.25063647323583399</v>
      </c>
      <c r="AE195" s="2">
        <v>-0.74811756700286802</v>
      </c>
      <c r="AF195" s="2">
        <v>-0.20569999999999999</v>
      </c>
      <c r="AG195" s="2">
        <v>-0.75829999999999997</v>
      </c>
      <c r="AH195" s="2">
        <v>-1.8100000000000002E-2</v>
      </c>
      <c r="AI195" s="2">
        <v>-1.46780898467975E-2</v>
      </c>
      <c r="AJ195" s="2">
        <v>0.29914752169332598</v>
      </c>
      <c r="AK195" s="2">
        <v>-0.42894478060546698</v>
      </c>
      <c r="AL195" s="2">
        <v>-0.73954762959258402</v>
      </c>
      <c r="AM195" s="2">
        <v>6.4703283695642197E-2</v>
      </c>
      <c r="AN195" s="2">
        <v>-0.12554559306459601</v>
      </c>
      <c r="AO195" s="2">
        <v>0.32349460017072001</v>
      </c>
      <c r="AP195" s="2">
        <v>8.2193264638252994E-2</v>
      </c>
      <c r="AQ195" s="2">
        <v>0.405451058099497</v>
      </c>
      <c r="AR195" s="2">
        <v>0.44637829208583302</v>
      </c>
      <c r="AS195" s="2">
        <v>0.39539258645182002</v>
      </c>
      <c r="AT195" s="2">
        <v>-6.4527568840109698E-2</v>
      </c>
    </row>
    <row r="196" spans="1:46" x14ac:dyDescent="0.25">
      <c r="A196" s="2">
        <v>1995.5</v>
      </c>
      <c r="B196" s="2">
        <v>7706.5</v>
      </c>
      <c r="C196" s="2">
        <v>10208.772138987137</v>
      </c>
      <c r="D196" s="2">
        <v>75.489000000000004</v>
      </c>
      <c r="E196" s="2">
        <v>5020.5</v>
      </c>
      <c r="F196" s="2">
        <v>1303.2</v>
      </c>
      <c r="G196" s="2">
        <v>6560.3439264060207</v>
      </c>
      <c r="H196" s="2">
        <v>1029.2299164250383</v>
      </c>
      <c r="I196" s="2">
        <v>234.8805197492203</v>
      </c>
      <c r="J196" s="2">
        <v>68.566000000000003</v>
      </c>
      <c r="K196" s="2">
        <v>68.927000000000007</v>
      </c>
      <c r="L196" s="2">
        <v>99.475999999999999</v>
      </c>
      <c r="M196" s="2">
        <v>0.65461071109476499</v>
      </c>
      <c r="N196" s="2">
        <v>1.0812704562124562</v>
      </c>
      <c r="O196" s="2">
        <v>0.67166306196480641</v>
      </c>
      <c r="P196" s="2">
        <v>1.0604970522343171</v>
      </c>
      <c r="Q196" s="2">
        <v>2.598997166686094</v>
      </c>
      <c r="R196" s="2">
        <v>266851</v>
      </c>
      <c r="S196" s="2">
        <v>198807</v>
      </c>
      <c r="T196" s="2">
        <v>8.0500000000000007</v>
      </c>
      <c r="U196" s="2">
        <v>6.32</v>
      </c>
      <c r="V196" s="2">
        <v>5.37</v>
      </c>
      <c r="W196" s="2">
        <v>565.08333333333337</v>
      </c>
      <c r="X196" s="2">
        <v>802.96258544921875</v>
      </c>
      <c r="Y196" s="2">
        <v>-0.26396864398219899</v>
      </c>
      <c r="Z196" s="2">
        <v>2.6640152558684349E-2</v>
      </c>
      <c r="AA196" s="2">
        <v>6.5828827209770679E-3</v>
      </c>
      <c r="AB196" s="2">
        <v>-0.86849300931613105</v>
      </c>
      <c r="AC196" s="2">
        <v>-7.3181631428048496E-2</v>
      </c>
      <c r="AD196" s="2">
        <v>-0.48735520745991401</v>
      </c>
      <c r="AE196" s="2">
        <v>0.65032714352408505</v>
      </c>
      <c r="AF196" s="2">
        <v>-0.49809999999999999</v>
      </c>
      <c r="AG196" s="2">
        <v>2.5329999999999999</v>
      </c>
      <c r="AH196" s="2">
        <v>-0.19059999999999999</v>
      </c>
      <c r="AI196" s="2">
        <v>-0.19814684142212699</v>
      </c>
      <c r="AJ196" s="2">
        <v>0.55556921361297995</v>
      </c>
      <c r="AK196" s="2">
        <v>-0.295688479881831</v>
      </c>
      <c r="AL196" s="2">
        <v>-0.29246265235280799</v>
      </c>
      <c r="AM196" s="2">
        <v>-0.138119041089343</v>
      </c>
      <c r="AN196" s="2">
        <v>-0.24144790379391501</v>
      </c>
      <c r="AO196" s="2">
        <v>-0.14677505571249999</v>
      </c>
      <c r="AP196" s="2">
        <v>0.13851375583345801</v>
      </c>
      <c r="AQ196" s="2">
        <v>-0.18003741393787001</v>
      </c>
      <c r="AR196" s="2">
        <v>-0.22019178207607201</v>
      </c>
      <c r="AS196" s="2">
        <v>-0.110239065521402</v>
      </c>
      <c r="AT196" s="2">
        <v>-0.16268574370671099</v>
      </c>
    </row>
    <row r="197" spans="1:46" x14ac:dyDescent="0.25">
      <c r="A197" s="2">
        <v>1995.75</v>
      </c>
      <c r="B197" s="2">
        <v>7799.5</v>
      </c>
      <c r="C197" s="2">
        <v>10281.303963828581</v>
      </c>
      <c r="D197" s="2">
        <v>75.861000000000004</v>
      </c>
      <c r="E197" s="2">
        <v>5077.8999999999996</v>
      </c>
      <c r="F197" s="2">
        <v>1335.6</v>
      </c>
      <c r="G197" s="2">
        <v>6606.3436719400488</v>
      </c>
      <c r="H197" s="2">
        <v>1049.6009913788498</v>
      </c>
      <c r="I197" s="2">
        <v>234.50555728902069</v>
      </c>
      <c r="J197" s="2">
        <v>69.212000000000003</v>
      </c>
      <c r="K197" s="2">
        <v>69.558999999999997</v>
      </c>
      <c r="L197" s="2">
        <v>99.501000000000005</v>
      </c>
      <c r="M197" s="2">
        <v>0.65744489801215511</v>
      </c>
      <c r="N197" s="2">
        <v>1.0910691909613746</v>
      </c>
      <c r="O197" s="2">
        <v>0.67553416167111213</v>
      </c>
      <c r="P197" s="2">
        <v>1.071160551109648</v>
      </c>
      <c r="Q197" s="2">
        <v>2.5597723837154063</v>
      </c>
      <c r="R197" s="2">
        <v>267705</v>
      </c>
      <c r="S197" s="2">
        <v>199352</v>
      </c>
      <c r="T197" s="2">
        <v>7.64</v>
      </c>
      <c r="U197" s="2">
        <v>5.89</v>
      </c>
      <c r="V197" s="2">
        <v>5.26</v>
      </c>
      <c r="W197" s="2">
        <v>597.67333333333329</v>
      </c>
      <c r="X197" s="2">
        <v>845.14312744140625</v>
      </c>
      <c r="Y197" s="2">
        <v>-0.11946190127765299</v>
      </c>
      <c r="Z197" s="2">
        <v>3.0965255573391914E-2</v>
      </c>
      <c r="AA197" s="2">
        <v>8.3343982696533203E-3</v>
      </c>
      <c r="AB197" s="2">
        <v>9.4938046339314505E-2</v>
      </c>
      <c r="AC197" s="2">
        <v>0.62525967944843797</v>
      </c>
      <c r="AD197" s="2">
        <v>0.46307068416892699</v>
      </c>
      <c r="AE197" s="2">
        <v>0.25750429785530699</v>
      </c>
      <c r="AF197" s="2">
        <v>0.55110000000000003</v>
      </c>
      <c r="AG197" s="2">
        <v>2.9569000000000001</v>
      </c>
      <c r="AH197" s="2">
        <v>0.1053</v>
      </c>
      <c r="AI197" s="2">
        <v>-0.50234115930620704</v>
      </c>
      <c r="AJ197" s="2">
        <v>0.22161907334707201</v>
      </c>
      <c r="AK197" s="2">
        <v>-6.8548326529763604E-3</v>
      </c>
      <c r="AL197" s="2">
        <v>-1.46311856017926E-2</v>
      </c>
      <c r="AM197" s="2">
        <v>-0.206100371787932</v>
      </c>
      <c r="AN197" s="2">
        <v>-0.31310718115122899</v>
      </c>
      <c r="AO197" s="2">
        <v>0.22870114377042</v>
      </c>
      <c r="AP197" s="2">
        <v>0.104798482777023</v>
      </c>
      <c r="AQ197" s="2">
        <v>-8.7603446389891895E-3</v>
      </c>
      <c r="AR197" s="2">
        <v>-0.47729394784936402</v>
      </c>
      <c r="AS197" s="2">
        <v>-0.14747131665586599</v>
      </c>
      <c r="AT197" s="2">
        <v>-0.160438466283399</v>
      </c>
    </row>
    <row r="198" spans="1:46" x14ac:dyDescent="0.25">
      <c r="A198" s="2">
        <v>1996</v>
      </c>
      <c r="B198" s="2">
        <v>7893.1</v>
      </c>
      <c r="C198" s="2">
        <v>10348.620725823368</v>
      </c>
      <c r="D198" s="2">
        <v>76.272000000000006</v>
      </c>
      <c r="E198" s="2">
        <v>5153.8</v>
      </c>
      <c r="F198" s="2">
        <v>1355.2</v>
      </c>
      <c r="G198" s="2">
        <v>6667.7016624619964</v>
      </c>
      <c r="H198" s="2">
        <v>1075.7275309502118</v>
      </c>
      <c r="I198" s="2">
        <v>233.27353825391003</v>
      </c>
      <c r="J198" s="2">
        <v>69.787999999999997</v>
      </c>
      <c r="K198" s="2">
        <v>70.228999999999999</v>
      </c>
      <c r="L198" s="2">
        <v>99.372</v>
      </c>
      <c r="M198" s="2">
        <v>0.66517627065948914</v>
      </c>
      <c r="N198" s="2">
        <v>1.1045476455641086</v>
      </c>
      <c r="O198" s="2">
        <v>0.69350456685733597</v>
      </c>
      <c r="P198" s="2">
        <v>1.1151049025596649</v>
      </c>
      <c r="Q198" s="2">
        <v>2.5062348036597681</v>
      </c>
      <c r="R198" s="2">
        <v>268370</v>
      </c>
      <c r="S198" s="2">
        <v>199776</v>
      </c>
      <c r="T198" s="2">
        <v>7.71</v>
      </c>
      <c r="U198" s="2">
        <v>5.91</v>
      </c>
      <c r="V198" s="2">
        <v>4.93</v>
      </c>
      <c r="W198" s="2">
        <v>637.0100000000001</v>
      </c>
      <c r="X198" s="2">
        <v>902.541748046875</v>
      </c>
      <c r="Y198" s="2">
        <v>1.0219865652333999</v>
      </c>
      <c r="Z198" s="2">
        <v>2.7630103752017021E-2</v>
      </c>
      <c r="AA198" s="2">
        <v>9.1776363551616669E-3</v>
      </c>
      <c r="AB198" s="2">
        <v>-0.48967678903786999</v>
      </c>
      <c r="AC198" s="2">
        <v>-0.60118939940004501</v>
      </c>
      <c r="AD198" s="2">
        <v>9.6104269034415907E-2</v>
      </c>
      <c r="AE198" s="2">
        <v>0.202347720774671</v>
      </c>
      <c r="AF198" s="2">
        <v>0.4758</v>
      </c>
      <c r="AG198" s="2">
        <v>-0.58289999999999997</v>
      </c>
      <c r="AH198" s="2">
        <v>0.12690000000000001</v>
      </c>
      <c r="AI198" s="2">
        <v>-0.22473777895958699</v>
      </c>
      <c r="AJ198" s="2">
        <v>0.66157183927722996</v>
      </c>
      <c r="AK198" s="2">
        <v>0.40685237401673902</v>
      </c>
      <c r="AL198" s="2">
        <v>0.24052337661476</v>
      </c>
      <c r="AM198" s="2">
        <v>-0.232772630211599</v>
      </c>
      <c r="AN198" s="2">
        <v>6.7197987782946805E-2</v>
      </c>
      <c r="AO198" s="2">
        <v>0.15019639724160699</v>
      </c>
      <c r="AP198" s="2">
        <v>0.31473067337086302</v>
      </c>
      <c r="AQ198" s="2">
        <v>-0.32065325187944399</v>
      </c>
      <c r="AR198" s="2">
        <v>0.410982567991519</v>
      </c>
      <c r="AS198" s="2">
        <v>0.191115798426717</v>
      </c>
      <c r="AT198" s="2">
        <v>-0.26250502108622997</v>
      </c>
    </row>
    <row r="199" spans="1:46" x14ac:dyDescent="0.25">
      <c r="A199" s="2">
        <v>1996.25</v>
      </c>
      <c r="B199" s="2">
        <v>8061.5</v>
      </c>
      <c r="C199" s="2">
        <v>10529.37488571354</v>
      </c>
      <c r="D199" s="2">
        <v>76.561999999999998</v>
      </c>
      <c r="E199" s="2">
        <v>5244.1</v>
      </c>
      <c r="F199" s="2">
        <v>1418.6</v>
      </c>
      <c r="G199" s="2">
        <v>6740.055266371055</v>
      </c>
      <c r="H199" s="2">
        <v>1104.7856827696048</v>
      </c>
      <c r="I199" s="2">
        <v>235.67217670585191</v>
      </c>
      <c r="J199" s="2">
        <v>71.22</v>
      </c>
      <c r="K199" s="2">
        <v>71.162000000000006</v>
      </c>
      <c r="L199" s="2">
        <v>100.08199999999999</v>
      </c>
      <c r="M199" s="2">
        <v>0.67505728433730638</v>
      </c>
      <c r="N199" s="2">
        <v>1.1255175963754338</v>
      </c>
      <c r="O199" s="2">
        <v>0.68771695074170225</v>
      </c>
      <c r="P199" s="2">
        <v>1.0951662807103431</v>
      </c>
      <c r="Q199" s="2">
        <v>2.445984946518414</v>
      </c>
      <c r="R199" s="2">
        <v>269116</v>
      </c>
      <c r="S199" s="2">
        <v>200279</v>
      </c>
      <c r="T199" s="2">
        <v>8.3000000000000007</v>
      </c>
      <c r="U199" s="2">
        <v>6.72</v>
      </c>
      <c r="V199" s="2">
        <v>5.0199999999999996</v>
      </c>
      <c r="W199" s="2">
        <v>658.9666666666667</v>
      </c>
      <c r="X199" s="2">
        <v>952.43011474609375</v>
      </c>
      <c r="Y199" s="2">
        <v>9.5116804963942897E-2</v>
      </c>
      <c r="Z199" s="2">
        <v>-9.7900936380028725E-3</v>
      </c>
      <c r="AA199" s="2">
        <v>-8.1554061034694314E-4</v>
      </c>
      <c r="AB199" s="2">
        <v>-0.91308796460346398</v>
      </c>
      <c r="AC199" s="2">
        <v>-6.0177567446234002E-3</v>
      </c>
      <c r="AD199" s="2">
        <v>1.0482824556921999</v>
      </c>
      <c r="AE199" s="2">
        <v>1.0053362512669699</v>
      </c>
      <c r="AF199" s="2">
        <v>6.0600000000000001E-2</v>
      </c>
      <c r="AG199" s="2">
        <v>5.2138999999999998</v>
      </c>
      <c r="AH199" s="2">
        <v>0.60529999999999995</v>
      </c>
      <c r="AI199" s="2">
        <v>-0.32401431275400799</v>
      </c>
      <c r="AJ199" s="2">
        <v>0.87027448710806099</v>
      </c>
      <c r="AK199" s="2">
        <v>0.55009441762339295</v>
      </c>
      <c r="AL199" s="2">
        <v>1.0628361335513701</v>
      </c>
      <c r="AM199" s="2">
        <v>-0.14857898644703199</v>
      </c>
      <c r="AN199" s="2">
        <v>-0.19284087659028701</v>
      </c>
      <c r="AO199" s="2">
        <v>4.8052377328092498E-2</v>
      </c>
      <c r="AP199" s="2">
        <v>4.1381874971365296E-3</v>
      </c>
      <c r="AQ199" s="2">
        <v>0.18418076881434201</v>
      </c>
      <c r="AR199" s="2">
        <v>-0.39404991196772798</v>
      </c>
      <c r="AS199" s="2">
        <v>-0.29499291624579799</v>
      </c>
      <c r="AT199" s="2">
        <v>-0.24880480347487</v>
      </c>
    </row>
    <row r="200" spans="1:46" x14ac:dyDescent="0.25">
      <c r="A200" s="2">
        <v>1996.5</v>
      </c>
      <c r="B200" s="2">
        <v>8159</v>
      </c>
      <c r="C200" s="2">
        <v>10626.742035478912</v>
      </c>
      <c r="D200" s="2">
        <v>76.778000000000006</v>
      </c>
      <c r="E200" s="2">
        <v>5298.3</v>
      </c>
      <c r="F200" s="2">
        <v>1474.4</v>
      </c>
      <c r="G200" s="2">
        <v>6780.6956922368117</v>
      </c>
      <c r="H200" s="2">
        <v>1139.6137085059449</v>
      </c>
      <c r="I200" s="2">
        <v>237.61617339549542</v>
      </c>
      <c r="J200" s="2">
        <v>72.03</v>
      </c>
      <c r="K200" s="2">
        <v>71.462999999999994</v>
      </c>
      <c r="L200" s="2">
        <v>100.79300000000001</v>
      </c>
      <c r="M200" s="2">
        <v>0.67910284124721487</v>
      </c>
      <c r="N200" s="2">
        <v>1.1364602757116586</v>
      </c>
      <c r="O200" s="2">
        <v>0.68791736688219651</v>
      </c>
      <c r="P200" s="2">
        <v>1.0987317638869807</v>
      </c>
      <c r="Q200" s="2">
        <v>2.4081841021986472</v>
      </c>
      <c r="R200" s="2">
        <v>269976</v>
      </c>
      <c r="S200" s="2">
        <v>200850</v>
      </c>
      <c r="T200" s="2">
        <v>8.2899999999999991</v>
      </c>
      <c r="U200" s="2">
        <v>6.78</v>
      </c>
      <c r="V200" s="2">
        <v>5.0999999999999996</v>
      </c>
      <c r="W200" s="2">
        <v>660.54333333333341</v>
      </c>
      <c r="X200" s="2">
        <v>939.63427734375</v>
      </c>
      <c r="Y200" s="2">
        <v>-1.06827826220531</v>
      </c>
      <c r="Z200" s="2">
        <v>-1.4352788217365742E-2</v>
      </c>
      <c r="AA200" s="2">
        <v>-4.1880342178046703E-3</v>
      </c>
      <c r="AB200" s="2">
        <v>0.116308394582151</v>
      </c>
      <c r="AC200" s="2">
        <v>-2.0993943118344901E-2</v>
      </c>
      <c r="AD200" s="2">
        <v>-0.479466780162776</v>
      </c>
      <c r="AE200" s="2">
        <v>-0.18862327588344399</v>
      </c>
      <c r="AF200" s="2">
        <v>-0.63590000000000002</v>
      </c>
      <c r="AG200" s="2">
        <v>0.8911</v>
      </c>
      <c r="AH200" s="2">
        <v>0.4592</v>
      </c>
      <c r="AI200" s="2">
        <v>0.184916658243621</v>
      </c>
      <c r="AJ200" s="2">
        <v>-0.62347414464367801</v>
      </c>
      <c r="AK200" s="2">
        <v>1.6661345605742998E-2</v>
      </c>
      <c r="AL200" s="2">
        <v>0.740077505992496</v>
      </c>
      <c r="AM200" s="2">
        <v>-0.14982889450203801</v>
      </c>
      <c r="AN200" s="2">
        <v>5.7226282421866899E-2</v>
      </c>
      <c r="AO200" s="2">
        <v>0.13984693644381199</v>
      </c>
      <c r="AP200" s="2">
        <v>0.24303999895178</v>
      </c>
      <c r="AQ200" s="2">
        <v>-5.2020095996876299E-2</v>
      </c>
      <c r="AR200" s="2">
        <v>0.16531952087949101</v>
      </c>
      <c r="AS200" s="2">
        <v>-6.88468883653824E-2</v>
      </c>
      <c r="AT200" s="2">
        <v>-0.76154888391833697</v>
      </c>
    </row>
    <row r="201" spans="1:46" x14ac:dyDescent="0.25">
      <c r="A201" s="2">
        <v>1996.75</v>
      </c>
      <c r="B201" s="2">
        <v>8287.1</v>
      </c>
      <c r="C201" s="2">
        <v>10739.036906489735</v>
      </c>
      <c r="D201" s="2">
        <v>77.168000000000006</v>
      </c>
      <c r="E201" s="2">
        <v>5376.1</v>
      </c>
      <c r="F201" s="2">
        <v>1480</v>
      </c>
      <c r="G201" s="2">
        <v>6833.9964661166687</v>
      </c>
      <c r="H201" s="2">
        <v>1168.2696454757181</v>
      </c>
      <c r="I201" s="2">
        <v>240.08612170333811</v>
      </c>
      <c r="J201" s="2">
        <v>72.956000000000003</v>
      </c>
      <c r="K201" s="2">
        <v>71.521000000000001</v>
      </c>
      <c r="L201" s="2">
        <v>102.006</v>
      </c>
      <c r="M201" s="2">
        <v>0.68178419648469135</v>
      </c>
      <c r="N201" s="2">
        <v>1.147055078659637</v>
      </c>
      <c r="O201" s="2">
        <v>0.69215966621934399</v>
      </c>
      <c r="P201" s="2">
        <v>1.1173191615561406</v>
      </c>
      <c r="Q201" s="2">
        <v>2.362058478188175</v>
      </c>
      <c r="R201" s="2">
        <v>270861</v>
      </c>
      <c r="S201" s="2">
        <v>201457</v>
      </c>
      <c r="T201" s="2">
        <v>7.92</v>
      </c>
      <c r="U201" s="2">
        <v>6.34</v>
      </c>
      <c r="V201" s="2">
        <v>4.9800000000000004</v>
      </c>
      <c r="W201" s="2">
        <v>726.79333333333341</v>
      </c>
      <c r="X201" s="2">
        <v>1035.5179443359375</v>
      </c>
      <c r="Y201" s="2">
        <v>-0.33429042386061297</v>
      </c>
      <c r="Z201" s="2">
        <v>8.8180914521217346E-2</v>
      </c>
      <c r="AA201" s="2">
        <v>2.5506369769573212E-2</v>
      </c>
      <c r="AB201" s="2">
        <v>-0.55805535106739401</v>
      </c>
      <c r="AC201" s="2">
        <v>2.9807512609847299E-2</v>
      </c>
      <c r="AD201" s="2">
        <v>0.951756980467935</v>
      </c>
      <c r="AE201" s="2">
        <v>-0.49941433526645201</v>
      </c>
      <c r="AF201" s="2">
        <v>-0.78069999999999995</v>
      </c>
      <c r="AG201" s="2">
        <v>-1.9043000000000001</v>
      </c>
      <c r="AH201" s="2">
        <v>-1.7399999999999999E-2</v>
      </c>
      <c r="AI201" s="2">
        <v>-0.418100684768552</v>
      </c>
      <c r="AJ201" s="2">
        <v>1.06360321113838</v>
      </c>
      <c r="AK201" s="2">
        <v>0.155699038571354</v>
      </c>
      <c r="AL201" s="2">
        <v>0.219598987140942</v>
      </c>
      <c r="AM201" s="2">
        <v>-0.19557872593932701</v>
      </c>
      <c r="AN201" s="2">
        <v>7.8360700987531395E-2</v>
      </c>
      <c r="AO201" s="2">
        <v>8.6928464486418E-2</v>
      </c>
      <c r="AP201" s="2">
        <v>0.121623021263571</v>
      </c>
      <c r="AQ201" s="2">
        <v>-0.18673984268380101</v>
      </c>
      <c r="AR201" s="2">
        <v>0.41480711421065602</v>
      </c>
      <c r="AS201" s="2">
        <v>-0.153837168115179</v>
      </c>
      <c r="AT201" s="2">
        <v>-0.45556143268343102</v>
      </c>
    </row>
    <row r="202" spans="1:46" x14ac:dyDescent="0.25">
      <c r="A202" s="2">
        <v>1997</v>
      </c>
      <c r="B202" s="2">
        <v>8402.1</v>
      </c>
      <c r="C202" s="2">
        <v>10820.894561283758</v>
      </c>
      <c r="D202" s="2">
        <v>77.647000000000006</v>
      </c>
      <c r="E202" s="2">
        <v>5456.7</v>
      </c>
      <c r="F202" s="2">
        <v>1522</v>
      </c>
      <c r="G202" s="2">
        <v>6905.9913433062502</v>
      </c>
      <c r="H202" s="2">
        <v>1194.7709878342348</v>
      </c>
      <c r="I202" s="2">
        <v>241.52949543384364</v>
      </c>
      <c r="J202" s="2">
        <v>73.58</v>
      </c>
      <c r="K202" s="2">
        <v>71.340999999999994</v>
      </c>
      <c r="L202" s="2">
        <v>103.13800000000001</v>
      </c>
      <c r="M202" s="2">
        <v>0.67920461908473684</v>
      </c>
      <c r="N202" s="2">
        <v>1.1523722739940272</v>
      </c>
      <c r="O202" s="2">
        <v>0.68610494620799978</v>
      </c>
      <c r="P202" s="2">
        <v>1.106891142850843</v>
      </c>
      <c r="Q202" s="2">
        <v>2.3136787226389401</v>
      </c>
      <c r="R202" s="2">
        <v>271589</v>
      </c>
      <c r="S202" s="2">
        <v>202396</v>
      </c>
      <c r="T202" s="2">
        <v>8.07</v>
      </c>
      <c r="U202" s="2">
        <v>6.56</v>
      </c>
      <c r="V202" s="2">
        <v>5.0599999999999996</v>
      </c>
      <c r="W202" s="2">
        <v>785.59</v>
      </c>
      <c r="X202" s="2">
        <v>1088.2227783203125</v>
      </c>
      <c r="Y202" s="2">
        <v>-0.71890361278832204</v>
      </c>
      <c r="Z202" s="2">
        <v>3.853486105799675E-2</v>
      </c>
      <c r="AA202" s="2">
        <v>7.0325806736946106E-3</v>
      </c>
      <c r="AB202" s="2">
        <v>-0.44661934014084997</v>
      </c>
      <c r="AC202" s="2">
        <v>1.16884246291845</v>
      </c>
      <c r="AD202" s="2">
        <v>0.70661563392765603</v>
      </c>
      <c r="AE202" s="2">
        <v>-1.0786244742721001</v>
      </c>
      <c r="AF202" s="2">
        <v>-0.54249999999999998</v>
      </c>
      <c r="AG202" s="2">
        <v>3.4272999999999998</v>
      </c>
      <c r="AH202" s="2">
        <v>-0.19789999999999999</v>
      </c>
      <c r="AI202" s="2">
        <v>1.39708539209906E-2</v>
      </c>
      <c r="AJ202" s="2">
        <v>0.70769922665104201</v>
      </c>
      <c r="AK202" s="2">
        <v>-0.35557763712939</v>
      </c>
      <c r="AL202" s="2">
        <v>7.5258991707393294E-2</v>
      </c>
      <c r="AM202" s="2">
        <v>0.13066315181239899</v>
      </c>
      <c r="AN202" s="2">
        <v>-0.124757524327332</v>
      </c>
      <c r="AO202" s="2">
        <v>0.28075087014983102</v>
      </c>
      <c r="AP202" s="2">
        <v>3.5560426071105003E-2</v>
      </c>
      <c r="AQ202" s="2">
        <v>0.31619262216322103</v>
      </c>
      <c r="AR202" s="2">
        <v>-0.25282412235291302</v>
      </c>
      <c r="AS202" s="2">
        <v>-0.19765023856535399</v>
      </c>
      <c r="AT202" s="2">
        <v>-0.284689225468022</v>
      </c>
    </row>
    <row r="203" spans="1:46" x14ac:dyDescent="0.25">
      <c r="A203" s="2">
        <v>1997.25</v>
      </c>
      <c r="B203" s="2">
        <v>8551.9</v>
      </c>
      <c r="C203" s="2">
        <v>10984.111897453024</v>
      </c>
      <c r="D203" s="2">
        <v>77.856999999999999</v>
      </c>
      <c r="E203" s="2">
        <v>5495.1</v>
      </c>
      <c r="F203" s="2">
        <v>1589.9</v>
      </c>
      <c r="G203" s="2">
        <v>6937.4692269817824</v>
      </c>
      <c r="H203" s="2">
        <v>1219.8995300599579</v>
      </c>
      <c r="I203" s="2">
        <v>242.9914493678142</v>
      </c>
      <c r="J203" s="2">
        <v>74.92</v>
      </c>
      <c r="K203" s="2">
        <v>72.234999999999999</v>
      </c>
      <c r="L203" s="2">
        <v>103.718</v>
      </c>
      <c r="M203" s="2">
        <v>0.68677845349972777</v>
      </c>
      <c r="N203" s="2">
        <v>1.1703939368911858</v>
      </c>
      <c r="O203" s="2">
        <v>0.69190820233037986</v>
      </c>
      <c r="P203" s="2">
        <v>1.123969976388921</v>
      </c>
      <c r="Q203" s="2">
        <v>2.2729245698091147</v>
      </c>
      <c r="R203" s="2">
        <v>272349</v>
      </c>
      <c r="S203" s="2">
        <v>202835</v>
      </c>
      <c r="T203" s="2">
        <v>8.19</v>
      </c>
      <c r="U203" s="2">
        <v>6.7</v>
      </c>
      <c r="V203" s="2">
        <v>5.05</v>
      </c>
      <c r="W203" s="2">
        <v>824.43666666666661</v>
      </c>
      <c r="X203" s="2">
        <v>1171.7510986328125</v>
      </c>
      <c r="Y203" s="2">
        <v>0.23690711486473001</v>
      </c>
      <c r="Z203" s="2">
        <v>1.4879597350955009E-2</v>
      </c>
      <c r="AA203" s="2">
        <v>6.4104748889803886E-3</v>
      </c>
      <c r="AB203" s="2">
        <v>0.77600322131065502</v>
      </c>
      <c r="AC203" s="2">
        <v>2.0316928337758399E-2</v>
      </c>
      <c r="AD203" s="2">
        <v>0.20774618247926899</v>
      </c>
      <c r="AE203" s="2">
        <v>0.64193125510132898</v>
      </c>
      <c r="AF203" s="2">
        <v>0.74170000000000003</v>
      </c>
      <c r="AG203" s="2">
        <v>1.8317000000000001</v>
      </c>
      <c r="AH203" s="2">
        <v>1.1474</v>
      </c>
      <c r="AI203" s="2">
        <v>0.15114709095249099</v>
      </c>
      <c r="AJ203" s="2">
        <v>0.101141675718444</v>
      </c>
      <c r="AK203" s="2">
        <v>0.64995924536718797</v>
      </c>
      <c r="AL203" s="2">
        <v>0.41816032449852197</v>
      </c>
      <c r="AM203" s="2">
        <v>-7.7795050096427495E-2</v>
      </c>
      <c r="AN203" s="2">
        <v>-8.0731005999520697E-2</v>
      </c>
      <c r="AO203" s="2">
        <v>1.98830064319091E-2</v>
      </c>
      <c r="AP203" s="2">
        <v>-4.8758507452961002E-2</v>
      </c>
      <c r="AQ203" s="2">
        <v>-0.11495512748429999</v>
      </c>
      <c r="AR203" s="2">
        <v>-0.827236408942715</v>
      </c>
      <c r="AS203" s="2">
        <v>-0.18022809378618401</v>
      </c>
      <c r="AT203" s="2">
        <v>-0.39122616468668597</v>
      </c>
    </row>
    <row r="204" spans="1:46" x14ac:dyDescent="0.25">
      <c r="A204" s="2">
        <v>1997.5</v>
      </c>
      <c r="B204" s="2">
        <v>8691.7999999999993</v>
      </c>
      <c r="C204" s="2">
        <v>11124.080117744927</v>
      </c>
      <c r="D204" s="2">
        <v>78.135000000000005</v>
      </c>
      <c r="E204" s="2">
        <v>5603.5</v>
      </c>
      <c r="F204" s="2">
        <v>1625.3</v>
      </c>
      <c r="G204" s="2">
        <v>7056.1494969337518</v>
      </c>
      <c r="H204" s="2">
        <v>1274.0561345846129</v>
      </c>
      <c r="I204" s="2">
        <v>244.50959540642242</v>
      </c>
      <c r="J204" s="2">
        <v>76.022000000000006</v>
      </c>
      <c r="K204" s="2">
        <v>72.902000000000001</v>
      </c>
      <c r="L204" s="2">
        <v>104.28</v>
      </c>
      <c r="M204" s="2">
        <v>0.69615828382618805</v>
      </c>
      <c r="N204" s="2">
        <v>1.1870457620224466</v>
      </c>
      <c r="O204" s="2">
        <v>0.70389852513097451</v>
      </c>
      <c r="P204" s="2">
        <v>1.1523948273845765</v>
      </c>
      <c r="Q204" s="2">
        <v>2.2371856960646364</v>
      </c>
      <c r="R204" s="2">
        <v>273234</v>
      </c>
      <c r="S204" s="2">
        <v>203367</v>
      </c>
      <c r="T204" s="2">
        <v>7.76</v>
      </c>
      <c r="U204" s="2">
        <v>6.24</v>
      </c>
      <c r="V204" s="2">
        <v>5.05</v>
      </c>
      <c r="W204" s="2">
        <v>929.85</v>
      </c>
      <c r="X204" s="2">
        <v>1320.7421875</v>
      </c>
      <c r="Y204" s="2">
        <v>0.166532438396164</v>
      </c>
      <c r="Z204" s="2">
        <v>8.8146619498729706E-2</v>
      </c>
      <c r="AA204" s="2">
        <v>2.8674622997641563E-2</v>
      </c>
      <c r="AB204" s="2">
        <v>0.65620395318633795</v>
      </c>
      <c r="AC204" s="2">
        <v>0.53714965789285096</v>
      </c>
      <c r="AD204" s="2">
        <v>0.13786176695327801</v>
      </c>
      <c r="AE204" s="2">
        <v>0.88580587343446004</v>
      </c>
      <c r="AF204" s="2">
        <v>0.1774</v>
      </c>
      <c r="AG204" s="2">
        <v>-0.47270000000000001</v>
      </c>
      <c r="AH204" s="2">
        <v>-0.36599999999999999</v>
      </c>
      <c r="AI204" s="2">
        <v>0.42313096472829298</v>
      </c>
      <c r="AJ204" s="2">
        <v>0.797677936200472</v>
      </c>
      <c r="AK204" s="2">
        <v>0.29435160466063398</v>
      </c>
      <c r="AL204" s="2">
        <v>1.2363166650712001</v>
      </c>
      <c r="AM204" s="2">
        <v>0.25300700283721</v>
      </c>
      <c r="AN204" s="2">
        <v>6.0069564425533198E-2</v>
      </c>
      <c r="AO204" s="2">
        <v>0.27092508098618101</v>
      </c>
      <c r="AP204" s="2">
        <v>2.77386180740954E-2</v>
      </c>
      <c r="AQ204" s="2">
        <v>0.35287355906608803</v>
      </c>
      <c r="AR204" s="2">
        <v>-0.12965833811437599</v>
      </c>
      <c r="AS204" s="2">
        <v>-0.52758780886881196</v>
      </c>
      <c r="AT204" s="2">
        <v>-0.193369878544837</v>
      </c>
    </row>
    <row r="205" spans="1:46" x14ac:dyDescent="0.25">
      <c r="A205" s="2">
        <v>1997.75</v>
      </c>
      <c r="B205" s="2">
        <v>8788.2999999999993</v>
      </c>
      <c r="C205" s="2">
        <v>11210.281267938006</v>
      </c>
      <c r="D205" s="2">
        <v>78.394999999999996</v>
      </c>
      <c r="E205" s="2">
        <v>5687.6</v>
      </c>
      <c r="F205" s="2">
        <v>1645.3</v>
      </c>
      <c r="G205" s="2">
        <v>7139.933968540905</v>
      </c>
      <c r="H205" s="2">
        <v>1282.7776330641661</v>
      </c>
      <c r="I205" s="2">
        <v>245.59503424776332</v>
      </c>
      <c r="J205" s="2">
        <v>76.659000000000006</v>
      </c>
      <c r="K205" s="2">
        <v>73.251000000000005</v>
      </c>
      <c r="L205" s="2">
        <v>104.65300000000001</v>
      </c>
      <c r="M205" s="2">
        <v>0.69924483919222546</v>
      </c>
      <c r="N205" s="2">
        <v>1.1997409923674973</v>
      </c>
      <c r="O205" s="2">
        <v>0.70171157574108756</v>
      </c>
      <c r="P205" s="2">
        <v>1.1518560626649883</v>
      </c>
      <c r="Q205" s="2">
        <v>2.1958942631667124</v>
      </c>
      <c r="R205" s="2">
        <v>274117</v>
      </c>
      <c r="S205" s="2">
        <v>203935</v>
      </c>
      <c r="T205" s="2">
        <v>7.44</v>
      </c>
      <c r="U205" s="2">
        <v>5.91</v>
      </c>
      <c r="V205" s="2">
        <v>5.09</v>
      </c>
      <c r="W205" s="2">
        <v>950.81666666666661</v>
      </c>
      <c r="X205" s="2">
        <v>1345.3026123046875</v>
      </c>
      <c r="Y205" s="2">
        <v>9.2525530671782596E-2</v>
      </c>
      <c r="Z205" s="2">
        <v>-2.7101051062345505E-2</v>
      </c>
      <c r="AA205" s="2">
        <v>-1.082119345664978E-2</v>
      </c>
      <c r="AB205" s="2">
        <v>0.31109979423894601</v>
      </c>
      <c r="AC205" s="2">
        <v>0.58261183821076601</v>
      </c>
      <c r="AD205" s="2">
        <v>0.154041777375546</v>
      </c>
      <c r="AE205" s="2">
        <v>-0.358268387777187</v>
      </c>
      <c r="AF205" s="2">
        <v>-0.33539999999999998</v>
      </c>
      <c r="AG205" s="2">
        <v>0.15989999999999999</v>
      </c>
      <c r="AH205" s="2">
        <v>0.27750000000000002</v>
      </c>
      <c r="AI205" s="2">
        <v>-6.6818629183923603E-2</v>
      </c>
      <c r="AJ205" s="2">
        <v>0.539432556233435</v>
      </c>
      <c r="AK205" s="2">
        <v>-0.12557753951082901</v>
      </c>
      <c r="AL205" s="2">
        <v>-0.20017974267673999</v>
      </c>
      <c r="AM205" s="2">
        <v>0.106473839568847</v>
      </c>
      <c r="AN205" s="2">
        <v>-0.38985160817252901</v>
      </c>
      <c r="AO205" s="2">
        <v>0.12683373824230601</v>
      </c>
      <c r="AP205" s="2">
        <v>-5.2315851552051998E-2</v>
      </c>
      <c r="AQ205" s="2">
        <v>0.268372322820709</v>
      </c>
      <c r="AR205" s="2">
        <v>0.54502547030088599</v>
      </c>
      <c r="AS205" s="2">
        <v>-0.647459787811273</v>
      </c>
      <c r="AT205" s="2">
        <v>0.34824424034029899</v>
      </c>
    </row>
    <row r="206" spans="1:46" x14ac:dyDescent="0.25">
      <c r="A206" s="2">
        <v>1998</v>
      </c>
      <c r="B206" s="2">
        <v>8889.7000000000007</v>
      </c>
      <c r="C206" s="2">
        <v>11321.141576353428</v>
      </c>
      <c r="D206" s="2">
        <v>78.522999999999996</v>
      </c>
      <c r="E206" s="2">
        <v>5745.9</v>
      </c>
      <c r="F206" s="2">
        <v>1712.3</v>
      </c>
      <c r="G206" s="2">
        <v>7213.4831460674159</v>
      </c>
      <c r="H206" s="2">
        <v>1323.5085421101469</v>
      </c>
      <c r="I206" s="2">
        <v>247.26669199871625</v>
      </c>
      <c r="J206" s="2">
        <v>77.515000000000001</v>
      </c>
      <c r="K206" s="2">
        <v>73.700999999999993</v>
      </c>
      <c r="L206" s="2">
        <v>105.175</v>
      </c>
      <c r="M206" s="2">
        <v>0.70409889849263529</v>
      </c>
      <c r="N206" s="2">
        <v>1.214141438997256</v>
      </c>
      <c r="O206" s="2">
        <v>0.70650374563338614</v>
      </c>
      <c r="P206" s="2">
        <v>1.177941517143634</v>
      </c>
      <c r="Q206" s="2">
        <v>2.1505478624664818</v>
      </c>
      <c r="R206" s="2">
        <v>274837</v>
      </c>
      <c r="S206" s="2">
        <v>204395</v>
      </c>
      <c r="T206" s="2">
        <v>7.25</v>
      </c>
      <c r="U206" s="2">
        <v>5.59</v>
      </c>
      <c r="V206" s="2">
        <v>5.05</v>
      </c>
      <c r="W206" s="2">
        <v>1021.31</v>
      </c>
      <c r="X206" s="2">
        <v>1478.1951904296875</v>
      </c>
      <c r="Y206" s="2">
        <v>-0.57328091753628196</v>
      </c>
      <c r="Z206" s="2">
        <v>6.5217025578022003E-2</v>
      </c>
      <c r="AA206" s="2">
        <v>1.8797865137457848E-2</v>
      </c>
      <c r="AB206" s="2">
        <v>0.53928563896675696</v>
      </c>
      <c r="AC206" s="2">
        <v>0.99664112657188997</v>
      </c>
      <c r="AD206" s="2">
        <v>0.13622149878989501</v>
      </c>
      <c r="AE206" s="2">
        <v>0.10993407453012199</v>
      </c>
      <c r="AF206" s="2">
        <v>0.1246</v>
      </c>
      <c r="AG206" s="2">
        <v>2.8816999999999999</v>
      </c>
      <c r="AH206" s="2">
        <v>0.1134</v>
      </c>
      <c r="AI206" s="2">
        <v>-0.27839712782092502</v>
      </c>
      <c r="AJ206" s="2">
        <v>0.98915056800598</v>
      </c>
      <c r="AK206" s="2">
        <v>0.43842745167069502</v>
      </c>
      <c r="AL206" s="2">
        <v>0.968253074941683</v>
      </c>
      <c r="AM206" s="2">
        <v>-6.4045178798433397E-2</v>
      </c>
      <c r="AN206" s="2">
        <v>-7.6265486318867898E-2</v>
      </c>
      <c r="AO206" s="2">
        <v>4.29448909985055E-2</v>
      </c>
      <c r="AP206" s="2">
        <v>0.36575431056848601</v>
      </c>
      <c r="AQ206" s="2">
        <v>-9.1645623282101796E-2</v>
      </c>
      <c r="AR206" s="2">
        <v>-1.7208434198242399</v>
      </c>
      <c r="AS206" s="2">
        <v>-0.38643620552421898</v>
      </c>
      <c r="AT206" s="2">
        <v>-1.06025252399197</v>
      </c>
    </row>
    <row r="207" spans="1:46" x14ac:dyDescent="0.25">
      <c r="A207" s="2">
        <v>1998.25</v>
      </c>
      <c r="B207" s="2">
        <v>8994.7000000000007</v>
      </c>
      <c r="C207" s="2">
        <v>11430.986058688222</v>
      </c>
      <c r="D207" s="2">
        <v>78.686999999999998</v>
      </c>
      <c r="E207" s="2">
        <v>5857.8</v>
      </c>
      <c r="F207" s="2">
        <v>1694.8</v>
      </c>
      <c r="G207" s="2">
        <v>7340.9694721539918</v>
      </c>
      <c r="H207" s="2">
        <v>1367.1922144322657</v>
      </c>
      <c r="I207" s="2">
        <v>248.31957917466053</v>
      </c>
      <c r="J207" s="2">
        <v>78.361000000000004</v>
      </c>
      <c r="K207" s="2">
        <v>74.099999999999994</v>
      </c>
      <c r="L207" s="2">
        <v>105.75</v>
      </c>
      <c r="M207" s="2">
        <v>0.70850832820272325</v>
      </c>
      <c r="N207" s="2">
        <v>1.2275711563243805</v>
      </c>
      <c r="O207" s="2">
        <v>0.71958940352982392</v>
      </c>
      <c r="P207" s="2">
        <v>1.2186205314891629</v>
      </c>
      <c r="Q207" s="2">
        <v>2.1056182355657818</v>
      </c>
      <c r="R207" s="2">
        <v>275568</v>
      </c>
      <c r="S207" s="2">
        <v>204905</v>
      </c>
      <c r="T207" s="2">
        <v>7.25</v>
      </c>
      <c r="U207" s="2">
        <v>5.6</v>
      </c>
      <c r="V207" s="2">
        <v>4.9800000000000004</v>
      </c>
      <c r="W207" s="2">
        <v>1109.67</v>
      </c>
      <c r="X207" s="2">
        <v>1571.8863525390625</v>
      </c>
      <c r="Y207" s="2">
        <v>0.80007949399984402</v>
      </c>
      <c r="Z207" s="2">
        <v>5.1419101655483246E-2</v>
      </c>
      <c r="AA207" s="2">
        <v>1.4558195136487484E-2</v>
      </c>
      <c r="AB207" s="2">
        <v>-0.20707106522169799</v>
      </c>
      <c r="AC207" s="2">
        <v>0.585845408969492</v>
      </c>
      <c r="AD207" s="2">
        <v>9.2287562731363695E-2</v>
      </c>
      <c r="AE207" s="2">
        <v>-0.118066164428758</v>
      </c>
      <c r="AF207" s="2">
        <v>-6.2300000000000001E-2</v>
      </c>
      <c r="AG207" s="2">
        <v>-2.0991</v>
      </c>
      <c r="AH207" s="2">
        <v>0.2576</v>
      </c>
      <c r="AI207" s="2">
        <v>0.93246071398208696</v>
      </c>
      <c r="AJ207" s="2">
        <v>0.23718538192333899</v>
      </c>
      <c r="AK207" s="2">
        <v>0.35673254391208797</v>
      </c>
      <c r="AL207" s="2">
        <v>1.1784775621111301</v>
      </c>
      <c r="AM207" s="2">
        <v>4.02007403788242E-2</v>
      </c>
      <c r="AN207" s="2">
        <v>0.23762007722311099</v>
      </c>
      <c r="AO207" s="2">
        <v>-4.8798802219976898E-3</v>
      </c>
      <c r="AP207" s="2">
        <v>-0.194237282961952</v>
      </c>
      <c r="AQ207" s="2">
        <v>-0.29074493036460403</v>
      </c>
      <c r="AR207" s="2">
        <v>0.32490175809681199</v>
      </c>
      <c r="AS207" s="2">
        <v>-0.21448550359919699</v>
      </c>
      <c r="AT207" s="2">
        <v>-0.47386775351695698</v>
      </c>
    </row>
    <row r="208" spans="1:46" x14ac:dyDescent="0.25">
      <c r="A208" s="2">
        <v>1998.5</v>
      </c>
      <c r="B208" s="2">
        <v>9146.5</v>
      </c>
      <c r="C208" s="2">
        <v>11580.63331687368</v>
      </c>
      <c r="D208" s="2">
        <v>78.980999999999995</v>
      </c>
      <c r="E208" s="2">
        <v>5952.8</v>
      </c>
      <c r="F208" s="2">
        <v>1739.8</v>
      </c>
      <c r="G208" s="2">
        <v>7437.5601284405957</v>
      </c>
      <c r="H208" s="2">
        <v>1387.7964682683939</v>
      </c>
      <c r="I208" s="2">
        <v>248.696332028173</v>
      </c>
      <c r="J208" s="2">
        <v>79.575999999999993</v>
      </c>
      <c r="K208" s="2">
        <v>75.165999999999997</v>
      </c>
      <c r="L208" s="2">
        <v>105.866</v>
      </c>
      <c r="M208" s="2">
        <v>0.71793232543415608</v>
      </c>
      <c r="N208" s="2">
        <v>1.2463959295648313</v>
      </c>
      <c r="O208" s="2">
        <v>0.73043092560952227</v>
      </c>
      <c r="P208" s="2">
        <v>1.2405628486496816</v>
      </c>
      <c r="Q208" s="2">
        <v>2.061882801841604</v>
      </c>
      <c r="R208" s="2">
        <v>276416</v>
      </c>
      <c r="S208" s="2">
        <v>205483</v>
      </c>
      <c r="T208" s="2">
        <v>7.13</v>
      </c>
      <c r="U208" s="2">
        <v>5.2</v>
      </c>
      <c r="V208" s="2">
        <v>4.82</v>
      </c>
      <c r="W208" s="2">
        <v>1083.9466666666665</v>
      </c>
      <c r="X208" s="2">
        <v>1427.881103515625</v>
      </c>
      <c r="Y208" s="2">
        <v>1.2248483768677001</v>
      </c>
      <c r="Z208" s="2">
        <v>-6.8004444241523743E-2</v>
      </c>
      <c r="AA208" s="2">
        <v>-1.7893075942993164E-2</v>
      </c>
      <c r="AB208" s="2">
        <v>0.52237426469793902</v>
      </c>
      <c r="AC208" s="2">
        <v>1.58804816052062E-2</v>
      </c>
      <c r="AD208" s="2">
        <v>1.1685706022177099E-2</v>
      </c>
      <c r="AE208" s="2">
        <v>0.55999648151576198</v>
      </c>
      <c r="AF208" s="2">
        <v>0.87060000000000004</v>
      </c>
      <c r="AG208" s="2">
        <v>2.8639000000000001</v>
      </c>
      <c r="AH208" s="2">
        <v>0.16439999999999999</v>
      </c>
      <c r="AI208" s="2">
        <v>0.41976213489319703</v>
      </c>
      <c r="AJ208" s="2">
        <v>0.69411755491126204</v>
      </c>
      <c r="AK208" s="2">
        <v>0.68369303190987196</v>
      </c>
      <c r="AL208" s="2">
        <v>0.40726511925712899</v>
      </c>
      <c r="AM208" s="2">
        <v>-4.18145380565976E-2</v>
      </c>
      <c r="AN208" s="2">
        <v>3.4884579460662903E-2</v>
      </c>
      <c r="AO208" s="2">
        <v>2.7378070315150902E-4</v>
      </c>
      <c r="AP208" s="2">
        <v>0.16967583944803399</v>
      </c>
      <c r="AQ208" s="2">
        <v>-0.19589572736354299</v>
      </c>
      <c r="AR208" s="2">
        <v>-0.94367112334685099</v>
      </c>
      <c r="AS208" s="2">
        <v>-0.76896937376430896</v>
      </c>
      <c r="AT208" s="2">
        <v>-0.302977392018694</v>
      </c>
    </row>
    <row r="209" spans="1:46" x14ac:dyDescent="0.25">
      <c r="A209" s="2">
        <v>1998.75</v>
      </c>
      <c r="B209" s="2">
        <v>9325.7000000000007</v>
      </c>
      <c r="C209" s="2">
        <v>11770.712374413088</v>
      </c>
      <c r="D209" s="2">
        <v>79.227999999999994</v>
      </c>
      <c r="E209" s="2">
        <v>6055.5</v>
      </c>
      <c r="F209" s="2">
        <v>1794.4</v>
      </c>
      <c r="G209" s="2">
        <v>7546.7347956131607</v>
      </c>
      <c r="H209" s="2">
        <v>1427.6880265903999</v>
      </c>
      <c r="I209" s="2">
        <v>251.61891286785979</v>
      </c>
      <c r="J209" s="2">
        <v>81.194999999999993</v>
      </c>
      <c r="K209" s="2">
        <v>75.697000000000003</v>
      </c>
      <c r="L209" s="2">
        <v>107.264</v>
      </c>
      <c r="M209" s="2">
        <v>0.71809680527605724</v>
      </c>
      <c r="N209" s="2">
        <v>1.2528770494714447</v>
      </c>
      <c r="O209" s="2">
        <v>0.72594468872352447</v>
      </c>
      <c r="P209" s="2">
        <v>1.2308857008323204</v>
      </c>
      <c r="Q209" s="2">
        <v>2.0194580145585728</v>
      </c>
      <c r="R209" s="2">
        <v>277269</v>
      </c>
      <c r="S209" s="2">
        <v>206098</v>
      </c>
      <c r="T209" s="2">
        <v>7.25</v>
      </c>
      <c r="U209" s="2">
        <v>4.67</v>
      </c>
      <c r="V209" s="2">
        <v>4.25</v>
      </c>
      <c r="W209" s="2">
        <v>1122.3166666666666</v>
      </c>
      <c r="X209" s="2">
        <v>1608.5872802734375</v>
      </c>
      <c r="Y209" s="2">
        <v>0.23013581671789801</v>
      </c>
      <c r="Z209" s="2">
        <v>5.2095353603363037E-2</v>
      </c>
      <c r="AA209" s="2">
        <v>1.4308975078165531E-2</v>
      </c>
      <c r="AB209" s="2">
        <v>-1.4448613633512899</v>
      </c>
      <c r="AC209" s="2">
        <v>9.4498163764375601E-2</v>
      </c>
      <c r="AD209" s="2">
        <v>-6.3945540167880802E-2</v>
      </c>
      <c r="AE209" s="2">
        <v>0.37494479908350198</v>
      </c>
      <c r="AF209" s="2">
        <v>-0.4572</v>
      </c>
      <c r="AG209" s="2">
        <v>1.9505999999999999</v>
      </c>
      <c r="AH209" s="2">
        <v>-1.21E-2</v>
      </c>
      <c r="AI209" s="2">
        <v>-1.23559546111443</v>
      </c>
      <c r="AJ209" s="2">
        <v>0.27724260248792898</v>
      </c>
      <c r="AK209" s="2">
        <v>0.385434981646539</v>
      </c>
      <c r="AL209" s="2">
        <v>1.23781017839056</v>
      </c>
      <c r="AM209" s="2">
        <v>-0.47681629034081202</v>
      </c>
      <c r="AN209" s="2">
        <v>0.30814395504406</v>
      </c>
      <c r="AO209" s="2">
        <v>-0.101787975771072</v>
      </c>
      <c r="AP209" s="2">
        <v>-1.4321764566139299E-2</v>
      </c>
      <c r="AQ209" s="2">
        <v>5.5799907415727601E-2</v>
      </c>
      <c r="AR209" s="2">
        <v>7.5328580062846207E-2</v>
      </c>
      <c r="AS209" s="2">
        <v>-0.162733693031025</v>
      </c>
      <c r="AT209" s="2">
        <v>-0.60358976658116603</v>
      </c>
    </row>
    <row r="210" spans="1:46" x14ac:dyDescent="0.25">
      <c r="A210" s="2">
        <v>1999</v>
      </c>
      <c r="B210" s="2">
        <v>9447.1</v>
      </c>
      <c r="C210" s="2">
        <v>11864.638802371144</v>
      </c>
      <c r="D210" s="2">
        <v>79.623999999999995</v>
      </c>
      <c r="E210" s="2">
        <v>6129</v>
      </c>
      <c r="F210" s="2">
        <v>1850.6</v>
      </c>
      <c r="G210" s="2">
        <v>7618.680622024438</v>
      </c>
      <c r="H210" s="2">
        <v>1458.9850442702864</v>
      </c>
      <c r="I210" s="2">
        <v>251.54403036970317</v>
      </c>
      <c r="J210" s="2">
        <v>81.95</v>
      </c>
      <c r="K210" s="2">
        <v>76.522000000000006</v>
      </c>
      <c r="L210" s="2">
        <v>107.093</v>
      </c>
      <c r="M210" s="2">
        <v>0.72805371406124497</v>
      </c>
      <c r="N210" s="2">
        <v>1.2698074234983827</v>
      </c>
      <c r="O210" s="2">
        <v>0.73876813687430687</v>
      </c>
      <c r="P210" s="2">
        <v>1.254841516699333</v>
      </c>
      <c r="Q210" s="2">
        <v>1.9850162469996573</v>
      </c>
      <c r="R210" s="2">
        <v>277993</v>
      </c>
      <c r="S210" s="2">
        <v>206876</v>
      </c>
      <c r="T210" s="2">
        <v>7.4</v>
      </c>
      <c r="U210" s="2">
        <v>4.9800000000000004</v>
      </c>
      <c r="V210" s="2">
        <v>4.41</v>
      </c>
      <c r="W210" s="2">
        <v>1259.0033333333333</v>
      </c>
      <c r="X210" s="2">
        <v>1754.65380859375</v>
      </c>
      <c r="Y210" s="2">
        <v>0.44628407792687902</v>
      </c>
      <c r="Z210" s="2">
        <v>7.947038859128952E-2</v>
      </c>
      <c r="AA210" s="2">
        <v>2.5488054379820824E-2</v>
      </c>
      <c r="AB210" s="2">
        <v>1.4241696102088099</v>
      </c>
      <c r="AC210" s="2">
        <v>0.59314920814297301</v>
      </c>
      <c r="AD210" s="2">
        <v>-5.6689489803799301E-2</v>
      </c>
      <c r="AE210" s="2">
        <v>0.34437448802210402</v>
      </c>
      <c r="AF210" s="2">
        <v>0.58169999999999999</v>
      </c>
      <c r="AG210" s="2">
        <v>-1.4303999999999999</v>
      </c>
      <c r="AH210" s="2">
        <v>2.52E-2</v>
      </c>
      <c r="AI210" s="2">
        <v>1.31758617739404</v>
      </c>
      <c r="AJ210" s="2">
        <v>0.56699834988267706</v>
      </c>
      <c r="AK210" s="2">
        <v>0.45226944233759098</v>
      </c>
      <c r="AL210" s="2">
        <v>0.61700928977271496</v>
      </c>
      <c r="AM210" s="2">
        <v>0.136283440459946</v>
      </c>
      <c r="AN210" s="2">
        <v>0.33117610411829801</v>
      </c>
      <c r="AO210" s="2">
        <v>0.383254679092491</v>
      </c>
      <c r="AP210" s="2">
        <v>0.26522812343448099</v>
      </c>
      <c r="AQ210" s="2">
        <v>-0.64720682770728499</v>
      </c>
      <c r="AR210" s="2">
        <v>-0.29280888636005298</v>
      </c>
      <c r="AS210" s="2">
        <v>-1.07435277018855</v>
      </c>
      <c r="AT210" s="2">
        <v>-4.7068783010060398E-3</v>
      </c>
    </row>
    <row r="211" spans="1:46" x14ac:dyDescent="0.25">
      <c r="A211" s="2">
        <v>1999.25</v>
      </c>
      <c r="B211" s="2">
        <v>9557</v>
      </c>
      <c r="C211" s="2">
        <v>11962.548972975679</v>
      </c>
      <c r="D211" s="2">
        <v>79.891000000000005</v>
      </c>
      <c r="E211" s="2">
        <v>6253</v>
      </c>
      <c r="F211" s="2">
        <v>1845.8</v>
      </c>
      <c r="G211" s="2">
        <v>7731.589099361986</v>
      </c>
      <c r="H211" s="2">
        <v>1497.2965786208119</v>
      </c>
      <c r="I211" s="2">
        <v>253.66622208622118</v>
      </c>
      <c r="J211" s="2">
        <v>82.716999999999999</v>
      </c>
      <c r="K211" s="2">
        <v>76.673000000000002</v>
      </c>
      <c r="L211" s="2">
        <v>107.883</v>
      </c>
      <c r="M211" s="2">
        <v>0.72402346280359131</v>
      </c>
      <c r="N211" s="2">
        <v>1.2723979525440852</v>
      </c>
      <c r="O211" s="2">
        <v>0.73593916080265009</v>
      </c>
      <c r="P211" s="2">
        <v>1.2532894073284704</v>
      </c>
      <c r="Q211" s="2">
        <v>1.9396291476063932</v>
      </c>
      <c r="R211" s="2">
        <v>278723</v>
      </c>
      <c r="S211" s="2">
        <v>207432</v>
      </c>
      <c r="T211" s="2">
        <v>7.74</v>
      </c>
      <c r="U211" s="2">
        <v>5.54</v>
      </c>
      <c r="V211" s="2">
        <v>4.45</v>
      </c>
      <c r="W211" s="2">
        <v>1329.7933333333333</v>
      </c>
      <c r="X211" s="2">
        <v>1865.404052734375</v>
      </c>
      <c r="Y211" s="2">
        <v>-0.112658719533236</v>
      </c>
      <c r="Z211" s="2">
        <v>1.6089964658021927E-2</v>
      </c>
      <c r="AA211" s="2">
        <v>-1.5338863013312221E-3</v>
      </c>
      <c r="AB211" s="2">
        <v>-0.35263199171179999</v>
      </c>
      <c r="AC211" s="2">
        <v>1.18900753075935</v>
      </c>
      <c r="AD211" s="2">
        <v>0.48005776853919802</v>
      </c>
      <c r="AE211" s="2">
        <v>-1.3640664753232301</v>
      </c>
      <c r="AF211" s="2">
        <v>-0.93120000000000003</v>
      </c>
      <c r="AG211" s="2">
        <v>-0.4592</v>
      </c>
      <c r="AH211" s="2">
        <v>0.59450000000000003</v>
      </c>
      <c r="AI211" s="2">
        <v>0.87976068817731601</v>
      </c>
      <c r="AJ211" s="2">
        <v>-0.108390097670703</v>
      </c>
      <c r="AK211" s="2">
        <v>-9.2214738905362706E-2</v>
      </c>
      <c r="AL211" s="2">
        <v>1.3471567275460301</v>
      </c>
      <c r="AM211" s="2">
        <v>0.29395413177971502</v>
      </c>
      <c r="AN211" s="2">
        <v>0.61623251788366495</v>
      </c>
      <c r="AO211" s="2">
        <v>-0.14362497875702801</v>
      </c>
      <c r="AP211" s="2">
        <v>0.32510668635113998</v>
      </c>
      <c r="AQ211" s="2">
        <v>0.29544368394995701</v>
      </c>
      <c r="AR211" s="2">
        <v>0.992199810894555</v>
      </c>
      <c r="AS211" s="2">
        <v>-0.47046915755220298</v>
      </c>
      <c r="AT211" s="2">
        <v>-0.61760918208882898</v>
      </c>
    </row>
    <row r="212" spans="1:46" x14ac:dyDescent="0.25">
      <c r="A212" s="2">
        <v>1999.5</v>
      </c>
      <c r="B212" s="2">
        <v>9712.2999999999993</v>
      </c>
      <c r="C212" s="2">
        <v>12113.120478922421</v>
      </c>
      <c r="D212" s="2">
        <v>80.180000000000007</v>
      </c>
      <c r="E212" s="2">
        <v>6357.2</v>
      </c>
      <c r="F212" s="2">
        <v>1890.9</v>
      </c>
      <c r="G212" s="2">
        <v>7819.2418390691491</v>
      </c>
      <c r="H212" s="2">
        <v>1539.3172185946137</v>
      </c>
      <c r="I212" s="2">
        <v>254.46258872577914</v>
      </c>
      <c r="J212" s="2">
        <v>83.935000000000002</v>
      </c>
      <c r="K212" s="2">
        <v>77.314999999999998</v>
      </c>
      <c r="L212" s="2">
        <v>108.562</v>
      </c>
      <c r="M212" s="2">
        <v>0.7269020293287789</v>
      </c>
      <c r="N212" s="2">
        <v>1.283692115011404</v>
      </c>
      <c r="O212" s="2">
        <v>0.73789062646732739</v>
      </c>
      <c r="P212" s="2">
        <v>1.2585527807126811</v>
      </c>
      <c r="Q212" s="2">
        <v>1.8956704928763035</v>
      </c>
      <c r="R212" s="2">
        <v>279600</v>
      </c>
      <c r="S212" s="2">
        <v>208044</v>
      </c>
      <c r="T212" s="2">
        <v>8.1</v>
      </c>
      <c r="U212" s="2">
        <v>5.88</v>
      </c>
      <c r="V212" s="2">
        <v>4.6500000000000004</v>
      </c>
      <c r="W212" s="2">
        <v>1342.2166666666667</v>
      </c>
      <c r="X212" s="2">
        <v>1828.7725830078125</v>
      </c>
      <c r="Y212" s="2">
        <v>1.1223739312958201</v>
      </c>
      <c r="Z212" s="2">
        <v>3.1498617026954889E-3</v>
      </c>
      <c r="AA212" s="2">
        <v>2.8407151694409549E-4</v>
      </c>
      <c r="AB212" s="2">
        <v>-7.6310997284896501E-2</v>
      </c>
      <c r="AC212" s="2">
        <v>-0.77295218659257003</v>
      </c>
      <c r="AD212" s="2">
        <v>-0.75090384976588498</v>
      </c>
      <c r="AE212" s="2">
        <v>-0.60078135888009898</v>
      </c>
      <c r="AF212" s="2">
        <v>0.14979999999999999</v>
      </c>
      <c r="AG212" s="2">
        <v>1.4063000000000001</v>
      </c>
      <c r="AH212" s="2">
        <v>0.16550000000000001</v>
      </c>
      <c r="AI212" s="2">
        <v>0.51249587171307898</v>
      </c>
      <c r="AJ212" s="2">
        <v>0.131831332731771</v>
      </c>
      <c r="AK212" s="2">
        <v>0.182382423263107</v>
      </c>
      <c r="AL212" s="2">
        <v>1.0278903690022001</v>
      </c>
      <c r="AM212" s="2">
        <v>0.14731123061972101</v>
      </c>
      <c r="AN212" s="2">
        <v>0.66937182264017903</v>
      </c>
      <c r="AO212" s="2">
        <v>0.17857519963358501</v>
      </c>
      <c r="AP212" s="2">
        <v>-9.3607498695866306E-2</v>
      </c>
      <c r="AQ212" s="2">
        <v>-0.34083108655025901</v>
      </c>
      <c r="AR212" s="2">
        <v>0.23407600367505199</v>
      </c>
      <c r="AS212" s="2">
        <v>-6.0045928923639497E-2</v>
      </c>
      <c r="AT212" s="2">
        <v>-0.600877914019743</v>
      </c>
    </row>
    <row r="213" spans="1:46" x14ac:dyDescent="0.25">
      <c r="A213" s="2">
        <v>1999.75</v>
      </c>
      <c r="B213" s="2">
        <v>9926.1</v>
      </c>
      <c r="C213" s="2">
        <v>12323.363998659168</v>
      </c>
      <c r="D213" s="2">
        <v>80.546999999999997</v>
      </c>
      <c r="E213" s="2">
        <v>6488.9</v>
      </c>
      <c r="F213" s="2">
        <v>1949.4</v>
      </c>
      <c r="G213" s="2">
        <v>7934.1925070918514</v>
      </c>
      <c r="H213" s="2">
        <v>1544.8670974618612</v>
      </c>
      <c r="I213" s="2">
        <v>255.84300570327019</v>
      </c>
      <c r="J213" s="2">
        <v>85.638999999999996</v>
      </c>
      <c r="K213" s="2">
        <v>78.534000000000006</v>
      </c>
      <c r="L213" s="2">
        <v>109.04600000000001</v>
      </c>
      <c r="M213" s="2">
        <v>0.73825072096280309</v>
      </c>
      <c r="N213" s="2">
        <v>1.3010696022906683</v>
      </c>
      <c r="O213" s="2">
        <v>0.75367294906558235</v>
      </c>
      <c r="P213" s="2">
        <v>1.2859379896266074</v>
      </c>
      <c r="Q213" s="2">
        <v>1.8610677797899451</v>
      </c>
      <c r="R213" s="2">
        <v>280463</v>
      </c>
      <c r="S213" s="2">
        <v>208660</v>
      </c>
      <c r="T213" s="2">
        <v>8.24</v>
      </c>
      <c r="U213" s="2">
        <v>6.14</v>
      </c>
      <c r="V213" s="2">
        <v>5.04</v>
      </c>
      <c r="W213" s="2">
        <v>1373.2300000000002</v>
      </c>
      <c r="X213" s="2">
        <v>2011.287841796875</v>
      </c>
      <c r="Y213" s="2">
        <v>1.2891516778594201</v>
      </c>
      <c r="Z213" s="2">
        <v>-6.6516832448542118E-3</v>
      </c>
      <c r="AA213" s="2">
        <v>2.0524326246231794E-3</v>
      </c>
      <c r="AB213" s="2">
        <v>1.0192658647297701</v>
      </c>
      <c r="AC213" s="2">
        <v>0.784784319815094</v>
      </c>
      <c r="AD213" s="2">
        <v>-0.32551133537069699</v>
      </c>
      <c r="AE213" s="2">
        <v>1.1404115970978099</v>
      </c>
      <c r="AF213" s="2">
        <v>0.91859999999999997</v>
      </c>
      <c r="AG213" s="2">
        <v>0.64610000000000001</v>
      </c>
      <c r="AH213" s="2">
        <v>0.43530000000000002</v>
      </c>
      <c r="AI213" s="2">
        <v>0.250010803480333</v>
      </c>
      <c r="AJ213" s="2">
        <v>0.35970672817799498</v>
      </c>
      <c r="AK213" s="2">
        <v>0.79439933625884296</v>
      </c>
      <c r="AL213" s="2">
        <v>0.46696899081849003</v>
      </c>
      <c r="AM213" s="2">
        <v>0.48556460686127201</v>
      </c>
      <c r="AN213" s="2">
        <v>0.82732309729107101</v>
      </c>
      <c r="AO213" s="2">
        <v>5.3941526571320099E-2</v>
      </c>
      <c r="AP213" s="2">
        <v>0.19410802587480799</v>
      </c>
      <c r="AQ213" s="2">
        <v>0.34673883077378798</v>
      </c>
      <c r="AR213" s="2">
        <v>1.89396833475787</v>
      </c>
      <c r="AS213" s="2">
        <v>-0.105365129647419</v>
      </c>
      <c r="AT213" s="2">
        <v>-0.284465822789783</v>
      </c>
    </row>
    <row r="214" spans="1:46" x14ac:dyDescent="0.25">
      <c r="A214" s="2">
        <v>2000</v>
      </c>
      <c r="B214" s="2">
        <v>10031</v>
      </c>
      <c r="C214" s="2">
        <v>12359.079876298314</v>
      </c>
      <c r="D214" s="2">
        <v>81.162999999999997</v>
      </c>
      <c r="E214" s="2">
        <v>6642.7</v>
      </c>
      <c r="F214" s="2">
        <v>1945.9</v>
      </c>
      <c r="G214" s="2">
        <v>8054.7842219500662</v>
      </c>
      <c r="H214" s="2">
        <v>1599.8893193137799</v>
      </c>
      <c r="I214" s="2">
        <v>257.45980636888055</v>
      </c>
      <c r="J214" s="2">
        <v>85.766000000000005</v>
      </c>
      <c r="K214" s="2">
        <v>78.323999999999998</v>
      </c>
      <c r="L214" s="2">
        <v>109.502</v>
      </c>
      <c r="M214" s="2">
        <v>0.74240970710533649</v>
      </c>
      <c r="N214" s="2">
        <v>1.3128540166368208</v>
      </c>
      <c r="O214" s="2">
        <v>0.75420457785015893</v>
      </c>
      <c r="P214" s="2">
        <v>1.2855897199367106</v>
      </c>
      <c r="Q214" s="2">
        <v>1.8284380417062684</v>
      </c>
      <c r="R214" s="2">
        <v>281192</v>
      </c>
      <c r="S214" s="2">
        <v>211586</v>
      </c>
      <c r="T214" s="2">
        <v>8.33</v>
      </c>
      <c r="U214" s="2">
        <v>6.48</v>
      </c>
      <c r="V214" s="2">
        <v>5.52</v>
      </c>
      <c r="W214" s="2">
        <v>1418.89</v>
      </c>
      <c r="X214" s="2">
        <v>2129.2470703125</v>
      </c>
      <c r="Y214" s="2">
        <v>-0.70163640015586404</v>
      </c>
      <c r="Z214" s="2">
        <v>1.0292538208886981E-3</v>
      </c>
      <c r="AA214" s="2">
        <v>-1.3491376012098044E-4</v>
      </c>
      <c r="AB214" s="2">
        <v>1.5886741721514599</v>
      </c>
      <c r="AC214" s="2">
        <v>-1.7577222084064701</v>
      </c>
      <c r="AD214" s="2">
        <v>0.74820225992362499</v>
      </c>
      <c r="AE214" s="2">
        <v>-1.39149485575466</v>
      </c>
      <c r="AF214" s="2">
        <v>-1.2869999999999999</v>
      </c>
      <c r="AG214" s="2">
        <v>1.5266999999999999</v>
      </c>
      <c r="AH214" s="2">
        <v>9.1499999999999998E-2</v>
      </c>
      <c r="AI214" s="2">
        <v>0.36854290936627299</v>
      </c>
      <c r="AJ214" s="2">
        <v>0.80509120362215403</v>
      </c>
      <c r="AK214" s="2">
        <v>-0.71161565770511104</v>
      </c>
      <c r="AL214" s="2">
        <v>1.4907796519368499</v>
      </c>
      <c r="AM214" s="2">
        <v>0.171595438550143</v>
      </c>
      <c r="AN214" s="2">
        <v>0.32357956518807901</v>
      </c>
      <c r="AO214" s="2">
        <v>0.22405067993517799</v>
      </c>
      <c r="AP214" s="2">
        <v>0.152012244662734</v>
      </c>
      <c r="AQ214" s="2">
        <v>-0.26443414354105799</v>
      </c>
      <c r="AR214" s="2">
        <v>0.46877769941373498</v>
      </c>
      <c r="AS214" s="2">
        <v>-0.29823329773880503</v>
      </c>
      <c r="AT214" s="2">
        <v>-0.716442015374821</v>
      </c>
    </row>
    <row r="215" spans="1:46" x14ac:dyDescent="0.25">
      <c r="A215" s="2">
        <v>2000.25</v>
      </c>
      <c r="B215" s="2">
        <v>10278.299999999999</v>
      </c>
      <c r="C215" s="2">
        <v>12592.406552074781</v>
      </c>
      <c r="D215" s="2">
        <v>81.623000000000005</v>
      </c>
      <c r="E215" s="2">
        <v>6737.3</v>
      </c>
      <c r="F215" s="2">
        <v>2071.8000000000002</v>
      </c>
      <c r="G215" s="2">
        <v>8132.2196337827563</v>
      </c>
      <c r="H215" s="2">
        <v>1650.5079505300353</v>
      </c>
      <c r="I215" s="2">
        <v>258.12055600475088</v>
      </c>
      <c r="J215" s="2">
        <v>87.65</v>
      </c>
      <c r="K215" s="2">
        <v>80.034999999999997</v>
      </c>
      <c r="L215" s="2">
        <v>109.515</v>
      </c>
      <c r="M215" s="2">
        <v>0.7517973597176365</v>
      </c>
      <c r="N215" s="2">
        <v>1.3284232128602749</v>
      </c>
      <c r="O215" s="2">
        <v>0.76435367481659233</v>
      </c>
      <c r="P215" s="2">
        <v>1.309638712460756</v>
      </c>
      <c r="Q215" s="2">
        <v>1.8016116243751026</v>
      </c>
      <c r="R215" s="2">
        <v>281885</v>
      </c>
      <c r="S215" s="2">
        <v>212242</v>
      </c>
      <c r="T215" s="2">
        <v>8.59</v>
      </c>
      <c r="U215" s="2">
        <v>6.18</v>
      </c>
      <c r="V215" s="2">
        <v>5.71</v>
      </c>
      <c r="W215" s="2">
        <v>1447.2666666666667</v>
      </c>
      <c r="X215" s="2">
        <v>2075.322265625</v>
      </c>
      <c r="Y215" s="2">
        <v>1.55235430593451</v>
      </c>
      <c r="Z215" s="2">
        <v>-3.4132441505789757E-3</v>
      </c>
      <c r="AA215" s="2">
        <v>1.1938561219722033E-3</v>
      </c>
      <c r="AB215" s="2">
        <v>0.68179879893730699</v>
      </c>
      <c r="AC215" s="2">
        <v>1.3323852617198599</v>
      </c>
      <c r="AD215" s="2">
        <v>-1.26078152850654</v>
      </c>
      <c r="AE215" s="2">
        <v>2.0233891434169098</v>
      </c>
      <c r="AF215" s="2">
        <v>2.1076000000000001</v>
      </c>
      <c r="AG215" s="2">
        <v>3.0364</v>
      </c>
      <c r="AH215" s="2">
        <v>-0.19800000000000001</v>
      </c>
      <c r="AI215" s="2">
        <v>1.08260182498082</v>
      </c>
      <c r="AJ215" s="2">
        <v>-0.40266615192240601</v>
      </c>
      <c r="AK215" s="2">
        <v>0.746787735720571</v>
      </c>
      <c r="AL215" s="2">
        <v>0.948419317826242</v>
      </c>
      <c r="AM215" s="2">
        <v>0.61591969743731301</v>
      </c>
      <c r="AN215" s="2">
        <v>0.29823690708698503</v>
      </c>
      <c r="AO215" s="2">
        <v>0.31718954324781501</v>
      </c>
      <c r="AP215" s="2">
        <v>-0.124218558198107</v>
      </c>
      <c r="AQ215" s="2">
        <v>0.65966015460899197</v>
      </c>
      <c r="AR215" s="2">
        <v>-0.62943564489052395</v>
      </c>
      <c r="AS215" s="2">
        <v>-0.69484857245982301</v>
      </c>
      <c r="AT215" s="2">
        <v>-0.53215999703478001</v>
      </c>
    </row>
    <row r="216" spans="1:46" x14ac:dyDescent="0.25">
      <c r="A216" s="2">
        <v>2000.5</v>
      </c>
      <c r="B216" s="2">
        <v>10357.4</v>
      </c>
      <c r="C216" s="2">
        <v>12607.60541435388</v>
      </c>
      <c r="D216" s="2">
        <v>82.152000000000001</v>
      </c>
      <c r="E216" s="2">
        <v>6845.1</v>
      </c>
      <c r="F216" s="2">
        <v>2055.8000000000002</v>
      </c>
      <c r="G216" s="2">
        <v>8211.1968139342389</v>
      </c>
      <c r="H216" s="2">
        <v>1667.969050947072</v>
      </c>
      <c r="I216" s="2">
        <v>257.59890785100248</v>
      </c>
      <c r="J216" s="2">
        <v>87.682000000000002</v>
      </c>
      <c r="K216" s="2">
        <v>80.061000000000007</v>
      </c>
      <c r="L216" s="2">
        <v>109.51900000000001</v>
      </c>
      <c r="M216" s="2">
        <v>0.74853437165615011</v>
      </c>
      <c r="N216" s="2">
        <v>1.3322795475356819</v>
      </c>
      <c r="O216" s="2">
        <v>0.76658555241536008</v>
      </c>
      <c r="P216" s="2">
        <v>1.3266434599971315</v>
      </c>
      <c r="Q216" s="2">
        <v>1.7705843335450309</v>
      </c>
      <c r="R216" s="2">
        <v>282657</v>
      </c>
      <c r="S216" s="2">
        <v>212919</v>
      </c>
      <c r="T216" s="2">
        <v>8.32</v>
      </c>
      <c r="U216" s="2">
        <v>5.89</v>
      </c>
      <c r="V216" s="2">
        <v>6.02</v>
      </c>
      <c r="W216" s="2">
        <v>1475.5033333333333</v>
      </c>
      <c r="X216" s="2">
        <v>2140.005615234375</v>
      </c>
      <c r="Y216" s="2">
        <v>0.22179433838691801</v>
      </c>
      <c r="Z216" s="2">
        <v>1.4752772636711597E-2</v>
      </c>
      <c r="AA216" s="2">
        <v>1.1910665307368618E-5</v>
      </c>
      <c r="AB216" s="2">
        <v>-6.3168672496161898E-2</v>
      </c>
      <c r="AC216" s="2">
        <v>1.1484211599602101</v>
      </c>
      <c r="AD216" s="2">
        <v>-8.0265521451570399E-2</v>
      </c>
      <c r="AE216" s="2">
        <v>-0.72182182062844502</v>
      </c>
      <c r="AF216" s="2">
        <v>-1.1197999999999999</v>
      </c>
      <c r="AG216" s="2">
        <v>-2.3302999999999998</v>
      </c>
      <c r="AH216" s="2">
        <v>6.6600000000000006E-2</v>
      </c>
      <c r="AI216" s="2">
        <v>0.45399692140373499</v>
      </c>
      <c r="AJ216" s="2">
        <v>0.990367337703697</v>
      </c>
      <c r="AK216" s="2">
        <v>-0.58807984250905798</v>
      </c>
      <c r="AL216" s="2">
        <v>-4.5780136741470502E-2</v>
      </c>
      <c r="AM216" s="2">
        <v>0.493161288796646</v>
      </c>
      <c r="AN216" s="2">
        <v>0.227074081962715</v>
      </c>
      <c r="AO216" s="2">
        <v>-8.5843069515384701E-2</v>
      </c>
      <c r="AP216" s="2">
        <v>-1.5496050141352E-2</v>
      </c>
      <c r="AQ216" s="2">
        <v>3.2647109254617203E-2</v>
      </c>
      <c r="AR216" s="2">
        <v>0.44849616523531299</v>
      </c>
      <c r="AS216" s="2">
        <v>-1.38479794301484</v>
      </c>
      <c r="AT216" s="2">
        <v>4.8072936485188096E-3</v>
      </c>
    </row>
    <row r="217" spans="1:46" x14ac:dyDescent="0.25">
      <c r="A217" s="2">
        <v>2000.75</v>
      </c>
      <c r="B217" s="2">
        <v>10472.299999999999</v>
      </c>
      <c r="C217" s="2">
        <v>12679.403823568582</v>
      </c>
      <c r="D217" s="2">
        <v>82.593000000000004</v>
      </c>
      <c r="E217" s="2">
        <v>6944.4</v>
      </c>
      <c r="F217" s="2">
        <v>2061.6</v>
      </c>
      <c r="G217" s="2">
        <v>8284.4020280345958</v>
      </c>
      <c r="H217" s="2">
        <v>1672.2798212595478</v>
      </c>
      <c r="I217" s="2">
        <v>256.54230255178453</v>
      </c>
      <c r="J217" s="2">
        <v>88.16</v>
      </c>
      <c r="K217" s="2">
        <v>80.956999999999994</v>
      </c>
      <c r="L217" s="2">
        <v>108.89700000000001</v>
      </c>
      <c r="M217" s="2">
        <v>0.75166531360955346</v>
      </c>
      <c r="N217" s="2">
        <v>1.3428772389038688</v>
      </c>
      <c r="O217" s="2">
        <v>0.77778355325412163</v>
      </c>
      <c r="P217" s="2">
        <v>1.365442380636944</v>
      </c>
      <c r="Q217" s="2">
        <v>1.7344434439895378</v>
      </c>
      <c r="R217" s="2">
        <v>283450</v>
      </c>
      <c r="S217" s="2">
        <v>213560</v>
      </c>
      <c r="T217" s="2">
        <v>8.2100000000000009</v>
      </c>
      <c r="U217" s="2">
        <v>5.57</v>
      </c>
      <c r="V217" s="2">
        <v>6.02</v>
      </c>
      <c r="W217" s="2">
        <v>1366.3700000000001</v>
      </c>
      <c r="X217" s="2">
        <v>1941.4652099609375</v>
      </c>
      <c r="Y217" s="2">
        <v>1.0475825390104401</v>
      </c>
      <c r="Z217" s="2">
        <v>-8.4087386727333069E-2</v>
      </c>
      <c r="AA217" s="2">
        <v>-2.4524100124835968E-2</v>
      </c>
      <c r="AB217" s="2">
        <v>0.61111845331869297</v>
      </c>
      <c r="AC217" s="2">
        <v>0.56778532309137297</v>
      </c>
      <c r="AD217" s="2">
        <v>-0.67808861390980602</v>
      </c>
      <c r="AE217" s="2">
        <v>0.49435795565806501</v>
      </c>
      <c r="AF217" s="2">
        <v>0.72489999999999999</v>
      </c>
      <c r="AG217" s="2">
        <v>0.73029999999999995</v>
      </c>
      <c r="AH217" s="2">
        <v>-3.0099999999999998E-2</v>
      </c>
      <c r="AI217" s="2">
        <v>0.47675056312386399</v>
      </c>
      <c r="AJ217" s="2">
        <v>-8.9309031105622397E-2</v>
      </c>
      <c r="AK217" s="2">
        <v>0.239160710324859</v>
      </c>
      <c r="AL217" s="2">
        <v>2.19873422560833E-2</v>
      </c>
      <c r="AM217" s="2">
        <v>0.56868387897879902</v>
      </c>
      <c r="AN217" s="2">
        <v>6.9646099373235501E-2</v>
      </c>
      <c r="AO217" s="2">
        <v>0.15313883843161999</v>
      </c>
      <c r="AP217" s="2">
        <v>6.0687234636636403E-2</v>
      </c>
      <c r="AQ217" s="2">
        <v>0.842356563430539</v>
      </c>
      <c r="AR217" s="2">
        <v>-0.31817615476246203</v>
      </c>
      <c r="AS217" s="2">
        <v>-1.00465186365513</v>
      </c>
      <c r="AT217" s="2">
        <v>-0.23073648119409901</v>
      </c>
    </row>
    <row r="218" spans="1:46" x14ac:dyDescent="0.25">
      <c r="A218" s="2">
        <v>2001</v>
      </c>
      <c r="B218" s="2">
        <v>10508.1</v>
      </c>
      <c r="C218" s="2">
        <v>12643.300606410627</v>
      </c>
      <c r="D218" s="2">
        <v>83.111999999999995</v>
      </c>
      <c r="E218" s="2">
        <v>7020.4</v>
      </c>
      <c r="F218" s="2">
        <v>1967.5</v>
      </c>
      <c r="G218" s="2">
        <v>8319.3894721873294</v>
      </c>
      <c r="H218" s="2">
        <v>1658.8777302707897</v>
      </c>
      <c r="I218" s="2">
        <v>256.48388290486878</v>
      </c>
      <c r="J218" s="2">
        <v>87.73</v>
      </c>
      <c r="K218" s="2">
        <v>80.697000000000003</v>
      </c>
      <c r="L218" s="2">
        <v>108.71599999999999</v>
      </c>
      <c r="M218" s="2">
        <v>0.74834745350956289</v>
      </c>
      <c r="N218" s="2">
        <v>1.3513550279466939</v>
      </c>
      <c r="O218" s="2">
        <v>0.78077441214721011</v>
      </c>
      <c r="P218" s="2">
        <v>1.3986036070773336</v>
      </c>
      <c r="Q218" s="2">
        <v>1.6860191013577044</v>
      </c>
      <c r="R218" s="2">
        <v>284136</v>
      </c>
      <c r="S218" s="2">
        <v>214101</v>
      </c>
      <c r="T218" s="2">
        <v>7.88</v>
      </c>
      <c r="U218" s="2">
        <v>5.05</v>
      </c>
      <c r="V218" s="2">
        <v>4.82</v>
      </c>
      <c r="W218" s="2">
        <v>1275.7433333333333</v>
      </c>
      <c r="X218" s="2">
        <v>1794.5062255859375</v>
      </c>
      <c r="Y218" s="2">
        <v>-9.47922441838841E-2</v>
      </c>
      <c r="Z218" s="2">
        <v>-4.2784996330738068E-2</v>
      </c>
      <c r="AA218" s="2">
        <v>-1.4002459123730659E-2</v>
      </c>
      <c r="AB218" s="2">
        <v>-1.4199383234798499</v>
      </c>
      <c r="AC218" s="2">
        <v>0.113432349524226</v>
      </c>
      <c r="AD218" s="2">
        <v>0.78671444782215705</v>
      </c>
      <c r="AE218" s="2">
        <v>-1.2496237969888699</v>
      </c>
      <c r="AF218" s="2">
        <v>-1.0841000000000001</v>
      </c>
      <c r="AG218" s="2">
        <v>-3.3569</v>
      </c>
      <c r="AH218" s="2">
        <v>0.48930000000000001</v>
      </c>
      <c r="AI218" s="2">
        <v>-3.3423177924611698E-2</v>
      </c>
      <c r="AJ218" s="2">
        <v>1.1307153785922299</v>
      </c>
      <c r="AK218" s="2">
        <v>-0.64018247115743099</v>
      </c>
      <c r="AL218" s="2">
        <v>-0.41052240704366499</v>
      </c>
      <c r="AM218" s="2">
        <v>0.24687651924107601</v>
      </c>
      <c r="AN218" s="2">
        <v>0.12761625548230501</v>
      </c>
      <c r="AO218" s="2">
        <v>0.12353743290279399</v>
      </c>
      <c r="AP218" s="2">
        <v>0.17445866068056101</v>
      </c>
      <c r="AQ218" s="2">
        <v>0.19296074673433999</v>
      </c>
      <c r="AR218" s="2">
        <v>-0.129501082020122</v>
      </c>
      <c r="AS218" s="2">
        <v>-1.52395822111922</v>
      </c>
      <c r="AT218" s="2">
        <v>-0.32370153230529702</v>
      </c>
    </row>
    <row r="219" spans="1:46" x14ac:dyDescent="0.25">
      <c r="A219" s="2">
        <v>2001.25</v>
      </c>
      <c r="B219" s="2">
        <v>10638.4</v>
      </c>
      <c r="C219" s="2">
        <v>12710.3071721287</v>
      </c>
      <c r="D219" s="2">
        <v>83.698999999999998</v>
      </c>
      <c r="E219" s="2">
        <v>7072.1</v>
      </c>
      <c r="F219" s="2">
        <v>1967</v>
      </c>
      <c r="G219" s="2">
        <v>8340.7241419978764</v>
      </c>
      <c r="H219" s="2">
        <v>1621.2096106048052</v>
      </c>
      <c r="I219" s="2">
        <v>254.72837736052642</v>
      </c>
      <c r="J219" s="2">
        <v>88.186000000000007</v>
      </c>
      <c r="K219" s="2">
        <v>81.962999999999994</v>
      </c>
      <c r="L219" s="2">
        <v>107.593</v>
      </c>
      <c r="M219" s="2">
        <v>0.75234028906414474</v>
      </c>
      <c r="N219" s="2">
        <v>1.366878968797695</v>
      </c>
      <c r="O219" s="2">
        <v>0.7900812270217803</v>
      </c>
      <c r="P219" s="2">
        <v>1.4199501905130099</v>
      </c>
      <c r="Q219" s="2">
        <v>1.6516537169734415</v>
      </c>
      <c r="R219" s="2">
        <v>284818</v>
      </c>
      <c r="S219" s="2">
        <v>214736</v>
      </c>
      <c r="T219" s="2">
        <v>8.0399999999999991</v>
      </c>
      <c r="U219" s="2">
        <v>5.27</v>
      </c>
      <c r="V219" s="2">
        <v>3.66</v>
      </c>
      <c r="W219" s="2">
        <v>1232.9733333333334</v>
      </c>
      <c r="X219" s="2">
        <v>1790.3836669921875</v>
      </c>
      <c r="Y219" s="2">
        <v>0.92714242243266198</v>
      </c>
      <c r="Z219" s="2">
        <v>-2.4126933887600899E-2</v>
      </c>
      <c r="AA219" s="2">
        <v>-4.8906644806265831E-3</v>
      </c>
      <c r="AB219" s="2">
        <v>1.1472001878853</v>
      </c>
      <c r="AC219" s="2">
        <v>-1.33986227772033</v>
      </c>
      <c r="AD219" s="2">
        <v>-0.26317006396062498</v>
      </c>
      <c r="AE219" s="2">
        <v>0.68487843281565297</v>
      </c>
      <c r="AF219" s="2">
        <v>1.9827999999999999</v>
      </c>
      <c r="AG219" s="2">
        <v>-0.22589999999999999</v>
      </c>
      <c r="AH219" s="2">
        <v>9.5899999999999999E-2</v>
      </c>
      <c r="AI219" s="2">
        <v>-0.12645117461908301</v>
      </c>
      <c r="AJ219" s="2">
        <v>0.86885174009970501</v>
      </c>
      <c r="AK219" s="2">
        <v>0.55661710911925999</v>
      </c>
      <c r="AL219" s="2">
        <v>-0.72711091324057398</v>
      </c>
      <c r="AM219" s="2">
        <v>9.6696598145698791E-3</v>
      </c>
      <c r="AN219" s="2">
        <v>0.269005672787336</v>
      </c>
      <c r="AO219" s="2">
        <v>-0.15520983024840701</v>
      </c>
      <c r="AP219" s="2">
        <v>0.218263694720889</v>
      </c>
      <c r="AQ219" s="2">
        <v>-0.64565658202240195</v>
      </c>
      <c r="AR219" s="2">
        <v>0.49235320413963402</v>
      </c>
      <c r="AS219" s="2">
        <v>-1.9405061726835899</v>
      </c>
      <c r="AT219" s="2">
        <v>-0.79862051328856698</v>
      </c>
    </row>
    <row r="220" spans="1:46" x14ac:dyDescent="0.25">
      <c r="A220" s="2">
        <v>2001.5</v>
      </c>
      <c r="B220" s="2">
        <v>10639.5</v>
      </c>
      <c r="C220" s="2">
        <v>12670.143974849059</v>
      </c>
      <c r="D220" s="2">
        <v>83.972999999999999</v>
      </c>
      <c r="E220" s="2">
        <v>7103.4</v>
      </c>
      <c r="F220" s="2">
        <v>1937.3</v>
      </c>
      <c r="G220" s="2">
        <v>8371.3201499045426</v>
      </c>
      <c r="H220" s="2">
        <v>1599.9379954825279</v>
      </c>
      <c r="I220" s="2">
        <v>253.39424347102079</v>
      </c>
      <c r="J220" s="2">
        <v>87.68</v>
      </c>
      <c r="K220" s="2">
        <v>82.411000000000001</v>
      </c>
      <c r="L220" s="2">
        <v>106.393</v>
      </c>
      <c r="M220" s="2">
        <v>0.74811714010018615</v>
      </c>
      <c r="N220" s="2">
        <v>1.3707644664574541</v>
      </c>
      <c r="O220" s="2">
        <v>0.79286440165610705</v>
      </c>
      <c r="P220" s="2">
        <v>1.4329192959332957</v>
      </c>
      <c r="Q220" s="2">
        <v>1.6233059678802564</v>
      </c>
      <c r="R220" s="2">
        <v>285574</v>
      </c>
      <c r="S220" s="2">
        <v>215422</v>
      </c>
      <c r="T220" s="2">
        <v>7.95</v>
      </c>
      <c r="U220" s="2">
        <v>4.9800000000000004</v>
      </c>
      <c r="V220" s="2">
        <v>3.17</v>
      </c>
      <c r="W220" s="2">
        <v>1142.53</v>
      </c>
      <c r="X220" s="2">
        <v>1623.629638671875</v>
      </c>
      <c r="Y220" s="2">
        <v>-0.57575292817382295</v>
      </c>
      <c r="Z220" s="2">
        <v>-6.992805004119873E-2</v>
      </c>
      <c r="AA220" s="2">
        <v>-2.3832613602280617E-2</v>
      </c>
      <c r="AB220" s="2">
        <v>-0.24916537856440699</v>
      </c>
      <c r="AC220" s="2">
        <v>-0.33121404984061398</v>
      </c>
      <c r="AD220" s="2">
        <v>-1.1131422157597299</v>
      </c>
      <c r="AE220" s="2">
        <v>-0.43298938190062802</v>
      </c>
      <c r="AF220" s="2">
        <v>0.42970000000000003</v>
      </c>
      <c r="AG220" s="2">
        <v>-2.6652</v>
      </c>
      <c r="AH220" s="2">
        <v>-0.53159999999999996</v>
      </c>
      <c r="AI220" s="2">
        <v>8.5787583427185204E-2</v>
      </c>
      <c r="AJ220" s="2">
        <v>-0.58654725630068705</v>
      </c>
      <c r="AK220" s="2">
        <v>1.56931490644917E-2</v>
      </c>
      <c r="AL220" s="2">
        <v>-0.11758531224076001</v>
      </c>
      <c r="AM220" s="2">
        <v>-7.2247127279277706E-2</v>
      </c>
      <c r="AN220" s="2">
        <v>0.315751920722385</v>
      </c>
      <c r="AO220" s="2">
        <v>-6.7720689948790699E-2</v>
      </c>
      <c r="AP220" s="2">
        <v>0.18020485688832699</v>
      </c>
      <c r="AQ220" s="2">
        <v>-0.120327085181475</v>
      </c>
      <c r="AR220" s="2">
        <v>1.6224198447531499</v>
      </c>
      <c r="AS220" s="2">
        <v>-1.11531583966701</v>
      </c>
      <c r="AT220" s="2">
        <v>-0.699728059689114</v>
      </c>
    </row>
    <row r="221" spans="1:46" x14ac:dyDescent="0.25">
      <c r="A221" s="2">
        <v>2001.75</v>
      </c>
      <c r="B221" s="2">
        <v>10701.3</v>
      </c>
      <c r="C221" s="2">
        <v>12705.308274068884</v>
      </c>
      <c r="D221" s="2">
        <v>84.227000000000004</v>
      </c>
      <c r="E221" s="2">
        <v>7216.6</v>
      </c>
      <c r="F221" s="2">
        <v>1842.7</v>
      </c>
      <c r="G221" s="2">
        <v>8499.1167118125086</v>
      </c>
      <c r="H221" s="2">
        <v>1553.666053255881</v>
      </c>
      <c r="I221" s="2">
        <v>251.75537852676675</v>
      </c>
      <c r="J221" s="2">
        <v>87.933000000000007</v>
      </c>
      <c r="K221" s="2">
        <v>83.510999999999996</v>
      </c>
      <c r="L221" s="2">
        <v>105.29600000000001</v>
      </c>
      <c r="M221" s="2">
        <v>0.75078503629374282</v>
      </c>
      <c r="N221" s="2">
        <v>1.3780454152472918</v>
      </c>
      <c r="O221" s="2">
        <v>0.80388483819731604</v>
      </c>
      <c r="P221" s="2">
        <v>1.4544455280709501</v>
      </c>
      <c r="Q221" s="2">
        <v>1.5984932254748501</v>
      </c>
      <c r="R221" s="2">
        <v>286336</v>
      </c>
      <c r="S221" s="2">
        <v>216112</v>
      </c>
      <c r="T221" s="2">
        <v>7.92</v>
      </c>
      <c r="U221" s="2">
        <v>4.7699999999999996</v>
      </c>
      <c r="V221" s="2">
        <v>1.91</v>
      </c>
      <c r="W221" s="2">
        <v>1117.0666666666666</v>
      </c>
      <c r="X221" s="2">
        <v>1618.2320556640625</v>
      </c>
      <c r="Y221" s="2">
        <v>1.4010842526251199</v>
      </c>
      <c r="Z221" s="2">
        <v>8.2930567441508174E-4</v>
      </c>
      <c r="AA221" s="2">
        <v>1.4051637845113873E-3</v>
      </c>
      <c r="AB221" s="2">
        <v>1.23594852071504</v>
      </c>
      <c r="AC221" s="2">
        <v>3.4106235580915897E-2</v>
      </c>
      <c r="AD221" s="2">
        <v>-0.56097412211335895</v>
      </c>
      <c r="AE221" s="2">
        <v>0.18423936009431099</v>
      </c>
      <c r="AF221" s="2">
        <v>1.4221999999999999</v>
      </c>
      <c r="AG221" s="2">
        <v>-2.6333000000000002</v>
      </c>
      <c r="AH221" s="2">
        <v>-0.28050000000000003</v>
      </c>
      <c r="AI221" s="2">
        <v>-1.3192420059461201</v>
      </c>
      <c r="AJ221" s="2">
        <v>0.66312553437255495</v>
      </c>
      <c r="AK221" s="2">
        <v>0.55160783284807902</v>
      </c>
      <c r="AL221" s="2">
        <v>-0.90821134789165403</v>
      </c>
      <c r="AM221" s="2">
        <v>-4.82918832523416E-2</v>
      </c>
      <c r="AN221" s="2">
        <v>0.110699504748741</v>
      </c>
      <c r="AO221" s="2">
        <v>4.4290935386303298E-2</v>
      </c>
      <c r="AP221" s="2">
        <v>-6.9492203460610497E-2</v>
      </c>
      <c r="AQ221" s="2">
        <v>-0.32096618765164803</v>
      </c>
      <c r="AR221" s="2">
        <v>-0.73939708948828997</v>
      </c>
      <c r="AS221" s="2">
        <v>-0.87751798558703598</v>
      </c>
      <c r="AT221" s="2">
        <v>-0.79350380369556095</v>
      </c>
    </row>
    <row r="222" spans="1:46" x14ac:dyDescent="0.25">
      <c r="A222" s="2">
        <v>2002</v>
      </c>
      <c r="B222" s="2">
        <v>10834.4</v>
      </c>
      <c r="C222" s="2">
        <v>12822.2303750429</v>
      </c>
      <c r="D222" s="2">
        <v>84.497</v>
      </c>
      <c r="E222" s="2">
        <v>7251.4</v>
      </c>
      <c r="F222" s="2">
        <v>1910</v>
      </c>
      <c r="G222" s="2">
        <v>8524.6402708548867</v>
      </c>
      <c r="H222" s="2">
        <v>1522.0502579464137</v>
      </c>
      <c r="I222" s="2">
        <v>250.07804558047741</v>
      </c>
      <c r="J222" s="2">
        <v>88.872</v>
      </c>
      <c r="K222" s="2">
        <v>85.097999999999999</v>
      </c>
      <c r="L222" s="2">
        <v>104.435</v>
      </c>
      <c r="M222" s="2">
        <v>0.76755415239468483</v>
      </c>
      <c r="N222" s="2">
        <v>1.4005412479971211</v>
      </c>
      <c r="O222" s="2">
        <v>0.81782999880988716</v>
      </c>
      <c r="P222" s="2">
        <v>1.4511093946474487</v>
      </c>
      <c r="Q222" s="2">
        <v>1.5719556832656614</v>
      </c>
      <c r="R222" s="2">
        <v>286991</v>
      </c>
      <c r="S222" s="2">
        <v>216664</v>
      </c>
      <c r="T222" s="2">
        <v>7.96</v>
      </c>
      <c r="U222" s="2">
        <v>5.08</v>
      </c>
      <c r="V222" s="2">
        <v>1.72</v>
      </c>
      <c r="W222" s="2">
        <v>1131.5566666666666</v>
      </c>
      <c r="X222" s="2">
        <v>1654.8419189453125</v>
      </c>
      <c r="Y222" s="2">
        <v>0.98651959066656203</v>
      </c>
      <c r="Z222" s="2">
        <v>-1.750294491648674E-2</v>
      </c>
      <c r="AA222" s="2">
        <v>2.2684689611196518E-3</v>
      </c>
      <c r="AB222" s="2">
        <v>0.21195696140798301</v>
      </c>
      <c r="AC222" s="2">
        <v>-0.42179005549133902</v>
      </c>
      <c r="AD222" s="2">
        <v>7.8996780182239795E-2</v>
      </c>
      <c r="AE222" s="2">
        <v>1.24149869268636</v>
      </c>
      <c r="AF222" s="2">
        <v>1.2617</v>
      </c>
      <c r="AG222" s="2">
        <v>1.5362</v>
      </c>
      <c r="AH222" s="2">
        <v>0.26100000000000001</v>
      </c>
      <c r="AI222" s="2">
        <v>1.04601044436246</v>
      </c>
      <c r="AJ222" s="2">
        <v>0.53501992628314499</v>
      </c>
      <c r="AK222" s="2">
        <v>0.83398942033954704</v>
      </c>
      <c r="AL222" s="2">
        <v>-0.40404128177814203</v>
      </c>
      <c r="AM222" s="2">
        <v>4.3417756865150703E-2</v>
      </c>
      <c r="AN222" s="2">
        <v>5.14781026351313E-2</v>
      </c>
      <c r="AO222" s="2">
        <v>0.136757496291601</v>
      </c>
      <c r="AP222" s="2">
        <v>-0.17214460832605999</v>
      </c>
      <c r="AQ222" s="2">
        <v>-0.16058126580186499</v>
      </c>
      <c r="AR222" s="2">
        <v>-0.31623588812968201</v>
      </c>
      <c r="AS222" s="2">
        <v>-0.89955914178942298</v>
      </c>
      <c r="AT222" s="2">
        <v>-0.27233134823159</v>
      </c>
    </row>
    <row r="223" spans="1:46" x14ac:dyDescent="0.25">
      <c r="A223" s="2">
        <v>2002.25</v>
      </c>
      <c r="B223" s="2">
        <v>10934.8</v>
      </c>
      <c r="C223" s="2">
        <v>12892.986841484695</v>
      </c>
      <c r="D223" s="2">
        <v>84.811999999999998</v>
      </c>
      <c r="E223" s="2">
        <v>7344.5</v>
      </c>
      <c r="F223" s="2">
        <v>1925.6</v>
      </c>
      <c r="G223" s="2">
        <v>8568.1120871685398</v>
      </c>
      <c r="H223" s="2">
        <v>1501.8278387057346</v>
      </c>
      <c r="I223" s="2">
        <v>251.31639572114821</v>
      </c>
      <c r="J223" s="2">
        <v>89.344999999999999</v>
      </c>
      <c r="K223" s="2">
        <v>85.370999999999995</v>
      </c>
      <c r="L223" s="2">
        <v>104.655</v>
      </c>
      <c r="M223" s="2">
        <v>0.76737509327330555</v>
      </c>
      <c r="N223" s="2">
        <v>1.4086600625786767</v>
      </c>
      <c r="O223" s="2">
        <v>0.81393363419981002</v>
      </c>
      <c r="P223" s="2">
        <v>1.4420621027089975</v>
      </c>
      <c r="Q223" s="2">
        <v>1.5368087108193926</v>
      </c>
      <c r="R223" s="2">
        <v>287628</v>
      </c>
      <c r="S223" s="2">
        <v>217204</v>
      </c>
      <c r="T223" s="2">
        <v>8.02</v>
      </c>
      <c r="U223" s="2">
        <v>5.0999999999999996</v>
      </c>
      <c r="V223" s="2">
        <v>1.72</v>
      </c>
      <c r="W223" s="2">
        <v>1068.4000000000001</v>
      </c>
      <c r="X223" s="2">
        <v>1554.0833740234375</v>
      </c>
      <c r="Y223" s="2">
        <v>-1.07702970523665</v>
      </c>
      <c r="Z223" s="2">
        <v>-7.033199816942215E-2</v>
      </c>
      <c r="AA223" s="2">
        <v>-2.3190120235085487E-2</v>
      </c>
      <c r="AB223" s="2">
        <v>-0.68376504219923995</v>
      </c>
      <c r="AC223" s="2">
        <v>0.335688087117054</v>
      </c>
      <c r="AD223" s="2">
        <v>0.70677759355079295</v>
      </c>
      <c r="AE223" s="2">
        <v>-1.1216048647177499</v>
      </c>
      <c r="AF223" s="2">
        <v>-1.0315000000000001</v>
      </c>
      <c r="AG223" s="2">
        <v>0.72499999999999998</v>
      </c>
      <c r="AH223" s="2">
        <v>0.52290000000000003</v>
      </c>
      <c r="AI223" s="2">
        <v>0.547598767992174</v>
      </c>
      <c r="AJ223" s="2">
        <v>-0.32179638402128202</v>
      </c>
      <c r="AK223" s="2">
        <v>-0.40901273933482202</v>
      </c>
      <c r="AL223" s="2">
        <v>0.287080677702371</v>
      </c>
      <c r="AM223" s="2">
        <v>0.34568108203375097</v>
      </c>
      <c r="AN223" s="2">
        <v>0.26321886550348</v>
      </c>
      <c r="AO223" s="2">
        <v>0.226533306541704</v>
      </c>
      <c r="AP223" s="2">
        <v>-0.101724169564789</v>
      </c>
      <c r="AQ223" s="2">
        <v>0.43767883692166498</v>
      </c>
      <c r="AR223" s="2">
        <v>0.46969233927260001</v>
      </c>
      <c r="AS223" s="2">
        <v>-0.85847534198703901</v>
      </c>
      <c r="AT223" s="2">
        <v>-0.103927451614428</v>
      </c>
    </row>
    <row r="224" spans="1:46" x14ac:dyDescent="0.25">
      <c r="A224" s="2">
        <v>2002.5</v>
      </c>
      <c r="B224" s="2">
        <v>11037.1</v>
      </c>
      <c r="C224" s="2">
        <v>12955.863364244629</v>
      </c>
      <c r="D224" s="2">
        <v>85.19</v>
      </c>
      <c r="E224" s="2">
        <v>7433.1</v>
      </c>
      <c r="F224" s="2">
        <v>1927.9</v>
      </c>
      <c r="G224" s="2">
        <v>8627.9903889682082</v>
      </c>
      <c r="H224" s="2">
        <v>1493.0165890732121</v>
      </c>
      <c r="I224" s="2">
        <v>250.93729029095326</v>
      </c>
      <c r="J224" s="2">
        <v>89.822000000000003</v>
      </c>
      <c r="K224" s="2">
        <v>86.132000000000005</v>
      </c>
      <c r="L224" s="2">
        <v>104.28400000000001</v>
      </c>
      <c r="M224" s="2">
        <v>0.76994587217336985</v>
      </c>
      <c r="N224" s="2">
        <v>1.4182244453659709</v>
      </c>
      <c r="O224" s="2">
        <v>0.81846268191355731</v>
      </c>
      <c r="P224" s="2">
        <v>1.4617587164657304</v>
      </c>
      <c r="Q224" s="2">
        <v>1.5073778763780346</v>
      </c>
      <c r="R224" s="2">
        <v>288361</v>
      </c>
      <c r="S224" s="2">
        <v>217868</v>
      </c>
      <c r="T224" s="2">
        <v>7.63</v>
      </c>
      <c r="U224" s="2">
        <v>4.26</v>
      </c>
      <c r="V224" s="2">
        <v>1.64</v>
      </c>
      <c r="W224" s="2">
        <v>894.65</v>
      </c>
      <c r="X224" s="2">
        <v>1313.7811279296875</v>
      </c>
      <c r="Y224" s="2">
        <v>0.24372926151330401</v>
      </c>
      <c r="Z224" s="2">
        <v>-0.15654143691062927</v>
      </c>
      <c r="AA224" s="2">
        <v>-4.5072492212057114E-2</v>
      </c>
      <c r="AB224" s="2">
        <v>-0.78210026658642096</v>
      </c>
      <c r="AC224" s="2">
        <v>-1.17908492474513</v>
      </c>
      <c r="AD224" s="2">
        <v>-0.72784012917526697</v>
      </c>
      <c r="AE224" s="2">
        <v>-2.48850532250726E-2</v>
      </c>
      <c r="AF224" s="2">
        <v>0.53649999999999998</v>
      </c>
      <c r="AG224" s="2">
        <v>-0.83509999999999995</v>
      </c>
      <c r="AH224" s="2">
        <v>0.1961</v>
      </c>
      <c r="AI224" s="2">
        <v>-6.18034331962697E-2</v>
      </c>
      <c r="AJ224" s="2">
        <v>0.26429712699767799</v>
      </c>
      <c r="AK224" s="2">
        <v>0.19682910916872201</v>
      </c>
      <c r="AL224" s="2">
        <v>-0.415472963023157</v>
      </c>
      <c r="AM224" s="2">
        <v>0.26310251146306202</v>
      </c>
      <c r="AN224" s="2">
        <v>3.42328763462834E-2</v>
      </c>
      <c r="AO224" s="2">
        <v>0.14490175004674799</v>
      </c>
      <c r="AP224" s="2">
        <v>-0.28674289923261598</v>
      </c>
      <c r="AQ224" s="2">
        <v>0.87169391694065501</v>
      </c>
      <c r="AR224" s="2">
        <v>-0.18279477344622699</v>
      </c>
      <c r="AS224" s="2">
        <v>-1.2359768976096801</v>
      </c>
      <c r="AT224" s="2">
        <v>-0.110075304607609</v>
      </c>
    </row>
    <row r="225" spans="1:46" x14ac:dyDescent="0.25">
      <c r="A225" s="2">
        <v>2002.75</v>
      </c>
      <c r="B225" s="2">
        <v>11103.8</v>
      </c>
      <c r="C225" s="2">
        <v>12964.005090425098</v>
      </c>
      <c r="D225" s="2">
        <v>85.650999999999996</v>
      </c>
      <c r="E225" s="2">
        <v>7507.2</v>
      </c>
      <c r="F225" s="2">
        <v>1936.5</v>
      </c>
      <c r="G225" s="2">
        <v>8674.3312727482808</v>
      </c>
      <c r="H225" s="2">
        <v>1475.0985508855699</v>
      </c>
      <c r="I225" s="2">
        <v>251.22081872643034</v>
      </c>
      <c r="J225" s="2">
        <v>89.802999999999997</v>
      </c>
      <c r="K225" s="2">
        <v>85.977999999999994</v>
      </c>
      <c r="L225" s="2">
        <v>104.449</v>
      </c>
      <c r="M225" s="2">
        <v>0.77030505778383818</v>
      </c>
      <c r="N225" s="2">
        <v>1.4267214544877447</v>
      </c>
      <c r="O225" s="2">
        <v>0.81653995259760914</v>
      </c>
      <c r="P225" s="2">
        <v>1.4619482254202578</v>
      </c>
      <c r="Q225" s="2">
        <v>1.4847604257136351</v>
      </c>
      <c r="R225" s="2">
        <v>289096</v>
      </c>
      <c r="S225" s="2">
        <v>218543</v>
      </c>
      <c r="T225" s="2">
        <v>7.6</v>
      </c>
      <c r="U225" s="2">
        <v>4.01</v>
      </c>
      <c r="V225" s="2">
        <v>1.33</v>
      </c>
      <c r="W225" s="2">
        <v>887.9133333333333</v>
      </c>
      <c r="X225" s="2">
        <v>1348.72265625</v>
      </c>
      <c r="Y225" s="2">
        <v>-0.95122021963007897</v>
      </c>
      <c r="Z225" s="2">
        <v>3.9574496448040009E-2</v>
      </c>
      <c r="AA225" s="2">
        <v>1.3451304286718369E-2</v>
      </c>
      <c r="AB225" s="2">
        <v>-1.04469981956937</v>
      </c>
      <c r="AC225" s="2">
        <v>0.649109837717601</v>
      </c>
      <c r="AD225" s="2">
        <v>-0.13240787863431799</v>
      </c>
      <c r="AE225" s="2">
        <v>-0.83295125367727096</v>
      </c>
      <c r="AF225" s="2">
        <v>-0.65300000000000002</v>
      </c>
      <c r="AG225" s="2">
        <v>-2.6473</v>
      </c>
      <c r="AH225" s="2">
        <v>-0.18809999999999999</v>
      </c>
      <c r="AI225" s="2">
        <v>0.148925378655936</v>
      </c>
      <c r="AJ225" s="2">
        <v>0.23219094142216401</v>
      </c>
      <c r="AK225" s="2">
        <v>-0.22223874284943901</v>
      </c>
      <c r="AL225" s="2">
        <v>1.2975076978282899E-2</v>
      </c>
      <c r="AM225" s="2">
        <v>0.156978173968438</v>
      </c>
      <c r="AN225" s="2">
        <v>0.125676751019587</v>
      </c>
      <c r="AO225" s="2">
        <v>-5.7237719374302998E-2</v>
      </c>
      <c r="AP225" s="2">
        <v>-6.6342040983665307E-2</v>
      </c>
      <c r="AQ225" s="2">
        <v>-0.28059554877236098</v>
      </c>
      <c r="AR225" s="2">
        <v>-0.34576939299422499</v>
      </c>
      <c r="AS225" s="2">
        <v>-1.10574331504608</v>
      </c>
      <c r="AT225" s="2">
        <v>7.4098491422210602E-2</v>
      </c>
    </row>
    <row r="226" spans="1:46" x14ac:dyDescent="0.25">
      <c r="A226" s="2">
        <v>2003</v>
      </c>
      <c r="B226" s="2">
        <v>11230.1</v>
      </c>
      <c r="C226" s="2">
        <v>13031.132874598219</v>
      </c>
      <c r="D226" s="2">
        <v>86.179000000000002</v>
      </c>
      <c r="E226" s="2">
        <v>7593.5</v>
      </c>
      <c r="F226" s="2">
        <v>1960.2</v>
      </c>
      <c r="G226" s="2">
        <v>8712.5384368259201</v>
      </c>
      <c r="H226" s="2">
        <v>1478.5697582486109</v>
      </c>
      <c r="I226" s="2">
        <v>249.79252372809131</v>
      </c>
      <c r="J226" s="2">
        <v>90.233999999999995</v>
      </c>
      <c r="K226" s="2">
        <v>86.861000000000004</v>
      </c>
      <c r="L226" s="2">
        <v>103.884</v>
      </c>
      <c r="M226" s="2">
        <v>0.77518086791616525</v>
      </c>
      <c r="N226" s="2">
        <v>1.4452401206217589</v>
      </c>
      <c r="O226" s="2">
        <v>0.81848292427470304</v>
      </c>
      <c r="P226" s="2">
        <v>1.47609289257311</v>
      </c>
      <c r="Q226" s="2">
        <v>1.4477167820800765</v>
      </c>
      <c r="R226" s="2">
        <v>289714</v>
      </c>
      <c r="S226" s="2">
        <v>220109</v>
      </c>
      <c r="T226" s="2">
        <v>7.12</v>
      </c>
      <c r="U226" s="2">
        <v>3.92</v>
      </c>
      <c r="V226" s="2">
        <v>1.1599999999999999</v>
      </c>
      <c r="W226" s="2">
        <v>859.83333333333337</v>
      </c>
      <c r="X226" s="2">
        <v>1279.661376953125</v>
      </c>
      <c r="Y226" s="2">
        <v>0.725562358547019</v>
      </c>
      <c r="Z226" s="2">
        <v>-6.0239002108573914E-2</v>
      </c>
      <c r="AA226" s="2">
        <v>-1.5010610222816467E-2</v>
      </c>
      <c r="AB226" s="2">
        <v>-4.81164525172483E-3</v>
      </c>
      <c r="AC226" s="2">
        <v>-0.89415753713425095</v>
      </c>
      <c r="AD226" s="2">
        <v>1.8857531746233001</v>
      </c>
      <c r="AE226" s="2">
        <v>-0.173140907742901</v>
      </c>
      <c r="AF226" s="2">
        <v>0.71609999999999996</v>
      </c>
      <c r="AG226" s="2">
        <v>-0.50519999999999998</v>
      </c>
      <c r="AH226" s="2">
        <v>0.49280000000000002</v>
      </c>
      <c r="AI226" s="2">
        <v>0.334194167301548</v>
      </c>
      <c r="AJ226" s="2">
        <v>0.77554538208490997</v>
      </c>
      <c r="AK226" s="2">
        <v>3.2660635044838501E-2</v>
      </c>
      <c r="AL226" s="2">
        <v>-0.18024842388468501</v>
      </c>
      <c r="AM226" s="2">
        <v>2.22994236863014E-2</v>
      </c>
      <c r="AN226" s="2">
        <v>0.176246179776091</v>
      </c>
      <c r="AO226" s="2">
        <v>-0.147812320191295</v>
      </c>
      <c r="AP226" s="2">
        <v>6.0077851883003297E-2</v>
      </c>
      <c r="AQ226" s="2">
        <v>-0.179219062732243</v>
      </c>
      <c r="AR226" s="2">
        <v>-4.5010189915893296E-3</v>
      </c>
      <c r="AS226" s="2">
        <v>-0.49671005345951602</v>
      </c>
      <c r="AT226" s="2">
        <v>-0.14163367340681601</v>
      </c>
    </row>
    <row r="227" spans="1:46" x14ac:dyDescent="0.25">
      <c r="A227" s="2">
        <v>2003.25</v>
      </c>
      <c r="B227" s="2">
        <v>11370.7</v>
      </c>
      <c r="C227" s="2">
        <v>13152.16008328032</v>
      </c>
      <c r="D227" s="2">
        <v>86.454999999999998</v>
      </c>
      <c r="E227" s="2">
        <v>7684.6</v>
      </c>
      <c r="F227" s="2">
        <v>1970.5</v>
      </c>
      <c r="G227" s="2">
        <v>8809.4828673292759</v>
      </c>
      <c r="H227" s="2">
        <v>1514.368168295319</v>
      </c>
      <c r="I227" s="2">
        <v>248.90575507576983</v>
      </c>
      <c r="J227" s="2">
        <v>91.26</v>
      </c>
      <c r="K227" s="2">
        <v>88.298000000000002</v>
      </c>
      <c r="L227" s="2">
        <v>103.354</v>
      </c>
      <c r="M227" s="2">
        <v>0.78656268231823456</v>
      </c>
      <c r="N227" s="2">
        <v>1.4640679177379783</v>
      </c>
      <c r="O227" s="2">
        <v>0.83296727262366388</v>
      </c>
      <c r="P227" s="2">
        <v>1.5014867972061712</v>
      </c>
      <c r="Q227" s="2">
        <v>1.4295292781186184</v>
      </c>
      <c r="R227" s="2">
        <v>290352</v>
      </c>
      <c r="S227" s="2">
        <v>220774</v>
      </c>
      <c r="T227" s="2">
        <v>6.47</v>
      </c>
      <c r="U227" s="2">
        <v>3.62</v>
      </c>
      <c r="V227" s="2">
        <v>1.04</v>
      </c>
      <c r="W227" s="2">
        <v>937.99666666666656</v>
      </c>
      <c r="X227" s="2">
        <v>1452.990234375</v>
      </c>
      <c r="Y227" s="2">
        <v>1.2125783233441201</v>
      </c>
      <c r="Z227" s="2">
        <v>7.4968904256820679E-2</v>
      </c>
      <c r="AA227" s="2">
        <v>2.7572948485612869E-2</v>
      </c>
      <c r="AB227" s="2">
        <v>2.05092922533029</v>
      </c>
      <c r="AC227" s="2">
        <v>1.26052370368316</v>
      </c>
      <c r="AD227" s="2">
        <v>-0.65063519900291</v>
      </c>
      <c r="AE227" s="2">
        <v>0.611786988962853</v>
      </c>
      <c r="AF227" s="2">
        <v>0.96660000000000001</v>
      </c>
      <c r="AG227" s="2">
        <v>1.0068999999999999</v>
      </c>
      <c r="AH227" s="2">
        <v>5.11E-2</v>
      </c>
      <c r="AI227" s="2">
        <v>0.27978326017655503</v>
      </c>
      <c r="AJ227" s="2">
        <v>0.60817067681357595</v>
      </c>
      <c r="AK227" s="2">
        <v>0.84321041341661196</v>
      </c>
      <c r="AL227" s="2">
        <v>0.72781557254172602</v>
      </c>
      <c r="AM227" s="2">
        <v>0.106359836490087</v>
      </c>
      <c r="AN227" s="2">
        <v>0.176988287827409</v>
      </c>
      <c r="AO227" s="2">
        <v>-0.122166895155858</v>
      </c>
      <c r="AP227" s="2">
        <v>-6.5559469519582206E-2</v>
      </c>
      <c r="AQ227" s="2">
        <v>0.108646731725173</v>
      </c>
      <c r="AR227" s="2">
        <v>-0.23057790713561299</v>
      </c>
      <c r="AS227" s="2">
        <v>-0.64011033541537199</v>
      </c>
      <c r="AT227" s="2">
        <v>-4.4131492684611404E-3</v>
      </c>
    </row>
    <row r="228" spans="1:46" x14ac:dyDescent="0.25">
      <c r="A228" s="2">
        <v>2003.5</v>
      </c>
      <c r="B228" s="2">
        <v>11625.1</v>
      </c>
      <c r="C228" s="2">
        <v>13372.328433064164</v>
      </c>
      <c r="D228" s="2">
        <v>86.933999999999997</v>
      </c>
      <c r="E228" s="2">
        <v>7845.5</v>
      </c>
      <c r="F228" s="2">
        <v>2048.3000000000002</v>
      </c>
      <c r="G228" s="2">
        <v>8939.3145253178991</v>
      </c>
      <c r="H228" s="2">
        <v>1544.6313353802341</v>
      </c>
      <c r="I228" s="2">
        <v>249.48713244082739</v>
      </c>
      <c r="J228" s="2">
        <v>93.254999999999995</v>
      </c>
      <c r="K228" s="2">
        <v>89.938999999999993</v>
      </c>
      <c r="L228" s="2">
        <v>103.687</v>
      </c>
      <c r="M228" s="2">
        <v>0.79855768607932387</v>
      </c>
      <c r="N228" s="2">
        <v>1.4853384053893375</v>
      </c>
      <c r="O228" s="2">
        <v>0.84365149319308952</v>
      </c>
      <c r="P228" s="2">
        <v>1.5192991625510339</v>
      </c>
      <c r="Q228" s="2">
        <v>1.409595810763717</v>
      </c>
      <c r="R228" s="2">
        <v>291071</v>
      </c>
      <c r="S228" s="2">
        <v>221513</v>
      </c>
      <c r="T228" s="2">
        <v>6.81</v>
      </c>
      <c r="U228" s="2">
        <v>4.2300000000000004</v>
      </c>
      <c r="V228" s="2">
        <v>0.93</v>
      </c>
      <c r="W228" s="2">
        <v>1000.5033333333334</v>
      </c>
      <c r="X228" s="2">
        <v>1551.1138916015625</v>
      </c>
      <c r="Y228" s="2">
        <v>1.0690968486824199</v>
      </c>
      <c r="Z228" s="2">
        <v>1.0700293816626072E-2</v>
      </c>
      <c r="AA228" s="2">
        <v>6.8634683266282082E-3</v>
      </c>
      <c r="AB228" s="2">
        <v>-1.58873480129502</v>
      </c>
      <c r="AC228" s="2">
        <v>-0.18853231650442701</v>
      </c>
      <c r="AD228" s="2">
        <v>1.1411817750839099</v>
      </c>
      <c r="AE228" s="2">
        <v>1.37673315439235</v>
      </c>
      <c r="AF228" s="2">
        <v>0.85099999999999998</v>
      </c>
      <c r="AG228" s="2">
        <v>2.4285000000000001</v>
      </c>
      <c r="AH228" s="2">
        <v>0.4456</v>
      </c>
      <c r="AI228" s="2">
        <v>-2.61114614534463E-2</v>
      </c>
      <c r="AJ228" s="2">
        <v>0.58316632181484696</v>
      </c>
      <c r="AK228" s="2">
        <v>1.72973077560497</v>
      </c>
      <c r="AL228" s="2">
        <v>0.67349306115200103</v>
      </c>
      <c r="AM228" s="2">
        <v>-2.55698048282594E-2</v>
      </c>
      <c r="AN228" s="2">
        <v>0.18100361866356099</v>
      </c>
      <c r="AO228" s="2">
        <v>-0.28393840453524899</v>
      </c>
      <c r="AP228" s="2">
        <v>-0.12734968841559799</v>
      </c>
      <c r="AQ228" s="2">
        <v>-0.18857663563622801</v>
      </c>
      <c r="AR228" s="2">
        <v>0.53704075049890998</v>
      </c>
      <c r="AS228" s="2">
        <v>-0.57042809041736497</v>
      </c>
      <c r="AT228" s="2">
        <v>1.9870408329095101E-2</v>
      </c>
    </row>
    <row r="229" spans="1:46" x14ac:dyDescent="0.25">
      <c r="A229" s="2">
        <v>2003.75</v>
      </c>
      <c r="B229" s="2">
        <v>11816.8</v>
      </c>
      <c r="C229" s="2">
        <v>13528.724841435211</v>
      </c>
      <c r="D229" s="2">
        <v>87.346000000000004</v>
      </c>
      <c r="E229" s="2">
        <v>7938.5</v>
      </c>
      <c r="F229" s="2">
        <v>2132.8000000000002</v>
      </c>
      <c r="G229" s="2">
        <v>9008.8403182060629</v>
      </c>
      <c r="H229" s="2">
        <v>1566.8013497913153</v>
      </c>
      <c r="I229" s="2">
        <v>250.52126530834488</v>
      </c>
      <c r="J229" s="2">
        <v>94.516999999999996</v>
      </c>
      <c r="K229" s="2">
        <v>90.646000000000001</v>
      </c>
      <c r="L229" s="2">
        <v>104.27</v>
      </c>
      <c r="M229" s="2">
        <v>0.80418612940426604</v>
      </c>
      <c r="N229" s="2">
        <v>1.4990478285664457</v>
      </c>
      <c r="O229" s="2">
        <v>0.83932727409181329</v>
      </c>
      <c r="P229" s="2">
        <v>1.4990348306407086</v>
      </c>
      <c r="Q229" s="2">
        <v>1.396854855411831</v>
      </c>
      <c r="R229" s="2">
        <v>291796</v>
      </c>
      <c r="S229" s="2">
        <v>222276</v>
      </c>
      <c r="T229" s="2">
        <v>6.66</v>
      </c>
      <c r="U229" s="2">
        <v>4.29</v>
      </c>
      <c r="V229" s="2">
        <v>0.92</v>
      </c>
      <c r="W229" s="2">
        <v>1056.4233333333334</v>
      </c>
      <c r="X229" s="2">
        <v>1686.6082763671875</v>
      </c>
      <c r="Y229" s="2">
        <v>-0.30805254183059599</v>
      </c>
      <c r="Z229" s="2">
        <v>2.2177193313837051E-2</v>
      </c>
      <c r="AA229" s="2">
        <v>5.4511465132236481E-3</v>
      </c>
      <c r="AB229" s="2">
        <v>0.445029555768441</v>
      </c>
      <c r="AC229" s="2">
        <v>1.18738832443978</v>
      </c>
      <c r="AD229" s="2">
        <v>-0.31964412110892598</v>
      </c>
      <c r="AE229" s="2">
        <v>-0.34443546171206602</v>
      </c>
      <c r="AF229" s="2">
        <v>-0.34820000000000001</v>
      </c>
      <c r="AG229" s="2">
        <v>-0.64510000000000001</v>
      </c>
      <c r="AH229" s="2">
        <v>-0.1598</v>
      </c>
      <c r="AI229" s="2">
        <v>0.44442583873397601</v>
      </c>
      <c r="AJ229" s="2">
        <v>-0.314183879787582</v>
      </c>
      <c r="AK229" s="2">
        <v>-0.255610691102368</v>
      </c>
      <c r="AL229" s="2">
        <v>-0.31578602656353699</v>
      </c>
      <c r="AM229" s="2">
        <v>0.10624136438512199</v>
      </c>
      <c r="AN229" s="2">
        <v>4.6038907630869999E-2</v>
      </c>
      <c r="AO229" s="2">
        <v>-6.2049979575630403E-2</v>
      </c>
      <c r="AP229" s="2">
        <v>-0.24397274899705501</v>
      </c>
      <c r="AQ229" s="2">
        <v>-0.16858113008739101</v>
      </c>
      <c r="AR229" s="2">
        <v>-1.0050335257061001</v>
      </c>
      <c r="AS229" s="2">
        <v>0.17052705732065701</v>
      </c>
      <c r="AT229" s="2">
        <v>0.26149310705703199</v>
      </c>
    </row>
    <row r="230" spans="1:46" x14ac:dyDescent="0.25">
      <c r="A230" s="2">
        <v>2004</v>
      </c>
      <c r="B230" s="2">
        <v>11988.4</v>
      </c>
      <c r="C230" s="2">
        <v>13606.482952739818</v>
      </c>
      <c r="D230" s="2">
        <v>88.108000000000004</v>
      </c>
      <c r="E230" s="2">
        <v>8076.8</v>
      </c>
      <c r="F230" s="2">
        <v>2155.1999999999998</v>
      </c>
      <c r="G230" s="2">
        <v>9096.4174296944511</v>
      </c>
      <c r="H230" s="2">
        <v>1549.432918395574</v>
      </c>
      <c r="I230" s="2">
        <v>251.68118433627188</v>
      </c>
      <c r="J230" s="2">
        <v>95.144999999999996</v>
      </c>
      <c r="K230" s="2">
        <v>90.956000000000003</v>
      </c>
      <c r="L230" s="2">
        <v>104.60599999999999</v>
      </c>
      <c r="M230" s="2">
        <v>0.80885674667628416</v>
      </c>
      <c r="N230" s="2">
        <v>1.5120357557014434</v>
      </c>
      <c r="O230" s="2">
        <v>0.83917223649916006</v>
      </c>
      <c r="P230" s="2">
        <v>1.4966200121017224</v>
      </c>
      <c r="Q230" s="2">
        <v>1.3773391687349843</v>
      </c>
      <c r="R230" s="2">
        <v>292374</v>
      </c>
      <c r="S230" s="2">
        <v>222356</v>
      </c>
      <c r="T230" s="2">
        <v>6.27</v>
      </c>
      <c r="U230" s="2">
        <v>4.0199999999999996</v>
      </c>
      <c r="V230" s="2">
        <v>0.92</v>
      </c>
      <c r="W230" s="2">
        <v>1133.2866666666666</v>
      </c>
      <c r="X230" s="2">
        <v>1791.6839599609375</v>
      </c>
      <c r="Y230" s="2">
        <v>-0.407980815117513</v>
      </c>
      <c r="Z230" s="2">
        <v>4.5336555689573288E-2</v>
      </c>
      <c r="AA230" s="2">
        <v>1.3517829589545727E-2</v>
      </c>
      <c r="AB230" s="2">
        <v>0.74151890342237203</v>
      </c>
      <c r="AC230" s="2">
        <v>-0.61985241184777395</v>
      </c>
      <c r="AD230" s="2">
        <v>-0.203149465763277</v>
      </c>
      <c r="AE230" s="2">
        <v>0.28747699964184498</v>
      </c>
      <c r="AF230" s="2">
        <v>-0.124</v>
      </c>
      <c r="AG230" s="2">
        <v>-2.3605999999999998</v>
      </c>
      <c r="AH230" s="2">
        <v>-0.3241</v>
      </c>
      <c r="AI230" s="2">
        <v>0.54817012984716496</v>
      </c>
      <c r="AJ230" s="2">
        <v>-0.19943379280144</v>
      </c>
      <c r="AK230" s="2">
        <v>-9.7628227960671402E-2</v>
      </c>
      <c r="AL230" s="2">
        <v>-0.665425659696114</v>
      </c>
      <c r="AM230" s="2">
        <v>0.22043317211104399</v>
      </c>
      <c r="AN230" s="2">
        <v>0.16947210282256001</v>
      </c>
      <c r="AO230" s="2">
        <v>6.2816399601994505E-2</v>
      </c>
      <c r="AP230" s="2">
        <v>0.11552650582676</v>
      </c>
      <c r="AQ230" s="2">
        <v>9.8887702426351504E-2</v>
      </c>
      <c r="AR230" s="2">
        <v>-0.35437816044678</v>
      </c>
      <c r="AS230" s="2">
        <v>3.6833826368376801E-2</v>
      </c>
      <c r="AT230" s="2">
        <v>0.49487285612328202</v>
      </c>
    </row>
    <row r="231" spans="1:46" x14ac:dyDescent="0.25">
      <c r="A231" s="2">
        <v>2004.25</v>
      </c>
      <c r="B231" s="2">
        <v>12181.4</v>
      </c>
      <c r="C231" s="2">
        <v>13706.216596343178</v>
      </c>
      <c r="D231" s="2">
        <v>88.875</v>
      </c>
      <c r="E231" s="2">
        <v>8186.3</v>
      </c>
      <c r="F231" s="2">
        <v>2259.5</v>
      </c>
      <c r="G231" s="2">
        <v>9155.3989822736676</v>
      </c>
      <c r="H231" s="2">
        <v>1583.786042624321</v>
      </c>
      <c r="I231" s="2">
        <v>251.8083971857339</v>
      </c>
      <c r="J231" s="2">
        <v>95.933999999999997</v>
      </c>
      <c r="K231" s="2">
        <v>91.602000000000004</v>
      </c>
      <c r="L231" s="2">
        <v>104.73</v>
      </c>
      <c r="M231" s="2">
        <v>0.81562735987281232</v>
      </c>
      <c r="N231" s="2">
        <v>1.5257615152594179</v>
      </c>
      <c r="O231" s="2">
        <v>0.84884967145320378</v>
      </c>
      <c r="P231" s="2">
        <v>1.5187870394785179</v>
      </c>
      <c r="Q231" s="2">
        <v>1.367952487110115</v>
      </c>
      <c r="R231" s="2">
        <v>293000</v>
      </c>
      <c r="S231" s="2">
        <v>222973</v>
      </c>
      <c r="T231" s="2">
        <v>6.66</v>
      </c>
      <c r="U231" s="2">
        <v>4.5999999999999996</v>
      </c>
      <c r="V231" s="2">
        <v>1.08</v>
      </c>
      <c r="W231" s="2">
        <v>1122.9666666666665</v>
      </c>
      <c r="X231" s="2">
        <v>1780.1536865234375</v>
      </c>
      <c r="Y231" s="2">
        <v>-0.23039563801700699</v>
      </c>
      <c r="Z231" s="2">
        <v>-5.2354928106069565E-2</v>
      </c>
      <c r="AA231" s="2">
        <v>-1.3720054179430008E-2</v>
      </c>
      <c r="AB231" s="2">
        <v>0.85573439946894303</v>
      </c>
      <c r="AC231" s="2">
        <v>-0.53745419577398601</v>
      </c>
      <c r="AD231" s="2">
        <v>-0.60169020085882696</v>
      </c>
      <c r="AE231" s="2">
        <v>0.59455850933239296</v>
      </c>
      <c r="AF231" s="2">
        <v>0.46379999999999999</v>
      </c>
      <c r="AG231" s="2">
        <v>2.7536</v>
      </c>
      <c r="AH231" s="2">
        <v>-0.38179999999999997</v>
      </c>
      <c r="AI231" s="2">
        <v>0.121394317540833</v>
      </c>
      <c r="AJ231" s="2">
        <v>-0.50417875522965405</v>
      </c>
      <c r="AK231" s="2">
        <v>0.34851223820844401</v>
      </c>
      <c r="AL231" s="2">
        <v>0.28771502076550198</v>
      </c>
      <c r="AM231" s="2">
        <v>0.118226091043695</v>
      </c>
      <c r="AN231" s="2">
        <v>0.120676289764119</v>
      </c>
      <c r="AO231" s="2">
        <v>-5.6393704272723902E-2</v>
      </c>
      <c r="AP231" s="2">
        <v>-1.50500417447385E-2</v>
      </c>
      <c r="AQ231" s="2">
        <v>-0.12361078678807599</v>
      </c>
      <c r="AR231" s="2">
        <v>8.0647240349153895E-2</v>
      </c>
      <c r="AS231" s="2">
        <v>4.1099384428078402E-2</v>
      </c>
      <c r="AT231" s="2">
        <v>0.50435906697398103</v>
      </c>
    </row>
    <row r="232" spans="1:46" x14ac:dyDescent="0.25">
      <c r="A232" s="2">
        <v>2004.5</v>
      </c>
      <c r="B232" s="2">
        <v>12367.7</v>
      </c>
      <c r="C232" s="2">
        <v>13830.712799982108</v>
      </c>
      <c r="D232" s="2">
        <v>89.421999999999997</v>
      </c>
      <c r="E232" s="2">
        <v>8312.7000000000007</v>
      </c>
      <c r="F232" s="2">
        <v>2311.3000000000002</v>
      </c>
      <c r="G232" s="2">
        <v>9243.008839717575</v>
      </c>
      <c r="H232" s="2">
        <v>1626.8959097629086</v>
      </c>
      <c r="I232" s="2">
        <v>252.95047150032272</v>
      </c>
      <c r="J232" s="2">
        <v>96.947999999999993</v>
      </c>
      <c r="K232" s="2">
        <v>91.977000000000004</v>
      </c>
      <c r="L232" s="2">
        <v>105.405</v>
      </c>
      <c r="M232" s="2">
        <v>0.82317142756057171</v>
      </c>
      <c r="N232" s="2">
        <v>1.5430026931426832</v>
      </c>
      <c r="O232" s="2">
        <v>0.85510847848027804</v>
      </c>
      <c r="P232" s="2">
        <v>1.5392941122030634</v>
      </c>
      <c r="Q232" s="2">
        <v>1.3519320641664336</v>
      </c>
      <c r="R232" s="2">
        <v>293718</v>
      </c>
      <c r="S232" s="2">
        <v>223680</v>
      </c>
      <c r="T232" s="2">
        <v>6.45</v>
      </c>
      <c r="U232" s="2">
        <v>4.3</v>
      </c>
      <c r="V232" s="2">
        <v>1.49</v>
      </c>
      <c r="W232" s="2">
        <v>1104.1499999999999</v>
      </c>
      <c r="X232" s="2">
        <v>1750.7569580078125</v>
      </c>
      <c r="Y232" s="2">
        <v>-9.3718475753800198E-2</v>
      </c>
      <c r="Z232" s="2">
        <v>-2.7196509763598442E-2</v>
      </c>
      <c r="AA232" s="2">
        <v>-3.6261589266359806E-3</v>
      </c>
      <c r="AB232" s="2">
        <v>-0.27064545104435</v>
      </c>
      <c r="AC232" s="2">
        <v>0.54034471747407897</v>
      </c>
      <c r="AD232" s="2">
        <v>0.92529038497573202</v>
      </c>
      <c r="AE232" s="2">
        <v>0.60458454664324801</v>
      </c>
      <c r="AF232" s="2">
        <v>-0.39829999999999999</v>
      </c>
      <c r="AG232" s="2">
        <v>-0.1454</v>
      </c>
      <c r="AH232" s="2">
        <v>-0.1103</v>
      </c>
      <c r="AI232" s="2">
        <v>3.0552441238734501E-2</v>
      </c>
      <c r="AJ232" s="2">
        <v>-1.06428487442582</v>
      </c>
      <c r="AK232" s="2">
        <v>-0.13629323308270899</v>
      </c>
      <c r="AL232" s="2">
        <v>-0.21266471289615499</v>
      </c>
      <c r="AM232" s="2">
        <v>0.13932943124930899</v>
      </c>
      <c r="AN232" s="2">
        <v>9.9188415444910902E-2</v>
      </c>
      <c r="AO232" s="2">
        <v>-0.102919313882707</v>
      </c>
      <c r="AP232" s="2">
        <v>-4.9347568239669203E-2</v>
      </c>
      <c r="AQ232" s="2">
        <v>0.31482387946908102</v>
      </c>
      <c r="AR232" s="2">
        <v>-0.50691625934467199</v>
      </c>
      <c r="AS232" s="2">
        <v>0.21898878880495901</v>
      </c>
      <c r="AT232" s="2">
        <v>0.40506169403154002</v>
      </c>
    </row>
    <row r="233" spans="1:46" x14ac:dyDescent="0.25">
      <c r="A233" s="2">
        <v>2004.75</v>
      </c>
      <c r="B233" s="2">
        <v>12562.2</v>
      </c>
      <c r="C233" s="2">
        <v>13950.404779619983</v>
      </c>
      <c r="D233" s="2">
        <v>90.049000000000007</v>
      </c>
      <c r="E233" s="2">
        <v>8464.2999999999993</v>
      </c>
      <c r="F233" s="2">
        <v>2380.8000000000002</v>
      </c>
      <c r="G233" s="2">
        <v>9337.8564730542221</v>
      </c>
      <c r="H233" s="2">
        <v>1661.3519367021104</v>
      </c>
      <c r="I233" s="2">
        <v>253.45983888893113</v>
      </c>
      <c r="J233" s="2">
        <v>97.876999999999995</v>
      </c>
      <c r="K233" s="2">
        <v>92.620999999999995</v>
      </c>
      <c r="L233" s="2">
        <v>105.67400000000001</v>
      </c>
      <c r="M233" s="2">
        <v>0.82298283928242388</v>
      </c>
      <c r="N233" s="2">
        <v>1.5498215222808078</v>
      </c>
      <c r="O233" s="2">
        <v>0.86152269724947284</v>
      </c>
      <c r="P233" s="2">
        <v>1.5603286258326368</v>
      </c>
      <c r="Q233" s="2">
        <v>1.3401428977364458</v>
      </c>
      <c r="R233" s="2">
        <v>294463</v>
      </c>
      <c r="S233" s="2">
        <v>224418</v>
      </c>
      <c r="T233" s="2">
        <v>6.19</v>
      </c>
      <c r="U233" s="2">
        <v>4.17</v>
      </c>
      <c r="V233" s="2">
        <v>2.0099999999999998</v>
      </c>
      <c r="W233" s="2">
        <v>1161.7866666666666</v>
      </c>
      <c r="X233" s="2">
        <v>1877.786865234375</v>
      </c>
      <c r="Y233" s="2">
        <v>4.7832537864720297E-2</v>
      </c>
      <c r="Z233" s="2">
        <v>4.5663133263587952E-2</v>
      </c>
      <c r="AA233" s="2">
        <v>1.2839482165873051E-2</v>
      </c>
      <c r="AB233" s="2">
        <v>0.75680640440339497</v>
      </c>
      <c r="AC233" s="2">
        <v>1.17251175160597</v>
      </c>
      <c r="AD233" s="2">
        <v>0.37374467255909499</v>
      </c>
      <c r="AE233" s="2">
        <v>0.33367893851719399</v>
      </c>
      <c r="AF233" s="2">
        <v>-0.24490000000000001</v>
      </c>
      <c r="AG233" s="2">
        <v>1.8050999999999999</v>
      </c>
      <c r="AH233" s="2">
        <v>-0.32840000000000003</v>
      </c>
      <c r="AI233" s="2">
        <v>-8.3495193624872094E-2</v>
      </c>
      <c r="AJ233" s="2">
        <v>-0.23573617030326899</v>
      </c>
      <c r="AK233" s="2">
        <v>-0.52955173298638403</v>
      </c>
      <c r="AL233" s="2">
        <v>-0.37937954891541098</v>
      </c>
      <c r="AM233" s="2">
        <v>-2.9374286151793699E-2</v>
      </c>
      <c r="AN233" s="2">
        <v>0.192985628165282</v>
      </c>
      <c r="AO233" s="2">
        <v>-0.21837883431999899</v>
      </c>
      <c r="AP233" s="2">
        <v>-4.3825218584498699E-2</v>
      </c>
      <c r="AQ233" s="2">
        <v>-0.58695266736083396</v>
      </c>
      <c r="AR233" s="2">
        <v>0.42423807926674301</v>
      </c>
      <c r="AS233" s="2">
        <v>0.355850795465875</v>
      </c>
      <c r="AT233" s="2">
        <v>0.17603262158938199</v>
      </c>
    </row>
    <row r="234" spans="1:46" x14ac:dyDescent="0.25">
      <c r="A234" s="2">
        <v>2005</v>
      </c>
      <c r="B234" s="2">
        <v>12813.7</v>
      </c>
      <c r="C234" s="2">
        <v>14099.116446420123</v>
      </c>
      <c r="D234" s="2">
        <v>90.882999999999996</v>
      </c>
      <c r="E234" s="2">
        <v>8573.1</v>
      </c>
      <c r="F234" s="2">
        <v>2475.1999999999998</v>
      </c>
      <c r="G234" s="2">
        <v>9409.2016594595771</v>
      </c>
      <c r="H234" s="2">
        <v>1681.8995063697701</v>
      </c>
      <c r="I234" s="2">
        <v>254.76289989485218</v>
      </c>
      <c r="J234" s="2">
        <v>99.066999999999993</v>
      </c>
      <c r="K234" s="2">
        <v>93.489000000000004</v>
      </c>
      <c r="L234" s="2">
        <v>105.96599999999999</v>
      </c>
      <c r="M234" s="2">
        <v>0.82771819335514929</v>
      </c>
      <c r="N234" s="2">
        <v>1.5615316347843458</v>
      </c>
      <c r="O234" s="2">
        <v>0.86466481325446598</v>
      </c>
      <c r="P234" s="2">
        <v>1.571578872613536</v>
      </c>
      <c r="Q234" s="2">
        <v>1.3394224480917365</v>
      </c>
      <c r="R234" s="2">
        <v>295102</v>
      </c>
      <c r="S234" s="2">
        <v>225038</v>
      </c>
      <c r="T234" s="2">
        <v>5.97</v>
      </c>
      <c r="U234" s="2">
        <v>4.3</v>
      </c>
      <c r="V234" s="2">
        <v>2.54</v>
      </c>
      <c r="W234" s="2">
        <v>1191.98</v>
      </c>
      <c r="X234" s="2">
        <v>1914.8546142578125</v>
      </c>
      <c r="Y234" s="2">
        <v>0.19359638884948799</v>
      </c>
      <c r="Z234" s="2">
        <v>-1.2120800092816353E-2</v>
      </c>
      <c r="AA234" s="2">
        <v>-2.8161352965980768E-3</v>
      </c>
      <c r="AB234" s="2">
        <v>-0.22875588771602201</v>
      </c>
      <c r="AC234" s="2">
        <v>0.13647295164899001</v>
      </c>
      <c r="AD234" s="2">
        <v>-1.32238584731099</v>
      </c>
      <c r="AE234" s="2">
        <v>0.46612021675492099</v>
      </c>
      <c r="AF234" s="2">
        <v>0.93710000000000004</v>
      </c>
      <c r="AG234" s="2">
        <v>0.13159999999999999</v>
      </c>
      <c r="AH234" s="2">
        <v>-0.54630000000000001</v>
      </c>
      <c r="AI234" s="2">
        <v>0.19462527446564401</v>
      </c>
      <c r="AJ234" s="2">
        <v>7.8155907676508596E-2</v>
      </c>
      <c r="AK234" s="2">
        <v>1.67484420627023E-2</v>
      </c>
      <c r="AL234" s="2">
        <v>-7.9367352396862906E-2</v>
      </c>
      <c r="AM234" s="2">
        <v>-2.43041201850752E-3</v>
      </c>
      <c r="AN234" s="2">
        <v>8.1269991700632302E-2</v>
      </c>
      <c r="AO234" s="2">
        <v>7.2908423155685798E-2</v>
      </c>
      <c r="AP234" s="2">
        <v>1.7382738866497102E-2</v>
      </c>
      <c r="AQ234" s="2">
        <v>-0.322678938547168</v>
      </c>
      <c r="AR234" s="2">
        <v>0.12091933466553401</v>
      </c>
      <c r="AS234" s="2">
        <v>0.53798718185690297</v>
      </c>
      <c r="AT234" s="2">
        <v>0.108753499108595</v>
      </c>
    </row>
    <row r="235" spans="1:46" x14ac:dyDescent="0.25">
      <c r="A235" s="2">
        <v>2005.25</v>
      </c>
      <c r="B235" s="2">
        <v>12974.1</v>
      </c>
      <c r="C235" s="2">
        <v>14172.683875337272</v>
      </c>
      <c r="D235" s="2">
        <v>91.543000000000006</v>
      </c>
      <c r="E235" s="2">
        <v>8723.9</v>
      </c>
      <c r="F235" s="2">
        <v>2469.5</v>
      </c>
      <c r="G235" s="2">
        <v>9511.447884866986</v>
      </c>
      <c r="H235" s="2">
        <v>1706.0962566844919</v>
      </c>
      <c r="I235" s="2">
        <v>256.07952757625918</v>
      </c>
      <c r="J235" s="2">
        <v>99.623999999999995</v>
      </c>
      <c r="K235" s="2">
        <v>93.224999999999994</v>
      </c>
      <c r="L235" s="2">
        <v>106.864</v>
      </c>
      <c r="M235" s="2">
        <v>0.8278211738129686</v>
      </c>
      <c r="N235" s="2">
        <v>1.5679958574175279</v>
      </c>
      <c r="O235" s="2">
        <v>0.8653287141036492</v>
      </c>
      <c r="P235" s="2">
        <v>1.5892165206200577</v>
      </c>
      <c r="Q235" s="2">
        <v>1.3309213395367496</v>
      </c>
      <c r="R235" s="2">
        <v>295710</v>
      </c>
      <c r="S235" s="2">
        <v>225674</v>
      </c>
      <c r="T235" s="2">
        <v>5.97</v>
      </c>
      <c r="U235" s="2">
        <v>4.16</v>
      </c>
      <c r="V235" s="2">
        <v>2.86</v>
      </c>
      <c r="W235" s="2">
        <v>1181.6533333333334</v>
      </c>
      <c r="X235" s="2">
        <v>1912.73486328125</v>
      </c>
      <c r="Y235" s="2">
        <v>-0.51270062601177802</v>
      </c>
      <c r="Z235" s="2">
        <v>-2.133665420114994E-2</v>
      </c>
      <c r="AA235" s="2">
        <v>-6.7333835177123547E-3</v>
      </c>
      <c r="AB235" s="2">
        <v>-1.1864799142328899</v>
      </c>
      <c r="AC235" s="2">
        <v>0.53664037987467506</v>
      </c>
      <c r="AD235" s="2">
        <v>1.75725497462202E-2</v>
      </c>
      <c r="AE235" s="2">
        <v>-4.9319780315559003E-2</v>
      </c>
      <c r="AF235" s="2">
        <v>-0.96020000000000005</v>
      </c>
      <c r="AG235" s="2">
        <v>-0.62470000000000003</v>
      </c>
      <c r="AH235" s="2">
        <v>-0.4168</v>
      </c>
      <c r="AI235" s="2">
        <v>-0.14874552206902</v>
      </c>
      <c r="AJ235" s="2">
        <v>-0.27472708449010003</v>
      </c>
      <c r="AK235" s="2">
        <v>-0.31831241885207801</v>
      </c>
      <c r="AL235" s="2">
        <v>0.55229620274856595</v>
      </c>
      <c r="AM235" s="2">
        <v>4.1386674156517998E-2</v>
      </c>
      <c r="AN235" s="2">
        <v>7.6736838918005104E-2</v>
      </c>
      <c r="AO235" s="2">
        <v>-2.5303454850847999E-2</v>
      </c>
      <c r="AP235" s="2">
        <v>2.4575900775499399E-2</v>
      </c>
      <c r="AQ235" s="2">
        <v>-2.01285769422196E-2</v>
      </c>
      <c r="AR235" s="2">
        <v>9.3998794841619507E-2</v>
      </c>
      <c r="AS235" s="2">
        <v>0.73359449168636603</v>
      </c>
      <c r="AT235" s="2">
        <v>7.6931621931330699E-2</v>
      </c>
    </row>
    <row r="236" spans="1:46" x14ac:dyDescent="0.25">
      <c r="A236" s="2">
        <v>2005.5</v>
      </c>
      <c r="B236" s="2">
        <v>13205.4</v>
      </c>
      <c r="C236" s="2">
        <v>14291.713113778287</v>
      </c>
      <c r="D236" s="2">
        <v>92.399000000000001</v>
      </c>
      <c r="E236" s="2">
        <v>8888.1</v>
      </c>
      <c r="F236" s="2">
        <v>2527.1999999999998</v>
      </c>
      <c r="G236" s="2">
        <v>9585.3374458080798</v>
      </c>
      <c r="H236" s="2">
        <v>1737.4197115998129</v>
      </c>
      <c r="I236" s="2">
        <v>256.76851987195704</v>
      </c>
      <c r="J236" s="2">
        <v>100.578</v>
      </c>
      <c r="K236" s="2">
        <v>93.998000000000005</v>
      </c>
      <c r="L236" s="2">
        <v>107</v>
      </c>
      <c r="M236" s="2">
        <v>0.83459952597897646</v>
      </c>
      <c r="N236" s="2">
        <v>1.589252266766781</v>
      </c>
      <c r="O236" s="2">
        <v>0.8673423585878729</v>
      </c>
      <c r="P236" s="2">
        <v>1.5958463874075968</v>
      </c>
      <c r="Q236" s="2">
        <v>1.3056756195004278</v>
      </c>
      <c r="R236" s="2">
        <v>296444</v>
      </c>
      <c r="S236" s="2">
        <v>226422</v>
      </c>
      <c r="T236" s="2">
        <v>5.98</v>
      </c>
      <c r="U236" s="2">
        <v>4.21</v>
      </c>
      <c r="V236" s="2">
        <v>3.36</v>
      </c>
      <c r="W236" s="2">
        <v>1224.1433333333334</v>
      </c>
      <c r="X236" s="2">
        <v>2020.93359375</v>
      </c>
      <c r="Y236" s="2">
        <v>0.17880199769732699</v>
      </c>
      <c r="Z236" s="2">
        <v>2.0797912031412125E-2</v>
      </c>
      <c r="AA236" s="2">
        <v>9.2999944463372231E-3</v>
      </c>
      <c r="AB236" s="2">
        <v>-0.20263975102560999</v>
      </c>
      <c r="AC236" s="2">
        <v>-1.6230917170446599</v>
      </c>
      <c r="AD236" s="2">
        <v>2.5778082350994702</v>
      </c>
      <c r="AE236" s="2">
        <v>0.71157362344280095</v>
      </c>
      <c r="AF236" s="2">
        <v>9.1700000000000004E-2</v>
      </c>
      <c r="AG236" s="2">
        <v>3.1640999999999999</v>
      </c>
      <c r="AH236" s="2">
        <v>0.27900000000000003</v>
      </c>
      <c r="AI236" s="2">
        <v>0.24090441050779299</v>
      </c>
      <c r="AJ236" s="2">
        <v>-0.43353304605040399</v>
      </c>
      <c r="AK236" s="2">
        <v>0.41784164533635498</v>
      </c>
      <c r="AL236" s="2">
        <v>7.9056463484655105E-3</v>
      </c>
      <c r="AM236" s="2">
        <v>5.6335989232304103E-2</v>
      </c>
      <c r="AN236" s="2">
        <v>8.6922505617130802E-2</v>
      </c>
      <c r="AO236" s="2">
        <v>-4.1474056127647999E-2</v>
      </c>
      <c r="AP236" s="2">
        <v>2.45627195640357E-2</v>
      </c>
      <c r="AQ236" s="2">
        <v>-0.27443399503378701</v>
      </c>
      <c r="AR236" s="2">
        <v>9.8370536186014296E-2</v>
      </c>
      <c r="AS236" s="2">
        <v>0.75676617779451405</v>
      </c>
      <c r="AT236" s="2">
        <v>5.6763956554313703E-2</v>
      </c>
    </row>
    <row r="237" spans="1:46" x14ac:dyDescent="0.25">
      <c r="A237" s="2">
        <v>2005.75</v>
      </c>
      <c r="B237" s="2">
        <v>13381.6</v>
      </c>
      <c r="C237" s="2">
        <v>14373.361976369497</v>
      </c>
      <c r="D237" s="2">
        <v>93.1</v>
      </c>
      <c r="E237" s="2">
        <v>8991.2999999999993</v>
      </c>
      <c r="F237" s="2">
        <v>2636.5</v>
      </c>
      <c r="G237" s="2">
        <v>9621.3029148653841</v>
      </c>
      <c r="H237" s="2">
        <v>1744.3868739205527</v>
      </c>
      <c r="I237" s="2">
        <v>257.29124194930921</v>
      </c>
      <c r="J237" s="2">
        <v>101.25700000000001</v>
      </c>
      <c r="K237" s="2">
        <v>94.156999999999996</v>
      </c>
      <c r="L237" s="2">
        <v>107.541</v>
      </c>
      <c r="M237" s="2">
        <v>0.83812695992821773</v>
      </c>
      <c r="N237" s="2">
        <v>1.6003726432657546</v>
      </c>
      <c r="O237" s="2">
        <v>0.86288316244517571</v>
      </c>
      <c r="P237" s="2">
        <v>1.5918093285604655</v>
      </c>
      <c r="Q237" s="2">
        <v>1.2911295273188375</v>
      </c>
      <c r="R237" s="2">
        <v>297203</v>
      </c>
      <c r="S237" s="2">
        <v>227196</v>
      </c>
      <c r="T237" s="2">
        <v>6.34</v>
      </c>
      <c r="U237" s="2">
        <v>4.49</v>
      </c>
      <c r="V237" s="2">
        <v>3.83</v>
      </c>
      <c r="W237" s="2">
        <v>1230.4666666666665</v>
      </c>
      <c r="X237" s="2">
        <v>2042.2034912109375</v>
      </c>
      <c r="Y237" s="2">
        <v>-0.69404280547785602</v>
      </c>
      <c r="Z237" s="2">
        <v>-2.978658489882946E-2</v>
      </c>
      <c r="AA237" s="2">
        <v>-8.659028448164463E-3</v>
      </c>
      <c r="AB237" s="2">
        <v>0.172660170440395</v>
      </c>
      <c r="AC237" s="2">
        <v>2.4835589524061699</v>
      </c>
      <c r="AD237" s="2">
        <v>-0.66821189534006298</v>
      </c>
      <c r="AE237" s="2">
        <v>-0.74906520040563496</v>
      </c>
      <c r="AF237" s="2">
        <v>-0.73270000000000002</v>
      </c>
      <c r="AG237" s="2">
        <v>2.5356000000000001</v>
      </c>
      <c r="AH237" s="2">
        <v>-0.49030000000000001</v>
      </c>
      <c r="AI237" s="2">
        <v>0.315401753265315</v>
      </c>
      <c r="AJ237" s="2">
        <v>-0.84602450227188097</v>
      </c>
      <c r="AK237" s="2">
        <v>-1.0276658885935399</v>
      </c>
      <c r="AL237" s="2">
        <v>-0.25486823764522498</v>
      </c>
      <c r="AM237" s="2">
        <v>0.15240263274070401</v>
      </c>
      <c r="AN237" s="2">
        <v>6.9811137954165797E-2</v>
      </c>
      <c r="AO237" s="2">
        <v>-3.3856874362774701E-2</v>
      </c>
      <c r="AP237" s="2">
        <v>1.8336544845554598E-2</v>
      </c>
      <c r="AQ237" s="2">
        <v>0.25249336877289003</v>
      </c>
      <c r="AR237" s="2">
        <v>9.3506311713410201E-2</v>
      </c>
      <c r="AS237" s="2">
        <v>0.46871700046973303</v>
      </c>
      <c r="AT237" s="2">
        <v>7.2245415592807699E-2</v>
      </c>
    </row>
    <row r="238" spans="1:46" x14ac:dyDescent="0.25">
      <c r="A238" s="2">
        <v>2006</v>
      </c>
      <c r="B238" s="2">
        <v>13648.9</v>
      </c>
      <c r="C238" s="2">
        <v>14546.103674652571</v>
      </c>
      <c r="D238" s="2">
        <v>93.831999999999994</v>
      </c>
      <c r="E238" s="2">
        <v>9134.2999999999993</v>
      </c>
      <c r="F238" s="2">
        <v>2699.7</v>
      </c>
      <c r="G238" s="2">
        <v>9729.2432230920786</v>
      </c>
      <c r="H238" s="2">
        <v>1808.6931057563588</v>
      </c>
      <c r="I238" s="2">
        <v>259.43143062204166</v>
      </c>
      <c r="J238" s="2">
        <v>102.77</v>
      </c>
      <c r="K238" s="2">
        <v>94.787999999999997</v>
      </c>
      <c r="L238" s="2">
        <v>108.42100000000001</v>
      </c>
      <c r="M238" s="2">
        <v>0.84828553761192471</v>
      </c>
      <c r="N238" s="2">
        <v>1.6173741985343431</v>
      </c>
      <c r="O238" s="2">
        <v>0.87087600111112684</v>
      </c>
      <c r="P238" s="2">
        <v>1.6079726109886172</v>
      </c>
      <c r="Q238" s="2">
        <v>1.2795390743371908</v>
      </c>
      <c r="R238" s="2">
        <v>297854</v>
      </c>
      <c r="S238" s="2">
        <v>227764</v>
      </c>
      <c r="T238" s="2">
        <v>6.31</v>
      </c>
      <c r="U238" s="2">
        <v>4.57</v>
      </c>
      <c r="V238" s="2">
        <v>4.3899999999999997</v>
      </c>
      <c r="W238" s="2">
        <v>1283.04</v>
      </c>
      <c r="X238" s="2">
        <v>2152.937744140625</v>
      </c>
      <c r="Y238" s="2">
        <v>-0.13335985693452099</v>
      </c>
      <c r="Z238" s="2">
        <v>2.2563546895980835E-2</v>
      </c>
      <c r="AA238" s="2">
        <v>1.0795014910399914E-2</v>
      </c>
      <c r="AB238" s="2">
        <v>-0.86383875243346298</v>
      </c>
      <c r="AC238" s="2">
        <v>0.30037337645281997</v>
      </c>
      <c r="AD238" s="2">
        <v>-0.281215534372105</v>
      </c>
      <c r="AE238" s="2">
        <v>-0.15022591920811501</v>
      </c>
      <c r="AF238" s="2">
        <v>0.4385</v>
      </c>
      <c r="AG238" s="2">
        <v>2.5983000000000001</v>
      </c>
      <c r="AH238" s="2">
        <v>-0.69040000000000001</v>
      </c>
      <c r="AI238" s="2">
        <v>0.123196002199719</v>
      </c>
      <c r="AJ238" s="2">
        <v>0.44934622478644798</v>
      </c>
      <c r="AK238" s="2">
        <v>-0.616714240976037</v>
      </c>
      <c r="AL238" s="2">
        <v>0.45802760703925299</v>
      </c>
      <c r="AM238" s="2">
        <v>6.40253388947086E-2</v>
      </c>
      <c r="AN238" s="2">
        <v>4.8441612939745901E-2</v>
      </c>
      <c r="AO238" s="2">
        <v>1.6901670098253E-2</v>
      </c>
      <c r="AP238" s="2">
        <v>9.5654842958996199E-3</v>
      </c>
      <c r="AQ238" s="2">
        <v>8.1808872827474899E-2</v>
      </c>
      <c r="AR238" s="2">
        <v>5.3554606976861797E-2</v>
      </c>
      <c r="AS238" s="2">
        <v>0.28510014735125899</v>
      </c>
      <c r="AT238" s="2">
        <v>3.1297614647369E-2</v>
      </c>
    </row>
    <row r="239" spans="1:46" x14ac:dyDescent="0.25">
      <c r="A239" s="2">
        <v>2006.25</v>
      </c>
      <c r="B239" s="2">
        <v>13799.8</v>
      </c>
      <c r="C239" s="2">
        <v>14589.531330943999</v>
      </c>
      <c r="D239" s="2">
        <v>94.587000000000003</v>
      </c>
      <c r="E239" s="2">
        <v>9253.7000000000007</v>
      </c>
      <c r="F239" s="2">
        <v>2697</v>
      </c>
      <c r="G239" s="2">
        <v>9780.9933515838893</v>
      </c>
      <c r="H239" s="2">
        <v>1831.3037510009256</v>
      </c>
      <c r="I239" s="2">
        <v>260.08934681093115</v>
      </c>
      <c r="J239" s="2">
        <v>103.1</v>
      </c>
      <c r="K239" s="2">
        <v>94.733000000000004</v>
      </c>
      <c r="L239" s="2">
        <v>108.83199999999999</v>
      </c>
      <c r="M239" s="2">
        <v>0.84449010376250444</v>
      </c>
      <c r="N239" s="2">
        <v>1.6232123255619602</v>
      </c>
      <c r="O239" s="2">
        <v>0.86227625247543693</v>
      </c>
      <c r="P239" s="2">
        <v>1.6028297136267309</v>
      </c>
      <c r="Q239" s="2">
        <v>1.262531506755008</v>
      </c>
      <c r="R239" s="2">
        <v>298505</v>
      </c>
      <c r="S239" s="2">
        <v>228433</v>
      </c>
      <c r="T239" s="2">
        <v>6.74</v>
      </c>
      <c r="U239" s="2">
        <v>5.07</v>
      </c>
      <c r="V239" s="2">
        <v>4.7</v>
      </c>
      <c r="W239" s="2">
        <v>1281.7833333333335</v>
      </c>
      <c r="X239" s="2">
        <v>2157.325439453125</v>
      </c>
      <c r="Y239" s="2">
        <v>-0.36315977889232698</v>
      </c>
      <c r="Z239" s="2">
        <v>-2.1458558738231659E-2</v>
      </c>
      <c r="AA239" s="2">
        <v>-1.0080873966217041E-2</v>
      </c>
      <c r="AB239" s="2">
        <v>-0.14187771861800499</v>
      </c>
      <c r="AC239" s="2">
        <v>0.52065356331882595</v>
      </c>
      <c r="AD239" s="2">
        <v>0.32456656429366598</v>
      </c>
      <c r="AE239" s="2">
        <v>-0.113547623421913</v>
      </c>
      <c r="AF239" s="2">
        <v>-0.30570000000000003</v>
      </c>
      <c r="AG239" s="2">
        <v>-1.3344</v>
      </c>
      <c r="AH239" s="2">
        <v>4.8999999999999998E-3</v>
      </c>
      <c r="AI239" s="2">
        <v>-5.59226556880148E-2</v>
      </c>
      <c r="AJ239" s="2">
        <v>-8.4001429162423799E-2</v>
      </c>
      <c r="AK239" s="2">
        <v>-0.40206941775157001</v>
      </c>
      <c r="AL239" s="2">
        <v>-0.74348089192091105</v>
      </c>
      <c r="AM239" s="2">
        <v>3.67801843696582E-2</v>
      </c>
      <c r="AN239" s="2">
        <v>4.3436521921631499E-2</v>
      </c>
      <c r="AO239" s="2">
        <v>1.14733915658144E-2</v>
      </c>
      <c r="AP239" s="2">
        <v>8.0340542553899701E-3</v>
      </c>
      <c r="AQ239" s="2">
        <v>2.83093087370762E-2</v>
      </c>
      <c r="AR239" s="2">
        <v>2.74520435266827E-2</v>
      </c>
      <c r="AS239" s="2">
        <v>7.7020839628958199E-2</v>
      </c>
      <c r="AT239" s="2">
        <v>1.09933806559526E-3</v>
      </c>
    </row>
    <row r="240" spans="1:46" x14ac:dyDescent="0.25">
      <c r="A240" s="2">
        <v>2006.5</v>
      </c>
      <c r="B240" s="2">
        <v>13908.5</v>
      </c>
      <c r="C240" s="2">
        <v>14602.559660671726</v>
      </c>
      <c r="D240" s="2">
        <v>95.247</v>
      </c>
      <c r="E240" s="2">
        <v>9374.2999999999993</v>
      </c>
      <c r="F240" s="2">
        <v>2684.4</v>
      </c>
      <c r="G240" s="2">
        <v>9838.0664525743541</v>
      </c>
      <c r="H240" s="2">
        <v>1853.1414342835296</v>
      </c>
      <c r="I240" s="2">
        <v>261.39202744153727</v>
      </c>
      <c r="J240" s="2">
        <v>103.14</v>
      </c>
      <c r="K240" s="2">
        <v>94.222999999999999</v>
      </c>
      <c r="L240" s="2">
        <v>109.464</v>
      </c>
      <c r="M240" s="2">
        <v>0.83943404473254646</v>
      </c>
      <c r="N240" s="2">
        <v>1.6250466783511983</v>
      </c>
      <c r="O240" s="2">
        <v>0.85500135245378117</v>
      </c>
      <c r="P240" s="2">
        <v>1.6053099952910024</v>
      </c>
      <c r="Q240" s="2">
        <v>1.2533044293205806</v>
      </c>
      <c r="R240" s="2">
        <v>299271</v>
      </c>
      <c r="S240" s="2">
        <v>229166</v>
      </c>
      <c r="T240" s="2">
        <v>6.59</v>
      </c>
      <c r="U240" s="2">
        <v>4.9000000000000004</v>
      </c>
      <c r="V240" s="2">
        <v>4.91</v>
      </c>
      <c r="W240" s="2">
        <v>1288.3766666666668</v>
      </c>
      <c r="X240" s="2">
        <v>2177.946044921875</v>
      </c>
      <c r="Y240" s="2">
        <v>-1.1706271356108</v>
      </c>
      <c r="Z240" s="2">
        <v>1.4418851584196091E-2</v>
      </c>
      <c r="AA240" s="2">
        <v>3.9454945363104343E-4</v>
      </c>
      <c r="AB240" s="2">
        <v>0.14396140528634399</v>
      </c>
      <c r="AC240" s="2">
        <v>4.1547094570067403E-2</v>
      </c>
      <c r="AD240" s="2">
        <v>-0.14499727065633999</v>
      </c>
      <c r="AE240" s="2">
        <v>-0.72857304360251396</v>
      </c>
      <c r="AF240" s="2">
        <v>-1.0306</v>
      </c>
      <c r="AG240" s="2">
        <v>0.78369999999999995</v>
      </c>
      <c r="AH240" s="2">
        <v>5.0599999999999999E-2</v>
      </c>
      <c r="AI240" s="2">
        <v>-5.21532161716039E-2</v>
      </c>
      <c r="AJ240" s="2">
        <v>-0.31140105853893502</v>
      </c>
      <c r="AK240" s="2">
        <v>-0.84358066561145595</v>
      </c>
      <c r="AL240" s="2">
        <v>-0.54107270532914897</v>
      </c>
      <c r="AM240" s="2">
        <v>6.3013151600300899E-3</v>
      </c>
      <c r="AN240" s="2">
        <v>1.2720171046461899E-2</v>
      </c>
      <c r="AO240" s="2">
        <v>6.3869408646329501E-3</v>
      </c>
      <c r="AP240" s="2">
        <v>3.5501554009161598E-3</v>
      </c>
      <c r="AQ240" s="2">
        <v>-7.3533671287390199E-3</v>
      </c>
      <c r="AR240" s="2">
        <v>4.5227764382561501E-4</v>
      </c>
      <c r="AS240" s="2">
        <v>-5.1195854963519999E-2</v>
      </c>
      <c r="AT240" s="2">
        <v>-7.7922671931284198E-3</v>
      </c>
    </row>
    <row r="241" spans="1:46" x14ac:dyDescent="0.25">
      <c r="A241" s="2">
        <v>2006.75</v>
      </c>
      <c r="B241" s="2">
        <v>14066.4</v>
      </c>
      <c r="C241" s="2">
        <v>14716.886377903327</v>
      </c>
      <c r="D241" s="2">
        <v>95.58</v>
      </c>
      <c r="E241" s="2">
        <v>9453.6</v>
      </c>
      <c r="F241" s="2">
        <v>2641.6</v>
      </c>
      <c r="G241" s="2">
        <v>9938.3949033872286</v>
      </c>
      <c r="H241" s="2">
        <v>1865.1236622458907</v>
      </c>
      <c r="I241" s="2">
        <v>262.57047878315325</v>
      </c>
      <c r="J241" s="2">
        <v>104.182</v>
      </c>
      <c r="K241" s="2">
        <v>94.831999999999994</v>
      </c>
      <c r="L241" s="2">
        <v>109.86</v>
      </c>
      <c r="M241" s="2">
        <v>0.84289392957399489</v>
      </c>
      <c r="N241" s="2">
        <v>1.6309947596933621</v>
      </c>
      <c r="O241" s="2">
        <v>0.86007696227616259</v>
      </c>
      <c r="P241" s="2">
        <v>1.6252708101493138</v>
      </c>
      <c r="Q241" s="2">
        <v>1.2571143426482299</v>
      </c>
      <c r="R241" s="2">
        <v>300090</v>
      </c>
      <c r="S241" s="2">
        <v>229896</v>
      </c>
      <c r="T241" s="2">
        <v>6.28</v>
      </c>
      <c r="U241" s="2">
        <v>4.63</v>
      </c>
      <c r="V241" s="2">
        <v>4.9000000000000004</v>
      </c>
      <c r="W241" s="2">
        <v>1389.4800000000002</v>
      </c>
      <c r="X241" s="2">
        <v>2351.871826171875</v>
      </c>
      <c r="Y241" s="2">
        <v>0.241492567007281</v>
      </c>
      <c r="Z241" s="2">
        <v>6.1145558953285217E-2</v>
      </c>
      <c r="AA241" s="2">
        <v>1.9280102103948593E-2</v>
      </c>
      <c r="AB241" s="2">
        <v>1.05628315967436</v>
      </c>
      <c r="AC241" s="2">
        <v>0.53313039806721296</v>
      </c>
      <c r="AD241" s="2">
        <v>-1.68358054514897</v>
      </c>
      <c r="AE241" s="2">
        <v>0.29273248781672401</v>
      </c>
      <c r="AF241" s="2">
        <v>0.877</v>
      </c>
      <c r="AG241" s="2">
        <v>-0.90149999999999997</v>
      </c>
      <c r="AH241" s="2">
        <v>-0.96250000000000002</v>
      </c>
      <c r="AI241" s="2">
        <v>-0.20054097970489401</v>
      </c>
      <c r="AJ241" s="2">
        <v>-0.43664647522278799</v>
      </c>
      <c r="AK241" s="2">
        <v>-4.8192565631312502E-2</v>
      </c>
      <c r="AL241" s="2">
        <v>-1.1768407682744799</v>
      </c>
      <c r="AM241" s="2">
        <v>-5.2450460374461799E-2</v>
      </c>
      <c r="AN241" s="2">
        <v>-1.978668467621E-2</v>
      </c>
      <c r="AO241" s="2">
        <v>-2.1145655158748201E-2</v>
      </c>
      <c r="AP241" s="2">
        <v>-9.0566347719877299E-3</v>
      </c>
      <c r="AQ241" s="2">
        <v>-8.2872967018349605E-2</v>
      </c>
      <c r="AR241" s="2">
        <v>-5.7179960682628699E-2</v>
      </c>
      <c r="AS241" s="2">
        <v>-0.30029732556953898</v>
      </c>
      <c r="AT241" s="2">
        <v>-6.4590350034146204E-2</v>
      </c>
    </row>
    <row r="242" spans="1:46" x14ac:dyDescent="0.25">
      <c r="A242" s="2">
        <v>2007</v>
      </c>
      <c r="B242" s="2">
        <v>14233.2</v>
      </c>
      <c r="C242" s="2">
        <v>14725.929604568875</v>
      </c>
      <c r="D242" s="2">
        <v>96.653999999999996</v>
      </c>
      <c r="E242" s="2">
        <v>9591.9</v>
      </c>
      <c r="F242" s="2">
        <v>2634.2</v>
      </c>
      <c r="G242" s="2">
        <v>9990.729939171737</v>
      </c>
      <c r="H242" s="2">
        <v>1897.1411130328618</v>
      </c>
      <c r="I242" s="2">
        <v>262.32724779251697</v>
      </c>
      <c r="J242" s="2">
        <v>104.26600000000001</v>
      </c>
      <c r="K242" s="2">
        <v>94.849000000000004</v>
      </c>
      <c r="L242" s="2">
        <v>109.928</v>
      </c>
      <c r="M242" s="2">
        <v>0.8384711587636291</v>
      </c>
      <c r="N242" s="2">
        <v>1.6364071583566655</v>
      </c>
      <c r="O242" s="2">
        <v>0.85574744519671841</v>
      </c>
      <c r="P242" s="2">
        <v>1.6299298519753702</v>
      </c>
      <c r="Q242" s="2">
        <v>1.2449421284676117</v>
      </c>
      <c r="R242" s="2">
        <v>300799</v>
      </c>
      <c r="S242" s="2">
        <v>230839</v>
      </c>
      <c r="T242" s="2">
        <v>6.3</v>
      </c>
      <c r="U242" s="2">
        <v>4.68</v>
      </c>
      <c r="V242" s="2">
        <v>4.9800000000000004</v>
      </c>
      <c r="W242" s="2">
        <v>1425.3033333333333</v>
      </c>
      <c r="X242" s="2">
        <v>2415.41455078125</v>
      </c>
      <c r="Y242" s="2">
        <v>-0.49838860667754897</v>
      </c>
      <c r="Z242" s="2">
        <v>-1.0198311880230904E-2</v>
      </c>
      <c r="AA242" s="2">
        <v>-7.3269074782729149E-3</v>
      </c>
      <c r="AB242" s="2">
        <v>1.00760299544295</v>
      </c>
      <c r="AC242" s="2">
        <v>0.19396821268928299</v>
      </c>
      <c r="AD242" s="2">
        <v>1.52651105778368</v>
      </c>
      <c r="AE242" s="2">
        <v>-0.73138049541434702</v>
      </c>
      <c r="AF242" s="2">
        <v>-0.20799999999999999</v>
      </c>
      <c r="AG242" s="2">
        <v>2.4165999999999999</v>
      </c>
      <c r="AH242" s="2">
        <v>0.31359999999999999</v>
      </c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x14ac:dyDescent="0.25">
      <c r="A243" s="2">
        <v>2007.25</v>
      </c>
      <c r="B243" s="2">
        <v>14422.3</v>
      </c>
      <c r="C243" s="2">
        <v>14838.673169125666</v>
      </c>
      <c r="D243" s="2">
        <v>97.194000000000003</v>
      </c>
      <c r="E243" s="2">
        <v>9700.9</v>
      </c>
      <c r="F243" s="2">
        <v>2671.9</v>
      </c>
      <c r="G243" s="2">
        <v>10024.594144940116</v>
      </c>
      <c r="H243" s="2">
        <v>1934.3879931041477</v>
      </c>
      <c r="I243" s="2">
        <v>263.15265591025769</v>
      </c>
      <c r="J243" s="2">
        <v>105.255</v>
      </c>
      <c r="K243" s="2">
        <v>95.634</v>
      </c>
      <c r="L243" s="2">
        <v>110.06</v>
      </c>
      <c r="M243" s="2">
        <v>0.83870344896448024</v>
      </c>
      <c r="N243" s="2">
        <v>1.6432374092383082</v>
      </c>
      <c r="O243" s="2">
        <v>0.85177072133931975</v>
      </c>
      <c r="P243" s="2">
        <v>1.6212176471551254</v>
      </c>
      <c r="Q243" s="2">
        <v>1.2331350921066755</v>
      </c>
      <c r="R243" s="2">
        <v>301492</v>
      </c>
      <c r="S243" s="2">
        <v>231482</v>
      </c>
      <c r="T243" s="2">
        <v>6.49</v>
      </c>
      <c r="U243" s="2">
        <v>4.8499999999999996</v>
      </c>
      <c r="V243" s="2">
        <v>4.74</v>
      </c>
      <c r="W243" s="2">
        <v>1496.3233333333335</v>
      </c>
      <c r="X243" s="2">
        <v>2563.0888671875</v>
      </c>
      <c r="Y243" s="2">
        <v>-0.154019668241101</v>
      </c>
      <c r="Z243" s="2">
        <v>4.1229274123907089E-2</v>
      </c>
      <c r="AA243" s="2">
        <v>1.0443791747093201E-2</v>
      </c>
      <c r="AB243" s="2">
        <v>-0.23452683558419399</v>
      </c>
      <c r="AC243" s="2">
        <v>-0.44639785587103598</v>
      </c>
      <c r="AD243" s="2">
        <v>-0.17982500874183799</v>
      </c>
      <c r="AE243" s="2">
        <v>0.280547007303864</v>
      </c>
      <c r="AF243" s="2">
        <v>-0.14649999999999999</v>
      </c>
      <c r="AG243" s="2">
        <v>2.5710000000000002</v>
      </c>
      <c r="AH243" s="2">
        <v>0.34200000000000003</v>
      </c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x14ac:dyDescent="0.25">
      <c r="A244" s="2">
        <v>2007.5</v>
      </c>
      <c r="B244" s="2">
        <v>14569.7</v>
      </c>
      <c r="C244" s="2">
        <v>14938.532364068858</v>
      </c>
      <c r="D244" s="2">
        <v>97.531000000000006</v>
      </c>
      <c r="E244" s="2">
        <v>9799.2000000000007</v>
      </c>
      <c r="F244" s="2">
        <v>2658.2</v>
      </c>
      <c r="G244" s="2">
        <v>10069.154019256261</v>
      </c>
      <c r="H244" s="2">
        <v>1964.4594923363879</v>
      </c>
      <c r="I244" s="2">
        <v>262.54998553600888</v>
      </c>
      <c r="J244" s="2">
        <v>106.05200000000001</v>
      </c>
      <c r="K244" s="2">
        <v>96.710999999999999</v>
      </c>
      <c r="L244" s="2">
        <v>109.658</v>
      </c>
      <c r="M244" s="2">
        <v>0.83543781915904936</v>
      </c>
      <c r="N244" s="2">
        <v>1.6468490931728901</v>
      </c>
      <c r="O244" s="2">
        <v>0.85309970509559674</v>
      </c>
      <c r="P244" s="2">
        <v>1.6290286921740642</v>
      </c>
      <c r="Q244" s="2">
        <v>1.2154956781645496</v>
      </c>
      <c r="R244" s="2">
        <v>302272</v>
      </c>
      <c r="S244" s="2">
        <v>232210</v>
      </c>
      <c r="T244" s="2">
        <v>6.63</v>
      </c>
      <c r="U244" s="2">
        <v>4.7300000000000004</v>
      </c>
      <c r="V244" s="2">
        <v>4.3</v>
      </c>
      <c r="W244" s="2">
        <v>1490.8166666666666</v>
      </c>
      <c r="X244" s="2">
        <v>2532.94482421875</v>
      </c>
      <c r="Y244" s="2">
        <v>0.96100208051265401</v>
      </c>
      <c r="Z244" s="2">
        <v>-2.3037590086460114E-2</v>
      </c>
      <c r="AA244" s="2">
        <v>-1.0880921967327595E-2</v>
      </c>
      <c r="AB244" s="2">
        <v>0.20218220234559101</v>
      </c>
      <c r="AC244" s="2">
        <v>-0.359075212247363</v>
      </c>
      <c r="AD244" s="2">
        <v>0.35298584210357598</v>
      </c>
      <c r="AE244" s="2">
        <v>0.54067219804824596</v>
      </c>
      <c r="AF244" s="2">
        <v>0.85509999999999997</v>
      </c>
      <c r="AG244" s="2">
        <v>-0.70209999999999995</v>
      </c>
      <c r="AH244" s="2">
        <v>0.17319999999999999</v>
      </c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x14ac:dyDescent="0.25">
      <c r="A245" s="2">
        <v>2007.75</v>
      </c>
      <c r="B245" s="2">
        <v>14685.3</v>
      </c>
      <c r="C245" s="2">
        <v>14991.730981256891</v>
      </c>
      <c r="D245" s="2">
        <v>97.956000000000003</v>
      </c>
      <c r="E245" s="2">
        <v>9910</v>
      </c>
      <c r="F245" s="2">
        <v>2610.6</v>
      </c>
      <c r="G245" s="2">
        <v>10081.793765768698</v>
      </c>
      <c r="H245" s="2">
        <v>1997.5490196078431</v>
      </c>
      <c r="I245" s="2">
        <v>263.03708364313798</v>
      </c>
      <c r="J245" s="2">
        <v>106.32</v>
      </c>
      <c r="K245" s="2">
        <v>96.997</v>
      </c>
      <c r="L245" s="2">
        <v>109.61199999999999</v>
      </c>
      <c r="M245" s="2">
        <v>0.83467646684817365</v>
      </c>
      <c r="N245" s="2">
        <v>1.652885697464807</v>
      </c>
      <c r="O245" s="2">
        <v>0.85714040283472648</v>
      </c>
      <c r="P245" s="2">
        <v>1.6445154552332224</v>
      </c>
      <c r="Q245" s="2">
        <v>1.191519668757288</v>
      </c>
      <c r="R245" s="2">
        <v>303049</v>
      </c>
      <c r="S245" s="2">
        <v>232937</v>
      </c>
      <c r="T245" s="2">
        <v>6.51</v>
      </c>
      <c r="U245" s="2">
        <v>4.26</v>
      </c>
      <c r="V245" s="2">
        <v>3.39</v>
      </c>
      <c r="W245" s="2">
        <v>1494.0900000000001</v>
      </c>
      <c r="X245" s="2">
        <v>2573.8994140625</v>
      </c>
      <c r="Y245" s="2">
        <v>0.11885310077352999</v>
      </c>
      <c r="Z245" s="2">
        <v>1.5887758927419782E-3</v>
      </c>
      <c r="AA245" s="2">
        <v>-1.5978169394657016E-3</v>
      </c>
      <c r="AB245" s="2"/>
      <c r="AC245" s="2">
        <v>-1.25248632459854</v>
      </c>
      <c r="AD245" s="2">
        <v>1.27823552115252</v>
      </c>
      <c r="AE245" s="2">
        <v>0.19964367359766599</v>
      </c>
      <c r="AF245" s="2">
        <v>-0.67459999999999998</v>
      </c>
      <c r="AG245" s="2">
        <v>-0.62129999999999996</v>
      </c>
      <c r="AH245" s="2">
        <v>0.74409999999999998</v>
      </c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x14ac:dyDescent="0.25">
      <c r="A246" s="2">
        <v>2008</v>
      </c>
      <c r="B246" s="2">
        <v>14668.4</v>
      </c>
      <c r="C246" s="2">
        <v>14889.35807381542</v>
      </c>
      <c r="D246" s="2">
        <v>98.516000000000005</v>
      </c>
      <c r="E246" s="2">
        <v>9974.4</v>
      </c>
      <c r="F246" s="2">
        <v>2527</v>
      </c>
      <c r="G246" s="2">
        <v>10061.025428943201</v>
      </c>
      <c r="H246" s="2">
        <v>1998.0841946054954</v>
      </c>
      <c r="I246" s="2">
        <v>262.72296821656118</v>
      </c>
      <c r="J246" s="2">
        <v>105.10299999999999</v>
      </c>
      <c r="K246" s="2">
        <v>96.144000000000005</v>
      </c>
      <c r="L246" s="2">
        <v>109.318</v>
      </c>
      <c r="M246" s="2">
        <v>0.82362681436987184</v>
      </c>
      <c r="N246" s="2">
        <v>1.6463697807115381</v>
      </c>
      <c r="O246" s="2">
        <v>0.84599604881276358</v>
      </c>
      <c r="P246" s="2">
        <v>1.6340659761079939</v>
      </c>
      <c r="Q246" s="2">
        <v>1.1769515416200453</v>
      </c>
      <c r="R246" s="2">
        <v>303708</v>
      </c>
      <c r="S246" s="2">
        <v>232807</v>
      </c>
      <c r="T246" s="2">
        <v>6.75</v>
      </c>
      <c r="U246" s="2">
        <v>3.66</v>
      </c>
      <c r="V246" s="2">
        <v>2.04</v>
      </c>
      <c r="W246" s="2">
        <v>1350.19</v>
      </c>
      <c r="X246" s="2">
        <v>2316.163818359375</v>
      </c>
      <c r="Y246" s="2">
        <v>-0.69302161223651804</v>
      </c>
      <c r="Z246" s="2">
        <v>-9.0094693005084991E-2</v>
      </c>
      <c r="AA246" s="2">
        <v>-3.308139368891716E-2</v>
      </c>
      <c r="AB246" s="2"/>
      <c r="AC246" s="2">
        <v>2.5970606930176901E-2</v>
      </c>
      <c r="AD246" s="2">
        <v>-5.4196436404507699E-2</v>
      </c>
      <c r="AE246" s="2">
        <v>-1.0111584891088301</v>
      </c>
      <c r="AF246" s="2">
        <v>-0.76070000000000004</v>
      </c>
      <c r="AG246" s="2">
        <v>-3.3487</v>
      </c>
      <c r="AH246" s="2">
        <v>0.73760000000000003</v>
      </c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x14ac:dyDescent="0.25">
      <c r="A247" s="2">
        <v>2008.25</v>
      </c>
      <c r="B247" s="2">
        <v>14813</v>
      </c>
      <c r="C247" s="2">
        <v>14963.381988989342</v>
      </c>
      <c r="D247" s="2">
        <v>98.995000000000005</v>
      </c>
      <c r="E247" s="2">
        <v>10095.799999999999</v>
      </c>
      <c r="F247" s="2">
        <v>2493.3000000000002</v>
      </c>
      <c r="G247" s="2">
        <v>10077.96200724717</v>
      </c>
      <c r="H247" s="2">
        <v>1986.5269160492342</v>
      </c>
      <c r="I247" s="2">
        <v>262.08703973553321</v>
      </c>
      <c r="J247" s="2">
        <v>105.551</v>
      </c>
      <c r="K247" s="2">
        <v>97.066999999999993</v>
      </c>
      <c r="L247" s="2">
        <v>108.74</v>
      </c>
      <c r="M247" s="2">
        <v>0.82501488229618081</v>
      </c>
      <c r="N247" s="2">
        <v>1.6536563120378882</v>
      </c>
      <c r="O247" s="2">
        <v>0.84903915619473935</v>
      </c>
      <c r="P247" s="2">
        <v>1.6504260545499012</v>
      </c>
      <c r="Q247" s="2">
        <v>1.1576977962833852</v>
      </c>
      <c r="R247" s="2">
        <v>304332</v>
      </c>
      <c r="S247" s="2">
        <v>233410</v>
      </c>
      <c r="T247" s="2">
        <v>6.99</v>
      </c>
      <c r="U247" s="2">
        <v>3.89</v>
      </c>
      <c r="V247" s="2">
        <v>1.63</v>
      </c>
      <c r="W247" s="2">
        <v>1371.6466666666668</v>
      </c>
      <c r="X247" s="2">
        <v>2355.45751953125</v>
      </c>
      <c r="Y247" s="2">
        <v>0.12477546834255999</v>
      </c>
      <c r="Z247" s="2">
        <v>4.1758853942155838E-2</v>
      </c>
      <c r="AA247" s="2">
        <v>1.3163681142032146E-2</v>
      </c>
      <c r="AB247" s="2"/>
      <c r="AC247" s="2">
        <v>-2.84522545635493</v>
      </c>
      <c r="AD247" s="2">
        <v>1.0859228381422401</v>
      </c>
      <c r="AE247" s="2">
        <v>0.79021337635382405</v>
      </c>
      <c r="AF247" s="2">
        <v>0.1515</v>
      </c>
      <c r="AG247" s="2">
        <v>-3.02</v>
      </c>
      <c r="AH247" s="2">
        <v>0.1618</v>
      </c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x14ac:dyDescent="0.25">
      <c r="A248" s="2">
        <v>2008.5</v>
      </c>
      <c r="B248" s="2">
        <v>14843</v>
      </c>
      <c r="C248" s="2">
        <v>14891.695845414506</v>
      </c>
      <c r="D248" s="2">
        <v>99.673000000000002</v>
      </c>
      <c r="E248" s="2">
        <v>10124.9</v>
      </c>
      <c r="F248" s="2">
        <v>2435.9</v>
      </c>
      <c r="G248" s="2">
        <v>10005.138492247794</v>
      </c>
      <c r="H248" s="2">
        <v>1932.9766430748157</v>
      </c>
      <c r="I248" s="2">
        <v>259.96845636355033</v>
      </c>
      <c r="J248" s="2">
        <v>104.666</v>
      </c>
      <c r="K248" s="2">
        <v>97.305000000000007</v>
      </c>
      <c r="L248" s="2">
        <v>107.565</v>
      </c>
      <c r="M248" s="2">
        <v>0.82125051474076161</v>
      </c>
      <c r="N248" s="2">
        <v>1.6529344416892311</v>
      </c>
      <c r="O248" s="2">
        <v>0.85228967656341259</v>
      </c>
      <c r="P248" s="2">
        <v>1.6680523213432947</v>
      </c>
      <c r="Q248" s="2">
        <v>1.1496185150422402</v>
      </c>
      <c r="R248" s="2">
        <v>305051</v>
      </c>
      <c r="S248" s="2">
        <v>234110</v>
      </c>
      <c r="T248" s="2">
        <v>7.21</v>
      </c>
      <c r="U248" s="2">
        <v>3.86</v>
      </c>
      <c r="V248" s="2">
        <v>1.49</v>
      </c>
      <c r="W248" s="2">
        <v>1251.9166666666667</v>
      </c>
      <c r="X248" s="2">
        <v>2179.49169921875</v>
      </c>
      <c r="Y248" s="2">
        <v>-0.59605817495424196</v>
      </c>
      <c r="Z248" s="2">
        <v>-0.11544431746006012</v>
      </c>
      <c r="AA248" s="2">
        <v>-3.658716008067131E-2</v>
      </c>
      <c r="AB248" s="2"/>
      <c r="AC248" s="2">
        <v>-0.85096717703681601</v>
      </c>
      <c r="AD248" s="2">
        <v>6.3112449268236601E-2</v>
      </c>
      <c r="AE248" s="2">
        <v>0.31237744782893601</v>
      </c>
      <c r="AF248" s="2">
        <v>0.15540000000000001</v>
      </c>
      <c r="AG248" s="2">
        <v>-0.85589999999999999</v>
      </c>
      <c r="AH248" s="2">
        <v>0.27489999999999998</v>
      </c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x14ac:dyDescent="0.25">
      <c r="A249" s="2">
        <v>2008.75</v>
      </c>
      <c r="B249" s="2">
        <v>14549.9</v>
      </c>
      <c r="C249" s="2">
        <v>14576.867204328008</v>
      </c>
      <c r="D249" s="2">
        <v>99.814999999999998</v>
      </c>
      <c r="E249" s="2">
        <v>9859.6</v>
      </c>
      <c r="F249" s="2">
        <v>2243.1</v>
      </c>
      <c r="G249" s="2">
        <v>9884.7071561766898</v>
      </c>
      <c r="H249" s="2">
        <v>1820.1429678077291</v>
      </c>
      <c r="I249" s="2">
        <v>255.38628108869824</v>
      </c>
      <c r="J249" s="2">
        <v>101.61499999999999</v>
      </c>
      <c r="K249" s="2">
        <v>96.76</v>
      </c>
      <c r="L249" s="2">
        <v>105.018</v>
      </c>
      <c r="M249" s="2">
        <v>0.80515098436685961</v>
      </c>
      <c r="N249" s="2">
        <v>1.633933430429197</v>
      </c>
      <c r="O249" s="2">
        <v>0.85356426676001407</v>
      </c>
      <c r="P249" s="2">
        <v>1.6966381602737362</v>
      </c>
      <c r="Q249" s="2">
        <v>1.1775938067783047</v>
      </c>
      <c r="R249" s="2">
        <v>305781</v>
      </c>
      <c r="S249" s="2">
        <v>234825</v>
      </c>
      <c r="T249" s="2">
        <v>8.84</v>
      </c>
      <c r="U249" s="2">
        <v>3.25</v>
      </c>
      <c r="V249" s="2">
        <v>0.3</v>
      </c>
      <c r="W249" s="2">
        <v>909.79999999999984</v>
      </c>
      <c r="X249" s="2">
        <v>1622.654052734375</v>
      </c>
      <c r="Y249" s="2">
        <v>-1.51290427771355</v>
      </c>
      <c r="Z249" s="2">
        <v>-0.25802364945411682</v>
      </c>
      <c r="AA249" s="2">
        <v>-8.3060652017593384E-2</v>
      </c>
      <c r="AB249" s="2"/>
      <c r="AC249" s="2">
        <v>2.1390446665785299</v>
      </c>
      <c r="AD249" s="2">
        <v>-3.27931792552755</v>
      </c>
      <c r="AE249" s="2">
        <v>-1.0024964843661099</v>
      </c>
      <c r="AF249" s="2">
        <v>2.6869000000000001</v>
      </c>
      <c r="AG249" s="2">
        <v>-10.9236</v>
      </c>
      <c r="AH249" s="2">
        <v>-2.4561000000000002</v>
      </c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x14ac:dyDescent="0.25">
      <c r="A250" s="2">
        <v>2009</v>
      </c>
      <c r="B250" s="2">
        <v>14383.9</v>
      </c>
      <c r="C250" s="2">
        <v>14374.987507745198</v>
      </c>
      <c r="D250" s="2">
        <v>100.062</v>
      </c>
      <c r="E250" s="2">
        <v>9770.2000000000007</v>
      </c>
      <c r="F250" s="2">
        <v>1972.1</v>
      </c>
      <c r="G250" s="2">
        <v>9850.7793752898724</v>
      </c>
      <c r="H250" s="2">
        <v>1688.2758348698026</v>
      </c>
      <c r="I250" s="2">
        <v>250.17439168397877</v>
      </c>
      <c r="J250" s="2">
        <v>99.733000000000004</v>
      </c>
      <c r="K250" s="2">
        <v>97.504999999999995</v>
      </c>
      <c r="L250" s="2">
        <v>102.285</v>
      </c>
      <c r="M250" s="2">
        <v>0.79870884474895731</v>
      </c>
      <c r="N250" s="2">
        <v>1.6329473138859298</v>
      </c>
      <c r="O250" s="2">
        <v>0.86597088194330851</v>
      </c>
      <c r="P250" s="2">
        <v>1.7458786476737864</v>
      </c>
      <c r="Q250" s="2">
        <v>1.1693129483831326</v>
      </c>
      <c r="R250" s="2">
        <v>306399</v>
      </c>
      <c r="S250" s="2">
        <v>234913</v>
      </c>
      <c r="T250" s="2">
        <v>8.2100000000000009</v>
      </c>
      <c r="U250" s="2">
        <v>2.74</v>
      </c>
      <c r="V250" s="2">
        <v>0.21</v>
      </c>
      <c r="W250" s="2">
        <v>809.31333333333339</v>
      </c>
      <c r="X250" s="2">
        <v>1407.558837890625</v>
      </c>
      <c r="Y250" s="2">
        <v>0.55461889726154301</v>
      </c>
      <c r="Z250" s="2">
        <v>-6.2964991666376591E-3</v>
      </c>
      <c r="AA250" s="2">
        <v>-2.1049375936854631E-4</v>
      </c>
      <c r="AB250" s="2"/>
      <c r="AC250" s="2">
        <v>-0.85702352107482105</v>
      </c>
      <c r="AD250" s="2">
        <v>0.78581836615179101</v>
      </c>
      <c r="AE250" s="2">
        <v>-8.6205416599256499E-2</v>
      </c>
      <c r="AF250" s="2">
        <v>1.1982999999999999</v>
      </c>
      <c r="AG250" s="2">
        <v>-10.677</v>
      </c>
      <c r="AH250" s="2">
        <v>-0.18529999999999999</v>
      </c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x14ac:dyDescent="0.25">
      <c r="A251" s="2">
        <v>2009.25</v>
      </c>
      <c r="B251" s="2">
        <v>14340.4</v>
      </c>
      <c r="C251" s="2">
        <v>14355.473246909256</v>
      </c>
      <c r="D251" s="2">
        <v>99.894999999999996</v>
      </c>
      <c r="E251" s="2">
        <v>9769.7999999999993</v>
      </c>
      <c r="F251" s="2">
        <v>1825.9</v>
      </c>
      <c r="G251" s="2">
        <v>9806.4762210667886</v>
      </c>
      <c r="H251" s="2">
        <v>1633.9869281045751</v>
      </c>
      <c r="I251" s="2">
        <v>246.28632595082169</v>
      </c>
      <c r="J251" s="2">
        <v>99.447999999999993</v>
      </c>
      <c r="K251" s="2">
        <v>99.376000000000005</v>
      </c>
      <c r="L251" s="2">
        <v>100.07299999999999</v>
      </c>
      <c r="M251" s="2">
        <v>0.80734091665862384</v>
      </c>
      <c r="N251" s="2">
        <v>1.6405992569453289</v>
      </c>
      <c r="O251" s="2">
        <v>0.88684244205088469</v>
      </c>
      <c r="P251" s="2">
        <v>1.7659256630411051</v>
      </c>
      <c r="Q251" s="2">
        <v>1.1474002087856676</v>
      </c>
      <c r="R251" s="2">
        <v>306992</v>
      </c>
      <c r="S251" s="2">
        <v>235459</v>
      </c>
      <c r="T251" s="2">
        <v>7.98</v>
      </c>
      <c r="U251" s="2">
        <v>3.31</v>
      </c>
      <c r="V251" s="2">
        <v>0.17</v>
      </c>
      <c r="W251" s="2">
        <v>892.22666666666657</v>
      </c>
      <c r="X251" s="2">
        <v>1641.1226806640625</v>
      </c>
      <c r="Y251" s="2">
        <v>1.0103266186386399</v>
      </c>
      <c r="Z251" s="2">
        <v>8.6709693074226379E-2</v>
      </c>
      <c r="AA251" s="2">
        <v>3.0672138556838036E-2</v>
      </c>
      <c r="AB251" s="2"/>
      <c r="AC251" s="2">
        <v>-1.54035994646304</v>
      </c>
      <c r="AD251" s="2">
        <v>-0.13124475117283599</v>
      </c>
      <c r="AE251" s="2">
        <v>1.0345904546971501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x14ac:dyDescent="0.25">
      <c r="A252" s="2">
        <v>2009.5</v>
      </c>
      <c r="B252" s="2">
        <v>14384.1</v>
      </c>
      <c r="C252" s="2">
        <v>14402.391036616502</v>
      </c>
      <c r="D252" s="2">
        <v>99.873000000000005</v>
      </c>
      <c r="E252" s="2">
        <v>9890.7999999999993</v>
      </c>
      <c r="F252" s="2">
        <v>1786.4</v>
      </c>
      <c r="G252" s="2">
        <v>9865.8394262515831</v>
      </c>
      <c r="H252" s="2">
        <v>1613.0592990555292</v>
      </c>
      <c r="I252" s="2">
        <v>243.41388761329466</v>
      </c>
      <c r="J252" s="2">
        <v>99.813999999999993</v>
      </c>
      <c r="K252" s="2">
        <v>100.99299999999999</v>
      </c>
      <c r="L252" s="2">
        <v>98.832999999999998</v>
      </c>
      <c r="M252" s="2">
        <v>0.81930138880364101</v>
      </c>
      <c r="N252" s="2">
        <v>1.656836859477353</v>
      </c>
      <c r="O252" s="2">
        <v>0.88837129952872373</v>
      </c>
      <c r="P252" s="2">
        <v>1.7372446660583456</v>
      </c>
      <c r="Q252" s="2">
        <v>1.1232687846240812</v>
      </c>
      <c r="R252" s="2">
        <v>307690</v>
      </c>
      <c r="S252" s="2">
        <v>236093</v>
      </c>
      <c r="T252" s="2">
        <v>6.66</v>
      </c>
      <c r="U252" s="2">
        <v>3.52</v>
      </c>
      <c r="V252" s="2">
        <v>0.16</v>
      </c>
      <c r="W252" s="2">
        <v>996.70000000000016</v>
      </c>
      <c r="X252" s="2">
        <v>1868.419921875</v>
      </c>
      <c r="Y252" s="2">
        <v>0.56669922760213698</v>
      </c>
      <c r="Z252" s="2">
        <v>3.985036164522171E-2</v>
      </c>
      <c r="AA252" s="2">
        <v>1.4629781246185303E-2</v>
      </c>
      <c r="AB252" s="2"/>
      <c r="AC252" s="2">
        <v>-0.91422346937981303</v>
      </c>
      <c r="AD252" s="2">
        <v>0.53960047934334099</v>
      </c>
      <c r="AE252" s="2">
        <v>0.64315214001614995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x14ac:dyDescent="0.25">
      <c r="A253" s="2">
        <v>2009.75</v>
      </c>
      <c r="B253" s="2">
        <v>14566.5</v>
      </c>
      <c r="C253" s="2">
        <v>14541.924148189561</v>
      </c>
      <c r="D253" s="2">
        <v>100.169</v>
      </c>
      <c r="E253" s="2">
        <v>9957.1</v>
      </c>
      <c r="F253" s="2">
        <v>1928</v>
      </c>
      <c r="G253" s="2">
        <v>9864.765792185146</v>
      </c>
      <c r="H253" s="2">
        <v>1598.3850618218521</v>
      </c>
      <c r="I253" s="2">
        <v>243.24592137780311</v>
      </c>
      <c r="J253" s="2">
        <v>101.005</v>
      </c>
      <c r="K253" s="2">
        <v>102.21899999999999</v>
      </c>
      <c r="L253" s="2">
        <v>98.811999999999998</v>
      </c>
      <c r="M253" s="2">
        <v>0.8331532277598781</v>
      </c>
      <c r="N253" s="2">
        <v>1.6728167278341795</v>
      </c>
      <c r="O253" s="2">
        <v>0.89250434078116891</v>
      </c>
      <c r="P253" s="2">
        <v>1.7152600552045489</v>
      </c>
      <c r="Q253" s="2">
        <v>1.0984341180095287</v>
      </c>
      <c r="R253" s="2">
        <v>308413</v>
      </c>
      <c r="S253" s="2">
        <v>236739</v>
      </c>
      <c r="T253" s="2">
        <v>6.33</v>
      </c>
      <c r="U253" s="2">
        <v>3.46</v>
      </c>
      <c r="V253" s="2">
        <v>0.06</v>
      </c>
      <c r="W253" s="2">
        <v>1088.7033333333334</v>
      </c>
      <c r="X253" s="2">
        <v>1977.431640625</v>
      </c>
      <c r="Y253" s="2">
        <v>-0.38603756576556297</v>
      </c>
      <c r="Z253" s="2">
        <v>3.8997270166873932E-2</v>
      </c>
      <c r="AA253" s="2">
        <v>1.4411050826311111E-2</v>
      </c>
      <c r="AB253" s="2"/>
      <c r="AC253" s="2">
        <v>-0.15697193553927</v>
      </c>
      <c r="AD253" s="2">
        <v>0.13319396209786999</v>
      </c>
      <c r="AE253" s="2">
        <v>0.45110140108469698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x14ac:dyDescent="0.25">
      <c r="A254" s="2">
        <v>2010</v>
      </c>
      <c r="B254" s="2">
        <v>14681.1</v>
      </c>
      <c r="C254" s="2">
        <v>14604.862617138537</v>
      </c>
      <c r="D254" s="2">
        <v>100.52200000000001</v>
      </c>
      <c r="E254" s="2">
        <v>10044.5</v>
      </c>
      <c r="F254" s="2">
        <v>1989.5</v>
      </c>
      <c r="G254" s="2">
        <v>9917.6532153753487</v>
      </c>
      <c r="H254" s="2">
        <v>1615.0565735760374</v>
      </c>
      <c r="I254" s="2">
        <v>243.57986427482814</v>
      </c>
      <c r="J254" s="2">
        <v>101.511</v>
      </c>
      <c r="K254" s="2">
        <v>102.623</v>
      </c>
      <c r="L254" s="2">
        <v>98.915999999999997</v>
      </c>
      <c r="M254" s="2">
        <v>0.83387249040099698</v>
      </c>
      <c r="N254" s="2">
        <v>1.6827012644301009</v>
      </c>
      <c r="O254" s="2">
        <v>0.88240078185349113</v>
      </c>
      <c r="P254" s="2">
        <v>1.7037980050851125</v>
      </c>
      <c r="Q254" s="2">
        <v>1.0790211141629873</v>
      </c>
      <c r="R254" s="2">
        <v>309024</v>
      </c>
      <c r="S254" s="2">
        <v>236996</v>
      </c>
      <c r="T254" s="2">
        <v>6.29</v>
      </c>
      <c r="U254" s="2">
        <v>3.72</v>
      </c>
      <c r="V254" s="2">
        <v>0.11</v>
      </c>
      <c r="W254" s="2">
        <v>1121.5966666666666</v>
      </c>
      <c r="X254" s="2">
        <v>2068.3056640625</v>
      </c>
      <c r="Y254" s="2"/>
      <c r="Z254" s="2">
        <v>-2.1617405582219362E-3</v>
      </c>
      <c r="AA254" s="2">
        <v>-5.3286049515008926E-3</v>
      </c>
      <c r="AB254" s="2"/>
      <c r="AC254" s="2">
        <v>0.77090845126762697</v>
      </c>
      <c r="AD254" s="2">
        <v>1.13213619993264</v>
      </c>
      <c r="AE254" s="2">
        <v>0.50136236859223005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x14ac:dyDescent="0.25">
      <c r="A255" s="2">
        <v>2010.25</v>
      </c>
      <c r="B255" s="2">
        <v>14888.6</v>
      </c>
      <c r="C255" s="2">
        <v>14745.860074479042</v>
      </c>
      <c r="D255" s="2">
        <v>100.968</v>
      </c>
      <c r="E255" s="2">
        <v>10137.700000000001</v>
      </c>
      <c r="F255" s="2">
        <v>2092.6999999999998</v>
      </c>
      <c r="G255" s="2">
        <v>9998.4219817936155</v>
      </c>
      <c r="H255" s="2">
        <v>1659.2721355877388</v>
      </c>
      <c r="I255" s="2">
        <v>246.10863501605328</v>
      </c>
      <c r="J255" s="2">
        <v>102.752</v>
      </c>
      <c r="K255" s="2">
        <v>103.02200000000001</v>
      </c>
      <c r="L255" s="2">
        <v>99.738</v>
      </c>
      <c r="M255" s="2">
        <v>0.84085320007859343</v>
      </c>
      <c r="N255" s="2">
        <v>1.6957179048878259</v>
      </c>
      <c r="O255" s="2">
        <v>0.87717499001583854</v>
      </c>
      <c r="P255" s="2">
        <v>1.6862383123256957</v>
      </c>
      <c r="Q255" s="2">
        <v>1.0734357255097697</v>
      </c>
      <c r="R255" s="2">
        <v>309376</v>
      </c>
      <c r="S255" s="2">
        <v>237506</v>
      </c>
      <c r="T255" s="2">
        <v>6.18</v>
      </c>
      <c r="U255" s="2">
        <v>3.49</v>
      </c>
      <c r="V255" s="2">
        <v>0.15</v>
      </c>
      <c r="W255" s="2">
        <v>1135.2466666666667</v>
      </c>
      <c r="X255" s="2">
        <v>2066.267578125</v>
      </c>
      <c r="Y255" s="2"/>
      <c r="Z255" s="2">
        <v>-1.1706441640853882E-2</v>
      </c>
      <c r="AA255" s="2">
        <v>-1.899415859952569E-3</v>
      </c>
      <c r="AB255" s="2"/>
      <c r="AC255" s="2">
        <v>-0.353914333145251</v>
      </c>
      <c r="AD255" s="2">
        <v>-0.517269334325827</v>
      </c>
      <c r="AE255" s="2">
        <v>3.0837297150363999E-2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x14ac:dyDescent="0.25">
      <c r="A256" s="2">
        <v>2010.5</v>
      </c>
      <c r="B256" s="2">
        <v>15057.7</v>
      </c>
      <c r="C256" s="2">
        <v>14845.556990604266</v>
      </c>
      <c r="D256" s="2">
        <v>101.429</v>
      </c>
      <c r="E256" s="2">
        <v>10233.4</v>
      </c>
      <c r="F256" s="2">
        <v>2164.6</v>
      </c>
      <c r="G256" s="2">
        <v>10063.032853785413</v>
      </c>
      <c r="H256" s="2">
        <v>1692.7703548217819</v>
      </c>
      <c r="I256" s="2">
        <v>246.18415309680969</v>
      </c>
      <c r="J256" s="2">
        <v>103.786</v>
      </c>
      <c r="K256" s="2">
        <v>103.60599999999999</v>
      </c>
      <c r="L256" s="2">
        <v>100.17400000000001</v>
      </c>
      <c r="M256" s="2">
        <v>0.84965080729779041</v>
      </c>
      <c r="N256" s="2">
        <v>1.7115661357758487</v>
      </c>
      <c r="O256" s="2">
        <v>0.88205458828133765</v>
      </c>
      <c r="P256" s="2">
        <v>1.7046567361050007</v>
      </c>
      <c r="Q256" s="2">
        <v>1.069015786455829</v>
      </c>
      <c r="R256" s="2">
        <v>309991</v>
      </c>
      <c r="S256" s="2">
        <v>238104</v>
      </c>
      <c r="T256" s="2">
        <v>5.78</v>
      </c>
      <c r="U256" s="2">
        <v>2.79</v>
      </c>
      <c r="V256" s="2">
        <v>0.16</v>
      </c>
      <c r="W256" s="2">
        <v>1096.3866666666665</v>
      </c>
      <c r="X256" s="2">
        <v>2063.41455078125</v>
      </c>
      <c r="Y256" s="2"/>
      <c r="Z256" s="2">
        <v>-6.2450729310512543E-2</v>
      </c>
      <c r="AA256" s="2">
        <v>-1.3027289882302284E-2</v>
      </c>
      <c r="AB256" s="2"/>
      <c r="AC256" s="2">
        <v>-0.58108880730268198</v>
      </c>
      <c r="AD256" s="2">
        <v>-0.29319468189777798</v>
      </c>
      <c r="AE256" s="2">
        <v>-0.43895998813499798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31" x14ac:dyDescent="0.25">
      <c r="A257" s="2">
        <v>2010.75</v>
      </c>
      <c r="B257" s="2">
        <v>15230.2</v>
      </c>
      <c r="C257" s="2">
        <v>14939.038146524243</v>
      </c>
      <c r="D257" s="2">
        <v>101.949</v>
      </c>
      <c r="E257" s="2">
        <v>10393.200000000001</v>
      </c>
      <c r="F257" s="2">
        <v>2156.5</v>
      </c>
      <c r="G257" s="2">
        <v>10166.188999638083</v>
      </c>
      <c r="H257" s="2">
        <v>1728.078639488602</v>
      </c>
      <c r="I257" s="2">
        <v>247.039285788586</v>
      </c>
      <c r="J257" s="2">
        <v>104.652</v>
      </c>
      <c r="K257" s="2">
        <v>103.922</v>
      </c>
      <c r="L257" s="2">
        <v>100.702</v>
      </c>
      <c r="M257" s="2">
        <v>0.85071116917387091</v>
      </c>
      <c r="N257" s="2">
        <v>1.719062066451984</v>
      </c>
      <c r="O257" s="2">
        <v>0.87682783745628379</v>
      </c>
      <c r="P257" s="2">
        <v>1.6980011564904964</v>
      </c>
      <c r="Q257" s="2">
        <v>1.0623081314744229</v>
      </c>
      <c r="R257" s="2">
        <v>310654</v>
      </c>
      <c r="S257" s="2">
        <v>238711</v>
      </c>
      <c r="T257" s="2">
        <v>5.91</v>
      </c>
      <c r="U257" s="2">
        <v>2.86</v>
      </c>
      <c r="V257" s="2">
        <v>0.14000000000000001</v>
      </c>
      <c r="W257" s="2">
        <v>1204</v>
      </c>
      <c r="X257" s="2">
        <v>2300.200927734375</v>
      </c>
      <c r="Y257" s="2"/>
      <c r="Z257" s="2">
        <v>0.10016059130430222</v>
      </c>
      <c r="AA257" s="2">
        <v>3.051363117992878E-2</v>
      </c>
      <c r="AB257" s="2"/>
      <c r="AC257" s="2">
        <v>-0.46263229356729801</v>
      </c>
      <c r="AD257" s="2">
        <v>0.72965194663393396</v>
      </c>
      <c r="AE257" s="2">
        <v>-0.741431402273801</v>
      </c>
    </row>
    <row r="258" spans="1:31" x14ac:dyDescent="0.25">
      <c r="A258" s="2">
        <v>2011</v>
      </c>
      <c r="B258" s="2">
        <v>15238.4</v>
      </c>
      <c r="C258" s="2">
        <v>14881.395326126232</v>
      </c>
      <c r="D258" s="2">
        <v>102.399</v>
      </c>
      <c r="E258" s="2">
        <v>10523.5</v>
      </c>
      <c r="F258" s="2">
        <v>2123.5</v>
      </c>
      <c r="G258" s="2">
        <v>10217.089486305693</v>
      </c>
      <c r="H258" s="2">
        <v>1724.1759011782135</v>
      </c>
      <c r="I258" s="2">
        <v>247.61834217525669</v>
      </c>
      <c r="J258" s="2">
        <v>104.072</v>
      </c>
      <c r="K258" s="2">
        <v>103.045</v>
      </c>
      <c r="L258" s="2">
        <v>100.997</v>
      </c>
      <c r="M258" s="2">
        <v>0.84654319613536333</v>
      </c>
      <c r="N258" s="2">
        <v>1.7172649216344869</v>
      </c>
      <c r="O258" s="2">
        <v>0.87402265085015918</v>
      </c>
      <c r="P258" s="2">
        <v>1.6963499237958579</v>
      </c>
      <c r="Q258" s="2">
        <v>1.0531349241159935</v>
      </c>
      <c r="R258" s="2">
        <v>311205</v>
      </c>
      <c r="S258" s="2">
        <v>238852</v>
      </c>
      <c r="T258" s="2">
        <v>6.09</v>
      </c>
      <c r="U258" s="2">
        <v>3.46</v>
      </c>
      <c r="V258" s="2">
        <v>0.13</v>
      </c>
      <c r="W258" s="2">
        <v>1302.7433333333331</v>
      </c>
      <c r="X258" s="2">
        <v>2516.70166015625</v>
      </c>
      <c r="Y258" s="2"/>
      <c r="Z258" s="2">
        <v>4.5827783644199371E-2</v>
      </c>
      <c r="AA258" s="2">
        <v>8.9831417426466942E-3</v>
      </c>
      <c r="AB258" s="2"/>
      <c r="AC258" s="2">
        <v>-0.18200948777178499</v>
      </c>
      <c r="AD258" s="2">
        <v>0.26338606159054301</v>
      </c>
      <c r="AE258" s="2">
        <v>-1.0904199381861699</v>
      </c>
    </row>
    <row r="259" spans="1:31" x14ac:dyDescent="0.25">
      <c r="A259" s="2">
        <v>2011.25</v>
      </c>
      <c r="B259" s="2">
        <v>15460.9</v>
      </c>
      <c r="C259" s="2">
        <v>14989.480827960639</v>
      </c>
      <c r="D259" s="2">
        <v>103.145</v>
      </c>
      <c r="E259" s="2">
        <v>10651.4</v>
      </c>
      <c r="F259" s="2">
        <v>2212.6999999999998</v>
      </c>
      <c r="G259" s="2">
        <v>10237.694754952376</v>
      </c>
      <c r="H259" s="2">
        <v>1760.9630780260486</v>
      </c>
      <c r="I259" s="2">
        <v>248.89385192160373</v>
      </c>
      <c r="J259" s="2">
        <v>105.053</v>
      </c>
      <c r="K259" s="2">
        <v>103.36799999999999</v>
      </c>
      <c r="L259" s="2">
        <v>101.63</v>
      </c>
      <c r="M259" s="2">
        <v>0.84837016292731304</v>
      </c>
      <c r="N259" s="2">
        <v>1.7231439050001891</v>
      </c>
      <c r="O259" s="2">
        <v>0.87051263567092385</v>
      </c>
      <c r="P259" s="2">
        <v>1.7028503769479972</v>
      </c>
      <c r="Q259" s="2">
        <v>1.0420998372242922</v>
      </c>
      <c r="R259" s="2">
        <v>311733</v>
      </c>
      <c r="S259" s="2">
        <v>239316</v>
      </c>
      <c r="T259" s="2">
        <v>5.85</v>
      </c>
      <c r="U259" s="2">
        <v>3.21</v>
      </c>
      <c r="V259" s="2">
        <v>0.05</v>
      </c>
      <c r="W259" s="2">
        <v>1319.0366666666666</v>
      </c>
      <c r="X259" s="2">
        <v>2589.81005859375</v>
      </c>
      <c r="Y259" s="2"/>
      <c r="Z259" s="2">
        <v>-2.1268326789140701E-2</v>
      </c>
      <c r="AA259" s="2">
        <v>-6.9266357459127903E-3</v>
      </c>
      <c r="AB259" s="2"/>
      <c r="AC259" s="2">
        <v>0.32351387651378399</v>
      </c>
      <c r="AD259" s="2">
        <v>-0.92752366162240696</v>
      </c>
      <c r="AE259" s="2">
        <v>-0.66528642730528498</v>
      </c>
    </row>
    <row r="260" spans="1:31" x14ac:dyDescent="0.25">
      <c r="A260" s="2">
        <v>2011.5</v>
      </c>
      <c r="B260" s="2">
        <v>15587.1</v>
      </c>
      <c r="C260" s="2">
        <v>15021.104772184102</v>
      </c>
      <c r="D260" s="2">
        <v>103.768</v>
      </c>
      <c r="E260" s="2">
        <v>10754.5</v>
      </c>
      <c r="F260" s="2">
        <v>2228.1999999999998</v>
      </c>
      <c r="G260" s="2">
        <v>10282.236860975399</v>
      </c>
      <c r="H260" s="2">
        <v>1840.8044151512745</v>
      </c>
      <c r="I260" s="2">
        <v>250.06464298506023</v>
      </c>
      <c r="J260" s="2">
        <v>105.34399999999999</v>
      </c>
      <c r="K260" s="2">
        <v>103.10299999999999</v>
      </c>
      <c r="L260" s="2">
        <v>102.173</v>
      </c>
      <c r="M260" s="2">
        <v>0.84576417880351118</v>
      </c>
      <c r="N260" s="2">
        <v>1.7272109320246907</v>
      </c>
      <c r="O260" s="2">
        <v>0.87017480012332349</v>
      </c>
      <c r="P260" s="2">
        <v>1.7110700801022594</v>
      </c>
      <c r="Q260" s="2">
        <v>1.0322147433822053</v>
      </c>
      <c r="R260" s="2">
        <v>312360</v>
      </c>
      <c r="S260" s="2">
        <v>239871</v>
      </c>
      <c r="T260" s="2">
        <v>5.46</v>
      </c>
      <c r="U260" s="2">
        <v>2.4300000000000002</v>
      </c>
      <c r="V260" s="2">
        <v>0.02</v>
      </c>
      <c r="W260" s="2">
        <v>1228.1266666666668</v>
      </c>
      <c r="X260" s="2">
        <v>2329.895751953125</v>
      </c>
      <c r="Y260" s="2"/>
      <c r="Z260" s="2">
        <v>-7.1648985147476196E-2</v>
      </c>
      <c r="AA260" s="2">
        <v>-2.1836280822753906E-2</v>
      </c>
      <c r="AB260" s="2"/>
      <c r="AC260" s="2">
        <v>3.9996978935560298E-2</v>
      </c>
      <c r="AD260" s="2">
        <v>0.303153611876398</v>
      </c>
      <c r="AE260" s="2">
        <v>-0.35917248737260998</v>
      </c>
    </row>
    <row r="261" spans="1:31" x14ac:dyDescent="0.25">
      <c r="A261" s="2">
        <v>2011.75</v>
      </c>
      <c r="B261" s="2">
        <v>15785.3</v>
      </c>
      <c r="C261" s="2">
        <v>15190.296101696546</v>
      </c>
      <c r="D261" s="2">
        <v>103.917</v>
      </c>
      <c r="E261" s="2">
        <v>10827.9</v>
      </c>
      <c r="F261" s="2">
        <v>2395.1999999999998</v>
      </c>
      <c r="G261" s="2">
        <v>10316.805457629058</v>
      </c>
      <c r="H261" s="2">
        <v>1883.0898943118393</v>
      </c>
      <c r="I261" s="2">
        <v>251.42251064372033</v>
      </c>
      <c r="J261" s="2">
        <v>106.91</v>
      </c>
      <c r="K261" s="2">
        <v>103.923</v>
      </c>
      <c r="L261" s="2">
        <v>102.874</v>
      </c>
      <c r="M261" s="2">
        <v>0.85490757158591479</v>
      </c>
      <c r="N261" s="2">
        <v>1.7402502677466776</v>
      </c>
      <c r="O261" s="2">
        <v>0.87620213874875985</v>
      </c>
      <c r="P261" s="2">
        <v>1.71742961661447</v>
      </c>
      <c r="Q261" s="2">
        <v>1.0242405916701038</v>
      </c>
      <c r="R261" s="2">
        <v>313001</v>
      </c>
      <c r="S261" s="2">
        <v>240431</v>
      </c>
      <c r="T261" s="2">
        <v>5.25</v>
      </c>
      <c r="U261" s="2">
        <v>2.0499999999999998</v>
      </c>
      <c r="V261" s="2">
        <v>0.01</v>
      </c>
      <c r="W261" s="2">
        <v>1225.6533333333334</v>
      </c>
      <c r="X261" s="2">
        <v>2408.723388671875</v>
      </c>
      <c r="Y261" s="2"/>
      <c r="Z261" s="2">
        <v>-1.8184052314609289E-3</v>
      </c>
      <c r="AA261" s="2">
        <v>4.5679621398448944E-3</v>
      </c>
      <c r="AB261" s="2"/>
      <c r="AC261" s="2">
        <v>1.43177051863945</v>
      </c>
      <c r="AD261" s="2">
        <v>-0.17651546464782999</v>
      </c>
      <c r="AE261" s="2">
        <v>0.50926728001902499</v>
      </c>
    </row>
    <row r="262" spans="1:31" x14ac:dyDescent="0.25">
      <c r="A262" s="2">
        <v>2012</v>
      </c>
      <c r="B262" s="2">
        <v>15973.9</v>
      </c>
      <c r="C262" s="2">
        <v>15291.00377156204</v>
      </c>
      <c r="D262" s="2">
        <v>104.46599999999999</v>
      </c>
      <c r="E262" s="2">
        <v>10956.2</v>
      </c>
      <c r="F262" s="2">
        <v>2460.8000000000002</v>
      </c>
      <c r="G262" s="2">
        <v>10379.022555678706</v>
      </c>
      <c r="H262" s="2">
        <v>1938.106426275277</v>
      </c>
      <c r="I262" s="2">
        <v>252.47408336291466</v>
      </c>
      <c r="J262" s="2">
        <v>107.807</v>
      </c>
      <c r="K262" s="2">
        <v>103.938</v>
      </c>
      <c r="L262" s="2">
        <v>103.723</v>
      </c>
      <c r="M262" s="2">
        <v>0.86364254035157728</v>
      </c>
      <c r="N262" s="2">
        <v>1.7514866250060075</v>
      </c>
      <c r="O262" s="2">
        <v>0.88403552819899156</v>
      </c>
      <c r="P262" s="2">
        <v>1.7238581282809247</v>
      </c>
      <c r="Q262" s="2">
        <v>1.0146370569026926</v>
      </c>
      <c r="R262" s="2">
        <v>313538</v>
      </c>
      <c r="S262" s="2">
        <v>242436</v>
      </c>
      <c r="T262" s="2">
        <v>5.2</v>
      </c>
      <c r="U262" s="2">
        <v>2.04</v>
      </c>
      <c r="V262" s="2">
        <v>7.0000000000000007E-2</v>
      </c>
      <c r="W262" s="2">
        <v>1347.4366666666665</v>
      </c>
      <c r="X262" s="2">
        <v>2642.802734375</v>
      </c>
      <c r="Y262" s="2"/>
      <c r="Z262" s="2">
        <v>5.3801849484443665E-2</v>
      </c>
      <c r="AA262" s="2">
        <v>1.9028790295124054E-2</v>
      </c>
      <c r="AB262" s="2"/>
      <c r="AC262" s="2">
        <v>-0.99201088499115098</v>
      </c>
      <c r="AD262" s="2">
        <v>-0.20962418419647399</v>
      </c>
      <c r="AE262" s="2">
        <v>0.17913000061148501</v>
      </c>
    </row>
    <row r="263" spans="1:31" x14ac:dyDescent="0.25">
      <c r="A263" s="2">
        <v>2012.25</v>
      </c>
      <c r="B263" s="2">
        <v>16121.9</v>
      </c>
      <c r="C263" s="2">
        <v>15362.53013540684</v>
      </c>
      <c r="D263" s="2">
        <v>104.943</v>
      </c>
      <c r="E263" s="2">
        <v>11008.3</v>
      </c>
      <c r="F263" s="2">
        <v>2534.8000000000002</v>
      </c>
      <c r="G263" s="2">
        <v>10396.566053416947</v>
      </c>
      <c r="H263" s="2">
        <v>1973.7061075054085</v>
      </c>
      <c r="I263" s="2">
        <v>252.5366448546188</v>
      </c>
      <c r="J263" s="2">
        <v>108.492</v>
      </c>
      <c r="K263" s="2">
        <v>104.547</v>
      </c>
      <c r="L263" s="2">
        <v>103.773</v>
      </c>
      <c r="M263" s="2">
        <v>0.86120266672391754</v>
      </c>
      <c r="N263" s="2">
        <v>1.7548334398844627</v>
      </c>
      <c r="O263" s="2">
        <v>0.88392934762363395</v>
      </c>
      <c r="P263" s="2">
        <v>1.7298363060912927</v>
      </c>
      <c r="Q263" s="2">
        <v>1.003594480722289</v>
      </c>
      <c r="R263" s="2">
        <v>314060</v>
      </c>
      <c r="S263" s="2">
        <v>242968</v>
      </c>
      <c r="T263" s="2">
        <v>5.09</v>
      </c>
      <c r="U263" s="2">
        <v>1.82</v>
      </c>
      <c r="V263" s="2">
        <v>0.09</v>
      </c>
      <c r="W263" s="2">
        <v>1350.3933333333332</v>
      </c>
      <c r="X263" s="2">
        <v>2633.240966796875</v>
      </c>
      <c r="Y263" s="2"/>
      <c r="Z263" s="2">
        <v>-2.8257604688405991E-2</v>
      </c>
      <c r="AA263" s="2">
        <v>-1.2394157238304615E-2</v>
      </c>
      <c r="AB263" s="2"/>
      <c r="AC263" s="2"/>
      <c r="AD263" s="2"/>
      <c r="AE263" s="2"/>
    </row>
    <row r="264" spans="1:31" x14ac:dyDescent="0.25">
      <c r="A264" s="2">
        <v>2012.5</v>
      </c>
      <c r="B264" s="2">
        <v>16227.9</v>
      </c>
      <c r="C264" s="2">
        <v>15380.729423361263</v>
      </c>
      <c r="D264" s="2">
        <v>105.508</v>
      </c>
      <c r="E264" s="2">
        <v>11073.6</v>
      </c>
      <c r="F264" s="2">
        <v>2529.9</v>
      </c>
      <c r="G264" s="2">
        <v>10424.075834737507</v>
      </c>
      <c r="H264" s="2">
        <v>1963.3620268977768</v>
      </c>
      <c r="I264" s="2">
        <v>254.73389689955721</v>
      </c>
      <c r="J264" s="2">
        <v>108.64700000000001</v>
      </c>
      <c r="K264" s="2">
        <v>104.26</v>
      </c>
      <c r="L264" s="2">
        <v>104.208</v>
      </c>
      <c r="M264" s="2">
        <v>0.8594431577935332</v>
      </c>
      <c r="N264" s="2">
        <v>1.7604974710277721</v>
      </c>
      <c r="O264" s="2">
        <v>0.88283602823857521</v>
      </c>
      <c r="P264" s="2">
        <v>1.7430669508942103</v>
      </c>
      <c r="Q264" s="2">
        <v>0.99485565141815169</v>
      </c>
      <c r="R264" s="2">
        <v>314677</v>
      </c>
      <c r="S264" s="2">
        <v>243564</v>
      </c>
      <c r="T264" s="2">
        <v>4.87</v>
      </c>
      <c r="U264" s="2">
        <v>1.64</v>
      </c>
      <c r="V264" s="2">
        <v>0.1</v>
      </c>
      <c r="W264" s="2">
        <v>1402.2166666666665</v>
      </c>
      <c r="X264" s="2">
        <v>2734.6669921875</v>
      </c>
      <c r="Y264" s="2"/>
      <c r="Z264" s="2">
        <v>4.3656192719936371E-2</v>
      </c>
      <c r="AA264" s="2">
        <v>1.0756262578070164E-2</v>
      </c>
      <c r="AB264" s="2"/>
      <c r="AC264" s="2"/>
      <c r="AD264" s="2"/>
      <c r="AE264" s="2"/>
    </row>
    <row r="265" spans="1:31" x14ac:dyDescent="0.25">
      <c r="A265" s="2">
        <v>2012.75</v>
      </c>
      <c r="B265" s="2">
        <v>16297.3</v>
      </c>
      <c r="C265" s="2">
        <v>15384.245055930523</v>
      </c>
      <c r="D265" s="2">
        <v>105.935</v>
      </c>
      <c r="E265" s="2">
        <v>11164.3</v>
      </c>
      <c r="F265" s="2">
        <v>2521.3000000000002</v>
      </c>
      <c r="G265" s="2">
        <v>10453.170791082648</v>
      </c>
      <c r="H265" s="2">
        <v>1981.3492527995629</v>
      </c>
      <c r="I265" s="2">
        <v>255.64232451568211</v>
      </c>
      <c r="J265" s="2">
        <v>108.68899999999999</v>
      </c>
      <c r="K265" s="2">
        <v>103.75</v>
      </c>
      <c r="L265" s="2">
        <v>104.76</v>
      </c>
      <c r="M265" s="2">
        <v>0.85867894110011933</v>
      </c>
      <c r="N265" s="2">
        <v>1.7638752589418969</v>
      </c>
      <c r="O265" s="2">
        <v>0.87931594885874298</v>
      </c>
      <c r="P265" s="2">
        <v>1.7542890232703865</v>
      </c>
      <c r="Q265" s="2">
        <v>0.9847492316843186</v>
      </c>
      <c r="R265" s="2">
        <v>315334</v>
      </c>
      <c r="S265" s="2">
        <v>244169</v>
      </c>
      <c r="T265" s="2">
        <v>4.57</v>
      </c>
      <c r="U265" s="2">
        <v>1.71</v>
      </c>
      <c r="V265" s="2">
        <v>0.09</v>
      </c>
      <c r="W265" s="2">
        <v>1418.2066666666667</v>
      </c>
      <c r="X265" s="2">
        <v>2783.740234375</v>
      </c>
      <c r="Y265" s="2"/>
      <c r="Z265" s="2">
        <v>-8.8776303455233574E-3</v>
      </c>
      <c r="AA265" s="2">
        <v>-3.980735782533884E-3</v>
      </c>
      <c r="AB265" s="2"/>
      <c r="AC265" s="2"/>
      <c r="AD265" s="2"/>
      <c r="AE265" s="2"/>
    </row>
    <row r="266" spans="1:31" x14ac:dyDescent="0.25">
      <c r="A266" s="2">
        <v>2013</v>
      </c>
      <c r="B266" s="2">
        <v>16440.7</v>
      </c>
      <c r="C266" s="2">
        <v>15457.160854808533</v>
      </c>
      <c r="D266" s="2">
        <v>106.363</v>
      </c>
      <c r="E266" s="2">
        <v>11271.8</v>
      </c>
      <c r="F266" s="2">
        <v>2578.3000000000002</v>
      </c>
      <c r="G266" s="2">
        <v>10518.17291093174</v>
      </c>
      <c r="H266" s="2">
        <v>2000.6434504543149</v>
      </c>
      <c r="I266" s="2">
        <v>255.87239241949379</v>
      </c>
      <c r="J266" s="2">
        <v>109.367</v>
      </c>
      <c r="K266" s="2">
        <v>104.05800000000001</v>
      </c>
      <c r="L266" s="2">
        <v>105.102</v>
      </c>
      <c r="M266" s="2">
        <v>0.85720234259820016</v>
      </c>
      <c r="N266" s="2">
        <v>1.7672316177160767</v>
      </c>
      <c r="O266" s="2">
        <v>0.87542292130381394</v>
      </c>
      <c r="P266" s="2">
        <v>1.7488792196936274</v>
      </c>
      <c r="Q266" s="2">
        <v>0.972331329665721</v>
      </c>
      <c r="R266" s="2">
        <v>315870</v>
      </c>
      <c r="S266" s="2">
        <v>244829</v>
      </c>
      <c r="T266" s="2">
        <v>4.8099999999999996</v>
      </c>
      <c r="U266" s="2">
        <v>1.95</v>
      </c>
      <c r="V266" s="2">
        <v>0.09</v>
      </c>
      <c r="W266" s="2">
        <v>1514.5133333333333</v>
      </c>
      <c r="X266" s="2">
        <v>3035.693359375</v>
      </c>
      <c r="Y266" s="2"/>
      <c r="Z266" s="2">
        <v>5.6355509907007217E-2</v>
      </c>
      <c r="AA266" s="2">
        <v>1.4777356758713722E-2</v>
      </c>
      <c r="AB266" s="2"/>
      <c r="AC266" s="2"/>
      <c r="AD266" s="2"/>
      <c r="AE266" s="2"/>
    </row>
    <row r="267" spans="1:31" x14ac:dyDescent="0.25">
      <c r="A267" s="2">
        <v>2013.25</v>
      </c>
      <c r="B267" s="2">
        <v>16526.8</v>
      </c>
      <c r="C267" s="2">
        <v>15500.220402727366</v>
      </c>
      <c r="D267" s="2">
        <v>106.623</v>
      </c>
      <c r="E267" s="2">
        <v>11322.8</v>
      </c>
      <c r="F267" s="2">
        <v>2620.4</v>
      </c>
      <c r="G267" s="2">
        <v>10554.240226692269</v>
      </c>
      <c r="H267" s="2">
        <v>2005.6343501068584</v>
      </c>
      <c r="I267" s="2">
        <v>256.14344614426977</v>
      </c>
      <c r="J267" s="2">
        <v>109.8</v>
      </c>
      <c r="K267" s="2">
        <v>104.214</v>
      </c>
      <c r="L267" s="2">
        <v>105.36</v>
      </c>
      <c r="M267" s="2">
        <v>0.8601352622097026</v>
      </c>
      <c r="N267" s="2">
        <v>1.7730672039479305</v>
      </c>
      <c r="O267" s="2">
        <v>0.878593972722158</v>
      </c>
      <c r="P267" s="2">
        <v>1.7573571056567501</v>
      </c>
      <c r="Q267" s="2">
        <v>0.96513627897179244</v>
      </c>
      <c r="R267" s="2">
        <v>316403</v>
      </c>
      <c r="S267" s="2">
        <v>245363</v>
      </c>
      <c r="T267" s="2">
        <v>4.84</v>
      </c>
      <c r="U267" s="2">
        <v>2</v>
      </c>
      <c r="V267" s="2">
        <v>0.05</v>
      </c>
      <c r="W267" s="2">
        <v>1609.7699999999998</v>
      </c>
      <c r="X267" s="2">
        <v>3224.3525390625</v>
      </c>
      <c r="Y267" s="2"/>
      <c r="Z267" s="2">
        <v>2.7149634435772896E-2</v>
      </c>
      <c r="AA267" s="2">
        <v>7.7009196393191814E-3</v>
      </c>
      <c r="AB267" s="2"/>
      <c r="AC267" s="2"/>
      <c r="AD267" s="2"/>
      <c r="AE267" s="2"/>
    </row>
    <row r="268" spans="1:31" x14ac:dyDescent="0.25">
      <c r="A268" s="2">
        <v>2013.5</v>
      </c>
      <c r="B268" s="2">
        <v>16727.5</v>
      </c>
      <c r="C268" s="2">
        <v>15614.498543798074</v>
      </c>
      <c r="D268" s="2">
        <v>107.128</v>
      </c>
      <c r="E268" s="2">
        <v>11417.7</v>
      </c>
      <c r="F268" s="2">
        <v>2711.5</v>
      </c>
      <c r="G268" s="2">
        <v>10598.834079052411</v>
      </c>
      <c r="H268" s="2">
        <v>2023.0636432409367</v>
      </c>
      <c r="I268" s="2">
        <v>257.51854368765459</v>
      </c>
      <c r="J268" s="2">
        <v>110.858</v>
      </c>
      <c r="K268" s="2">
        <v>104.55800000000001</v>
      </c>
      <c r="L268" s="2">
        <v>106.02500000000001</v>
      </c>
      <c r="M268" s="2">
        <v>0.86093229099963919</v>
      </c>
      <c r="N268" s="2">
        <v>1.7806456802395014</v>
      </c>
      <c r="O268" s="2">
        <v>0.88166511816438531</v>
      </c>
      <c r="P268" s="2">
        <v>1.7656093776511699</v>
      </c>
      <c r="Q268" s="2">
        <v>0.95717170276700136</v>
      </c>
      <c r="R268" s="2">
        <v>317024</v>
      </c>
      <c r="S268" s="2">
        <v>245961</v>
      </c>
      <c r="T268" s="2">
        <v>5.4</v>
      </c>
      <c r="U268" s="2">
        <v>2.71</v>
      </c>
      <c r="V268" s="2">
        <v>0.03</v>
      </c>
      <c r="W268" s="2">
        <v>1675.3133333333335</v>
      </c>
      <c r="X268" s="2">
        <v>3390.33544921875</v>
      </c>
      <c r="Y268" s="2"/>
      <c r="Z268" s="2">
        <v>1.0103489272296429E-2</v>
      </c>
      <c r="AA268" s="2">
        <v>6.0362881049513817E-4</v>
      </c>
      <c r="AB268" s="2"/>
      <c r="AC268" s="2"/>
      <c r="AD268" s="2"/>
      <c r="AE268" s="2"/>
    </row>
    <row r="269" spans="1:31" x14ac:dyDescent="0.25">
      <c r="A269" s="2">
        <v>2013.75</v>
      </c>
      <c r="B269" s="2">
        <v>16957.599999999999</v>
      </c>
      <c r="C269" s="2">
        <v>15761.462603054213</v>
      </c>
      <c r="D269" s="2">
        <v>107.589</v>
      </c>
      <c r="E269" s="2">
        <v>11556.9</v>
      </c>
      <c r="F269" s="2">
        <v>2749.9</v>
      </c>
      <c r="G269" s="2">
        <v>10690.340961648753</v>
      </c>
      <c r="H269" s="2">
        <v>2065.4919151159752</v>
      </c>
      <c r="I269" s="2">
        <v>258.858954023732</v>
      </c>
      <c r="J269" s="2">
        <v>112.245</v>
      </c>
      <c r="K269" s="2">
        <v>105.423</v>
      </c>
      <c r="L269" s="2">
        <v>106.471</v>
      </c>
      <c r="M269" s="2">
        <v>0.8661831033694134</v>
      </c>
      <c r="N269" s="2">
        <v>1.7907741838442039</v>
      </c>
      <c r="O269" s="2">
        <v>0.88681890465402413</v>
      </c>
      <c r="P269" s="2">
        <v>1.7729099034025229</v>
      </c>
      <c r="Q269" s="2">
        <v>0.95035487016065823</v>
      </c>
      <c r="R269" s="2">
        <v>317672</v>
      </c>
      <c r="S269" s="2">
        <v>246564</v>
      </c>
      <c r="T269" s="2">
        <v>5.36</v>
      </c>
      <c r="U269" s="2">
        <v>2.75</v>
      </c>
      <c r="V269" s="2">
        <v>0.06</v>
      </c>
      <c r="W269" s="2">
        <v>1770.4499999999998</v>
      </c>
      <c r="X269" s="2">
        <v>3696.082763671875</v>
      </c>
      <c r="Y269" s="2"/>
      <c r="Z269" s="2">
        <v>3.2636918127536774E-2</v>
      </c>
      <c r="AA269" s="2">
        <v>1.0238130576908588E-2</v>
      </c>
      <c r="AB269" s="2"/>
      <c r="AC269" s="2"/>
      <c r="AD269" s="2"/>
      <c r="AE269" s="2"/>
    </row>
    <row r="270" spans="1:31" x14ac:dyDescent="0.25">
      <c r="A270" s="2">
        <v>2014</v>
      </c>
      <c r="B270" s="2">
        <v>16984.3</v>
      </c>
      <c r="C270" s="2">
        <v>15724.893295929043</v>
      </c>
      <c r="D270" s="2">
        <v>108.009</v>
      </c>
      <c r="E270" s="2">
        <v>11640.3</v>
      </c>
      <c r="F270" s="2">
        <v>2751.1</v>
      </c>
      <c r="G270" s="2">
        <v>10724.729815638906</v>
      </c>
      <c r="H270" s="2">
        <v>2106.8335216245182</v>
      </c>
      <c r="I270" s="2">
        <v>259.2111308997562</v>
      </c>
      <c r="J270" s="2">
        <v>111.761</v>
      </c>
      <c r="K270" s="2">
        <v>104.455</v>
      </c>
      <c r="L270" s="2">
        <v>106.994</v>
      </c>
      <c r="M270" s="2">
        <v>0.8556407748479945</v>
      </c>
      <c r="N270" s="2">
        <v>1.7851607853349549</v>
      </c>
      <c r="O270" s="2">
        <v>0.87907945739180404</v>
      </c>
      <c r="P270" s="2">
        <v>1.7772124726383771</v>
      </c>
      <c r="Q270" s="2">
        <v>0.94744286976100744</v>
      </c>
      <c r="R270" s="2">
        <v>318202</v>
      </c>
      <c r="S270" s="2">
        <v>247086</v>
      </c>
      <c r="T270" s="2">
        <v>5.12</v>
      </c>
      <c r="U270" s="2">
        <v>2.76</v>
      </c>
      <c r="V270" s="2">
        <v>0.05</v>
      </c>
      <c r="W270" s="2">
        <v>1834.3066666666666</v>
      </c>
      <c r="X270" s="2">
        <v>3795.910400390625</v>
      </c>
      <c r="Y270" s="2"/>
      <c r="Z270" s="2">
        <v>2.6289602741599083E-2</v>
      </c>
      <c r="AA270" s="2">
        <v>-7.4334046803414822E-4</v>
      </c>
      <c r="AB270" s="2"/>
      <c r="AC270" s="2"/>
      <c r="AD270" s="2"/>
      <c r="AE270" s="2"/>
    </row>
    <row r="271" spans="1:31" x14ac:dyDescent="0.25">
      <c r="A271" s="2">
        <v>2014.25</v>
      </c>
      <c r="B271" s="2">
        <v>17270</v>
      </c>
      <c r="C271" s="2">
        <v>15901.515570042171</v>
      </c>
      <c r="D271" s="2">
        <v>108.60599999999999</v>
      </c>
      <c r="E271" s="2">
        <v>11813</v>
      </c>
      <c r="F271" s="2">
        <v>2841.6</v>
      </c>
      <c r="G271" s="2">
        <v>10826.291768242389</v>
      </c>
      <c r="H271" s="2">
        <v>2129.8088497279596</v>
      </c>
      <c r="I271" s="2">
        <v>261.39054640698242</v>
      </c>
      <c r="J271" s="2">
        <v>113.31699999999999</v>
      </c>
      <c r="K271" s="2">
        <v>105.212</v>
      </c>
      <c r="L271" s="2">
        <v>107.703</v>
      </c>
      <c r="M271" s="2">
        <v>0.86714497371061305</v>
      </c>
      <c r="N271" s="2">
        <v>1.8022308251360901</v>
      </c>
      <c r="O271" s="2">
        <v>0.88569480373065246</v>
      </c>
      <c r="P271" s="2">
        <v>1.7755703907091667</v>
      </c>
      <c r="Q271" s="2">
        <v>0.94483653583909133</v>
      </c>
      <c r="R271" s="2">
        <v>318736</v>
      </c>
      <c r="S271" s="2">
        <v>247625</v>
      </c>
      <c r="T271" s="2">
        <v>4.82</v>
      </c>
      <c r="U271" s="2">
        <v>2.62</v>
      </c>
      <c r="V271" s="2">
        <v>0.03</v>
      </c>
      <c r="W271" s="2">
        <v>1900.3733333333332</v>
      </c>
      <c r="X271" s="2">
        <v>3943.7900390625</v>
      </c>
      <c r="Y271" s="2"/>
      <c r="Z271" s="2">
        <v>4.1587799787521362E-3</v>
      </c>
      <c r="AA271" s="2">
        <v>5.6030736304819584E-3</v>
      </c>
      <c r="AB271" s="2"/>
      <c r="AC271" s="2"/>
      <c r="AD271" s="2"/>
      <c r="AE271" s="2"/>
    </row>
    <row r="272" spans="1:31" x14ac:dyDescent="0.25">
      <c r="A272" s="2">
        <v>2014.5</v>
      </c>
      <c r="B272" s="2">
        <v>17522.099999999999</v>
      </c>
      <c r="C272" s="2">
        <v>16068.834598877516</v>
      </c>
      <c r="D272" s="2">
        <v>109.044</v>
      </c>
      <c r="E272" s="2">
        <v>11949.1</v>
      </c>
      <c r="F272" s="2">
        <v>2910.2</v>
      </c>
      <c r="G272" s="2">
        <v>10918.602313638772</v>
      </c>
      <c r="H272" s="2">
        <v>2176.3339285371426</v>
      </c>
      <c r="I272" s="2">
        <v>262.46335011197448</v>
      </c>
      <c r="J272" s="2">
        <v>114.846</v>
      </c>
      <c r="K272" s="2">
        <v>105.87</v>
      </c>
      <c r="L272" s="2">
        <v>108.47799999999999</v>
      </c>
      <c r="M272" s="2">
        <v>0.87306261585589751</v>
      </c>
      <c r="N272" s="2">
        <v>1.8119214757605435</v>
      </c>
      <c r="O272" s="2">
        <v>0.89244483223513082</v>
      </c>
      <c r="P272" s="2">
        <v>1.7896458365578289</v>
      </c>
      <c r="Q272" s="2">
        <v>0.94315307046476538</v>
      </c>
      <c r="R272" s="2">
        <v>319358</v>
      </c>
      <c r="S272" s="2">
        <v>248233</v>
      </c>
      <c r="T272" s="2">
        <v>4.74</v>
      </c>
      <c r="U272" s="2">
        <v>2.5</v>
      </c>
      <c r="V272" s="2">
        <v>0.03</v>
      </c>
      <c r="W272" s="2">
        <v>1975.9533333333336</v>
      </c>
      <c r="X272" s="2">
        <v>4040.8583984375</v>
      </c>
      <c r="Y272" s="2"/>
      <c r="Z272" s="2">
        <v>5.0489255227148533E-3</v>
      </c>
      <c r="AA272" s="2">
        <v>3.1543953809887171E-3</v>
      </c>
      <c r="AB272" s="2"/>
      <c r="AC272" s="2"/>
      <c r="AD272" s="2"/>
      <c r="AE272" s="2"/>
    </row>
    <row r="273" spans="1:27" x14ac:dyDescent="0.25">
      <c r="A273" s="2">
        <v>2014.75</v>
      </c>
      <c r="B273" s="2">
        <v>17615.900000000001</v>
      </c>
      <c r="C273" s="2">
        <v>16151.448192395503</v>
      </c>
      <c r="D273" s="2">
        <v>109.06699999999999</v>
      </c>
      <c r="E273" s="2">
        <v>12061.4</v>
      </c>
      <c r="F273" s="2">
        <v>2937.2</v>
      </c>
      <c r="G273" s="2">
        <v>11033.315647926234</v>
      </c>
      <c r="H273" s="2">
        <v>2179.9898386648392</v>
      </c>
      <c r="I273" s="2">
        <v>265.11211122919229</v>
      </c>
      <c r="J273" s="2">
        <v>115.593</v>
      </c>
      <c r="K273" s="2">
        <v>105.226</v>
      </c>
      <c r="L273" s="2">
        <v>109.85299999999999</v>
      </c>
      <c r="M273" s="2">
        <v>0.87142251824881001</v>
      </c>
      <c r="N273" s="2">
        <v>1.8116882841900364</v>
      </c>
      <c r="O273" s="2">
        <v>0.8887651857177874</v>
      </c>
      <c r="P273" s="2">
        <v>1.7875331336545426</v>
      </c>
      <c r="Q273" s="2">
        <v>0.94588931113043206</v>
      </c>
      <c r="R273" s="2">
        <v>320006</v>
      </c>
      <c r="S273" s="2">
        <v>248843</v>
      </c>
      <c r="T273" s="2">
        <v>4.74</v>
      </c>
      <c r="U273" s="2">
        <v>2.2799999999999998</v>
      </c>
      <c r="V273" s="2">
        <v>0.02</v>
      </c>
      <c r="W273" s="2">
        <v>2012.0366666666669</v>
      </c>
      <c r="X273" s="2">
        <v>4213.68359375</v>
      </c>
      <c r="Y273" s="2"/>
      <c r="Z273" s="2">
        <v>1.6078965738415718E-2</v>
      </c>
      <c r="AA273" s="2">
        <v>1.317222137004137E-3</v>
      </c>
    </row>
    <row r="274" spans="1:27" x14ac:dyDescent="0.25">
      <c r="A274" s="2">
        <v>2015</v>
      </c>
      <c r="B274" s="2">
        <v>17649.3</v>
      </c>
      <c r="C274" s="2">
        <v>16177.325181715689</v>
      </c>
      <c r="D274" s="2">
        <v>109.099</v>
      </c>
      <c r="E274" s="2">
        <v>12055.5</v>
      </c>
      <c r="F274" s="2">
        <v>2995.9</v>
      </c>
      <c r="G274" s="2">
        <v>11081.237590999339</v>
      </c>
      <c r="H274" s="2">
        <v>2188.624564568599</v>
      </c>
      <c r="I274" s="2">
        <v>266.47355265965228</v>
      </c>
      <c r="J274" s="2">
        <v>115.76600000000001</v>
      </c>
      <c r="K274" s="2">
        <v>104.884</v>
      </c>
      <c r="L274" s="2">
        <v>110.376</v>
      </c>
      <c r="M274" s="2">
        <v>0.86797532213536499</v>
      </c>
      <c r="N274" s="2">
        <v>1.8102753422627993</v>
      </c>
      <c r="O274" s="2">
        <v>0.88894279877777893</v>
      </c>
      <c r="P274" s="2">
        <v>1.7969377809524592</v>
      </c>
      <c r="Q274" s="2"/>
      <c r="R274" s="2">
        <v>320536</v>
      </c>
      <c r="S274" s="2">
        <v>249901</v>
      </c>
      <c r="T274" s="2">
        <v>4.5</v>
      </c>
      <c r="U274" s="2">
        <v>1.97</v>
      </c>
      <c r="V274" s="2">
        <v>0.03</v>
      </c>
      <c r="W274" s="2">
        <v>2063.4566666666665</v>
      </c>
      <c r="X274" s="2"/>
      <c r="Y274" s="2"/>
      <c r="Z274" s="2">
        <v>1.5861542895436287E-2</v>
      </c>
      <c r="AA274" s="2">
        <v>3.1868467340245843E-4</v>
      </c>
    </row>
    <row r="275" spans="1:27" x14ac:dyDescent="0.25">
      <c r="A275" s="2">
        <v>2015.25</v>
      </c>
      <c r="B275" s="2">
        <v>17913.7</v>
      </c>
      <c r="C275" s="2">
        <v>16333.588635410397</v>
      </c>
      <c r="D275" s="2">
        <v>109.67400000000001</v>
      </c>
      <c r="E275" s="2">
        <v>12228.4</v>
      </c>
      <c r="F275" s="2">
        <v>3025.5</v>
      </c>
      <c r="G275" s="2">
        <v>11178.922733755073</v>
      </c>
      <c r="H275" s="2">
        <v>2210.6032766067974</v>
      </c>
      <c r="I275" s="2">
        <v>267.39883281017472</v>
      </c>
      <c r="J275" s="2">
        <v>117.175</v>
      </c>
      <c r="K275" s="2">
        <v>105.846</v>
      </c>
      <c r="L275" s="2">
        <v>110.70399999999999</v>
      </c>
      <c r="M275" s="2">
        <v>0.8703997318635297</v>
      </c>
      <c r="N275" s="2">
        <v>1.8192992568696114</v>
      </c>
      <c r="O275" s="2">
        <v>0.89692885448082138</v>
      </c>
      <c r="P275" s="2">
        <v>1.8131246980522548</v>
      </c>
      <c r="Q275" s="2"/>
      <c r="R275" s="2">
        <v>321070</v>
      </c>
      <c r="S275" s="2">
        <v>250461</v>
      </c>
      <c r="T275" s="2">
        <v>4.83</v>
      </c>
      <c r="U275" s="2">
        <v>2.17</v>
      </c>
      <c r="V275" s="2">
        <v>0.02</v>
      </c>
      <c r="W275" s="2">
        <v>2102.0300000000002</v>
      </c>
      <c r="X275" s="2"/>
      <c r="Y275" s="2"/>
      <c r="Z275" s="2">
        <v>2.3676743730902672E-3</v>
      </c>
      <c r="AA275" s="2">
        <v>8.3016051212325692E-4</v>
      </c>
    </row>
    <row r="276" spans="1:27" x14ac:dyDescent="0.25">
      <c r="A276" s="2">
        <v>2015.5</v>
      </c>
      <c r="B276" s="2">
        <v>18064.7</v>
      </c>
      <c r="C276" s="2">
        <v>16417.827703101852</v>
      </c>
      <c r="D276" s="2">
        <v>110.03100000000001</v>
      </c>
      <c r="E276" s="2">
        <v>12358.6</v>
      </c>
      <c r="F276" s="2">
        <v>3034.8</v>
      </c>
      <c r="G276" s="2">
        <v>11262.735806069442</v>
      </c>
      <c r="H276" s="2">
        <v>2223.7675043161325</v>
      </c>
      <c r="I276" s="2"/>
      <c r="J276" s="2">
        <v>117.614</v>
      </c>
      <c r="K276" s="2">
        <v>106.38</v>
      </c>
      <c r="L276" s="2">
        <v>110.56100000000001</v>
      </c>
      <c r="M276" s="2">
        <v>0.87024863299248134</v>
      </c>
      <c r="N276" s="2">
        <v>1.8223672130579942</v>
      </c>
      <c r="O276" s="2">
        <v>0.89780843604417715</v>
      </c>
      <c r="P276" s="2">
        <v>1.8251730041292764</v>
      </c>
      <c r="Q276" s="2"/>
      <c r="R276" s="2">
        <v>321692</v>
      </c>
      <c r="S276" s="2">
        <v>251099</v>
      </c>
      <c r="T276" s="2">
        <v>5.24</v>
      </c>
      <c r="U276" s="2">
        <v>2.2200000000000002</v>
      </c>
      <c r="V276" s="2">
        <v>0.04</v>
      </c>
      <c r="W276" s="2">
        <v>2026.14</v>
      </c>
      <c r="X276" s="2"/>
      <c r="Y276" s="2"/>
      <c r="Z276" s="2">
        <v>-4.7343172132968903E-2</v>
      </c>
      <c r="AA276" s="2">
        <v>-1.4692241325974464E-2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49C9-DC3C-4783-A6C2-7AF174DB7BF4}">
  <dimension ref="A1:AF284"/>
  <sheetViews>
    <sheetView workbookViewId="0">
      <pane xSplit="1" ySplit="1" topLeftCell="V38" activePane="bottomRight" state="frozen"/>
      <selection pane="topRight" activeCell="B1" sqref="B1"/>
      <selection pane="bottomLeft" activeCell="A2" sqref="A2"/>
      <selection pane="bottomRight" activeCell="AB38" sqref="AB38"/>
    </sheetView>
  </sheetViews>
  <sheetFormatPr baseColWidth="10" defaultColWidth="8.7109375" defaultRowHeight="15" x14ac:dyDescent="0.25"/>
  <sheetData>
    <row r="1" spans="1:32" x14ac:dyDescent="0.25">
      <c r="A1" t="s">
        <v>7</v>
      </c>
      <c r="B1" t="s">
        <v>8</v>
      </c>
      <c r="C1" t="s">
        <v>9</v>
      </c>
      <c r="D1" t="s">
        <v>13</v>
      </c>
      <c r="E1" t="s">
        <v>55</v>
      </c>
      <c r="F1" t="s">
        <v>56</v>
      </c>
      <c r="G1" t="s">
        <v>57</v>
      </c>
      <c r="H1" t="s">
        <v>14</v>
      </c>
      <c r="I1" t="s">
        <v>58</v>
      </c>
      <c r="J1" t="s">
        <v>15</v>
      </c>
      <c r="K1" t="s">
        <v>59</v>
      </c>
      <c r="L1" t="s">
        <v>60</v>
      </c>
      <c r="M1" t="s">
        <v>53</v>
      </c>
      <c r="N1" t="s">
        <v>54</v>
      </c>
      <c r="O1" t="s">
        <v>61</v>
      </c>
      <c r="P1" t="s">
        <v>62</v>
      </c>
      <c r="Q1" t="s">
        <v>10</v>
      </c>
      <c r="R1" t="s">
        <v>16</v>
      </c>
      <c r="S1" t="s">
        <v>17</v>
      </c>
      <c r="T1" t="s">
        <v>18</v>
      </c>
      <c r="U1" t="s">
        <v>24</v>
      </c>
      <c r="V1" t="s">
        <v>26</v>
      </c>
      <c r="W1" t="s">
        <v>27</v>
      </c>
      <c r="X1" t="s">
        <v>28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</row>
    <row r="2" spans="1:32" x14ac:dyDescent="0.25">
      <c r="A2">
        <v>1945</v>
      </c>
      <c r="AB2">
        <v>0</v>
      </c>
      <c r="AC2">
        <v>0</v>
      </c>
      <c r="AE2">
        <v>0</v>
      </c>
      <c r="AF2">
        <v>0</v>
      </c>
    </row>
    <row r="3" spans="1:32" x14ac:dyDescent="0.25">
      <c r="A3">
        <v>1945.25</v>
      </c>
      <c r="AA3">
        <v>235.2</v>
      </c>
      <c r="AB3">
        <v>0</v>
      </c>
      <c r="AC3">
        <v>0</v>
      </c>
      <c r="AE3">
        <v>0</v>
      </c>
      <c r="AF3">
        <v>0</v>
      </c>
    </row>
    <row r="4" spans="1:32" x14ac:dyDescent="0.25">
      <c r="A4">
        <v>1945.5</v>
      </c>
      <c r="AA4">
        <v>235.3</v>
      </c>
      <c r="AB4">
        <v>0</v>
      </c>
      <c r="AC4">
        <v>0</v>
      </c>
      <c r="AE4">
        <v>0</v>
      </c>
      <c r="AF4">
        <v>0</v>
      </c>
    </row>
    <row r="5" spans="1:32" x14ac:dyDescent="0.25">
      <c r="A5">
        <v>1945.75</v>
      </c>
      <c r="AA5">
        <v>237.7</v>
      </c>
      <c r="AB5">
        <v>0</v>
      </c>
      <c r="AC5">
        <v>0</v>
      </c>
      <c r="AE5">
        <v>0</v>
      </c>
      <c r="AF5">
        <v>0</v>
      </c>
    </row>
    <row r="6" spans="1:32" x14ac:dyDescent="0.25">
      <c r="A6">
        <v>1946</v>
      </c>
      <c r="AA6">
        <v>240.4</v>
      </c>
      <c r="AB6">
        <v>-2.6540710750000001</v>
      </c>
      <c r="AC6">
        <v>0</v>
      </c>
      <c r="AE6">
        <v>0</v>
      </c>
      <c r="AF6">
        <v>0</v>
      </c>
    </row>
    <row r="7" spans="1:32" x14ac:dyDescent="0.25">
      <c r="A7">
        <v>1946.25</v>
      </c>
      <c r="AA7">
        <v>241.9</v>
      </c>
      <c r="AB7">
        <v>0</v>
      </c>
      <c r="AC7">
        <v>0</v>
      </c>
      <c r="AE7">
        <v>0</v>
      </c>
      <c r="AF7">
        <v>0</v>
      </c>
    </row>
    <row r="8" spans="1:32" x14ac:dyDescent="0.25">
      <c r="A8">
        <v>1946.5</v>
      </c>
      <c r="AA8">
        <v>239.8</v>
      </c>
      <c r="AB8">
        <v>0</v>
      </c>
      <c r="AC8">
        <v>0</v>
      </c>
      <c r="AE8">
        <v>0</v>
      </c>
      <c r="AF8">
        <v>0</v>
      </c>
    </row>
    <row r="9" spans="1:32" x14ac:dyDescent="0.25">
      <c r="A9">
        <v>1946.75</v>
      </c>
      <c r="AA9">
        <v>235</v>
      </c>
      <c r="AB9">
        <v>0</v>
      </c>
      <c r="AC9">
        <v>0</v>
      </c>
      <c r="AE9">
        <v>0</v>
      </c>
      <c r="AF9">
        <v>0</v>
      </c>
    </row>
    <row r="10" spans="1:32" x14ac:dyDescent="0.25">
      <c r="A10">
        <v>1947</v>
      </c>
      <c r="B10">
        <v>243.1</v>
      </c>
      <c r="C10">
        <v>1934.5853891453125</v>
      </c>
      <c r="D10">
        <v>1199.5395241749811</v>
      </c>
      <c r="E10">
        <v>1430.0181658476902</v>
      </c>
      <c r="F10">
        <v>46.580706136501725</v>
      </c>
      <c r="G10">
        <v>222.95367035150912</v>
      </c>
      <c r="H10">
        <v>1.3246448029056723</v>
      </c>
      <c r="I10">
        <v>1.172005804219221</v>
      </c>
      <c r="J10">
        <v>122.24350052862738</v>
      </c>
      <c r="K10">
        <v>40.1</v>
      </c>
      <c r="L10">
        <v>26.6</v>
      </c>
      <c r="M10">
        <v>0</v>
      </c>
      <c r="O10">
        <v>54.699999999999996</v>
      </c>
      <c r="P10">
        <v>43</v>
      </c>
      <c r="Q10">
        <v>12.566000000000001</v>
      </c>
      <c r="R10">
        <v>12.205</v>
      </c>
      <c r="S10">
        <v>21.478999999999999</v>
      </c>
      <c r="T10">
        <v>56.822000000000003</v>
      </c>
      <c r="U10">
        <v>142985.578125</v>
      </c>
      <c r="V10">
        <v>3.13</v>
      </c>
      <c r="X10">
        <v>0.38</v>
      </c>
      <c r="AA10">
        <v>229.3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>
        <v>1947.25</v>
      </c>
      <c r="B11">
        <v>246.3</v>
      </c>
      <c r="C11">
        <v>1932.5225578658299</v>
      </c>
      <c r="D11">
        <v>1219.6421773886561</v>
      </c>
      <c r="E11">
        <v>1452.3793531995784</v>
      </c>
      <c r="F11">
        <v>47.712476589672704</v>
      </c>
      <c r="G11">
        <v>205.60190703218115</v>
      </c>
      <c r="H11">
        <v>1.3065118208212358</v>
      </c>
      <c r="I11">
        <v>1.1206258589702929</v>
      </c>
      <c r="J11">
        <v>121.19525272094127</v>
      </c>
      <c r="K11">
        <v>40.299999999999997</v>
      </c>
      <c r="L11">
        <v>26.5</v>
      </c>
      <c r="M11">
        <v>7.8</v>
      </c>
      <c r="O11">
        <v>54.2</v>
      </c>
      <c r="P11">
        <v>42.099999999999994</v>
      </c>
      <c r="Q11">
        <v>12.744999999999999</v>
      </c>
      <c r="R11">
        <v>12.244999999999999</v>
      </c>
      <c r="S11">
        <v>21.581</v>
      </c>
      <c r="T11">
        <v>56.74</v>
      </c>
      <c r="U11">
        <v>143669.828125</v>
      </c>
      <c r="V11">
        <v>3.18</v>
      </c>
      <c r="X11">
        <v>0.38</v>
      </c>
      <c r="AA11">
        <v>224.3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>
        <v>1947.5</v>
      </c>
      <c r="B12">
        <v>250.1</v>
      </c>
      <c r="C12">
        <v>1930.2307632939724</v>
      </c>
      <c r="D12">
        <v>1223.4678624813153</v>
      </c>
      <c r="E12">
        <v>1453.7316340858965</v>
      </c>
      <c r="F12">
        <v>48.335957074122526</v>
      </c>
      <c r="G12">
        <v>199.51978047107249</v>
      </c>
      <c r="H12">
        <v>1.2830226802040712</v>
      </c>
      <c r="I12">
        <v>1.2921232168699608</v>
      </c>
      <c r="J12">
        <v>122.14460067818699</v>
      </c>
      <c r="K12">
        <v>39.799999999999997</v>
      </c>
      <c r="L12">
        <v>25.3</v>
      </c>
      <c r="M12">
        <v>0</v>
      </c>
      <c r="O12">
        <v>53.7</v>
      </c>
      <c r="P12">
        <v>41.199999999999996</v>
      </c>
      <c r="Q12">
        <v>12.957000000000001</v>
      </c>
      <c r="R12">
        <v>12.23</v>
      </c>
      <c r="S12">
        <v>21.388000000000002</v>
      </c>
      <c r="T12">
        <v>57.182000000000002</v>
      </c>
      <c r="U12">
        <v>144334.75</v>
      </c>
      <c r="V12">
        <v>3.19</v>
      </c>
      <c r="X12">
        <v>0.74</v>
      </c>
      <c r="AA12">
        <v>221.2</v>
      </c>
      <c r="AB12">
        <v>0</v>
      </c>
      <c r="AC12">
        <v>0</v>
      </c>
      <c r="AD12">
        <v>0</v>
      </c>
      <c r="AE12">
        <v>0</v>
      </c>
      <c r="AF12">
        <v>0.27</v>
      </c>
    </row>
    <row r="13" spans="1:32" x14ac:dyDescent="0.25">
      <c r="A13">
        <v>1947.75</v>
      </c>
      <c r="B13">
        <v>260.3</v>
      </c>
      <c r="C13">
        <v>1960.6809279903587</v>
      </c>
      <c r="D13">
        <v>1223.6563844527093</v>
      </c>
      <c r="E13">
        <v>1440.6725162917644</v>
      </c>
      <c r="F13">
        <v>51.435825599719834</v>
      </c>
      <c r="G13">
        <v>237.92476730737457</v>
      </c>
      <c r="H13">
        <v>1.3148102207888861</v>
      </c>
      <c r="I13">
        <v>1.5415617128463475</v>
      </c>
      <c r="J13">
        <v>122.9164862646482</v>
      </c>
      <c r="K13">
        <v>40</v>
      </c>
      <c r="L13">
        <v>24.8</v>
      </c>
      <c r="M13">
        <v>0</v>
      </c>
      <c r="O13">
        <v>56.4</v>
      </c>
      <c r="P13">
        <v>43.4</v>
      </c>
      <c r="Q13">
        <v>13.276</v>
      </c>
      <c r="R13">
        <v>12.484</v>
      </c>
      <c r="S13">
        <v>21.667000000000002</v>
      </c>
      <c r="T13">
        <v>57.619</v>
      </c>
      <c r="U13">
        <v>144961</v>
      </c>
      <c r="V13">
        <v>3.44</v>
      </c>
      <c r="X13">
        <v>0.91</v>
      </c>
      <c r="AA13">
        <v>218.8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>
        <v>1948</v>
      </c>
      <c r="B14">
        <v>266.2</v>
      </c>
      <c r="C14">
        <v>1989.6853277524478</v>
      </c>
      <c r="D14">
        <v>1229.7151099891814</v>
      </c>
      <c r="E14">
        <v>1449.7182419049716</v>
      </c>
      <c r="F14">
        <v>51.040354458972239</v>
      </c>
      <c r="G14">
        <v>262.63075895837966</v>
      </c>
      <c r="H14">
        <v>1.3917678412792418</v>
      </c>
      <c r="I14">
        <v>1.512455516014235</v>
      </c>
      <c r="J14">
        <v>121.87289296292272</v>
      </c>
      <c r="K14">
        <v>41.2</v>
      </c>
      <c r="L14">
        <v>25.5</v>
      </c>
      <c r="M14">
        <v>1.8</v>
      </c>
      <c r="N14">
        <v>0.363697722669794</v>
      </c>
      <c r="O14">
        <v>57.099999999999994</v>
      </c>
      <c r="P14">
        <v>43.6</v>
      </c>
      <c r="Q14">
        <v>13.379</v>
      </c>
      <c r="R14">
        <v>12.702</v>
      </c>
      <c r="S14">
        <v>22.158999999999999</v>
      </c>
      <c r="T14">
        <v>57.323</v>
      </c>
      <c r="U14">
        <v>145587.25</v>
      </c>
      <c r="V14">
        <v>3.53</v>
      </c>
      <c r="X14">
        <v>0.99</v>
      </c>
      <c r="AA14">
        <v>217.4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>
        <v>1948.25</v>
      </c>
      <c r="B15">
        <v>272.89999999999998</v>
      </c>
      <c r="C15">
        <v>2021.9307994369117</v>
      </c>
      <c r="D15">
        <v>1244.2889777270132</v>
      </c>
      <c r="E15">
        <v>1468.7416912111814</v>
      </c>
      <c r="F15">
        <v>51.4502540356293</v>
      </c>
      <c r="G15">
        <v>278.7012411347518</v>
      </c>
      <c r="H15">
        <v>1.3444732545856142</v>
      </c>
      <c r="I15">
        <v>1.6021883548261038</v>
      </c>
      <c r="J15">
        <v>122.13539024868194</v>
      </c>
      <c r="K15">
        <v>43.1</v>
      </c>
      <c r="L15">
        <v>26.7</v>
      </c>
      <c r="M15">
        <v>3.5</v>
      </c>
      <c r="N15">
        <v>-1.0807369151719901</v>
      </c>
      <c r="O15">
        <v>56</v>
      </c>
      <c r="P15">
        <v>41.999999999999993</v>
      </c>
      <c r="Q15">
        <v>13.497</v>
      </c>
      <c r="R15">
        <v>12.967000000000001</v>
      </c>
      <c r="S15">
        <v>22.611999999999998</v>
      </c>
      <c r="T15">
        <v>57.344999999999999</v>
      </c>
      <c r="U15">
        <v>146213.5</v>
      </c>
      <c r="V15">
        <v>3.4</v>
      </c>
      <c r="X15">
        <v>1</v>
      </c>
      <c r="AA15">
        <v>216.3</v>
      </c>
      <c r="AB15">
        <v>0</v>
      </c>
      <c r="AC15">
        <v>-1.870557426</v>
      </c>
      <c r="AD15">
        <v>-1.920288129</v>
      </c>
      <c r="AE15">
        <v>-3.7411148519999999</v>
      </c>
      <c r="AF15">
        <v>0</v>
      </c>
    </row>
    <row r="16" spans="1:32" x14ac:dyDescent="0.25">
      <c r="A16">
        <v>1948.5</v>
      </c>
      <c r="B16">
        <v>279.5</v>
      </c>
      <c r="C16">
        <v>2033.170873645159</v>
      </c>
      <c r="D16">
        <v>1245.8693665190185</v>
      </c>
      <c r="E16">
        <v>1467.5505833313612</v>
      </c>
      <c r="F16">
        <v>52.405907575035734</v>
      </c>
      <c r="G16">
        <v>281.66747143087076</v>
      </c>
      <c r="H16">
        <v>1.350974930362117</v>
      </c>
      <c r="I16">
        <v>1.5554919362534594</v>
      </c>
      <c r="J16">
        <v>123.49131912678176</v>
      </c>
      <c r="K16">
        <v>44.8</v>
      </c>
      <c r="L16">
        <v>27.5</v>
      </c>
      <c r="M16">
        <v>0</v>
      </c>
      <c r="N16">
        <v>-0.441642767231887</v>
      </c>
      <c r="O16">
        <v>55.4</v>
      </c>
      <c r="P16">
        <v>41.099999999999994</v>
      </c>
      <c r="Q16">
        <v>13.747</v>
      </c>
      <c r="R16">
        <v>13.025</v>
      </c>
      <c r="S16">
        <v>22.506</v>
      </c>
      <c r="T16">
        <v>57.872</v>
      </c>
      <c r="U16">
        <v>146844.078125</v>
      </c>
      <c r="V16">
        <v>3.42</v>
      </c>
      <c r="X16">
        <v>1.05</v>
      </c>
      <c r="AA16">
        <v>215.2</v>
      </c>
      <c r="AB16">
        <v>0</v>
      </c>
      <c r="AC16">
        <v>0</v>
      </c>
      <c r="AD16">
        <v>0</v>
      </c>
      <c r="AE16">
        <v>1.8254837530000001</v>
      </c>
      <c r="AF16">
        <v>0</v>
      </c>
    </row>
    <row r="17" spans="1:32" x14ac:dyDescent="0.25">
      <c r="A17">
        <v>1948.75</v>
      </c>
      <c r="B17">
        <v>280.7</v>
      </c>
      <c r="C17">
        <v>2035.6806149829574</v>
      </c>
      <c r="D17">
        <v>1256.0829395585019</v>
      </c>
      <c r="E17">
        <v>1484.1069924422154</v>
      </c>
      <c r="F17">
        <v>51.682791697676343</v>
      </c>
      <c r="G17">
        <v>268.09511366605693</v>
      </c>
      <c r="H17">
        <v>1.3832272248431274</v>
      </c>
      <c r="I17">
        <v>1.4421252371916509</v>
      </c>
      <c r="J17">
        <v>123.02656833038415</v>
      </c>
      <c r="K17">
        <v>46.8</v>
      </c>
      <c r="L17">
        <v>28.7</v>
      </c>
      <c r="M17">
        <v>0</v>
      </c>
      <c r="N17">
        <v>-2.3148843841687898</v>
      </c>
      <c r="O17">
        <v>55.4</v>
      </c>
      <c r="P17">
        <v>40.799999999999997</v>
      </c>
      <c r="Q17">
        <v>13.789</v>
      </c>
      <c r="R17">
        <v>13.010999999999999</v>
      </c>
      <c r="S17">
        <v>22.626999999999999</v>
      </c>
      <c r="T17">
        <v>57.503</v>
      </c>
      <c r="U17">
        <v>147483.328125</v>
      </c>
      <c r="V17">
        <v>3.52</v>
      </c>
      <c r="X17">
        <v>1.1399999999999999</v>
      </c>
      <c r="AA17">
        <v>214.4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>
        <v>1949</v>
      </c>
      <c r="B18">
        <v>275.39999999999998</v>
      </c>
      <c r="C18">
        <v>2007.7276372384629</v>
      </c>
      <c r="D18">
        <v>1258.0851517520789</v>
      </c>
      <c r="E18">
        <v>1491.0519854740087</v>
      </c>
      <c r="F18">
        <v>50.600360838638771</v>
      </c>
      <c r="G18">
        <v>227.84943962782827</v>
      </c>
      <c r="H18">
        <v>1.3174259523699849</v>
      </c>
      <c r="I18">
        <v>1.3367222065329945</v>
      </c>
      <c r="J18">
        <v>121.61519347361926</v>
      </c>
      <c r="K18">
        <v>48.8</v>
      </c>
      <c r="L18">
        <v>30.2</v>
      </c>
      <c r="M18">
        <v>0</v>
      </c>
      <c r="N18">
        <v>-0.42624886931829398</v>
      </c>
      <c r="O18">
        <v>54.400000000000006</v>
      </c>
      <c r="P18">
        <v>39.4</v>
      </c>
      <c r="Q18">
        <v>13.717000000000001</v>
      </c>
      <c r="R18">
        <v>12.784000000000001</v>
      </c>
      <c r="S18">
        <v>22.547000000000001</v>
      </c>
      <c r="T18">
        <v>56.698</v>
      </c>
      <c r="U18">
        <v>148122.578125</v>
      </c>
      <c r="V18">
        <v>3.46</v>
      </c>
      <c r="X18">
        <v>1.17</v>
      </c>
      <c r="AA18">
        <v>214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>
        <v>1949.25</v>
      </c>
      <c r="B19">
        <v>271.7</v>
      </c>
      <c r="C19">
        <v>2000.8837175049707</v>
      </c>
      <c r="D19">
        <v>1277.2652506615175</v>
      </c>
      <c r="E19">
        <v>1497.1690774075707</v>
      </c>
      <c r="F19">
        <v>55.090670061142298</v>
      </c>
      <c r="G19">
        <v>197.51200349192496</v>
      </c>
      <c r="H19">
        <v>1.268801328781028</v>
      </c>
      <c r="I19">
        <v>1.3102083136959186</v>
      </c>
      <c r="J19">
        <v>120.77850911356764</v>
      </c>
      <c r="K19">
        <v>50.6</v>
      </c>
      <c r="L19">
        <v>31.3</v>
      </c>
      <c r="M19">
        <v>0</v>
      </c>
      <c r="N19">
        <v>-0.19418408616004601</v>
      </c>
      <c r="O19">
        <v>52.6</v>
      </c>
      <c r="P19">
        <v>37.4</v>
      </c>
      <c r="Q19">
        <v>13.579000000000001</v>
      </c>
      <c r="R19">
        <v>12.718999999999999</v>
      </c>
      <c r="S19">
        <v>22.638000000000002</v>
      </c>
      <c r="T19">
        <v>56.183999999999997</v>
      </c>
      <c r="U19">
        <v>148761.828125</v>
      </c>
      <c r="V19">
        <v>3.46</v>
      </c>
      <c r="X19">
        <v>1.17</v>
      </c>
      <c r="AA19">
        <v>214.3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>
        <v>1949.5</v>
      </c>
      <c r="B20">
        <v>273.3</v>
      </c>
      <c r="C20">
        <v>2023.0957139684654</v>
      </c>
      <c r="D20">
        <v>1279.6719896417783</v>
      </c>
      <c r="E20">
        <v>1489.2927524961949</v>
      </c>
      <c r="F20">
        <v>57.666715954458077</v>
      </c>
      <c r="G20">
        <v>213.8603140227396</v>
      </c>
      <c r="H20">
        <v>1.2092290585618979</v>
      </c>
      <c r="I20">
        <v>1.4193299217920248</v>
      </c>
      <c r="J20">
        <v>119.06929161410382</v>
      </c>
      <c r="K20">
        <v>50.6</v>
      </c>
      <c r="L20">
        <v>30.5</v>
      </c>
      <c r="M20">
        <v>0</v>
      </c>
      <c r="N20">
        <v>-0.47358098414762401</v>
      </c>
      <c r="O20">
        <v>52.5</v>
      </c>
      <c r="P20">
        <v>36.9</v>
      </c>
      <c r="Q20">
        <v>13.509</v>
      </c>
      <c r="R20">
        <v>12.878</v>
      </c>
      <c r="S20">
        <v>23.300999999999998</v>
      </c>
      <c r="T20">
        <v>55.268000000000001</v>
      </c>
      <c r="U20">
        <v>149444.921875</v>
      </c>
      <c r="V20">
        <v>3.41</v>
      </c>
      <c r="X20">
        <v>1.04</v>
      </c>
      <c r="AA20">
        <v>215.5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>
        <v>1949.75</v>
      </c>
      <c r="B21">
        <v>271</v>
      </c>
      <c r="C21">
        <v>2004.7344281698474</v>
      </c>
      <c r="D21">
        <v>1298.8696090431276</v>
      </c>
      <c r="E21">
        <v>1503.3014689392637</v>
      </c>
      <c r="F21">
        <v>60.08166028475322</v>
      </c>
      <c r="G21">
        <v>203.79327210477692</v>
      </c>
      <c r="H21">
        <v>1.1936957940874755</v>
      </c>
      <c r="I21">
        <v>1.5934331240946402</v>
      </c>
      <c r="J21">
        <v>117.91916606528265</v>
      </c>
      <c r="K21">
        <v>50.1</v>
      </c>
      <c r="L21">
        <v>29.8</v>
      </c>
      <c r="M21">
        <v>-2</v>
      </c>
      <c r="N21">
        <v>-0.80701372748009104</v>
      </c>
      <c r="O21">
        <v>51.4</v>
      </c>
      <c r="P21">
        <v>35.599999999999994</v>
      </c>
      <c r="Q21">
        <v>13.518000000000001</v>
      </c>
      <c r="R21">
        <v>12.747</v>
      </c>
      <c r="S21">
        <v>23.361000000000001</v>
      </c>
      <c r="T21">
        <v>54.564</v>
      </c>
      <c r="U21">
        <v>150215.671875</v>
      </c>
      <c r="V21">
        <v>3.34</v>
      </c>
      <c r="X21">
        <v>1.08</v>
      </c>
      <c r="AA21">
        <v>217.1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>
        <v>1950</v>
      </c>
      <c r="B22">
        <v>281.2</v>
      </c>
      <c r="C22">
        <v>2084.5070422535209</v>
      </c>
      <c r="D22">
        <v>1320.6866705135603</v>
      </c>
      <c r="E22">
        <v>1523.3385125972761</v>
      </c>
      <c r="F22">
        <v>62.212030490264773</v>
      </c>
      <c r="G22">
        <v>251.65705663630976</v>
      </c>
      <c r="H22">
        <v>1.2300810735253005</v>
      </c>
      <c r="I22">
        <v>1.7715392061955471</v>
      </c>
      <c r="J22">
        <v>118.27365781923902</v>
      </c>
      <c r="K22">
        <v>49.2</v>
      </c>
      <c r="L22">
        <v>28.6</v>
      </c>
      <c r="M22">
        <v>0</v>
      </c>
      <c r="N22">
        <v>-0.86054894742323296</v>
      </c>
      <c r="O22">
        <v>57.099999999999994</v>
      </c>
      <c r="P22">
        <v>41</v>
      </c>
      <c r="Q22">
        <v>13.49</v>
      </c>
      <c r="R22">
        <v>13.367000000000001</v>
      </c>
      <c r="S22">
        <v>24.423999999999999</v>
      </c>
      <c r="T22">
        <v>54.728999999999999</v>
      </c>
      <c r="U22">
        <v>150986.421875</v>
      </c>
      <c r="V22">
        <v>3.24</v>
      </c>
      <c r="X22">
        <v>1.1000000000000001</v>
      </c>
      <c r="Y22">
        <v>0.97666666666699997</v>
      </c>
      <c r="AA22">
        <v>218.3</v>
      </c>
      <c r="AB22">
        <v>0</v>
      </c>
      <c r="AC22">
        <v>0.27252906999999998</v>
      </c>
      <c r="AD22">
        <v>0</v>
      </c>
      <c r="AE22">
        <v>0</v>
      </c>
      <c r="AF22">
        <v>0</v>
      </c>
    </row>
    <row r="23" spans="1:32" x14ac:dyDescent="0.25">
      <c r="A23">
        <v>1950.25</v>
      </c>
      <c r="B23">
        <v>290.7</v>
      </c>
      <c r="C23">
        <v>2147.2891121288226</v>
      </c>
      <c r="D23">
        <v>1342.4264178033022</v>
      </c>
      <c r="E23">
        <v>1550.5569307952496</v>
      </c>
      <c r="F23">
        <v>62.814864779410215</v>
      </c>
      <c r="G23">
        <v>278.9482105712305</v>
      </c>
      <c r="H23">
        <v>1.334010339734121</v>
      </c>
      <c r="I23">
        <v>1.9452313503305005</v>
      </c>
      <c r="J23">
        <v>120.49213544863686</v>
      </c>
      <c r="K23">
        <v>49.9</v>
      </c>
      <c r="L23">
        <v>29</v>
      </c>
      <c r="M23">
        <v>7.7</v>
      </c>
      <c r="N23">
        <v>-0.47498226570206598</v>
      </c>
      <c r="O23">
        <v>61.699999999999996</v>
      </c>
      <c r="P23">
        <v>45.1</v>
      </c>
      <c r="Q23">
        <v>13.538</v>
      </c>
      <c r="R23">
        <v>13.805999999999999</v>
      </c>
      <c r="S23">
        <v>24.678000000000001</v>
      </c>
      <c r="T23">
        <v>55.944000000000003</v>
      </c>
      <c r="U23">
        <v>151757.171875</v>
      </c>
      <c r="V23">
        <v>3.25</v>
      </c>
      <c r="X23">
        <v>1.1499999999999999</v>
      </c>
      <c r="Y23">
        <v>0.97333333333299998</v>
      </c>
      <c r="AA23">
        <v>219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>
        <v>1950.5</v>
      </c>
      <c r="B24">
        <v>308.5</v>
      </c>
      <c r="C24">
        <v>2230.3354540196642</v>
      </c>
      <c r="D24">
        <v>1411.2931580057661</v>
      </c>
      <c r="E24">
        <v>1575.4762388454994</v>
      </c>
      <c r="F24">
        <v>77.798348345224966</v>
      </c>
      <c r="G24">
        <v>302.62342491220824</v>
      </c>
      <c r="H24">
        <v>1.4417427460905721</v>
      </c>
      <c r="I24">
        <v>2.0558537250977897</v>
      </c>
      <c r="J24">
        <v>123.82678550881842</v>
      </c>
      <c r="K24">
        <v>50</v>
      </c>
      <c r="L24">
        <v>28.4</v>
      </c>
      <c r="M24">
        <v>179.4</v>
      </c>
      <c r="N24">
        <v>8.8011337982237396</v>
      </c>
      <c r="O24">
        <v>68.7</v>
      </c>
      <c r="P24">
        <v>51.399999999999991</v>
      </c>
      <c r="Q24">
        <v>13.832000000000001</v>
      </c>
      <c r="R24">
        <v>14.387</v>
      </c>
      <c r="S24">
        <v>25.071999999999999</v>
      </c>
      <c r="T24">
        <v>57.383000000000003</v>
      </c>
      <c r="U24">
        <v>152488.25</v>
      </c>
      <c r="V24">
        <v>3.25</v>
      </c>
      <c r="X24">
        <v>1.22</v>
      </c>
      <c r="Y24">
        <v>1.186666666667</v>
      </c>
      <c r="AA24">
        <v>218.6</v>
      </c>
      <c r="AB24">
        <v>0</v>
      </c>
      <c r="AC24">
        <v>0</v>
      </c>
      <c r="AD24">
        <v>0</v>
      </c>
      <c r="AE24">
        <v>0</v>
      </c>
      <c r="AF24">
        <v>0.35</v>
      </c>
    </row>
    <row r="25" spans="1:32" x14ac:dyDescent="0.25">
      <c r="A25">
        <v>1950.75</v>
      </c>
      <c r="B25">
        <v>320.3</v>
      </c>
      <c r="C25">
        <v>2273.2434350603266</v>
      </c>
      <c r="D25">
        <v>1368.4719535783365</v>
      </c>
      <c r="E25">
        <v>1561.532835257736</v>
      </c>
      <c r="F25">
        <v>68.112088361628139</v>
      </c>
      <c r="G25">
        <v>341.14713216957608</v>
      </c>
      <c r="H25">
        <v>1.4392580602826019</v>
      </c>
      <c r="I25">
        <v>1.9581056466302367</v>
      </c>
      <c r="J25">
        <v>125.44381562455659</v>
      </c>
      <c r="K25">
        <v>53.9</v>
      </c>
      <c r="L25">
        <v>31.8</v>
      </c>
      <c r="M25">
        <v>124</v>
      </c>
      <c r="N25">
        <v>0.38746858339804002</v>
      </c>
      <c r="O25">
        <v>73.599999999999994</v>
      </c>
      <c r="P25">
        <v>56.1</v>
      </c>
      <c r="Q25">
        <v>14.09</v>
      </c>
      <c r="R25">
        <v>14.542</v>
      </c>
      <c r="S25">
        <v>25.189</v>
      </c>
      <c r="T25">
        <v>57.731999999999999</v>
      </c>
      <c r="U25">
        <v>153140</v>
      </c>
      <c r="V25">
        <v>3.21</v>
      </c>
      <c r="X25">
        <v>1.34</v>
      </c>
      <c r="Y25">
        <v>1.05</v>
      </c>
      <c r="AA25">
        <v>217.3</v>
      </c>
      <c r="AB25">
        <v>1.499680919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>
        <v>1951</v>
      </c>
      <c r="B26">
        <v>336.4</v>
      </c>
      <c r="C26">
        <v>2304.7410249383393</v>
      </c>
      <c r="D26">
        <v>1401.7940822064534</v>
      </c>
      <c r="E26">
        <v>1597.5529201622942</v>
      </c>
      <c r="F26">
        <v>70.167139703563549</v>
      </c>
      <c r="G26">
        <v>306.5388630540001</v>
      </c>
      <c r="H26">
        <v>1.400702467098303</v>
      </c>
      <c r="I26">
        <v>1.8587033121916843</v>
      </c>
      <c r="J26">
        <v>128.08387464973214</v>
      </c>
      <c r="K26">
        <v>62.3</v>
      </c>
      <c r="L26">
        <v>39.6</v>
      </c>
      <c r="M26">
        <v>4.0999999999999996</v>
      </c>
      <c r="N26">
        <v>-0.159857360952191</v>
      </c>
      <c r="O26">
        <v>82.399999999999991</v>
      </c>
      <c r="P26">
        <v>64.099999999999994</v>
      </c>
      <c r="Q26">
        <v>14.596</v>
      </c>
      <c r="R26">
        <v>14.695</v>
      </c>
      <c r="S26">
        <v>25.196000000000002</v>
      </c>
      <c r="T26">
        <v>58.323999999999998</v>
      </c>
      <c r="U26">
        <v>153791.75</v>
      </c>
      <c r="V26">
        <v>3.19</v>
      </c>
      <c r="X26">
        <v>1.37</v>
      </c>
      <c r="Y26">
        <v>1.2233333333330001</v>
      </c>
      <c r="AA26">
        <v>215.6</v>
      </c>
      <c r="AB26">
        <v>1.1550151980000001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>
        <v>1951.25</v>
      </c>
      <c r="B27">
        <v>344.5</v>
      </c>
      <c r="C27">
        <v>2344.8135039477265</v>
      </c>
      <c r="D27">
        <v>1361.9762268410918</v>
      </c>
      <c r="E27">
        <v>1588.9992681888755</v>
      </c>
      <c r="F27">
        <v>60.093565877816268</v>
      </c>
      <c r="G27">
        <v>313.64884359439719</v>
      </c>
      <c r="H27">
        <v>1.41846921797005</v>
      </c>
      <c r="I27">
        <v>1.6099556174397356</v>
      </c>
      <c r="J27">
        <v>129.4974520272545</v>
      </c>
      <c r="K27">
        <v>70</v>
      </c>
      <c r="L27">
        <v>46.6</v>
      </c>
      <c r="M27">
        <v>0</v>
      </c>
      <c r="N27">
        <v>-0.14872389006845099</v>
      </c>
      <c r="O27">
        <v>79.400000000000006</v>
      </c>
      <c r="P27">
        <v>61.1</v>
      </c>
      <c r="Q27">
        <v>14.692</v>
      </c>
      <c r="R27">
        <v>14.83</v>
      </c>
      <c r="S27">
        <v>25.297000000000001</v>
      </c>
      <c r="T27">
        <v>58.625</v>
      </c>
      <c r="U27">
        <v>154443.5</v>
      </c>
      <c r="V27">
        <v>3.41</v>
      </c>
      <c r="X27">
        <v>1.49</v>
      </c>
      <c r="Y27">
        <v>0.90333333333300003</v>
      </c>
      <c r="AA27">
        <v>214.3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>
        <v>1951.5</v>
      </c>
      <c r="B28">
        <v>351.8</v>
      </c>
      <c r="C28">
        <v>2393.0344874498333</v>
      </c>
      <c r="D28">
        <v>1377.9840848806366</v>
      </c>
      <c r="E28">
        <v>1616.7304351816622</v>
      </c>
      <c r="F28">
        <v>59.087084971923858</v>
      </c>
      <c r="G28">
        <v>290.58867641544811</v>
      </c>
      <c r="H28">
        <v>1.4342826525986068</v>
      </c>
      <c r="I28">
        <v>1.505841627001298</v>
      </c>
      <c r="J28">
        <v>128.92512938306464</v>
      </c>
      <c r="K28">
        <v>78.3</v>
      </c>
      <c r="L28">
        <v>54.3</v>
      </c>
      <c r="M28">
        <v>0</v>
      </c>
      <c r="N28">
        <v>-2.32977184625534E-2</v>
      </c>
      <c r="O28">
        <v>79</v>
      </c>
      <c r="P28">
        <v>60.3</v>
      </c>
      <c r="Q28">
        <v>14.701000000000001</v>
      </c>
      <c r="R28">
        <v>15.077</v>
      </c>
      <c r="S28">
        <v>26.027999999999999</v>
      </c>
      <c r="T28">
        <v>57.926000000000002</v>
      </c>
      <c r="U28">
        <v>155100.921875</v>
      </c>
      <c r="V28">
        <v>3.5</v>
      </c>
      <c r="X28">
        <v>1.6</v>
      </c>
      <c r="Y28">
        <v>1.5033333333329999</v>
      </c>
      <c r="AA28">
        <v>213.8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>
        <v>1951.75</v>
      </c>
      <c r="B29">
        <v>356.6</v>
      </c>
      <c r="C29">
        <v>2398.2782971282536</v>
      </c>
      <c r="D29">
        <v>1385.5618823221414</v>
      </c>
      <c r="E29">
        <v>1628.7762128843708</v>
      </c>
      <c r="F29">
        <v>58.904454649382856</v>
      </c>
      <c r="G29">
        <v>267.40973165363181</v>
      </c>
      <c r="H29">
        <v>1.4106902597137847</v>
      </c>
      <c r="I29">
        <v>1.5181404923235267</v>
      </c>
      <c r="J29">
        <v>129.23863284029756</v>
      </c>
      <c r="K29">
        <v>83.6</v>
      </c>
      <c r="L29">
        <v>59.3</v>
      </c>
      <c r="M29">
        <v>0</v>
      </c>
      <c r="N29">
        <v>0.339611328858548</v>
      </c>
      <c r="O29">
        <v>83.2</v>
      </c>
      <c r="P29">
        <v>64</v>
      </c>
      <c r="Q29">
        <v>14.869</v>
      </c>
      <c r="R29">
        <v>15.076000000000001</v>
      </c>
      <c r="S29">
        <v>25.937000000000001</v>
      </c>
      <c r="T29">
        <v>58.125999999999998</v>
      </c>
      <c r="U29">
        <v>155769.671875</v>
      </c>
      <c r="V29">
        <v>3.56</v>
      </c>
      <c r="X29">
        <v>1.61</v>
      </c>
      <c r="Y29">
        <v>1.2533333333329999</v>
      </c>
      <c r="AA29">
        <v>213.7</v>
      </c>
      <c r="AB29">
        <v>1.551724138</v>
      </c>
      <c r="AC29">
        <v>0</v>
      </c>
      <c r="AD29">
        <v>0</v>
      </c>
      <c r="AE29">
        <v>0</v>
      </c>
      <c r="AF29">
        <v>-0.35</v>
      </c>
    </row>
    <row r="30" spans="1:32" x14ac:dyDescent="0.25">
      <c r="A30">
        <v>1952</v>
      </c>
      <c r="B30">
        <v>360.2</v>
      </c>
      <c r="C30">
        <v>2423.4676713987756</v>
      </c>
      <c r="D30">
        <v>1388.9069934171935</v>
      </c>
      <c r="E30">
        <v>1631.5438503759885</v>
      </c>
      <c r="F30">
        <v>59.267241379310342</v>
      </c>
      <c r="G30">
        <v>274.160060400151</v>
      </c>
      <c r="H30">
        <v>1.4248599496630674</v>
      </c>
      <c r="I30">
        <v>1.5626334215694646</v>
      </c>
      <c r="J30">
        <v>129.73211369683952</v>
      </c>
      <c r="K30">
        <v>85.3</v>
      </c>
      <c r="L30">
        <v>60.9</v>
      </c>
      <c r="M30">
        <v>-0.5</v>
      </c>
      <c r="N30">
        <v>0.60824197467180297</v>
      </c>
      <c r="O30">
        <v>83.8</v>
      </c>
      <c r="P30">
        <v>64.2</v>
      </c>
      <c r="Q30">
        <v>14.863</v>
      </c>
      <c r="R30">
        <v>15.207000000000001</v>
      </c>
      <c r="S30">
        <v>26.042999999999999</v>
      </c>
      <c r="T30">
        <v>58.390999999999998</v>
      </c>
      <c r="U30">
        <v>156522</v>
      </c>
      <c r="V30">
        <v>3.54</v>
      </c>
      <c r="X30">
        <v>1.57</v>
      </c>
      <c r="Y30">
        <v>1.116666666667</v>
      </c>
      <c r="AA30">
        <v>214.1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>
        <v>1952.25</v>
      </c>
      <c r="B31">
        <v>361.4</v>
      </c>
      <c r="C31">
        <v>2428.4370380325227</v>
      </c>
      <c r="D31">
        <v>1415.9061277705346</v>
      </c>
      <c r="E31">
        <v>1662.4946519955513</v>
      </c>
      <c r="F31">
        <v>60.362956616558918</v>
      </c>
      <c r="G31">
        <v>253.62492223764178</v>
      </c>
      <c r="H31">
        <v>1.4502146965891598</v>
      </c>
      <c r="I31">
        <v>1.5921409214092141</v>
      </c>
      <c r="J31">
        <v>129.23110348404322</v>
      </c>
      <c r="K31">
        <v>89.2</v>
      </c>
      <c r="L31">
        <v>64.099999999999994</v>
      </c>
      <c r="M31">
        <v>-4.5999999999999996</v>
      </c>
      <c r="N31">
        <v>0.103857424929324</v>
      </c>
      <c r="O31">
        <v>84.2</v>
      </c>
      <c r="P31">
        <v>64.3</v>
      </c>
      <c r="Q31">
        <v>14.882</v>
      </c>
      <c r="R31">
        <v>15.193</v>
      </c>
      <c r="S31">
        <v>26.292000000000002</v>
      </c>
      <c r="T31">
        <v>57.786000000000001</v>
      </c>
      <c r="U31">
        <v>157142</v>
      </c>
      <c r="V31">
        <v>3.5</v>
      </c>
      <c r="X31">
        <v>1.65</v>
      </c>
      <c r="Y31">
        <v>1.5766666666669999</v>
      </c>
      <c r="AA31">
        <v>214.8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>
        <v>1952.5</v>
      </c>
      <c r="B32">
        <v>368.1</v>
      </c>
      <c r="C32">
        <v>2446.1722488038276</v>
      </c>
      <c r="D32">
        <v>1422.9274611398964</v>
      </c>
      <c r="E32">
        <v>1688.9386532958035</v>
      </c>
      <c r="F32">
        <v>56.857605427492096</v>
      </c>
      <c r="G32">
        <v>267.13992153932378</v>
      </c>
      <c r="H32">
        <v>1.336203395337503</v>
      </c>
      <c r="I32">
        <v>1.5774458801812385</v>
      </c>
      <c r="J32">
        <v>129.76400131729307</v>
      </c>
      <c r="K32">
        <v>91.2</v>
      </c>
      <c r="L32">
        <v>66.2</v>
      </c>
      <c r="M32">
        <v>0.8</v>
      </c>
      <c r="N32">
        <v>0.130259075580829</v>
      </c>
      <c r="O32">
        <v>85.100000000000009</v>
      </c>
      <c r="P32">
        <v>64.7</v>
      </c>
      <c r="Q32">
        <v>15.048</v>
      </c>
      <c r="R32">
        <v>15.292999999999999</v>
      </c>
      <c r="S32">
        <v>26.38</v>
      </c>
      <c r="T32">
        <v>57.972000000000001</v>
      </c>
      <c r="U32">
        <v>157801</v>
      </c>
      <c r="V32">
        <v>3.51</v>
      </c>
      <c r="X32">
        <v>1.78</v>
      </c>
      <c r="Y32">
        <v>1.5366666666669999</v>
      </c>
      <c r="AA32">
        <v>215.6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>
        <v>1952.75</v>
      </c>
      <c r="B33">
        <v>381.2</v>
      </c>
      <c r="C33">
        <v>2526.0088794645817</v>
      </c>
      <c r="D33">
        <v>1473.5548946075262</v>
      </c>
      <c r="E33">
        <v>1712.5487346782879</v>
      </c>
      <c r="F33">
        <v>66.533730824662896</v>
      </c>
      <c r="G33">
        <v>286.29374587303084</v>
      </c>
      <c r="H33">
        <v>1.4534529657748365</v>
      </c>
      <c r="I33">
        <v>1.6545669424278238</v>
      </c>
      <c r="J33">
        <v>132.17179129189262</v>
      </c>
      <c r="K33">
        <v>93.7</v>
      </c>
      <c r="L33">
        <v>68.099999999999994</v>
      </c>
      <c r="M33">
        <v>0</v>
      </c>
      <c r="N33">
        <v>0.69096538664128504</v>
      </c>
      <c r="O33">
        <v>88.8</v>
      </c>
      <c r="P33">
        <v>67.900000000000006</v>
      </c>
      <c r="Q33">
        <v>15.090999999999999</v>
      </c>
      <c r="R33">
        <v>15.901</v>
      </c>
      <c r="S33">
        <v>26.776</v>
      </c>
      <c r="T33">
        <v>59.384999999999998</v>
      </c>
      <c r="U33">
        <v>158505</v>
      </c>
      <c r="V33">
        <v>3.53</v>
      </c>
      <c r="X33">
        <v>1.89</v>
      </c>
      <c r="Y33">
        <v>1.68</v>
      </c>
      <c r="AA33">
        <v>216.5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>
        <v>1953</v>
      </c>
      <c r="B34">
        <v>388.5</v>
      </c>
      <c r="C34">
        <v>2573.5294117647059</v>
      </c>
      <c r="D34">
        <v>1491.0472755378075</v>
      </c>
      <c r="E34">
        <v>1727.0578304142691</v>
      </c>
      <c r="F34">
        <v>68.848162419074072</v>
      </c>
      <c r="G34">
        <v>292.83341243474132</v>
      </c>
      <c r="H34">
        <v>1.5334063526834609</v>
      </c>
      <c r="I34">
        <v>1.6867673104495235</v>
      </c>
      <c r="J34">
        <v>132.64513668177818</v>
      </c>
      <c r="K34">
        <v>96</v>
      </c>
      <c r="L34">
        <v>69.7</v>
      </c>
      <c r="M34">
        <v>-7.5</v>
      </c>
      <c r="N34">
        <v>-0.52703557605776097</v>
      </c>
      <c r="O34">
        <v>90.899999999999991</v>
      </c>
      <c r="P34">
        <v>69.5</v>
      </c>
      <c r="Q34">
        <v>15.096</v>
      </c>
      <c r="R34">
        <v>16.228999999999999</v>
      </c>
      <c r="S34">
        <v>27.193000000000001</v>
      </c>
      <c r="T34">
        <v>59.680999999999997</v>
      </c>
      <c r="U34">
        <v>159164</v>
      </c>
      <c r="V34">
        <v>3.54</v>
      </c>
      <c r="X34">
        <v>1.98</v>
      </c>
      <c r="Y34">
        <v>1.91</v>
      </c>
      <c r="AA34">
        <v>217.5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>
        <v>1953.25</v>
      </c>
      <c r="B35">
        <v>392.3</v>
      </c>
      <c r="C35">
        <v>2593.7190082644629</v>
      </c>
      <c r="D35">
        <v>1499.6784565916398</v>
      </c>
      <c r="E35">
        <v>1740.9804745265385</v>
      </c>
      <c r="F35">
        <v>68.387424529592209</v>
      </c>
      <c r="G35">
        <v>294.21518927370067</v>
      </c>
      <c r="H35">
        <v>1.5495451984222812</v>
      </c>
      <c r="I35">
        <v>1.6930592991913749</v>
      </c>
      <c r="J35">
        <v>132.49467743438078</v>
      </c>
      <c r="K35">
        <v>98.2</v>
      </c>
      <c r="L35">
        <v>71.900000000000006</v>
      </c>
      <c r="M35">
        <v>-4.4000000000000004</v>
      </c>
      <c r="N35">
        <v>0.21328469962142799</v>
      </c>
      <c r="O35">
        <v>91.5</v>
      </c>
      <c r="P35">
        <v>69.900000000000006</v>
      </c>
      <c r="Q35">
        <v>15.125</v>
      </c>
      <c r="R35">
        <v>16.353000000000002</v>
      </c>
      <c r="S35">
        <v>27.439</v>
      </c>
      <c r="T35">
        <v>59.597999999999999</v>
      </c>
      <c r="U35">
        <v>159752</v>
      </c>
      <c r="V35">
        <v>3.76</v>
      </c>
      <c r="W35">
        <v>3</v>
      </c>
      <c r="X35">
        <v>2.15</v>
      </c>
      <c r="Y35">
        <v>1.613333333333</v>
      </c>
      <c r="AA35">
        <v>218.4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>
        <v>1953.5</v>
      </c>
      <c r="B36">
        <v>391.7</v>
      </c>
      <c r="C36">
        <v>2579.0097445351594</v>
      </c>
      <c r="D36">
        <v>1496.002558362648</v>
      </c>
      <c r="E36">
        <v>1737.4916868373693</v>
      </c>
      <c r="F36">
        <v>68.040588374105255</v>
      </c>
      <c r="G36">
        <v>287.99249530956848</v>
      </c>
      <c r="H36">
        <v>1.5822911255843688</v>
      </c>
      <c r="I36">
        <v>1.62839248434238</v>
      </c>
      <c r="J36">
        <v>131.6241374655217</v>
      </c>
      <c r="K36">
        <v>96.9</v>
      </c>
      <c r="L36">
        <v>70</v>
      </c>
      <c r="M36">
        <v>-11.7</v>
      </c>
      <c r="N36">
        <v>5.2111116800002397E-2</v>
      </c>
      <c r="O36">
        <v>90.9</v>
      </c>
      <c r="P36">
        <v>68.899999999999991</v>
      </c>
      <c r="Q36">
        <v>15.188000000000001</v>
      </c>
      <c r="R36">
        <v>16.210999999999999</v>
      </c>
      <c r="S36">
        <v>27.440999999999999</v>
      </c>
      <c r="T36">
        <v>59.075000000000003</v>
      </c>
      <c r="U36">
        <v>160450</v>
      </c>
      <c r="V36">
        <v>3.86</v>
      </c>
      <c r="W36">
        <v>2.92</v>
      </c>
      <c r="X36">
        <v>1.96</v>
      </c>
      <c r="Y36">
        <v>1.583333333333</v>
      </c>
      <c r="AA36">
        <v>219.7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>
        <v>1953.75</v>
      </c>
      <c r="B37">
        <v>386.5</v>
      </c>
      <c r="C37">
        <v>2539.5886720546687</v>
      </c>
      <c r="D37">
        <v>1486.3401897726549</v>
      </c>
      <c r="E37">
        <v>1733.6502546025376</v>
      </c>
      <c r="F37">
        <v>66.127702994387974</v>
      </c>
      <c r="G37">
        <v>267.10869050438077</v>
      </c>
      <c r="H37">
        <v>1.5685019206145967</v>
      </c>
      <c r="I37">
        <v>1.6184486373165619</v>
      </c>
      <c r="J37">
        <v>130.01377703472133</v>
      </c>
      <c r="K37">
        <v>97</v>
      </c>
      <c r="L37">
        <v>69.5</v>
      </c>
      <c r="M37">
        <v>-1</v>
      </c>
      <c r="N37">
        <v>5.47397194751321E-2</v>
      </c>
      <c r="O37">
        <v>85.8</v>
      </c>
      <c r="P37">
        <v>63.8</v>
      </c>
      <c r="Q37">
        <v>15.218999999999999</v>
      </c>
      <c r="R37">
        <v>15.901999999999999</v>
      </c>
      <c r="S37">
        <v>27.37</v>
      </c>
      <c r="T37">
        <v>58.1</v>
      </c>
      <c r="U37">
        <v>161218</v>
      </c>
      <c r="V37">
        <v>3.77</v>
      </c>
      <c r="W37">
        <v>2.64</v>
      </c>
      <c r="X37">
        <v>1.47</v>
      </c>
      <c r="Y37">
        <v>1.5566666666669999</v>
      </c>
      <c r="AA37">
        <v>221.2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>
        <v>1954</v>
      </c>
      <c r="B38">
        <v>385.9</v>
      </c>
      <c r="C38">
        <v>2527.8396436525613</v>
      </c>
      <c r="D38">
        <v>1491.5726777341274</v>
      </c>
      <c r="E38">
        <v>1749.9745154458103</v>
      </c>
      <c r="F38">
        <v>64.014009144858449</v>
      </c>
      <c r="G38">
        <v>265.3518174455719</v>
      </c>
      <c r="H38">
        <v>1.5261396238444371</v>
      </c>
      <c r="I38">
        <v>1.6361642911360377</v>
      </c>
      <c r="J38">
        <v>128.92053517645269</v>
      </c>
      <c r="K38">
        <v>95.1</v>
      </c>
      <c r="L38">
        <v>66.8</v>
      </c>
      <c r="M38">
        <v>0</v>
      </c>
      <c r="N38">
        <v>0.14637283409127799</v>
      </c>
      <c r="O38">
        <v>83.399999999999991</v>
      </c>
      <c r="P38">
        <v>61</v>
      </c>
      <c r="Q38">
        <v>15.266</v>
      </c>
      <c r="R38">
        <v>15.798</v>
      </c>
      <c r="S38">
        <v>27.361000000000001</v>
      </c>
      <c r="T38">
        <v>57.738</v>
      </c>
      <c r="U38">
        <v>161909</v>
      </c>
      <c r="V38">
        <v>3.61</v>
      </c>
      <c r="W38">
        <v>2.44</v>
      </c>
      <c r="X38">
        <v>1.06</v>
      </c>
      <c r="Y38">
        <v>1.19</v>
      </c>
      <c r="Z38">
        <v>0.42138153299999997</v>
      </c>
      <c r="AA38">
        <v>223</v>
      </c>
      <c r="AB38">
        <v>-0.98587796400000005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>
        <v>1954.25</v>
      </c>
      <c r="B39">
        <v>386.7</v>
      </c>
      <c r="C39">
        <v>2530.5935475427</v>
      </c>
      <c r="D39">
        <v>1511.3254235137365</v>
      </c>
      <c r="E39">
        <v>1761.7762426855413</v>
      </c>
      <c r="F39">
        <v>67.049808429118769</v>
      </c>
      <c r="G39">
        <v>264.56542502387771</v>
      </c>
      <c r="H39">
        <v>1.515271717572392</v>
      </c>
      <c r="I39">
        <v>1.7411052233156701</v>
      </c>
      <c r="J39">
        <v>127.35968682000633</v>
      </c>
      <c r="K39">
        <v>92.8</v>
      </c>
      <c r="L39">
        <v>63.7</v>
      </c>
      <c r="M39">
        <v>0</v>
      </c>
      <c r="N39">
        <v>6.7223060391352202E-2</v>
      </c>
      <c r="O39">
        <v>83.8</v>
      </c>
      <c r="P39">
        <v>61.100000000000009</v>
      </c>
      <c r="Q39">
        <v>15.281000000000001</v>
      </c>
      <c r="R39">
        <v>15.795999999999999</v>
      </c>
      <c r="S39">
        <v>27.74</v>
      </c>
      <c r="T39">
        <v>56.942</v>
      </c>
      <c r="U39">
        <v>162568</v>
      </c>
      <c r="V39">
        <v>3.48</v>
      </c>
      <c r="W39">
        <v>2.35</v>
      </c>
      <c r="X39">
        <v>0.79</v>
      </c>
      <c r="Y39">
        <v>0.8</v>
      </c>
      <c r="Z39">
        <v>0.41682523500000002</v>
      </c>
      <c r="AA39">
        <v>224.5</v>
      </c>
      <c r="AB39">
        <v>-0.26595744700000001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>
        <v>1954.5</v>
      </c>
      <c r="B40">
        <v>391.6</v>
      </c>
      <c r="C40">
        <v>2559.4771241830063</v>
      </c>
      <c r="D40">
        <v>1531.6060856833662</v>
      </c>
      <c r="E40">
        <v>1788.7096969829925</v>
      </c>
      <c r="F40">
        <v>67.356461756948676</v>
      </c>
      <c r="G40">
        <v>277.71240291833374</v>
      </c>
      <c r="H40">
        <v>1.5530182050463111</v>
      </c>
      <c r="I40">
        <v>1.8456933821084136</v>
      </c>
      <c r="J40">
        <v>126.93568987836078</v>
      </c>
      <c r="K40">
        <v>91.4</v>
      </c>
      <c r="L40">
        <v>61.3</v>
      </c>
      <c r="M40">
        <v>-5</v>
      </c>
      <c r="N40">
        <v>0.28011431604966502</v>
      </c>
      <c r="O40">
        <v>84.8</v>
      </c>
      <c r="P40">
        <v>61.8</v>
      </c>
      <c r="Q40">
        <v>15.3</v>
      </c>
      <c r="R40">
        <v>15.984999999999999</v>
      </c>
      <c r="S40">
        <v>28.18</v>
      </c>
      <c r="T40">
        <v>56.725000000000001</v>
      </c>
      <c r="U40">
        <v>163295</v>
      </c>
      <c r="V40">
        <v>3.49</v>
      </c>
      <c r="W40">
        <v>2.35</v>
      </c>
      <c r="X40">
        <v>0.88</v>
      </c>
      <c r="Y40">
        <v>1.03</v>
      </c>
      <c r="Z40">
        <v>0.46285033199999998</v>
      </c>
      <c r="AA40">
        <v>225.3</v>
      </c>
      <c r="AB40">
        <v>0</v>
      </c>
      <c r="AC40">
        <v>-0.367647059</v>
      </c>
      <c r="AD40">
        <v>-0.372340426</v>
      </c>
      <c r="AE40">
        <v>-1.1292016810000001</v>
      </c>
      <c r="AF40">
        <v>0</v>
      </c>
    </row>
    <row r="41" spans="1:32" x14ac:dyDescent="0.25">
      <c r="A41">
        <v>1954.75</v>
      </c>
      <c r="B41">
        <v>400.3</v>
      </c>
      <c r="C41">
        <v>2609.0073649221144</v>
      </c>
      <c r="D41">
        <v>1563.7545402408718</v>
      </c>
      <c r="E41">
        <v>1813.8759748319073</v>
      </c>
      <c r="F41">
        <v>71.645812496172766</v>
      </c>
      <c r="G41">
        <v>289.55098615190934</v>
      </c>
      <c r="H41">
        <v>1.5504184934236747</v>
      </c>
      <c r="I41">
        <v>1.9625779625779627</v>
      </c>
      <c r="J41">
        <v>128.13370406690956</v>
      </c>
      <c r="K41">
        <v>91.6</v>
      </c>
      <c r="L41">
        <v>61.2</v>
      </c>
      <c r="M41">
        <v>0</v>
      </c>
      <c r="N41">
        <v>0.70132278231663903</v>
      </c>
      <c r="O41">
        <v>87.2</v>
      </c>
      <c r="P41">
        <v>63.8</v>
      </c>
      <c r="Q41">
        <v>15.343</v>
      </c>
      <c r="R41">
        <v>16.338999999999999</v>
      </c>
      <c r="S41">
        <v>28.603000000000002</v>
      </c>
      <c r="T41">
        <v>57.124000000000002</v>
      </c>
      <c r="U41">
        <v>164101</v>
      </c>
      <c r="V41">
        <v>3.45</v>
      </c>
      <c r="W41">
        <v>2.4700000000000002</v>
      </c>
      <c r="X41">
        <v>1.02</v>
      </c>
      <c r="Y41">
        <v>0.99</v>
      </c>
      <c r="Z41">
        <v>0.50053805100000004</v>
      </c>
      <c r="AA41">
        <v>226.2</v>
      </c>
      <c r="AB41">
        <v>0</v>
      </c>
      <c r="AC41">
        <v>0</v>
      </c>
      <c r="AD41">
        <v>0</v>
      </c>
      <c r="AE41">
        <v>0.71887034699999997</v>
      </c>
      <c r="AF41">
        <v>0</v>
      </c>
    </row>
    <row r="42" spans="1:32" x14ac:dyDescent="0.25">
      <c r="A42">
        <v>1955</v>
      </c>
      <c r="B42">
        <v>413.8</v>
      </c>
      <c r="C42">
        <v>2684.0500745929817</v>
      </c>
      <c r="D42">
        <v>1599.3394308943089</v>
      </c>
      <c r="E42">
        <v>1834.384012628359</v>
      </c>
      <c r="F42">
        <v>77.928403279486972</v>
      </c>
      <c r="G42">
        <v>318.55698785124736</v>
      </c>
      <c r="H42">
        <v>1.5764057947878838</v>
      </c>
      <c r="I42">
        <v>2.1021269552263511</v>
      </c>
      <c r="J42">
        <v>130.01484025859372</v>
      </c>
      <c r="K42">
        <v>92.2</v>
      </c>
      <c r="L42">
        <v>60.7</v>
      </c>
      <c r="M42">
        <v>4.9000000000000004</v>
      </c>
      <c r="N42">
        <v>0.45970779810082002</v>
      </c>
      <c r="O42">
        <v>91.9</v>
      </c>
      <c r="P42">
        <v>67.8</v>
      </c>
      <c r="Q42">
        <v>15.417</v>
      </c>
      <c r="R42">
        <v>16.888999999999999</v>
      </c>
      <c r="S42">
        <v>29.027999999999999</v>
      </c>
      <c r="T42">
        <v>58.182000000000002</v>
      </c>
      <c r="U42">
        <v>164805</v>
      </c>
      <c r="V42">
        <v>3.47</v>
      </c>
      <c r="W42">
        <v>2.65</v>
      </c>
      <c r="X42">
        <v>1.22</v>
      </c>
      <c r="Y42">
        <v>1.34</v>
      </c>
      <c r="Z42">
        <v>0.47370484499999999</v>
      </c>
      <c r="AA42">
        <v>226.6</v>
      </c>
      <c r="AB42">
        <v>0.12419274700000001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>
        <v>1955.25</v>
      </c>
      <c r="B43">
        <v>422.2</v>
      </c>
      <c r="C43">
        <v>2727.2140042632905</v>
      </c>
      <c r="D43">
        <v>1629.3382399593936</v>
      </c>
      <c r="E43">
        <v>1857.6730159479189</v>
      </c>
      <c r="F43">
        <v>82.21723935923076</v>
      </c>
      <c r="G43">
        <v>338.01376232099688</v>
      </c>
      <c r="H43">
        <v>1.6710327855838694</v>
      </c>
      <c r="I43">
        <v>2.1335959297554572</v>
      </c>
      <c r="J43">
        <v>131.03060091833851</v>
      </c>
      <c r="K43">
        <v>92.8</v>
      </c>
      <c r="L43">
        <v>60.9</v>
      </c>
      <c r="M43">
        <v>0</v>
      </c>
      <c r="N43">
        <v>-1.91239569977357</v>
      </c>
      <c r="O43">
        <v>94.399999999999991</v>
      </c>
      <c r="P43">
        <v>69.8</v>
      </c>
      <c r="Q43">
        <v>15.481</v>
      </c>
      <c r="R43">
        <v>17.213000000000001</v>
      </c>
      <c r="S43">
        <v>29.277000000000001</v>
      </c>
      <c r="T43">
        <v>58.792999999999999</v>
      </c>
      <c r="U43">
        <v>165470</v>
      </c>
      <c r="V43">
        <v>3.5</v>
      </c>
      <c r="W43">
        <v>2.76</v>
      </c>
      <c r="X43">
        <v>1.48</v>
      </c>
      <c r="Y43">
        <v>1.5</v>
      </c>
      <c r="Z43">
        <v>0.46008056400000003</v>
      </c>
      <c r="AA43">
        <v>226.6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>
        <v>1955.5</v>
      </c>
      <c r="B44">
        <v>430.9</v>
      </c>
      <c r="C44">
        <v>2763.951250801796</v>
      </c>
      <c r="D44">
        <v>1649.497566833091</v>
      </c>
      <c r="E44">
        <v>1873.6097477036551</v>
      </c>
      <c r="F44">
        <v>84.852608617342753</v>
      </c>
      <c r="G44">
        <v>342.91222915901579</v>
      </c>
      <c r="H44">
        <v>1.7512997928149798</v>
      </c>
      <c r="I44">
        <v>2.08638956805216</v>
      </c>
      <c r="J44">
        <v>132.83973418137546</v>
      </c>
      <c r="K44">
        <v>94.4</v>
      </c>
      <c r="L44">
        <v>61.9</v>
      </c>
      <c r="M44">
        <v>0</v>
      </c>
      <c r="N44">
        <v>-6.6844563721898703E-2</v>
      </c>
      <c r="O44">
        <v>96.7</v>
      </c>
      <c r="P44">
        <v>71.400000000000006</v>
      </c>
      <c r="Q44">
        <v>15.59</v>
      </c>
      <c r="R44">
        <v>17.456</v>
      </c>
      <c r="S44">
        <v>29.247</v>
      </c>
      <c r="T44">
        <v>59.685000000000002</v>
      </c>
      <c r="U44">
        <v>166199</v>
      </c>
      <c r="V44">
        <v>3.56</v>
      </c>
      <c r="W44">
        <v>2.95</v>
      </c>
      <c r="X44">
        <v>1.86</v>
      </c>
      <c r="Y44">
        <v>1.94</v>
      </c>
      <c r="Z44">
        <v>0.40534114799999998</v>
      </c>
      <c r="AA44">
        <v>226.1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>
        <v>1955.75</v>
      </c>
      <c r="B45">
        <v>437.8</v>
      </c>
      <c r="C45">
        <v>2780.9185034618558</v>
      </c>
      <c r="D45">
        <v>1670.7632192600997</v>
      </c>
      <c r="E45">
        <v>1911.125605666575</v>
      </c>
      <c r="F45">
        <v>82.633081176024433</v>
      </c>
      <c r="G45">
        <v>351.16610290190499</v>
      </c>
      <c r="H45">
        <v>1.8052201908704151</v>
      </c>
      <c r="I45">
        <v>2.0037468436914558</v>
      </c>
      <c r="J45">
        <v>134.33687939265261</v>
      </c>
      <c r="K45">
        <v>93.6</v>
      </c>
      <c r="L45">
        <v>60.5</v>
      </c>
      <c r="M45">
        <v>0</v>
      </c>
      <c r="N45">
        <v>-6.9781452338887995E-2</v>
      </c>
      <c r="O45">
        <v>99</v>
      </c>
      <c r="P45">
        <v>73.000000000000014</v>
      </c>
      <c r="Q45">
        <v>15.743</v>
      </c>
      <c r="R45">
        <v>17.547000000000001</v>
      </c>
      <c r="S45">
        <v>29.073</v>
      </c>
      <c r="T45">
        <v>60.356000000000002</v>
      </c>
      <c r="U45">
        <v>167016</v>
      </c>
      <c r="V45">
        <v>3.6</v>
      </c>
      <c r="W45">
        <v>2.91</v>
      </c>
      <c r="X45">
        <v>2.34</v>
      </c>
      <c r="Y45">
        <v>2.36</v>
      </c>
      <c r="Z45">
        <v>0.33197036400000002</v>
      </c>
      <c r="AA45">
        <v>225.2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>
        <v>1956</v>
      </c>
      <c r="B46">
        <v>440.5</v>
      </c>
      <c r="C46">
        <v>2770.0918123506481</v>
      </c>
      <c r="D46">
        <v>1673.3617875972886</v>
      </c>
      <c r="E46">
        <v>1931.3465268698114</v>
      </c>
      <c r="F46">
        <v>78.931148975087993</v>
      </c>
      <c r="G46">
        <v>341.04272834182672</v>
      </c>
      <c r="H46">
        <v>1.7834489963435565</v>
      </c>
      <c r="I46">
        <v>1.9471600549406156</v>
      </c>
      <c r="J46">
        <v>134.06638646151558</v>
      </c>
      <c r="K46">
        <v>95.2</v>
      </c>
      <c r="L46">
        <v>61</v>
      </c>
      <c r="M46">
        <v>0.9</v>
      </c>
      <c r="N46">
        <v>-0.79134997088112902</v>
      </c>
      <c r="O46">
        <v>100.30000000000001</v>
      </c>
      <c r="P46">
        <v>73.399999999999991</v>
      </c>
      <c r="Q46">
        <v>15.901999999999999</v>
      </c>
      <c r="R46">
        <v>17.433</v>
      </c>
      <c r="S46">
        <v>28.960999999999999</v>
      </c>
      <c r="T46">
        <v>60.194000000000003</v>
      </c>
      <c r="U46">
        <v>167745</v>
      </c>
      <c r="V46">
        <v>3.59</v>
      </c>
      <c r="W46">
        <v>2.9</v>
      </c>
      <c r="X46">
        <v>2.33</v>
      </c>
      <c r="Y46">
        <v>2.48</v>
      </c>
      <c r="Z46">
        <v>0.33155000200000001</v>
      </c>
      <c r="AA46">
        <v>223.7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>
        <v>1956.25</v>
      </c>
      <c r="B47">
        <v>446.8</v>
      </c>
      <c r="C47">
        <v>2793.0236919422391</v>
      </c>
      <c r="D47">
        <v>1678.927680798005</v>
      </c>
      <c r="E47">
        <v>1938.9236693764769</v>
      </c>
      <c r="F47">
        <v>78.951022594275045</v>
      </c>
      <c r="G47">
        <v>338.31282952548327</v>
      </c>
      <c r="H47">
        <v>1.8160298849724452</v>
      </c>
      <c r="I47">
        <v>1.9417475728155338</v>
      </c>
      <c r="J47">
        <v>134.44956210925523</v>
      </c>
      <c r="K47">
        <v>98.6</v>
      </c>
      <c r="L47">
        <v>63.5</v>
      </c>
      <c r="M47">
        <v>0.6</v>
      </c>
      <c r="N47">
        <v>0.78345003541375202</v>
      </c>
      <c r="O47">
        <v>102.3</v>
      </c>
      <c r="P47">
        <v>74.799999999999983</v>
      </c>
      <c r="Q47">
        <v>15.997</v>
      </c>
      <c r="R47">
        <v>17.577000000000002</v>
      </c>
      <c r="S47">
        <v>29.12</v>
      </c>
      <c r="T47">
        <v>60.360999999999997</v>
      </c>
      <c r="U47">
        <v>168439</v>
      </c>
      <c r="V47">
        <v>3.72</v>
      </c>
      <c r="W47">
        <v>3.08</v>
      </c>
      <c r="X47">
        <v>2.57</v>
      </c>
      <c r="Y47">
        <v>2.69</v>
      </c>
      <c r="Z47">
        <v>0.30270522799999999</v>
      </c>
      <c r="AA47">
        <v>222.2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>
        <v>1956.5</v>
      </c>
      <c r="B48">
        <v>452</v>
      </c>
      <c r="C48">
        <v>2790.6402420201275</v>
      </c>
      <c r="D48">
        <v>1682.5142010372931</v>
      </c>
      <c r="E48">
        <v>1949.3271672853214</v>
      </c>
      <c r="F48">
        <v>77.623963710308161</v>
      </c>
      <c r="G48">
        <v>335.51870420362513</v>
      </c>
      <c r="H48">
        <v>1.8311181739381683</v>
      </c>
      <c r="I48">
        <v>1.9068806610519624</v>
      </c>
      <c r="J48">
        <v>134.27428601740095</v>
      </c>
      <c r="K48">
        <v>98.6</v>
      </c>
      <c r="L48">
        <v>62.8</v>
      </c>
      <c r="M48">
        <v>3</v>
      </c>
      <c r="N48">
        <v>-0.30380841668880698</v>
      </c>
      <c r="O48">
        <v>102.6</v>
      </c>
      <c r="P48">
        <v>74.599999999999994</v>
      </c>
      <c r="Q48">
        <v>16.196999999999999</v>
      </c>
      <c r="R48">
        <v>17.506</v>
      </c>
      <c r="S48">
        <v>29.122</v>
      </c>
      <c r="T48">
        <v>60.113999999999997</v>
      </c>
      <c r="U48">
        <v>169194</v>
      </c>
      <c r="V48">
        <v>3.93</v>
      </c>
      <c r="W48">
        <v>3.27</v>
      </c>
      <c r="X48">
        <v>2.58</v>
      </c>
      <c r="Y48">
        <v>2.81</v>
      </c>
      <c r="Z48">
        <v>0.345514983</v>
      </c>
      <c r="AA48">
        <v>220.8</v>
      </c>
      <c r="AB48">
        <v>0.13658092399999999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>
        <v>1956.75</v>
      </c>
      <c r="B49">
        <v>461.3</v>
      </c>
      <c r="C49">
        <v>2836.3256271519922</v>
      </c>
      <c r="D49">
        <v>1705.7451509943526</v>
      </c>
      <c r="E49">
        <v>1970.3556976420821</v>
      </c>
      <c r="F49">
        <v>80.094183039333004</v>
      </c>
      <c r="G49">
        <v>332.05564408458582</v>
      </c>
      <c r="H49">
        <v>1.8325073977681914</v>
      </c>
      <c r="I49">
        <v>1.8753491341473145</v>
      </c>
      <c r="J49">
        <v>134.21809562334869</v>
      </c>
      <c r="K49">
        <v>101.7</v>
      </c>
      <c r="L49">
        <v>65.2</v>
      </c>
      <c r="M49">
        <v>0.5</v>
      </c>
      <c r="N49">
        <v>-0.61253694391111801</v>
      </c>
      <c r="O49">
        <v>106.10000000000001</v>
      </c>
      <c r="P49">
        <v>77.499999999999986</v>
      </c>
      <c r="Q49">
        <v>16.263999999999999</v>
      </c>
      <c r="R49">
        <v>17.821999999999999</v>
      </c>
      <c r="S49">
        <v>29.727</v>
      </c>
      <c r="T49">
        <v>59.951000000000001</v>
      </c>
      <c r="U49">
        <v>170053</v>
      </c>
      <c r="V49">
        <v>4.26</v>
      </c>
      <c r="W49">
        <v>3.47</v>
      </c>
      <c r="X49">
        <v>3.03</v>
      </c>
      <c r="Y49">
        <v>2.93</v>
      </c>
      <c r="Z49">
        <v>0.32670715500000003</v>
      </c>
      <c r="AA49">
        <v>219.8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>
        <v>1957</v>
      </c>
      <c r="B50">
        <v>470.6</v>
      </c>
      <c r="C50">
        <v>2854.7164088565364</v>
      </c>
      <c r="D50">
        <v>1717.3622095145397</v>
      </c>
      <c r="E50">
        <v>1979.6598671723016</v>
      </c>
      <c r="F50">
        <v>81.557635977255757</v>
      </c>
      <c r="G50">
        <v>326.96515738091233</v>
      </c>
      <c r="H50">
        <v>1.8438520703824677</v>
      </c>
      <c r="I50">
        <v>1.8488874659836723</v>
      </c>
      <c r="J50">
        <v>133.90948545852288</v>
      </c>
      <c r="K50">
        <v>105.7</v>
      </c>
      <c r="L50">
        <v>67.900000000000006</v>
      </c>
      <c r="M50">
        <v>0</v>
      </c>
      <c r="N50">
        <v>-0.38035462599597702</v>
      </c>
      <c r="O50">
        <v>108.9</v>
      </c>
      <c r="P50">
        <v>79.5</v>
      </c>
      <c r="Q50">
        <v>16.484999999999999</v>
      </c>
      <c r="R50">
        <v>17.93</v>
      </c>
      <c r="S50">
        <v>29.922999999999998</v>
      </c>
      <c r="T50">
        <v>59.92</v>
      </c>
      <c r="U50">
        <v>170802</v>
      </c>
      <c r="V50">
        <v>4.46</v>
      </c>
      <c r="W50">
        <v>3.4</v>
      </c>
      <c r="X50">
        <v>3.1</v>
      </c>
      <c r="Y50">
        <v>2.93</v>
      </c>
      <c r="Z50">
        <v>0.280234396</v>
      </c>
      <c r="AA50">
        <v>219.3</v>
      </c>
      <c r="AB50">
        <v>0.19685039400000001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>
        <v>1957.25</v>
      </c>
      <c r="B51">
        <v>472.8</v>
      </c>
      <c r="C51">
        <v>2848.0212035419554</v>
      </c>
      <c r="D51">
        <v>1720.3651091095935</v>
      </c>
      <c r="E51">
        <v>1992.7764905304937</v>
      </c>
      <c r="F51">
        <v>79.691807984288246</v>
      </c>
      <c r="G51">
        <v>326.7343343679222</v>
      </c>
      <c r="H51">
        <v>1.8374903933487039</v>
      </c>
      <c r="I51">
        <v>1.8043912175648704</v>
      </c>
      <c r="J51">
        <v>133.39934570268906</v>
      </c>
      <c r="K51">
        <v>106.2</v>
      </c>
      <c r="L51">
        <v>67.5</v>
      </c>
      <c r="M51">
        <v>2.4</v>
      </c>
      <c r="N51">
        <v>-0.227071032155511</v>
      </c>
      <c r="O51">
        <v>108.9</v>
      </c>
      <c r="P51">
        <v>79.099999999999994</v>
      </c>
      <c r="Q51">
        <v>16.600999999999999</v>
      </c>
      <c r="R51">
        <v>17.84</v>
      </c>
      <c r="S51">
        <v>29.937000000000001</v>
      </c>
      <c r="T51">
        <v>59.591999999999999</v>
      </c>
      <c r="U51">
        <v>171504</v>
      </c>
      <c r="V51">
        <v>4.53</v>
      </c>
      <c r="W51">
        <v>3.63</v>
      </c>
      <c r="X51">
        <v>3.14</v>
      </c>
      <c r="Y51">
        <v>3</v>
      </c>
      <c r="Z51">
        <v>0.29099956199999999</v>
      </c>
      <c r="AA51">
        <v>219.3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>
        <v>1957.5</v>
      </c>
      <c r="B52">
        <v>480.3</v>
      </c>
      <c r="C52">
        <v>2875.875696066104</v>
      </c>
      <c r="D52">
        <v>1734.2288318541619</v>
      </c>
      <c r="E52">
        <v>2013.913231150123</v>
      </c>
      <c r="F52">
        <v>79.13275038244349</v>
      </c>
      <c r="G52">
        <v>334.09167509268622</v>
      </c>
      <c r="H52">
        <v>1.8772989104032203</v>
      </c>
      <c r="I52">
        <v>1.7842981760507535</v>
      </c>
      <c r="J52">
        <v>133.74252863864379</v>
      </c>
      <c r="K52">
        <v>107.8</v>
      </c>
      <c r="L52">
        <v>68.400000000000006</v>
      </c>
      <c r="M52">
        <v>0</v>
      </c>
      <c r="N52">
        <v>0.47851585060851698</v>
      </c>
      <c r="O52">
        <v>109.1</v>
      </c>
      <c r="P52">
        <v>78.900000000000006</v>
      </c>
      <c r="Q52">
        <v>16.701000000000001</v>
      </c>
      <c r="R52">
        <v>18.010000000000002</v>
      </c>
      <c r="S52">
        <v>30.247</v>
      </c>
      <c r="T52">
        <v>59.542999999999999</v>
      </c>
      <c r="U52">
        <v>172260</v>
      </c>
      <c r="V52">
        <v>4.83</v>
      </c>
      <c r="W52">
        <v>3.93</v>
      </c>
      <c r="X52">
        <v>3.35</v>
      </c>
      <c r="Y52">
        <v>3.23</v>
      </c>
      <c r="Z52">
        <v>0.28827929499999999</v>
      </c>
      <c r="AA52">
        <v>220.2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>
        <v>1957.75</v>
      </c>
      <c r="B53">
        <v>475.7</v>
      </c>
      <c r="C53">
        <v>2846.6279696008619</v>
      </c>
      <c r="D53">
        <v>1734.8765063834865</v>
      </c>
      <c r="E53">
        <v>2018.5813231886248</v>
      </c>
      <c r="F53">
        <v>78.225137600844448</v>
      </c>
      <c r="G53">
        <v>308.34708590289239</v>
      </c>
      <c r="H53">
        <v>1.8322713965903221</v>
      </c>
      <c r="I53">
        <v>1.7751950326381152</v>
      </c>
      <c r="J53">
        <v>131.09734717124769</v>
      </c>
      <c r="K53">
        <v>110.4</v>
      </c>
      <c r="L53">
        <v>70</v>
      </c>
      <c r="M53">
        <v>10.3</v>
      </c>
      <c r="N53">
        <v>0.18745184467574</v>
      </c>
      <c r="O53">
        <v>106.5</v>
      </c>
      <c r="P53">
        <v>76.2</v>
      </c>
      <c r="Q53">
        <v>16.710999999999999</v>
      </c>
      <c r="R53">
        <v>17.771999999999998</v>
      </c>
      <c r="S53">
        <v>30.559000000000001</v>
      </c>
      <c r="T53">
        <v>58.156999999999996</v>
      </c>
      <c r="U53">
        <v>173061</v>
      </c>
      <c r="V53">
        <v>5.04</v>
      </c>
      <c r="W53">
        <v>3.63</v>
      </c>
      <c r="X53">
        <v>3.31</v>
      </c>
      <c r="Y53">
        <v>3.25</v>
      </c>
      <c r="Z53">
        <v>0.26342988000000001</v>
      </c>
      <c r="AA53">
        <v>221.7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>
        <v>1958</v>
      </c>
      <c r="B54">
        <v>468.4</v>
      </c>
      <c r="C54">
        <v>2772.9102533743785</v>
      </c>
      <c r="D54">
        <v>1710.8675153229608</v>
      </c>
      <c r="E54">
        <v>2008.6967821711482</v>
      </c>
      <c r="F54">
        <v>72.969719418464678</v>
      </c>
      <c r="G54">
        <v>287.56197456348349</v>
      </c>
      <c r="H54">
        <v>1.7170663885992352</v>
      </c>
      <c r="I54">
        <v>1.7115892185875388</v>
      </c>
      <c r="J54">
        <v>128.02718630757053</v>
      </c>
      <c r="K54">
        <v>110.2</v>
      </c>
      <c r="L54">
        <v>68.7</v>
      </c>
      <c r="M54">
        <v>0.7</v>
      </c>
      <c r="N54">
        <v>-0.52631510751856303</v>
      </c>
      <c r="O54">
        <v>103.30000000000001</v>
      </c>
      <c r="P54">
        <v>72.600000000000009</v>
      </c>
      <c r="Q54">
        <v>16.891999999999999</v>
      </c>
      <c r="R54">
        <v>17.170000000000002</v>
      </c>
      <c r="S54">
        <v>30.335000000000001</v>
      </c>
      <c r="T54">
        <v>56.601999999999997</v>
      </c>
      <c r="U54">
        <v>173741</v>
      </c>
      <c r="V54">
        <v>4.72</v>
      </c>
      <c r="W54">
        <v>3.04</v>
      </c>
      <c r="X54">
        <v>1.76</v>
      </c>
      <c r="Y54">
        <v>1.86</v>
      </c>
      <c r="Z54">
        <v>0.26597431300000002</v>
      </c>
      <c r="AA54">
        <v>223.9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>
        <v>1958.25</v>
      </c>
      <c r="B55">
        <v>472.8</v>
      </c>
      <c r="C55">
        <v>2791.0271546635181</v>
      </c>
      <c r="D55">
        <v>1724.80734160833</v>
      </c>
      <c r="E55">
        <v>2031.9480621072296</v>
      </c>
      <c r="F55">
        <v>71.780567178056714</v>
      </c>
      <c r="G55">
        <v>282.07461328480434</v>
      </c>
      <c r="H55">
        <v>1.6517502332492484</v>
      </c>
      <c r="I55">
        <v>1.7176639769912918</v>
      </c>
      <c r="J55">
        <v>127.3355287062908</v>
      </c>
      <c r="K55">
        <v>114</v>
      </c>
      <c r="L55">
        <v>71.5</v>
      </c>
      <c r="M55">
        <v>0</v>
      </c>
      <c r="N55">
        <v>0.119408720939012</v>
      </c>
      <c r="O55">
        <v>103.6</v>
      </c>
      <c r="P55">
        <v>72.500000000000014</v>
      </c>
      <c r="Q55">
        <v>16.940000000000001</v>
      </c>
      <c r="R55">
        <v>17.265000000000001</v>
      </c>
      <c r="S55">
        <v>30.78</v>
      </c>
      <c r="T55">
        <v>56.091999999999999</v>
      </c>
      <c r="U55">
        <v>174404</v>
      </c>
      <c r="V55">
        <v>4.6100000000000003</v>
      </c>
      <c r="W55">
        <v>2.92</v>
      </c>
      <c r="X55">
        <v>0.96</v>
      </c>
      <c r="Y55">
        <v>0.94</v>
      </c>
      <c r="Z55">
        <v>0.28249278700000002</v>
      </c>
      <c r="AA55">
        <v>226.3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>
        <v>1958.5</v>
      </c>
      <c r="B56">
        <v>486.7</v>
      </c>
      <c r="C56">
        <v>2855.717890042833</v>
      </c>
      <c r="D56">
        <v>1753.4681401363744</v>
      </c>
      <c r="E56">
        <v>2064.0605556797359</v>
      </c>
      <c r="F56">
        <v>73.343261355174988</v>
      </c>
      <c r="G56">
        <v>303.55411273662463</v>
      </c>
      <c r="H56">
        <v>1.634144659725574</v>
      </c>
      <c r="I56">
        <v>1.8375009986418471</v>
      </c>
      <c r="J56">
        <v>128.19040451381269</v>
      </c>
      <c r="K56">
        <v>115.5</v>
      </c>
      <c r="L56">
        <v>71.900000000000006</v>
      </c>
      <c r="M56">
        <v>0</v>
      </c>
      <c r="N56">
        <v>-0.21850388723557501</v>
      </c>
      <c r="O56">
        <v>107.6</v>
      </c>
      <c r="P56">
        <v>75.899999999999991</v>
      </c>
      <c r="Q56">
        <v>17.042999999999999</v>
      </c>
      <c r="R56">
        <v>17.707999999999998</v>
      </c>
      <c r="S56">
        <v>31.338999999999999</v>
      </c>
      <c r="T56">
        <v>56.505000000000003</v>
      </c>
      <c r="U56">
        <v>175146</v>
      </c>
      <c r="V56">
        <v>4.6900000000000004</v>
      </c>
      <c r="W56">
        <v>3.5</v>
      </c>
      <c r="X56">
        <v>1.68</v>
      </c>
      <c r="Y56">
        <v>1.32</v>
      </c>
      <c r="Z56">
        <v>0.36028236200000002</v>
      </c>
      <c r="AA56">
        <v>228.6</v>
      </c>
      <c r="AB56">
        <v>0</v>
      </c>
      <c r="AC56">
        <v>-0.105999576</v>
      </c>
      <c r="AD56">
        <v>-0.10917030599999999</v>
      </c>
      <c r="AE56">
        <v>-0.105999576</v>
      </c>
      <c r="AF56">
        <v>0.36</v>
      </c>
    </row>
    <row r="57" spans="1:32" x14ac:dyDescent="0.25">
      <c r="A57">
        <v>1958.75</v>
      </c>
      <c r="B57">
        <v>500.4</v>
      </c>
      <c r="C57">
        <v>2922.3850960696136</v>
      </c>
      <c r="D57">
        <v>1776.9153877815015</v>
      </c>
      <c r="E57">
        <v>2085.2028188052445</v>
      </c>
      <c r="F57">
        <v>76.036392848469006</v>
      </c>
      <c r="G57">
        <v>329.4214535721639</v>
      </c>
      <c r="H57">
        <v>1.6956147893379192</v>
      </c>
      <c r="I57">
        <v>2.0276203400654587</v>
      </c>
      <c r="J57">
        <v>129.99861925516501</v>
      </c>
      <c r="K57">
        <v>118.4</v>
      </c>
      <c r="L57">
        <v>73.900000000000006</v>
      </c>
      <c r="M57">
        <v>0</v>
      </c>
      <c r="N57">
        <v>-0.85380398463193496</v>
      </c>
      <c r="O57">
        <v>112.19999999999999</v>
      </c>
      <c r="P57">
        <v>79.600000000000009</v>
      </c>
      <c r="Q57">
        <v>17.123000000000001</v>
      </c>
      <c r="R57">
        <v>18.193000000000001</v>
      </c>
      <c r="S57">
        <v>31.707999999999998</v>
      </c>
      <c r="T57">
        <v>57.377000000000002</v>
      </c>
      <c r="U57">
        <v>175957</v>
      </c>
      <c r="V57">
        <v>4.88</v>
      </c>
      <c r="W57">
        <v>3.8</v>
      </c>
      <c r="X57">
        <v>2.69</v>
      </c>
      <c r="Y57">
        <v>2.16</v>
      </c>
      <c r="Z57">
        <v>0.36845788400000001</v>
      </c>
      <c r="AA57">
        <v>231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>
        <v>1959</v>
      </c>
      <c r="B58">
        <v>511.1</v>
      </c>
      <c r="C58">
        <v>2976.8769293494088</v>
      </c>
      <c r="D58">
        <v>1809.63503649635</v>
      </c>
      <c r="E58">
        <v>2110.7389103158398</v>
      </c>
      <c r="F58">
        <v>80.058758721997791</v>
      </c>
      <c r="G58">
        <v>347.52098909819978</v>
      </c>
      <c r="H58">
        <v>1.7482397389661686</v>
      </c>
      <c r="I58">
        <v>2.2556990275785114</v>
      </c>
      <c r="J58">
        <v>131.53442532308961</v>
      </c>
      <c r="K58">
        <v>117.6</v>
      </c>
      <c r="L58">
        <v>72.3</v>
      </c>
      <c r="M58">
        <v>1.5</v>
      </c>
      <c r="N58">
        <v>0.22397484383239999</v>
      </c>
      <c r="O58">
        <v>117.7</v>
      </c>
      <c r="P58">
        <v>83.899999999999991</v>
      </c>
      <c r="Q58">
        <v>17.169</v>
      </c>
      <c r="R58">
        <v>18.614999999999998</v>
      </c>
      <c r="S58">
        <v>31.952999999999999</v>
      </c>
      <c r="T58">
        <v>58.258000000000003</v>
      </c>
      <c r="U58">
        <v>176679</v>
      </c>
      <c r="V58">
        <v>4.87</v>
      </c>
      <c r="W58">
        <v>3.99</v>
      </c>
      <c r="X58">
        <v>2.77</v>
      </c>
      <c r="Y58">
        <v>2.57</v>
      </c>
      <c r="Z58">
        <v>0.37780138899999999</v>
      </c>
      <c r="AA58">
        <v>232.9</v>
      </c>
      <c r="AB58">
        <v>0.22204279399999999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>
        <v>1959.25</v>
      </c>
      <c r="B59">
        <v>524.20000000000005</v>
      </c>
      <c r="C59">
        <v>3048.7379318366879</v>
      </c>
      <c r="D59">
        <v>1837.3756761472689</v>
      </c>
      <c r="E59">
        <v>2136.4169865148183</v>
      </c>
      <c r="F59">
        <v>83.232722350272567</v>
      </c>
      <c r="G59">
        <v>374.48163196917017</v>
      </c>
      <c r="H59">
        <v>1.7988189917056354</v>
      </c>
      <c r="I59">
        <v>2.3416965352449224</v>
      </c>
      <c r="J59">
        <v>134.27636265835685</v>
      </c>
      <c r="K59">
        <v>119</v>
      </c>
      <c r="L59">
        <v>73.599999999999994</v>
      </c>
      <c r="M59">
        <v>0</v>
      </c>
      <c r="N59">
        <v>0.208029234690639</v>
      </c>
      <c r="O59">
        <v>121.9</v>
      </c>
      <c r="P59">
        <v>87.5</v>
      </c>
      <c r="Q59">
        <v>17.193999999999999</v>
      </c>
      <c r="R59">
        <v>19.143999999999998</v>
      </c>
      <c r="S59">
        <v>32.098999999999997</v>
      </c>
      <c r="T59">
        <v>59.640999999999998</v>
      </c>
      <c r="U59">
        <v>177367</v>
      </c>
      <c r="V59">
        <v>4.95</v>
      </c>
      <c r="W59">
        <v>4.26</v>
      </c>
      <c r="X59">
        <v>3</v>
      </c>
      <c r="Y59">
        <v>3.08</v>
      </c>
      <c r="Z59">
        <v>0.403319865</v>
      </c>
      <c r="AA59">
        <v>234.7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>
        <v>1959.5</v>
      </c>
      <c r="B60">
        <v>525.20000000000005</v>
      </c>
      <c r="C60">
        <v>3043.226329818056</v>
      </c>
      <c r="D60">
        <v>1856.605955478462</v>
      </c>
      <c r="E60">
        <v>2155.3365950989337</v>
      </c>
      <c r="F60">
        <v>84.708551355702738</v>
      </c>
      <c r="G60">
        <v>350.18640304947007</v>
      </c>
      <c r="H60">
        <v>1.8477005638203925</v>
      </c>
      <c r="I60">
        <v>2.2944550669216062</v>
      </c>
      <c r="J60">
        <v>133.1336403056265</v>
      </c>
      <c r="K60">
        <v>119.9</v>
      </c>
      <c r="L60">
        <v>74.5</v>
      </c>
      <c r="M60">
        <v>0</v>
      </c>
      <c r="N60">
        <v>-1.5810148657999099</v>
      </c>
      <c r="O60">
        <v>121.4</v>
      </c>
      <c r="P60">
        <v>85.7</v>
      </c>
      <c r="Q60">
        <v>17.257999999999999</v>
      </c>
      <c r="R60">
        <v>19.045999999999999</v>
      </c>
      <c r="S60">
        <v>32.234999999999999</v>
      </c>
      <c r="T60">
        <v>59.085000000000001</v>
      </c>
      <c r="U60">
        <v>178102</v>
      </c>
      <c r="V60">
        <v>5.12</v>
      </c>
      <c r="W60">
        <v>4.5</v>
      </c>
      <c r="X60">
        <v>3.54</v>
      </c>
      <c r="Y60">
        <v>3.58</v>
      </c>
      <c r="Z60">
        <v>0.36475941499999998</v>
      </c>
      <c r="AA60">
        <v>236.1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>
        <v>1959.75</v>
      </c>
      <c r="B61">
        <v>529.29999999999995</v>
      </c>
      <c r="C61">
        <v>3054.9463234445338</v>
      </c>
      <c r="D61">
        <v>1858.6462706308587</v>
      </c>
      <c r="E61">
        <v>2175.048021810886</v>
      </c>
      <c r="F61">
        <v>80.718966211516644</v>
      </c>
      <c r="G61">
        <v>361.50117017719828</v>
      </c>
      <c r="H61">
        <v>1.8433179723502304</v>
      </c>
      <c r="I61">
        <v>2.229121885200223</v>
      </c>
      <c r="J61">
        <v>133.3476621458347</v>
      </c>
      <c r="K61">
        <v>119</v>
      </c>
      <c r="L61">
        <v>73.8</v>
      </c>
      <c r="M61">
        <v>0</v>
      </c>
      <c r="N61">
        <v>-3.90100410783338E-2</v>
      </c>
      <c r="O61">
        <v>122.7</v>
      </c>
      <c r="P61">
        <v>86</v>
      </c>
      <c r="Q61">
        <v>17.326000000000001</v>
      </c>
      <c r="R61">
        <v>19.079999999999998</v>
      </c>
      <c r="S61">
        <v>32.322000000000003</v>
      </c>
      <c r="T61">
        <v>59.030999999999999</v>
      </c>
      <c r="U61">
        <v>178910</v>
      </c>
      <c r="V61">
        <v>5.27</v>
      </c>
      <c r="W61">
        <v>4.58</v>
      </c>
      <c r="X61">
        <v>4.2300000000000004</v>
      </c>
      <c r="Y61">
        <v>3.99</v>
      </c>
      <c r="Z61">
        <v>0.39268383400000001</v>
      </c>
      <c r="AA61">
        <v>236.8</v>
      </c>
      <c r="AB61">
        <v>0</v>
      </c>
      <c r="AC61">
        <v>0.116913484</v>
      </c>
      <c r="AD61">
        <v>0.117808757</v>
      </c>
      <c r="AE61">
        <v>0.116913484</v>
      </c>
      <c r="AF61">
        <v>0</v>
      </c>
    </row>
    <row r="62" spans="1:32" x14ac:dyDescent="0.25">
      <c r="A62">
        <v>1960</v>
      </c>
      <c r="B62">
        <v>543.29999999999995</v>
      </c>
      <c r="C62">
        <v>3122.9522331436451</v>
      </c>
      <c r="D62">
        <v>1876.1844598862917</v>
      </c>
      <c r="E62">
        <v>2188.2306083720314</v>
      </c>
      <c r="F62">
        <v>83.400542561771388</v>
      </c>
      <c r="G62">
        <v>398.06946621565874</v>
      </c>
      <c r="H62">
        <v>1.9066648604714169</v>
      </c>
      <c r="I62">
        <v>2.3017699817445827</v>
      </c>
      <c r="J62">
        <v>133.22174863037907</v>
      </c>
      <c r="K62">
        <v>117.4</v>
      </c>
      <c r="L62">
        <v>70.900000000000006</v>
      </c>
      <c r="M62">
        <v>0</v>
      </c>
      <c r="N62">
        <v>0.48573677071499799</v>
      </c>
      <c r="O62">
        <v>130.6</v>
      </c>
      <c r="P62">
        <v>93.199999999999989</v>
      </c>
      <c r="Q62">
        <v>17.396999999999998</v>
      </c>
      <c r="R62">
        <v>19.552</v>
      </c>
      <c r="S62">
        <v>33.212000000000003</v>
      </c>
      <c r="T62">
        <v>58.871000000000002</v>
      </c>
      <c r="U62">
        <v>179590</v>
      </c>
      <c r="V62">
        <v>5.31</v>
      </c>
      <c r="W62">
        <v>4.49</v>
      </c>
      <c r="X62">
        <v>3.87</v>
      </c>
      <c r="Y62">
        <v>3.93</v>
      </c>
      <c r="Z62">
        <v>0.34497186499999999</v>
      </c>
      <c r="AA62">
        <v>236.9</v>
      </c>
      <c r="AB62">
        <v>0</v>
      </c>
      <c r="AC62">
        <v>0.36059973400000001</v>
      </c>
      <c r="AD62">
        <v>0</v>
      </c>
      <c r="AE62">
        <v>0</v>
      </c>
      <c r="AF62">
        <v>0</v>
      </c>
    </row>
    <row r="63" spans="1:32" x14ac:dyDescent="0.25">
      <c r="A63">
        <v>1960.25</v>
      </c>
      <c r="B63">
        <v>542.70000000000005</v>
      </c>
      <c r="C63">
        <v>3111.2767299203119</v>
      </c>
      <c r="D63">
        <v>1900.1371115173672</v>
      </c>
      <c r="E63">
        <v>2212.4315981788891</v>
      </c>
      <c r="F63">
        <v>85.153239126445214</v>
      </c>
      <c r="G63">
        <v>360.90163255158694</v>
      </c>
      <c r="H63">
        <v>1.9357021996615906</v>
      </c>
      <c r="I63">
        <v>2.1111726101051631</v>
      </c>
      <c r="J63">
        <v>134.57868950266743</v>
      </c>
      <c r="K63">
        <v>118.9</v>
      </c>
      <c r="L63">
        <v>71</v>
      </c>
      <c r="M63">
        <v>2.9</v>
      </c>
      <c r="N63">
        <v>-0.31677433180353998</v>
      </c>
      <c r="O63">
        <v>130</v>
      </c>
      <c r="P63">
        <v>91.899999999999991</v>
      </c>
      <c r="Q63">
        <v>17.443000000000001</v>
      </c>
      <c r="R63">
        <v>19.369</v>
      </c>
      <c r="S63">
        <v>32.576000000000001</v>
      </c>
      <c r="T63">
        <v>59.457000000000001</v>
      </c>
      <c r="U63">
        <v>180224</v>
      </c>
      <c r="V63">
        <v>5.25</v>
      </c>
      <c r="W63">
        <v>4.26</v>
      </c>
      <c r="X63">
        <v>2.99</v>
      </c>
      <c r="Y63">
        <v>3.7</v>
      </c>
      <c r="Z63">
        <v>0.32809486999999998</v>
      </c>
      <c r="AA63">
        <v>236.8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>
        <v>1960.5</v>
      </c>
      <c r="B64">
        <v>546</v>
      </c>
      <c r="C64">
        <v>3118.9306523477662</v>
      </c>
      <c r="D64">
        <v>1892.2148873207377</v>
      </c>
      <c r="E64">
        <v>2204.7042145619926</v>
      </c>
      <c r="F64">
        <v>84.491486424298202</v>
      </c>
      <c r="G64">
        <v>360.07501562825587</v>
      </c>
      <c r="H64">
        <v>1.9026983105934931</v>
      </c>
      <c r="I64">
        <v>2.0474308300395254</v>
      </c>
      <c r="J64">
        <v>134.76913410862821</v>
      </c>
      <c r="K64">
        <v>122.9</v>
      </c>
      <c r="L64">
        <v>74.099999999999994</v>
      </c>
      <c r="M64">
        <v>0</v>
      </c>
      <c r="N64">
        <v>-2.0627909593105902</v>
      </c>
      <c r="O64">
        <v>129.9</v>
      </c>
      <c r="P64">
        <v>91.299999999999983</v>
      </c>
      <c r="Q64">
        <v>17.506</v>
      </c>
      <c r="R64">
        <v>19.388000000000002</v>
      </c>
      <c r="S64">
        <v>32.655999999999999</v>
      </c>
      <c r="T64">
        <v>59.371000000000002</v>
      </c>
      <c r="U64">
        <v>180951</v>
      </c>
      <c r="V64">
        <v>5.0999999999999996</v>
      </c>
      <c r="W64">
        <v>3.83</v>
      </c>
      <c r="X64">
        <v>2.36</v>
      </c>
      <c r="Y64">
        <v>2.94</v>
      </c>
      <c r="Z64">
        <v>0.29543510099999998</v>
      </c>
      <c r="AA64">
        <v>236.6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>
        <v>1960.75</v>
      </c>
      <c r="B65">
        <v>541.1</v>
      </c>
      <c r="C65">
        <v>3081.4350797266516</v>
      </c>
      <c r="D65">
        <v>1895.1841359773373</v>
      </c>
      <c r="E65">
        <v>2217.1844814245173</v>
      </c>
      <c r="F65">
        <v>82.432781322612769</v>
      </c>
      <c r="G65">
        <v>320.22921670248178</v>
      </c>
      <c r="H65">
        <v>1.8974881194840461</v>
      </c>
      <c r="I65">
        <v>2.0453289110005528</v>
      </c>
      <c r="J65">
        <v>133.55063222563012</v>
      </c>
      <c r="K65">
        <v>124.9</v>
      </c>
      <c r="L65">
        <v>75.3</v>
      </c>
      <c r="M65">
        <v>0</v>
      </c>
      <c r="N65">
        <v>0.57260456831279105</v>
      </c>
      <c r="O65">
        <v>129</v>
      </c>
      <c r="P65">
        <v>89.9</v>
      </c>
      <c r="Q65">
        <v>17.559999999999999</v>
      </c>
      <c r="R65">
        <v>19.033000000000001</v>
      </c>
      <c r="S65">
        <v>32.426000000000002</v>
      </c>
      <c r="T65">
        <v>58.697000000000003</v>
      </c>
      <c r="U65">
        <v>181789</v>
      </c>
      <c r="V65">
        <v>5.0999999999999996</v>
      </c>
      <c r="W65">
        <v>3.89</v>
      </c>
      <c r="X65">
        <v>2.31</v>
      </c>
      <c r="Y65">
        <v>2.2999999999999998</v>
      </c>
      <c r="Z65">
        <v>0.38798329199999998</v>
      </c>
      <c r="AA65">
        <v>236.8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>
        <v>1961</v>
      </c>
      <c r="B66">
        <v>545.9</v>
      </c>
      <c r="C66">
        <v>3102.0570519377202</v>
      </c>
      <c r="D66">
        <v>1894.4749194141266</v>
      </c>
      <c r="E66">
        <v>2234.7622277209621</v>
      </c>
      <c r="F66">
        <v>77.810967289891948</v>
      </c>
      <c r="G66">
        <v>328.4870323040181</v>
      </c>
      <c r="H66">
        <v>1.8694765465669612</v>
      </c>
      <c r="I66">
        <v>2.0519727459990493</v>
      </c>
      <c r="J66">
        <v>133.2529461507728</v>
      </c>
      <c r="K66">
        <v>126.8</v>
      </c>
      <c r="L66">
        <v>75.3</v>
      </c>
      <c r="M66">
        <v>7.7</v>
      </c>
      <c r="N66">
        <v>-0.43335835610638002</v>
      </c>
      <c r="O66">
        <v>129.70000000000002</v>
      </c>
      <c r="P66">
        <v>90.1</v>
      </c>
      <c r="Q66">
        <v>17.597999999999999</v>
      </c>
      <c r="R66">
        <v>19.143000000000001</v>
      </c>
      <c r="S66">
        <v>32.792000000000002</v>
      </c>
      <c r="T66">
        <v>58.378</v>
      </c>
      <c r="U66">
        <v>182516</v>
      </c>
      <c r="V66">
        <v>5.0599999999999996</v>
      </c>
      <c r="W66">
        <v>3.79</v>
      </c>
      <c r="X66">
        <v>2.35</v>
      </c>
      <c r="Y66">
        <v>2</v>
      </c>
      <c r="Z66">
        <v>0.39227405199999998</v>
      </c>
      <c r="AA66">
        <v>237.3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>
        <v>1961.25</v>
      </c>
      <c r="B67">
        <v>557.4</v>
      </c>
      <c r="C67">
        <v>3159.6848251232927</v>
      </c>
      <c r="D67">
        <v>1922.402579039647</v>
      </c>
      <c r="E67">
        <v>2266.3738125253999</v>
      </c>
      <c r="F67">
        <v>79.465580208849502</v>
      </c>
      <c r="G67">
        <v>351.36828911635683</v>
      </c>
      <c r="H67">
        <v>1.9115646258503403</v>
      </c>
      <c r="I67">
        <v>2.0598216399652753</v>
      </c>
      <c r="J67">
        <v>131.8880644243807</v>
      </c>
      <c r="K67">
        <v>127.9</v>
      </c>
      <c r="L67">
        <v>76.2</v>
      </c>
      <c r="M67">
        <v>31.1</v>
      </c>
      <c r="N67">
        <v>1.3191272576294699</v>
      </c>
      <c r="O67">
        <v>132.5</v>
      </c>
      <c r="P67">
        <v>92.1</v>
      </c>
      <c r="Q67">
        <v>17.640999999999998</v>
      </c>
      <c r="R67">
        <v>19.574000000000002</v>
      </c>
      <c r="S67">
        <v>33.92</v>
      </c>
      <c r="T67">
        <v>57.706000000000003</v>
      </c>
      <c r="U67">
        <v>183220</v>
      </c>
      <c r="V67">
        <v>5.0199999999999996</v>
      </c>
      <c r="W67">
        <v>3.79</v>
      </c>
      <c r="X67">
        <v>2.2999999999999998</v>
      </c>
      <c r="Y67">
        <v>1.73</v>
      </c>
      <c r="Z67">
        <v>0.34352901600000002</v>
      </c>
      <c r="AA67">
        <v>238.4</v>
      </c>
      <c r="AB67">
        <v>0</v>
      </c>
      <c r="AC67">
        <v>0</v>
      </c>
      <c r="AD67">
        <v>0</v>
      </c>
      <c r="AE67">
        <v>0</v>
      </c>
      <c r="AF67">
        <v>0.33</v>
      </c>
    </row>
    <row r="68" spans="1:32" x14ac:dyDescent="0.25">
      <c r="A68">
        <v>1961.5</v>
      </c>
      <c r="B68">
        <v>568.20000000000005</v>
      </c>
      <c r="C68">
        <v>3212.5289760841297</v>
      </c>
      <c r="D68">
        <v>1931.8117779656241</v>
      </c>
      <c r="E68">
        <v>2271.4138975494261</v>
      </c>
      <c r="F68">
        <v>81.479045635573101</v>
      </c>
      <c r="G68">
        <v>378.65533616595849</v>
      </c>
      <c r="H68">
        <v>1.9299499642601858</v>
      </c>
      <c r="I68">
        <v>2.1776866024932935</v>
      </c>
      <c r="J68">
        <v>132.84837185586019</v>
      </c>
      <c r="K68">
        <v>130.6</v>
      </c>
      <c r="L68">
        <v>78.099999999999994</v>
      </c>
      <c r="M68">
        <v>3.5</v>
      </c>
      <c r="N68">
        <v>-1.0286691326905399</v>
      </c>
      <c r="O68">
        <v>135.19999999999999</v>
      </c>
      <c r="P68">
        <v>93.899999999999991</v>
      </c>
      <c r="Q68">
        <v>17.687000000000001</v>
      </c>
      <c r="R68">
        <v>19.925999999999998</v>
      </c>
      <c r="S68">
        <v>34.284999999999997</v>
      </c>
      <c r="T68">
        <v>58.119</v>
      </c>
      <c r="U68">
        <v>183964</v>
      </c>
      <c r="V68">
        <v>5.1100000000000003</v>
      </c>
      <c r="W68">
        <v>3.98</v>
      </c>
      <c r="X68">
        <v>2.2999999999999998</v>
      </c>
      <c r="Y68">
        <v>1.68</v>
      </c>
      <c r="Z68">
        <v>0.39727518000000001</v>
      </c>
      <c r="AA68">
        <v>240.5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>
        <v>1961.75</v>
      </c>
      <c r="B69">
        <v>581.6</v>
      </c>
      <c r="C69">
        <v>3277.5429698506618</v>
      </c>
      <c r="D69">
        <v>1970.7289614410356</v>
      </c>
      <c r="E69">
        <v>2307.5991617435707</v>
      </c>
      <c r="F69">
        <v>85.421620632888235</v>
      </c>
      <c r="G69">
        <v>384.85438502009197</v>
      </c>
      <c r="H69">
        <v>1.9898636008027484</v>
      </c>
      <c r="I69">
        <v>2.2506515043828474</v>
      </c>
      <c r="J69">
        <v>134.48693884877216</v>
      </c>
      <c r="K69">
        <v>134.19999999999999</v>
      </c>
      <c r="L69">
        <v>79.900000000000006</v>
      </c>
      <c r="M69">
        <v>-1</v>
      </c>
      <c r="N69">
        <v>-1.21497901208181</v>
      </c>
      <c r="O69">
        <v>139.30000000000001</v>
      </c>
      <c r="P69">
        <v>97.1</v>
      </c>
      <c r="Q69">
        <v>17.745000000000001</v>
      </c>
      <c r="R69">
        <v>20.332000000000001</v>
      </c>
      <c r="S69">
        <v>34.646999999999998</v>
      </c>
      <c r="T69">
        <v>58.683</v>
      </c>
      <c r="U69">
        <v>184774</v>
      </c>
      <c r="V69">
        <v>5.1100000000000003</v>
      </c>
      <c r="W69">
        <v>3.97</v>
      </c>
      <c r="X69">
        <v>2.46</v>
      </c>
      <c r="Y69">
        <v>2.4</v>
      </c>
      <c r="Z69">
        <v>0.40199348299999998</v>
      </c>
      <c r="AA69">
        <v>243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>
        <v>1962</v>
      </c>
      <c r="B70">
        <v>595.20000000000005</v>
      </c>
      <c r="C70">
        <v>3336.8840051578186</v>
      </c>
      <c r="D70">
        <v>1991.8175194754244</v>
      </c>
      <c r="E70">
        <v>2327.0540780133829</v>
      </c>
      <c r="F70">
        <v>87.23482077542063</v>
      </c>
      <c r="G70">
        <v>405.84146946880685</v>
      </c>
      <c r="H70">
        <v>2.0301979187920836</v>
      </c>
      <c r="I70">
        <v>2.2859845498975249</v>
      </c>
      <c r="J70">
        <v>136.17609351251042</v>
      </c>
      <c r="K70">
        <v>137.80000000000001</v>
      </c>
      <c r="L70">
        <v>83.3</v>
      </c>
      <c r="M70">
        <v>2</v>
      </c>
      <c r="N70">
        <v>-0.217608188329207</v>
      </c>
      <c r="O70">
        <v>141.6</v>
      </c>
      <c r="P70">
        <v>98.500000000000014</v>
      </c>
      <c r="Q70">
        <v>17.837</v>
      </c>
      <c r="R70">
        <v>20.738</v>
      </c>
      <c r="S70">
        <v>34.978999999999999</v>
      </c>
      <c r="T70">
        <v>59.287999999999997</v>
      </c>
      <c r="U70">
        <v>185448</v>
      </c>
      <c r="V70">
        <v>5.0599999999999996</v>
      </c>
      <c r="W70">
        <v>4.0199999999999996</v>
      </c>
      <c r="X70">
        <v>2.72</v>
      </c>
      <c r="Y70">
        <v>2.46</v>
      </c>
      <c r="Z70">
        <v>0.40405753300000002</v>
      </c>
      <c r="AA70">
        <v>245.3</v>
      </c>
      <c r="AB70">
        <v>6.9444443999999994E-2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>
        <v>1962.25</v>
      </c>
      <c r="B71">
        <v>602.6</v>
      </c>
      <c r="C71">
        <v>3372.8870480241799</v>
      </c>
      <c r="D71">
        <v>2016.0839941918912</v>
      </c>
      <c r="E71">
        <v>2350.4926701780719</v>
      </c>
      <c r="F71">
        <v>89.492813179186527</v>
      </c>
      <c r="G71">
        <v>402.5141525141525</v>
      </c>
      <c r="H71">
        <v>2.0852436746476481</v>
      </c>
      <c r="I71">
        <v>2.3571147024044143</v>
      </c>
      <c r="J71">
        <v>137.03510139009131</v>
      </c>
      <c r="K71">
        <v>139.1</v>
      </c>
      <c r="L71">
        <v>84.1</v>
      </c>
      <c r="M71">
        <v>0</v>
      </c>
      <c r="N71">
        <v>-0.37902270858926401</v>
      </c>
      <c r="O71">
        <v>143.69999999999999</v>
      </c>
      <c r="P71">
        <v>99.899999999999991</v>
      </c>
      <c r="Q71">
        <v>17.866</v>
      </c>
      <c r="R71">
        <v>20.965</v>
      </c>
      <c r="S71">
        <v>35.174999999999997</v>
      </c>
      <c r="T71">
        <v>59.601999999999997</v>
      </c>
      <c r="U71">
        <v>186092</v>
      </c>
      <c r="V71">
        <v>5.01</v>
      </c>
      <c r="W71">
        <v>3.87</v>
      </c>
      <c r="X71">
        <v>2.72</v>
      </c>
      <c r="Y71">
        <v>2.61</v>
      </c>
      <c r="Z71">
        <v>0.39509582500000001</v>
      </c>
      <c r="AA71">
        <v>248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>
        <v>1962.5</v>
      </c>
      <c r="B72">
        <v>609.6</v>
      </c>
      <c r="C72">
        <v>3405.0159191197008</v>
      </c>
      <c r="D72">
        <v>2032.6426024955435</v>
      </c>
      <c r="E72">
        <v>2371.0495751783747</v>
      </c>
      <c r="F72">
        <v>90.291810023119069</v>
      </c>
      <c r="G72">
        <v>409.54208024022017</v>
      </c>
      <c r="H72">
        <v>2.109375</v>
      </c>
      <c r="I72">
        <v>2.3580441640378549</v>
      </c>
      <c r="J72">
        <v>136.69772770124533</v>
      </c>
      <c r="K72">
        <v>142.69999999999999</v>
      </c>
      <c r="L72">
        <v>87</v>
      </c>
      <c r="M72">
        <v>0</v>
      </c>
      <c r="N72">
        <v>-0.24413931936873201</v>
      </c>
      <c r="O72">
        <v>146.9</v>
      </c>
      <c r="P72">
        <v>102.4</v>
      </c>
      <c r="Q72">
        <v>17.902999999999999</v>
      </c>
      <c r="R72">
        <v>21.161999999999999</v>
      </c>
      <c r="S72">
        <v>35.692999999999998</v>
      </c>
      <c r="T72">
        <v>59.289000000000001</v>
      </c>
      <c r="U72">
        <v>186795</v>
      </c>
      <c r="V72">
        <v>5.05</v>
      </c>
      <c r="W72">
        <v>3.99</v>
      </c>
      <c r="X72">
        <v>2.84</v>
      </c>
      <c r="Y72">
        <v>2.85</v>
      </c>
      <c r="Z72">
        <v>0.40417090100000003</v>
      </c>
      <c r="AA72">
        <v>250.2</v>
      </c>
      <c r="AB72">
        <v>0</v>
      </c>
      <c r="AC72">
        <v>-0.228813559</v>
      </c>
      <c r="AD72">
        <v>-0.23148148099999999</v>
      </c>
      <c r="AE72">
        <v>-0.68644067799999997</v>
      </c>
      <c r="AF72">
        <v>0</v>
      </c>
    </row>
    <row r="73" spans="1:32" x14ac:dyDescent="0.25">
      <c r="A73">
        <v>1962.75</v>
      </c>
      <c r="B73">
        <v>613.1</v>
      </c>
      <c r="C73">
        <v>3417.8838220537409</v>
      </c>
      <c r="D73">
        <v>2060.9796734421857</v>
      </c>
      <c r="E73">
        <v>2392.8404927650336</v>
      </c>
      <c r="F73">
        <v>94.120657199773376</v>
      </c>
      <c r="G73">
        <v>397.52280525566994</v>
      </c>
      <c r="H73">
        <v>2.1008260529625726</v>
      </c>
      <c r="I73">
        <v>2.353312801073995</v>
      </c>
      <c r="J73">
        <v>135.94574290344258</v>
      </c>
      <c r="K73">
        <v>144.19999999999999</v>
      </c>
      <c r="L73">
        <v>87.6</v>
      </c>
      <c r="M73">
        <v>0</v>
      </c>
      <c r="N73">
        <v>-6.6219849795604003E-4</v>
      </c>
      <c r="O73">
        <v>148.70000000000002</v>
      </c>
      <c r="P73">
        <v>103.6</v>
      </c>
      <c r="Q73">
        <v>17.937999999999999</v>
      </c>
      <c r="R73">
        <v>21.221</v>
      </c>
      <c r="S73">
        <v>36.045999999999999</v>
      </c>
      <c r="T73">
        <v>58.872</v>
      </c>
      <c r="U73">
        <v>187564</v>
      </c>
      <c r="V73">
        <v>4.96</v>
      </c>
      <c r="W73">
        <v>3.9</v>
      </c>
      <c r="X73">
        <v>2.81</v>
      </c>
      <c r="Y73">
        <v>2.92</v>
      </c>
      <c r="Z73">
        <v>0.43607678999999999</v>
      </c>
      <c r="AA73">
        <v>251.7</v>
      </c>
      <c r="AB73">
        <v>0</v>
      </c>
      <c r="AC73">
        <v>-0.15169391500000001</v>
      </c>
      <c r="AD73">
        <v>-0.152538436</v>
      </c>
      <c r="AE73">
        <v>-0.15168999999999999</v>
      </c>
      <c r="AF73">
        <v>0</v>
      </c>
    </row>
    <row r="74" spans="1:32" x14ac:dyDescent="0.25">
      <c r="A74">
        <v>1963</v>
      </c>
      <c r="B74">
        <v>622.70000000000005</v>
      </c>
      <c r="C74">
        <v>3456.1802741854922</v>
      </c>
      <c r="D74">
        <v>2075.0955308190732</v>
      </c>
      <c r="E74">
        <v>2404.5383991046901</v>
      </c>
      <c r="F74">
        <v>96.104655411824893</v>
      </c>
      <c r="G74">
        <v>418.36263690151486</v>
      </c>
      <c r="H74">
        <v>2.1076248427779856</v>
      </c>
      <c r="I74">
        <v>2.4313230186296182</v>
      </c>
      <c r="J74">
        <v>136.60004888832484</v>
      </c>
      <c r="K74">
        <v>144.4</v>
      </c>
      <c r="L74">
        <v>86.2</v>
      </c>
      <c r="M74">
        <v>0</v>
      </c>
      <c r="N74">
        <v>0.75692088662160595</v>
      </c>
      <c r="O74">
        <v>152.1</v>
      </c>
      <c r="P74">
        <v>106.3</v>
      </c>
      <c r="Q74">
        <v>18.016999999999999</v>
      </c>
      <c r="R74">
        <v>21.478999999999999</v>
      </c>
      <c r="S74">
        <v>36.21</v>
      </c>
      <c r="T74">
        <v>59.317999999999998</v>
      </c>
      <c r="U74">
        <v>188204</v>
      </c>
      <c r="V74">
        <v>4.8899999999999997</v>
      </c>
      <c r="W74">
        <v>3.89</v>
      </c>
      <c r="X74">
        <v>2.91</v>
      </c>
      <c r="Y74">
        <v>2.97</v>
      </c>
      <c r="Z74">
        <v>0.427856654</v>
      </c>
      <c r="AA74">
        <v>253</v>
      </c>
      <c r="AB74">
        <v>0</v>
      </c>
      <c r="AC74">
        <v>0.43160690600000001</v>
      </c>
      <c r="AD74">
        <v>0.10155064900000001</v>
      </c>
      <c r="AE74">
        <v>0.54781000000000002</v>
      </c>
      <c r="AF74">
        <v>0</v>
      </c>
    </row>
    <row r="75" spans="1:32" x14ac:dyDescent="0.25">
      <c r="A75">
        <v>1963.25</v>
      </c>
      <c r="B75">
        <v>631.79999999999995</v>
      </c>
      <c r="C75">
        <v>3500.8588685100012</v>
      </c>
      <c r="D75">
        <v>2095.3381629154455</v>
      </c>
      <c r="E75">
        <v>2422.5878590206066</v>
      </c>
      <c r="F75">
        <v>98.180294723036852</v>
      </c>
      <c r="G75">
        <v>424.76692169405072</v>
      </c>
      <c r="H75">
        <v>2.1726564890687157</v>
      </c>
      <c r="I75">
        <v>2.6073862735774287</v>
      </c>
      <c r="J75">
        <v>137.41148852512171</v>
      </c>
      <c r="K75">
        <v>144.80000000000001</v>
      </c>
      <c r="L75">
        <v>85.7</v>
      </c>
      <c r="M75">
        <v>0</v>
      </c>
      <c r="N75">
        <v>-1.6992944969196001E-2</v>
      </c>
      <c r="O75">
        <v>155.19999999999999</v>
      </c>
      <c r="P75">
        <v>108.39999999999999</v>
      </c>
      <c r="Q75">
        <v>18.047000000000001</v>
      </c>
      <c r="R75">
        <v>21.779</v>
      </c>
      <c r="S75">
        <v>36.487000000000002</v>
      </c>
      <c r="T75">
        <v>59.691000000000003</v>
      </c>
      <c r="U75">
        <v>188796</v>
      </c>
      <c r="V75">
        <v>4.8499999999999996</v>
      </c>
      <c r="W75">
        <v>3.96</v>
      </c>
      <c r="X75">
        <v>2.94</v>
      </c>
      <c r="Y75">
        <v>2.96</v>
      </c>
      <c r="Z75">
        <v>0.42800352000000003</v>
      </c>
      <c r="AA75">
        <v>254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>
        <v>1963.5</v>
      </c>
      <c r="B76">
        <v>645</v>
      </c>
      <c r="C76">
        <v>3569.6496762410761</v>
      </c>
      <c r="D76">
        <v>2123.3969948813915</v>
      </c>
      <c r="E76">
        <v>2456.3413252513506</v>
      </c>
      <c r="F76">
        <v>99.360604519363505</v>
      </c>
      <c r="G76">
        <v>438.02345058626469</v>
      </c>
      <c r="H76">
        <v>2.2315060118198491</v>
      </c>
      <c r="I76">
        <v>2.6608960487296627</v>
      </c>
      <c r="J76">
        <v>137.76092625507172</v>
      </c>
      <c r="K76">
        <v>150.6</v>
      </c>
      <c r="L76">
        <v>89.8</v>
      </c>
      <c r="M76">
        <v>-7.1</v>
      </c>
      <c r="N76">
        <v>-1.0414809277658099</v>
      </c>
      <c r="O76">
        <v>157.4</v>
      </c>
      <c r="P76">
        <v>109.5</v>
      </c>
      <c r="Q76">
        <v>18.068999999999999</v>
      </c>
      <c r="R76">
        <v>22.251999999999999</v>
      </c>
      <c r="S76">
        <v>37.292999999999999</v>
      </c>
      <c r="T76">
        <v>59.668999999999997</v>
      </c>
      <c r="U76">
        <v>189500</v>
      </c>
      <c r="V76">
        <v>4.84</v>
      </c>
      <c r="W76">
        <v>4.03</v>
      </c>
      <c r="X76">
        <v>3.29</v>
      </c>
      <c r="Y76">
        <v>3.33</v>
      </c>
      <c r="Z76">
        <v>0.38624993000000002</v>
      </c>
      <c r="AA76">
        <v>254.8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>
        <v>1963.75</v>
      </c>
      <c r="B77">
        <v>654.79999999999995</v>
      </c>
      <c r="C77">
        <v>3594.6420729029419</v>
      </c>
      <c r="D77">
        <v>2141.3687212107916</v>
      </c>
      <c r="E77">
        <v>2473.615517266433</v>
      </c>
      <c r="F77">
        <v>100.85829138449282</v>
      </c>
      <c r="G77">
        <v>443.41495698213106</v>
      </c>
      <c r="H77">
        <v>2.2979532262991755</v>
      </c>
      <c r="I77">
        <v>2.7465966085502749</v>
      </c>
      <c r="J77">
        <v>138.43809753247112</v>
      </c>
      <c r="K77">
        <v>151.69999999999999</v>
      </c>
      <c r="L77">
        <v>89.6</v>
      </c>
      <c r="M77">
        <v>0</v>
      </c>
      <c r="N77">
        <v>-0.55445493261799195</v>
      </c>
      <c r="O77">
        <v>159.69999999999999</v>
      </c>
      <c r="P77">
        <v>111</v>
      </c>
      <c r="Q77">
        <v>18.216000000000001</v>
      </c>
      <c r="R77">
        <v>22.411999999999999</v>
      </c>
      <c r="S77">
        <v>37.362000000000002</v>
      </c>
      <c r="T77">
        <v>59.985999999999997</v>
      </c>
      <c r="U77">
        <v>190255</v>
      </c>
      <c r="V77">
        <v>4.84</v>
      </c>
      <c r="W77">
        <v>4.12</v>
      </c>
      <c r="X77">
        <v>3.5</v>
      </c>
      <c r="Y77">
        <v>3.45</v>
      </c>
      <c r="Z77">
        <v>0.36768767200000002</v>
      </c>
      <c r="AA77">
        <v>255.4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>
        <v>1964</v>
      </c>
      <c r="B78">
        <v>671.1</v>
      </c>
      <c r="C78">
        <v>3672.4307759658527</v>
      </c>
      <c r="D78">
        <v>2183.4752237502726</v>
      </c>
      <c r="E78">
        <v>2514.7202519146199</v>
      </c>
      <c r="F78">
        <v>104.86918473249317</v>
      </c>
      <c r="G78">
        <v>460.07161295694897</v>
      </c>
      <c r="H78">
        <v>2.3445982627578714</v>
      </c>
      <c r="I78">
        <v>2.9085650008034714</v>
      </c>
      <c r="J78">
        <v>139.38250763017305</v>
      </c>
      <c r="K78">
        <v>153.30000000000001</v>
      </c>
      <c r="L78">
        <v>90</v>
      </c>
      <c r="M78">
        <v>-4.5999999999999996</v>
      </c>
      <c r="N78">
        <v>-1.9922529071390999E-2</v>
      </c>
      <c r="O78">
        <v>159.5</v>
      </c>
      <c r="P78">
        <v>109</v>
      </c>
      <c r="Q78">
        <v>18.274000000000001</v>
      </c>
      <c r="R78">
        <v>22.977</v>
      </c>
      <c r="S78">
        <v>37.844000000000001</v>
      </c>
      <c r="T78">
        <v>60.713999999999999</v>
      </c>
      <c r="U78">
        <v>190858</v>
      </c>
      <c r="V78">
        <v>4.83</v>
      </c>
      <c r="W78">
        <v>4.18</v>
      </c>
      <c r="X78">
        <v>3.53</v>
      </c>
      <c r="Y78">
        <v>3.46</v>
      </c>
      <c r="Z78">
        <v>0.38006484499999998</v>
      </c>
      <c r="AA78">
        <v>256.10000000000002</v>
      </c>
      <c r="AB78">
        <v>0</v>
      </c>
      <c r="AC78">
        <v>0</v>
      </c>
      <c r="AD78">
        <v>0</v>
      </c>
      <c r="AE78">
        <v>0</v>
      </c>
      <c r="AF78">
        <v>0.6</v>
      </c>
    </row>
    <row r="79" spans="1:32" x14ac:dyDescent="0.25">
      <c r="A79">
        <v>1964.25</v>
      </c>
      <c r="B79">
        <v>680.8</v>
      </c>
      <c r="C79">
        <v>3716.5629435527894</v>
      </c>
      <c r="D79">
        <v>2222.0407274311228</v>
      </c>
      <c r="E79">
        <v>2555.3980821411319</v>
      </c>
      <c r="F79">
        <v>107.63775824016788</v>
      </c>
      <c r="G79">
        <v>458.202023552828</v>
      </c>
      <c r="H79">
        <v>2.4006482763277845</v>
      </c>
      <c r="I79">
        <v>2.7676735726712001</v>
      </c>
      <c r="J79">
        <v>140.92011487730829</v>
      </c>
      <c r="K79">
        <v>155.1</v>
      </c>
      <c r="L79">
        <v>90.1</v>
      </c>
      <c r="M79">
        <v>0</v>
      </c>
      <c r="N79">
        <v>-1.3027581847416101</v>
      </c>
      <c r="O79">
        <v>156.70000000000002</v>
      </c>
      <c r="P79">
        <v>105.30000000000001</v>
      </c>
      <c r="Q79">
        <v>18.318000000000001</v>
      </c>
      <c r="R79">
        <v>23.248999999999999</v>
      </c>
      <c r="S79">
        <v>37.954000000000001</v>
      </c>
      <c r="T79">
        <v>61.256</v>
      </c>
      <c r="U79">
        <v>191453</v>
      </c>
      <c r="V79">
        <v>4.8499999999999996</v>
      </c>
      <c r="W79">
        <v>4.2</v>
      </c>
      <c r="X79">
        <v>3.48</v>
      </c>
      <c r="Y79">
        <v>3.49</v>
      </c>
      <c r="Z79">
        <v>0.34198853400000001</v>
      </c>
      <c r="AA79">
        <v>256.8</v>
      </c>
      <c r="AB79">
        <v>0</v>
      </c>
      <c r="AC79">
        <v>-1.275045537</v>
      </c>
      <c r="AD79">
        <v>-1.2931034480000001</v>
      </c>
      <c r="AE79">
        <v>-2.5500910750000001</v>
      </c>
      <c r="AF79">
        <v>0</v>
      </c>
    </row>
    <row r="80" spans="1:32" x14ac:dyDescent="0.25">
      <c r="A80">
        <v>1964.5</v>
      </c>
      <c r="B80">
        <v>692.8</v>
      </c>
      <c r="C80">
        <v>3766.8551544149632</v>
      </c>
      <c r="D80">
        <v>2262.8608639027566</v>
      </c>
      <c r="E80">
        <v>2595.3268595972613</v>
      </c>
      <c r="F80">
        <v>111.19562461516172</v>
      </c>
      <c r="G80">
        <v>468.87362065375805</v>
      </c>
      <c r="H80">
        <v>2.4769682448621473</v>
      </c>
      <c r="I80">
        <v>2.7199621570482497</v>
      </c>
      <c r="J80">
        <v>141.60726372052804</v>
      </c>
      <c r="K80">
        <v>156.80000000000001</v>
      </c>
      <c r="L80">
        <v>90.8</v>
      </c>
      <c r="M80">
        <v>0</v>
      </c>
      <c r="N80">
        <v>0.11870868497303801</v>
      </c>
      <c r="O80">
        <v>160.69999999999999</v>
      </c>
      <c r="P80">
        <v>107.9</v>
      </c>
      <c r="Q80">
        <v>18.391999999999999</v>
      </c>
      <c r="R80">
        <v>23.591999999999999</v>
      </c>
      <c r="S80">
        <v>38.302999999999997</v>
      </c>
      <c r="T80">
        <v>61.593000000000004</v>
      </c>
      <c r="U80">
        <v>192132</v>
      </c>
      <c r="V80">
        <v>4.82</v>
      </c>
      <c r="W80">
        <v>4.1900000000000004</v>
      </c>
      <c r="X80">
        <v>3.5</v>
      </c>
      <c r="Y80">
        <v>3.46</v>
      </c>
      <c r="Z80">
        <v>0.35552594100000001</v>
      </c>
      <c r="AA80">
        <v>257.7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>
        <v>1964.75</v>
      </c>
      <c r="B81">
        <v>698.4</v>
      </c>
      <c r="C81">
        <v>3780.0389694739124</v>
      </c>
      <c r="D81">
        <v>2269.3347755543541</v>
      </c>
      <c r="E81">
        <v>2617.6677104627747</v>
      </c>
      <c r="F81">
        <v>107.77856404115181</v>
      </c>
      <c r="G81">
        <v>473.52384089598945</v>
      </c>
      <c r="H81">
        <v>2.5292220878677951</v>
      </c>
      <c r="I81">
        <v>2.6707834812813585</v>
      </c>
      <c r="J81">
        <v>142.5924670223236</v>
      </c>
      <c r="K81">
        <v>156.9</v>
      </c>
      <c r="L81">
        <v>89.9</v>
      </c>
      <c r="M81">
        <v>0</v>
      </c>
      <c r="N81">
        <v>0.79243349002556596</v>
      </c>
      <c r="O81">
        <v>163</v>
      </c>
      <c r="P81">
        <v>109.49999999999999</v>
      </c>
      <c r="Q81">
        <v>18.475999999999999</v>
      </c>
      <c r="R81">
        <v>23.637</v>
      </c>
      <c r="S81">
        <v>38.134999999999998</v>
      </c>
      <c r="T81">
        <v>61.982999999999997</v>
      </c>
      <c r="U81">
        <v>192839</v>
      </c>
      <c r="V81">
        <v>4.8099999999999996</v>
      </c>
      <c r="W81">
        <v>4.17</v>
      </c>
      <c r="X81">
        <v>3.68</v>
      </c>
      <c r="Y81">
        <v>3.58</v>
      </c>
      <c r="Z81">
        <v>0.334534526</v>
      </c>
      <c r="AA81">
        <v>258.7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>
        <v>1965</v>
      </c>
      <c r="B82">
        <v>719.2</v>
      </c>
      <c r="C82">
        <v>3873.1218697829718</v>
      </c>
      <c r="D82">
        <v>2319.8016065556094</v>
      </c>
      <c r="E82">
        <v>2645.738988832783</v>
      </c>
      <c r="F82">
        <v>117.73242630385489</v>
      </c>
      <c r="G82">
        <v>518.44262295081967</v>
      </c>
      <c r="H82">
        <v>2.6901918690460218</v>
      </c>
      <c r="I82">
        <v>2.6897511207296332</v>
      </c>
      <c r="J82">
        <v>144.32443273790525</v>
      </c>
      <c r="K82">
        <v>157.80000000000001</v>
      </c>
      <c r="L82">
        <v>89.4</v>
      </c>
      <c r="M82">
        <v>2.2000000000000002</v>
      </c>
      <c r="N82">
        <v>0.55113847786655101</v>
      </c>
      <c r="O82">
        <v>169.7</v>
      </c>
      <c r="P82">
        <v>115.69999999999999</v>
      </c>
      <c r="Q82">
        <v>18.568999999999999</v>
      </c>
      <c r="R82">
        <v>24.35</v>
      </c>
      <c r="S82">
        <v>38.805999999999997</v>
      </c>
      <c r="T82">
        <v>62.747999999999998</v>
      </c>
      <c r="U82">
        <v>193385</v>
      </c>
      <c r="V82">
        <v>4.79</v>
      </c>
      <c r="W82">
        <v>4.2</v>
      </c>
      <c r="X82">
        <v>3.89</v>
      </c>
      <c r="Y82">
        <v>3.97</v>
      </c>
      <c r="Z82">
        <v>0.36208385199999998</v>
      </c>
      <c r="AA82">
        <v>259.8</v>
      </c>
      <c r="AB82">
        <v>0</v>
      </c>
      <c r="AC82">
        <v>-0.64683053000000001</v>
      </c>
      <c r="AD82">
        <v>0</v>
      </c>
      <c r="AE82">
        <v>0</v>
      </c>
      <c r="AF82">
        <v>0</v>
      </c>
    </row>
    <row r="83" spans="1:32" x14ac:dyDescent="0.25">
      <c r="A83">
        <v>1965.25</v>
      </c>
      <c r="B83">
        <v>732.4</v>
      </c>
      <c r="C83">
        <v>3926.6566588033452</v>
      </c>
      <c r="D83">
        <v>2345.2419268318849</v>
      </c>
      <c r="E83">
        <v>2679.8553600360451</v>
      </c>
      <c r="F83">
        <v>117.91894891998616</v>
      </c>
      <c r="G83">
        <v>519.76753703855286</v>
      </c>
      <c r="H83">
        <v>2.7906976744186047</v>
      </c>
      <c r="I83">
        <v>2.7106340257934978</v>
      </c>
      <c r="J83">
        <v>145.87924482165403</v>
      </c>
      <c r="K83">
        <v>160.6</v>
      </c>
      <c r="L83">
        <v>90.1</v>
      </c>
      <c r="M83">
        <v>1.4</v>
      </c>
      <c r="N83">
        <v>4.4234108613654198E-2</v>
      </c>
      <c r="O83">
        <v>172.60000000000002</v>
      </c>
      <c r="P83">
        <v>117.3</v>
      </c>
      <c r="Q83">
        <v>18.652000000000001</v>
      </c>
      <c r="R83">
        <v>24.692</v>
      </c>
      <c r="S83">
        <v>38.844999999999999</v>
      </c>
      <c r="T83">
        <v>63.564999999999998</v>
      </c>
      <c r="U83">
        <v>193895</v>
      </c>
      <c r="V83">
        <v>4.82</v>
      </c>
      <c r="W83">
        <v>4.21</v>
      </c>
      <c r="X83">
        <v>3.87</v>
      </c>
      <c r="Y83">
        <v>4.08</v>
      </c>
      <c r="Z83">
        <v>0.34569287300000001</v>
      </c>
      <c r="AA83">
        <v>260.8</v>
      </c>
      <c r="AB83">
        <v>0</v>
      </c>
      <c r="AC83">
        <v>0</v>
      </c>
      <c r="AD83">
        <v>0</v>
      </c>
      <c r="AE83">
        <v>0</v>
      </c>
      <c r="AF83">
        <v>-0.23</v>
      </c>
    </row>
    <row r="84" spans="1:32" x14ac:dyDescent="0.25">
      <c r="A84">
        <v>1965.5</v>
      </c>
      <c r="B84">
        <v>750.2</v>
      </c>
      <c r="C84">
        <v>4006.1945957492258</v>
      </c>
      <c r="D84">
        <v>2385.7623857623857</v>
      </c>
      <c r="E84">
        <v>2718.1475454547635</v>
      </c>
      <c r="F84">
        <v>121.9824433065106</v>
      </c>
      <c r="G84">
        <v>537.90332499692511</v>
      </c>
      <c r="H84">
        <v>2.8919279519679786</v>
      </c>
      <c r="I84">
        <v>2.7267109531901745</v>
      </c>
      <c r="J84">
        <v>146.01271019762004</v>
      </c>
      <c r="K84">
        <v>167.6</v>
      </c>
      <c r="L84">
        <v>94.4</v>
      </c>
      <c r="M84">
        <v>14</v>
      </c>
      <c r="N84">
        <v>-0.410995409072137</v>
      </c>
      <c r="O84">
        <v>172.2</v>
      </c>
      <c r="P84">
        <v>115.8</v>
      </c>
      <c r="Q84">
        <v>18.725999999999999</v>
      </c>
      <c r="R84">
        <v>25.23</v>
      </c>
      <c r="S84">
        <v>39.761000000000003</v>
      </c>
      <c r="T84">
        <v>63.454999999999998</v>
      </c>
      <c r="U84">
        <v>194531</v>
      </c>
      <c r="V84">
        <v>4.8899999999999997</v>
      </c>
      <c r="W84">
        <v>4.25</v>
      </c>
      <c r="X84">
        <v>3.87</v>
      </c>
      <c r="Y84">
        <v>4.07</v>
      </c>
      <c r="Z84">
        <v>0.313014984</v>
      </c>
      <c r="AA84">
        <v>261.7</v>
      </c>
      <c r="AB84">
        <v>0</v>
      </c>
      <c r="AC84">
        <v>-0.241312741</v>
      </c>
      <c r="AD84">
        <v>-0.24714023399999999</v>
      </c>
      <c r="AE84">
        <v>-0.241312741</v>
      </c>
      <c r="AF84">
        <v>0</v>
      </c>
    </row>
    <row r="85" spans="1:32" x14ac:dyDescent="0.25">
      <c r="A85">
        <v>1965.75</v>
      </c>
      <c r="B85">
        <v>773.1</v>
      </c>
      <c r="C85">
        <v>4100.6736328435791</v>
      </c>
      <c r="D85">
        <v>2453.1116794543905</v>
      </c>
      <c r="E85">
        <v>2786.9733136337886</v>
      </c>
      <c r="F85">
        <v>127.07111201015097</v>
      </c>
      <c r="G85">
        <v>541.83202397343496</v>
      </c>
      <c r="H85">
        <v>3.0075687159739743</v>
      </c>
      <c r="I85">
        <v>2.6685709990227768</v>
      </c>
      <c r="J85">
        <v>147.69231248825514</v>
      </c>
      <c r="K85">
        <v>173.5</v>
      </c>
      <c r="L85">
        <v>98.7</v>
      </c>
      <c r="M85">
        <v>0</v>
      </c>
      <c r="N85">
        <v>0.51313798894086704</v>
      </c>
      <c r="O85">
        <v>177.29999999999998</v>
      </c>
      <c r="P85">
        <v>119.39999999999999</v>
      </c>
      <c r="Q85">
        <v>18.853000000000002</v>
      </c>
      <c r="R85">
        <v>25.885000000000002</v>
      </c>
      <c r="S85">
        <v>40.372999999999998</v>
      </c>
      <c r="T85">
        <v>64.114000000000004</v>
      </c>
      <c r="U85">
        <v>195188</v>
      </c>
      <c r="V85">
        <v>4.97</v>
      </c>
      <c r="W85">
        <v>4.47</v>
      </c>
      <c r="X85">
        <v>4.17</v>
      </c>
      <c r="Y85">
        <v>4.17</v>
      </c>
      <c r="Z85">
        <v>0.30798214699999998</v>
      </c>
      <c r="AA85">
        <v>262.3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>
        <v>1966</v>
      </c>
      <c r="B86">
        <v>797.3</v>
      </c>
      <c r="C86">
        <v>4201.844532279315</v>
      </c>
      <c r="D86">
        <v>2489.1614676958866</v>
      </c>
      <c r="E86">
        <v>2812.5404003243252</v>
      </c>
      <c r="F86">
        <v>133.14671921327414</v>
      </c>
      <c r="G86">
        <v>584.91867115564025</v>
      </c>
      <c r="H86">
        <v>3.1357959075205954</v>
      </c>
      <c r="I86">
        <v>2.7335719180689866</v>
      </c>
      <c r="J86">
        <v>149.68495101094933</v>
      </c>
      <c r="K86">
        <v>177.9</v>
      </c>
      <c r="L86">
        <v>101.2</v>
      </c>
      <c r="M86">
        <v>0</v>
      </c>
      <c r="N86">
        <v>0.110934277693143</v>
      </c>
      <c r="O86">
        <v>187.6</v>
      </c>
      <c r="P86">
        <v>128.4</v>
      </c>
      <c r="Q86">
        <v>18.975000000000001</v>
      </c>
      <c r="R86">
        <v>26.617000000000001</v>
      </c>
      <c r="S86">
        <v>41.106999999999999</v>
      </c>
      <c r="T86">
        <v>64.75</v>
      </c>
      <c r="U86">
        <v>195686</v>
      </c>
      <c r="V86">
        <v>5.17</v>
      </c>
      <c r="W86">
        <v>4.7699999999999996</v>
      </c>
      <c r="X86">
        <v>4.6100000000000003</v>
      </c>
      <c r="Y86">
        <v>4.5599999999999996</v>
      </c>
      <c r="Z86">
        <v>0.345911264</v>
      </c>
      <c r="AA86">
        <v>262.89999999999998</v>
      </c>
      <c r="AB86">
        <v>0.778412039</v>
      </c>
      <c r="AC86">
        <v>-0.22703684499999999</v>
      </c>
      <c r="AD86">
        <v>0</v>
      </c>
      <c r="AE86">
        <v>0</v>
      </c>
      <c r="AF86">
        <v>0</v>
      </c>
    </row>
    <row r="87" spans="1:32" x14ac:dyDescent="0.25">
      <c r="A87">
        <v>1966.25</v>
      </c>
      <c r="B87">
        <v>807.2</v>
      </c>
      <c r="C87">
        <v>4219.3298834352618</v>
      </c>
      <c r="D87">
        <v>2495.5427372836916</v>
      </c>
      <c r="E87">
        <v>2840.776049627967</v>
      </c>
      <c r="F87">
        <v>127.81720489262989</v>
      </c>
      <c r="G87">
        <v>576.23579488415055</v>
      </c>
      <c r="H87">
        <v>3.1858873091100577</v>
      </c>
      <c r="I87">
        <v>2.5269962535811357</v>
      </c>
      <c r="J87">
        <v>150.83474873105038</v>
      </c>
      <c r="K87">
        <v>182.6</v>
      </c>
      <c r="L87">
        <v>104</v>
      </c>
      <c r="M87">
        <v>1</v>
      </c>
      <c r="N87">
        <v>-0.40067705203270498</v>
      </c>
      <c r="O87">
        <v>193.5</v>
      </c>
      <c r="P87">
        <v>133.1</v>
      </c>
      <c r="Q87">
        <v>19.131</v>
      </c>
      <c r="R87">
        <v>26.664000000000001</v>
      </c>
      <c r="S87">
        <v>40.887999999999998</v>
      </c>
      <c r="T87">
        <v>65.212999999999994</v>
      </c>
      <c r="U87">
        <v>196183</v>
      </c>
      <c r="V87">
        <v>5.49</v>
      </c>
      <c r="W87">
        <v>4.78</v>
      </c>
      <c r="X87">
        <v>4.59</v>
      </c>
      <c r="Y87">
        <v>4.91</v>
      </c>
      <c r="Z87">
        <v>0.30894571500000001</v>
      </c>
      <c r="AA87">
        <v>263.7</v>
      </c>
      <c r="AB87">
        <v>0</v>
      </c>
      <c r="AC87">
        <v>0.11539940999999999</v>
      </c>
      <c r="AD87">
        <v>0.116761806</v>
      </c>
      <c r="AE87">
        <v>0.11539940999999999</v>
      </c>
      <c r="AF87">
        <v>0</v>
      </c>
    </row>
    <row r="88" spans="1:32" x14ac:dyDescent="0.25">
      <c r="A88">
        <v>1966.5</v>
      </c>
      <c r="B88">
        <v>820.8</v>
      </c>
      <c r="C88">
        <v>4249.107004193198</v>
      </c>
      <c r="D88">
        <v>2523.9383846794335</v>
      </c>
      <c r="E88">
        <v>2863.2820199786106</v>
      </c>
      <c r="F88">
        <v>132.00657294139125</v>
      </c>
      <c r="G88">
        <v>572.02205001198365</v>
      </c>
      <c r="H88">
        <v>3.2280309996059371</v>
      </c>
      <c r="I88">
        <v>2.4390243902439024</v>
      </c>
      <c r="J88">
        <v>151.68909056282251</v>
      </c>
      <c r="K88">
        <v>190.4</v>
      </c>
      <c r="L88">
        <v>109.9</v>
      </c>
      <c r="M88">
        <v>11</v>
      </c>
      <c r="N88">
        <v>-0.63539488150065504</v>
      </c>
      <c r="O88">
        <v>197.5</v>
      </c>
      <c r="P88">
        <v>135.5</v>
      </c>
      <c r="Q88">
        <v>19.317</v>
      </c>
      <c r="R88">
        <v>26.763999999999999</v>
      </c>
      <c r="S88">
        <v>40.962000000000003</v>
      </c>
      <c r="T88">
        <v>65.338999999999999</v>
      </c>
      <c r="U88">
        <v>196769</v>
      </c>
      <c r="V88">
        <v>5.87</v>
      </c>
      <c r="W88">
        <v>5.14</v>
      </c>
      <c r="X88">
        <v>5.04</v>
      </c>
      <c r="Y88">
        <v>5.41</v>
      </c>
      <c r="Z88">
        <v>0.28980502499999999</v>
      </c>
      <c r="AA88">
        <v>264.3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>
        <v>1966.75</v>
      </c>
      <c r="B89">
        <v>834.9</v>
      </c>
      <c r="C89">
        <v>4285.7142857142853</v>
      </c>
      <c r="D89">
        <v>2534.3385314468655</v>
      </c>
      <c r="E89">
        <v>2876.8085281964577</v>
      </c>
      <c r="F89">
        <v>131.94961923629157</v>
      </c>
      <c r="G89">
        <v>575.51970336475881</v>
      </c>
      <c r="H89">
        <v>3.2299026470875525</v>
      </c>
      <c r="I89">
        <v>2.1852387843704775</v>
      </c>
      <c r="J89">
        <v>152.12585474066938</v>
      </c>
      <c r="K89">
        <v>194.7</v>
      </c>
      <c r="L89">
        <v>111.1</v>
      </c>
      <c r="M89">
        <v>21.8</v>
      </c>
      <c r="N89">
        <v>0.55493056934907503</v>
      </c>
      <c r="O89">
        <v>201</v>
      </c>
      <c r="P89">
        <v>137.79999999999998</v>
      </c>
      <c r="Q89">
        <v>19.481000000000002</v>
      </c>
      <c r="R89">
        <v>26.933</v>
      </c>
      <c r="S89">
        <v>41.313000000000002</v>
      </c>
      <c r="T89">
        <v>65.191999999999993</v>
      </c>
      <c r="U89">
        <v>197392</v>
      </c>
      <c r="V89">
        <v>6.14</v>
      </c>
      <c r="W89">
        <v>5</v>
      </c>
      <c r="X89">
        <v>5.21</v>
      </c>
      <c r="Y89">
        <v>5.56</v>
      </c>
      <c r="Z89">
        <v>0.25989148000000001</v>
      </c>
      <c r="AA89">
        <v>265</v>
      </c>
      <c r="AB89">
        <v>0.18585057599999999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>
        <v>1967</v>
      </c>
      <c r="B90">
        <v>846</v>
      </c>
      <c r="C90">
        <v>4324.7111747265108</v>
      </c>
      <c r="D90">
        <v>2549.0397981774186</v>
      </c>
      <c r="E90">
        <v>2906.3869517358776</v>
      </c>
      <c r="F90">
        <v>129.49168594168322</v>
      </c>
      <c r="G90">
        <v>561.18839896250893</v>
      </c>
      <c r="H90">
        <v>3.1763523806436975</v>
      </c>
      <c r="I90">
        <v>2.1250451752800865</v>
      </c>
      <c r="J90">
        <v>152.70987977081239</v>
      </c>
      <c r="K90">
        <v>203.6</v>
      </c>
      <c r="L90">
        <v>117.9</v>
      </c>
      <c r="M90">
        <v>38.799999999999997</v>
      </c>
      <c r="N90">
        <v>0.99385089625856005</v>
      </c>
      <c r="O90">
        <v>202.89999999999998</v>
      </c>
      <c r="P90">
        <v>138.69999999999999</v>
      </c>
      <c r="Q90">
        <v>19.562000000000001</v>
      </c>
      <c r="R90">
        <v>27.167999999999999</v>
      </c>
      <c r="S90">
        <v>41.698999999999998</v>
      </c>
      <c r="T90">
        <v>65.153000000000006</v>
      </c>
      <c r="U90">
        <v>197888</v>
      </c>
      <c r="V90">
        <v>5.88</v>
      </c>
      <c r="W90">
        <v>4.58</v>
      </c>
      <c r="X90">
        <v>4.51</v>
      </c>
      <c r="Y90">
        <v>4.82</v>
      </c>
      <c r="Z90">
        <v>0.28858682499999999</v>
      </c>
      <c r="AA90">
        <v>265.8</v>
      </c>
      <c r="AB90">
        <v>0.18339650299999999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>
        <v>1967.25</v>
      </c>
      <c r="B91">
        <v>851.1</v>
      </c>
      <c r="C91">
        <v>4328.8744214434664</v>
      </c>
      <c r="D91">
        <v>2583.7859997950191</v>
      </c>
      <c r="E91">
        <v>2931.3601191700413</v>
      </c>
      <c r="F91">
        <v>135.09837700607488</v>
      </c>
      <c r="G91">
        <v>540.93394704748414</v>
      </c>
      <c r="H91">
        <v>3.1688211211759776</v>
      </c>
      <c r="I91">
        <v>2.3721969860840724</v>
      </c>
      <c r="J91">
        <v>151.88809857093995</v>
      </c>
      <c r="K91">
        <v>204.8</v>
      </c>
      <c r="L91">
        <v>117.9</v>
      </c>
      <c r="M91">
        <v>6</v>
      </c>
      <c r="N91">
        <v>0.92696815665502996</v>
      </c>
      <c r="O91">
        <v>204.7</v>
      </c>
      <c r="P91">
        <v>139.29999999999998</v>
      </c>
      <c r="Q91">
        <v>19.661000000000001</v>
      </c>
      <c r="R91">
        <v>27.135999999999999</v>
      </c>
      <c r="S91">
        <v>42.064999999999998</v>
      </c>
      <c r="T91">
        <v>64.509</v>
      </c>
      <c r="U91">
        <v>198369</v>
      </c>
      <c r="V91">
        <v>5.98</v>
      </c>
      <c r="W91">
        <v>4.82</v>
      </c>
      <c r="X91">
        <v>3.66</v>
      </c>
      <c r="Y91">
        <v>3.99</v>
      </c>
      <c r="Z91">
        <v>0.34958180799999999</v>
      </c>
      <c r="AA91">
        <v>266.60000000000002</v>
      </c>
      <c r="AB91">
        <v>0</v>
      </c>
      <c r="AC91">
        <v>0</v>
      </c>
      <c r="AD91">
        <v>0</v>
      </c>
      <c r="AE91">
        <v>0</v>
      </c>
      <c r="AF91">
        <v>0.46</v>
      </c>
    </row>
    <row r="92" spans="1:32" x14ac:dyDescent="0.25">
      <c r="A92">
        <v>1967.5</v>
      </c>
      <c r="B92">
        <v>866.6</v>
      </c>
      <c r="C92">
        <v>4365.9630208070939</v>
      </c>
      <c r="D92">
        <v>2596.7299685183307</v>
      </c>
      <c r="E92">
        <v>2953.4996390254887</v>
      </c>
      <c r="F92">
        <v>133.98862800667254</v>
      </c>
      <c r="G92">
        <v>556.63834099945439</v>
      </c>
      <c r="H92">
        <v>3.1636247198206853</v>
      </c>
      <c r="I92">
        <v>2.4962341295459431</v>
      </c>
      <c r="J92">
        <v>152.82225809763989</v>
      </c>
      <c r="K92">
        <v>209.4</v>
      </c>
      <c r="L92">
        <v>120.9</v>
      </c>
      <c r="M92">
        <v>3.8</v>
      </c>
      <c r="N92">
        <v>0.84222402274133801</v>
      </c>
      <c r="O92">
        <v>210.39999999999998</v>
      </c>
      <c r="P92">
        <v>142.79999999999998</v>
      </c>
      <c r="Q92">
        <v>19.849</v>
      </c>
      <c r="R92">
        <v>27.335000000000001</v>
      </c>
      <c r="S92">
        <v>42.113999999999997</v>
      </c>
      <c r="T92">
        <v>64.906999999999996</v>
      </c>
      <c r="U92">
        <v>198912</v>
      </c>
      <c r="V92">
        <v>6.33</v>
      </c>
      <c r="W92">
        <v>5.25</v>
      </c>
      <c r="X92">
        <v>4.3</v>
      </c>
      <c r="Y92">
        <v>3.89</v>
      </c>
      <c r="Z92">
        <v>0.32479229599999998</v>
      </c>
      <c r="AA92">
        <v>273.39999999999998</v>
      </c>
      <c r="AB92">
        <v>0</v>
      </c>
      <c r="AC92">
        <v>-0.19113606499999999</v>
      </c>
      <c r="AD92">
        <v>-0.19457618900000001</v>
      </c>
      <c r="AE92">
        <v>-0.65703022300000002</v>
      </c>
      <c r="AF92">
        <v>0</v>
      </c>
    </row>
    <row r="93" spans="1:32" x14ac:dyDescent="0.25">
      <c r="A93">
        <v>1967.75</v>
      </c>
      <c r="B93">
        <v>883.2</v>
      </c>
      <c r="C93">
        <v>4401.255793093138</v>
      </c>
      <c r="D93">
        <v>2612.5264323834458</v>
      </c>
      <c r="E93">
        <v>2972.8946526597656</v>
      </c>
      <c r="F93">
        <v>134.25202443528909</v>
      </c>
      <c r="G93">
        <v>568.95223420647142</v>
      </c>
      <c r="H93">
        <v>3.2253972281247028</v>
      </c>
      <c r="I93">
        <v>2.6414031133338032</v>
      </c>
      <c r="J93">
        <v>153.58760807032064</v>
      </c>
      <c r="K93">
        <v>214.4</v>
      </c>
      <c r="L93">
        <v>123.1</v>
      </c>
      <c r="M93">
        <v>-10</v>
      </c>
      <c r="N93">
        <v>1.0975099527058101E-2</v>
      </c>
      <c r="O93">
        <v>217</v>
      </c>
      <c r="P93">
        <v>147.19999999999999</v>
      </c>
      <c r="Q93">
        <v>20.067</v>
      </c>
      <c r="R93">
        <v>27.542000000000002</v>
      </c>
      <c r="S93">
        <v>42.24</v>
      </c>
      <c r="T93">
        <v>65.203000000000003</v>
      </c>
      <c r="U93">
        <v>199489</v>
      </c>
      <c r="V93">
        <v>6.72</v>
      </c>
      <c r="W93">
        <v>5.64</v>
      </c>
      <c r="X93">
        <v>4.75</v>
      </c>
      <c r="Y93">
        <v>4.17</v>
      </c>
      <c r="Z93">
        <v>0.33666998100000001</v>
      </c>
      <c r="AA93">
        <v>280.2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>
        <v>1968</v>
      </c>
      <c r="B94">
        <v>911.1</v>
      </c>
      <c r="C94">
        <v>4490.3893543617551</v>
      </c>
      <c r="D94">
        <v>2675.0037367345922</v>
      </c>
      <c r="E94">
        <v>3024.0553705713601</v>
      </c>
      <c r="F94">
        <v>142.74623284045595</v>
      </c>
      <c r="G94">
        <v>580.23468454739418</v>
      </c>
      <c r="H94">
        <v>3.3224263780518499</v>
      </c>
      <c r="I94">
        <v>2.6497855264978551</v>
      </c>
      <c r="J94">
        <v>153.88936788468669</v>
      </c>
      <c r="K94">
        <v>220.9</v>
      </c>
      <c r="L94">
        <v>126.3</v>
      </c>
      <c r="M94">
        <v>5</v>
      </c>
      <c r="N94">
        <v>0.46102619341861101</v>
      </c>
      <c r="O94">
        <v>228.39999999999998</v>
      </c>
      <c r="P94">
        <v>155</v>
      </c>
      <c r="Q94">
        <v>20.29</v>
      </c>
      <c r="R94">
        <v>28.164000000000001</v>
      </c>
      <c r="S94">
        <v>43.156999999999996</v>
      </c>
      <c r="T94">
        <v>65.260000000000005</v>
      </c>
      <c r="U94">
        <v>199928</v>
      </c>
      <c r="V94">
        <v>6.83</v>
      </c>
      <c r="W94">
        <v>5.61</v>
      </c>
      <c r="X94">
        <v>5.05</v>
      </c>
      <c r="Y94">
        <v>4.79</v>
      </c>
      <c r="Z94">
        <v>0.31310597099999998</v>
      </c>
      <c r="AA94">
        <v>287</v>
      </c>
      <c r="AB94">
        <v>0.22729855700000001</v>
      </c>
      <c r="AC94">
        <v>0</v>
      </c>
      <c r="AD94">
        <v>0</v>
      </c>
      <c r="AE94">
        <v>0</v>
      </c>
      <c r="AF94">
        <v>0.33</v>
      </c>
    </row>
    <row r="95" spans="1:32" x14ac:dyDescent="0.25">
      <c r="A95">
        <v>1968.25</v>
      </c>
      <c r="B95">
        <v>936.3</v>
      </c>
      <c r="C95">
        <v>4566.4260632071791</v>
      </c>
      <c r="D95">
        <v>2715.6596794081383</v>
      </c>
      <c r="E95">
        <v>3067.0046934659754</v>
      </c>
      <c r="F95">
        <v>145.74344943701988</v>
      </c>
      <c r="G95">
        <v>602.21329492912912</v>
      </c>
      <c r="H95">
        <v>3.2812938206973916</v>
      </c>
      <c r="I95">
        <v>2.7145599122566497</v>
      </c>
      <c r="J95">
        <v>155.16683760342073</v>
      </c>
      <c r="K95">
        <v>224.8</v>
      </c>
      <c r="L95">
        <v>127.1</v>
      </c>
      <c r="M95">
        <v>-23.3</v>
      </c>
      <c r="N95">
        <v>-0.57846907382588497</v>
      </c>
      <c r="O95">
        <v>235.2</v>
      </c>
      <c r="P95">
        <v>159.5</v>
      </c>
      <c r="Q95">
        <v>20.504000000000001</v>
      </c>
      <c r="R95">
        <v>28.678000000000001</v>
      </c>
      <c r="S95">
        <v>43.607999999999997</v>
      </c>
      <c r="T95">
        <v>65.763999999999996</v>
      </c>
      <c r="U95">
        <v>200368</v>
      </c>
      <c r="V95">
        <v>7.02</v>
      </c>
      <c r="W95">
        <v>5.74</v>
      </c>
      <c r="X95">
        <v>5.52</v>
      </c>
      <c r="Y95">
        <v>5.98</v>
      </c>
      <c r="Z95">
        <v>0.31668591499999998</v>
      </c>
      <c r="AA95">
        <v>294.39999999999998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>
        <v>1968.5</v>
      </c>
      <c r="B96">
        <v>952.3</v>
      </c>
      <c r="C96">
        <v>4599.1500048295184</v>
      </c>
      <c r="D96">
        <v>2766.4144495972669</v>
      </c>
      <c r="E96">
        <v>3109.873133730277</v>
      </c>
      <c r="F96">
        <v>152.19244081888229</v>
      </c>
      <c r="G96">
        <v>586.02130302231922</v>
      </c>
      <c r="H96">
        <v>3.3259149357072206</v>
      </c>
      <c r="I96">
        <v>2.7673128296458662</v>
      </c>
      <c r="J96">
        <v>156.19796167316878</v>
      </c>
      <c r="K96">
        <v>228.6</v>
      </c>
      <c r="L96">
        <v>128.5</v>
      </c>
      <c r="M96">
        <v>0</v>
      </c>
      <c r="N96">
        <v>1.3827166179668899</v>
      </c>
      <c r="O96">
        <v>248.5</v>
      </c>
      <c r="P96">
        <v>170.5</v>
      </c>
      <c r="Q96">
        <v>20.706</v>
      </c>
      <c r="R96">
        <v>28.864000000000001</v>
      </c>
      <c r="S96">
        <v>43.648000000000003</v>
      </c>
      <c r="T96">
        <v>66.128</v>
      </c>
      <c r="U96">
        <v>200900</v>
      </c>
      <c r="V96">
        <v>6.86</v>
      </c>
      <c r="W96">
        <v>5.46</v>
      </c>
      <c r="X96">
        <v>5.2</v>
      </c>
      <c r="Y96">
        <v>5.94</v>
      </c>
      <c r="Z96">
        <v>0.322704673</v>
      </c>
      <c r="AA96">
        <v>291.7</v>
      </c>
      <c r="AB96">
        <v>0.92451598899999998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>
        <v>1968.75</v>
      </c>
      <c r="B97">
        <v>970.1</v>
      </c>
      <c r="C97">
        <v>4619.743797323682</v>
      </c>
      <c r="D97">
        <v>2778.9311060686523</v>
      </c>
      <c r="E97">
        <v>3130.4032725137545</v>
      </c>
      <c r="F97">
        <v>151.32452043225729</v>
      </c>
      <c r="G97">
        <v>592.48341930729555</v>
      </c>
      <c r="H97">
        <v>3.4175017513935</v>
      </c>
      <c r="I97">
        <v>2.8070637849235638</v>
      </c>
      <c r="J97">
        <v>156.81134824981385</v>
      </c>
      <c r="K97">
        <v>232.7</v>
      </c>
      <c r="L97">
        <v>129.69999999999999</v>
      </c>
      <c r="M97">
        <v>0</v>
      </c>
      <c r="N97">
        <v>0.14135678282172401</v>
      </c>
      <c r="O97">
        <v>255.6</v>
      </c>
      <c r="P97">
        <v>175.5</v>
      </c>
      <c r="Q97">
        <v>20.998999999999999</v>
      </c>
      <c r="R97">
        <v>28.995999999999999</v>
      </c>
      <c r="S97">
        <v>43.593000000000004</v>
      </c>
      <c r="T97">
        <v>66.515000000000001</v>
      </c>
      <c r="U97">
        <v>201459</v>
      </c>
      <c r="V97">
        <v>7.03</v>
      </c>
      <c r="W97">
        <v>5.77</v>
      </c>
      <c r="X97">
        <v>5.59</v>
      </c>
      <c r="Y97">
        <v>5.92</v>
      </c>
      <c r="Z97">
        <v>0.34762132200000001</v>
      </c>
      <c r="AA97">
        <v>289.10000000000002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>
        <v>1969</v>
      </c>
      <c r="B98">
        <v>995.4</v>
      </c>
      <c r="C98">
        <v>4691.5209501814588</v>
      </c>
      <c r="D98">
        <v>2810.1544198498823</v>
      </c>
      <c r="E98">
        <v>3161.1909154997361</v>
      </c>
      <c r="F98">
        <v>154.20464670002056</v>
      </c>
      <c r="G98">
        <v>627.25122794251411</v>
      </c>
      <c r="H98">
        <v>3.5045317220543803</v>
      </c>
      <c r="I98">
        <v>2.8990185950413223</v>
      </c>
      <c r="J98">
        <v>158.76650871914703</v>
      </c>
      <c r="K98">
        <v>235</v>
      </c>
      <c r="L98">
        <v>129.6</v>
      </c>
      <c r="M98">
        <v>0</v>
      </c>
      <c r="N98">
        <v>-0.10273872906473901</v>
      </c>
      <c r="O98">
        <v>267.90000000000003</v>
      </c>
      <c r="P98">
        <v>185.1</v>
      </c>
      <c r="Q98">
        <v>21.216999999999999</v>
      </c>
      <c r="R98">
        <v>29.495000000000001</v>
      </c>
      <c r="S98">
        <v>43.715000000000003</v>
      </c>
      <c r="T98">
        <v>67.471000000000004</v>
      </c>
      <c r="U98">
        <v>201888</v>
      </c>
      <c r="V98">
        <v>7.38</v>
      </c>
      <c r="W98">
        <v>6.18</v>
      </c>
      <c r="X98">
        <v>6.09</v>
      </c>
      <c r="Y98">
        <v>6.57</v>
      </c>
      <c r="Z98">
        <v>0.33644649399999998</v>
      </c>
      <c r="AA98">
        <v>289.3</v>
      </c>
      <c r="AB98">
        <v>0.48907388099999999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>
        <v>1969.25</v>
      </c>
      <c r="B99">
        <v>1011.4</v>
      </c>
      <c r="C99">
        <v>4706.8131049888307</v>
      </c>
      <c r="D99">
        <v>2828.2828282828286</v>
      </c>
      <c r="E99">
        <v>3186.4642778735752</v>
      </c>
      <c r="F99">
        <v>153.72581029146687</v>
      </c>
      <c r="G99">
        <v>623.44319699649827</v>
      </c>
      <c r="H99">
        <v>3.5434249117136529</v>
      </c>
      <c r="I99">
        <v>2.8704175152749491</v>
      </c>
      <c r="J99">
        <v>159.22011782304895</v>
      </c>
      <c r="K99">
        <v>238.2</v>
      </c>
      <c r="L99">
        <v>129.69999999999999</v>
      </c>
      <c r="M99">
        <v>0</v>
      </c>
      <c r="N99">
        <v>5.7725069962283097E-2</v>
      </c>
      <c r="O99">
        <v>273</v>
      </c>
      <c r="P99">
        <v>187.9</v>
      </c>
      <c r="Q99">
        <v>21.488</v>
      </c>
      <c r="R99">
        <v>29.533000000000001</v>
      </c>
      <c r="S99">
        <v>43.68</v>
      </c>
      <c r="T99">
        <v>67.611999999999995</v>
      </c>
      <c r="U99">
        <v>202333</v>
      </c>
      <c r="V99">
        <v>7.59</v>
      </c>
      <c r="W99">
        <v>6.35</v>
      </c>
      <c r="X99">
        <v>6.2</v>
      </c>
      <c r="Y99">
        <v>8.33</v>
      </c>
      <c r="Z99">
        <v>0.28860890900000002</v>
      </c>
      <c r="AA99">
        <v>282.7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>
        <v>1969.5</v>
      </c>
      <c r="B100">
        <v>1032</v>
      </c>
      <c r="C100">
        <v>4736.1174850849011</v>
      </c>
      <c r="D100">
        <v>2842.0218222512353</v>
      </c>
      <c r="E100">
        <v>3206.7507726909266</v>
      </c>
      <c r="F100">
        <v>153.32024639545116</v>
      </c>
      <c r="G100">
        <v>636.28546861564917</v>
      </c>
      <c r="H100">
        <v>3.6228023441662227</v>
      </c>
      <c r="I100">
        <v>2.8518917548640599</v>
      </c>
      <c r="J100">
        <v>159.80723035651508</v>
      </c>
      <c r="K100">
        <v>244</v>
      </c>
      <c r="L100">
        <v>133.30000000000001</v>
      </c>
      <c r="M100">
        <v>0</v>
      </c>
      <c r="N100">
        <v>0.334617770537531</v>
      </c>
      <c r="O100">
        <v>273.39999999999998</v>
      </c>
      <c r="P100">
        <v>185.4</v>
      </c>
      <c r="Q100">
        <v>21.79</v>
      </c>
      <c r="R100">
        <v>29.7</v>
      </c>
      <c r="S100">
        <v>43.798999999999999</v>
      </c>
      <c r="T100">
        <v>67.81</v>
      </c>
      <c r="U100">
        <v>202881</v>
      </c>
      <c r="V100">
        <v>7.92</v>
      </c>
      <c r="W100">
        <v>6.86</v>
      </c>
      <c r="X100">
        <v>7.02</v>
      </c>
      <c r="Y100">
        <v>8.98</v>
      </c>
      <c r="Z100">
        <v>0.23092971700000001</v>
      </c>
      <c r="AA100">
        <v>280.2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>
        <v>1969.75</v>
      </c>
      <c r="B101">
        <v>1040.7</v>
      </c>
      <c r="C101">
        <v>4715.2371890716322</v>
      </c>
      <c r="D101">
        <v>2864.7153722055773</v>
      </c>
      <c r="E101">
        <v>3238.4754760092355</v>
      </c>
      <c r="F101">
        <v>152.70513445787995</v>
      </c>
      <c r="G101">
        <v>605.52595363280284</v>
      </c>
      <c r="H101">
        <v>3.6045253895401523</v>
      </c>
      <c r="I101">
        <v>2.6534307298495348</v>
      </c>
      <c r="J101">
        <v>159.4093068699068</v>
      </c>
      <c r="K101">
        <v>244.3</v>
      </c>
      <c r="L101">
        <v>131.9</v>
      </c>
      <c r="M101">
        <v>0</v>
      </c>
      <c r="N101">
        <v>0.25170884727503801</v>
      </c>
      <c r="O101">
        <v>276.8</v>
      </c>
      <c r="P101">
        <v>186.5</v>
      </c>
      <c r="Q101">
        <v>22.071000000000002</v>
      </c>
      <c r="R101">
        <v>29.489000000000001</v>
      </c>
      <c r="S101">
        <v>43.7</v>
      </c>
      <c r="T101">
        <v>67.48</v>
      </c>
      <c r="U101">
        <v>203492</v>
      </c>
      <c r="V101">
        <v>8.3699999999999992</v>
      </c>
      <c r="W101">
        <v>7.3</v>
      </c>
      <c r="X101">
        <v>7.35</v>
      </c>
      <c r="Y101">
        <v>8.94</v>
      </c>
      <c r="Z101">
        <v>0.27563154699999998</v>
      </c>
      <c r="AA101">
        <v>277.3</v>
      </c>
      <c r="AB101">
        <v>0</v>
      </c>
      <c r="AC101">
        <v>0</v>
      </c>
      <c r="AD101">
        <v>0</v>
      </c>
      <c r="AE101">
        <v>0</v>
      </c>
      <c r="AF101">
        <v>-0.18</v>
      </c>
    </row>
    <row r="102" spans="1:32" x14ac:dyDescent="0.25">
      <c r="A102">
        <v>1970</v>
      </c>
      <c r="B102">
        <v>1053.5</v>
      </c>
      <c r="C102">
        <v>4706.907336252345</v>
      </c>
      <c r="D102">
        <v>2882.3985054905002</v>
      </c>
      <c r="E102">
        <v>3270.7071442129004</v>
      </c>
      <c r="F102">
        <v>150.41633091592803</v>
      </c>
      <c r="G102">
        <v>587.35150244584202</v>
      </c>
      <c r="H102">
        <v>3.5787587084092154</v>
      </c>
      <c r="I102">
        <v>2.655586103474131</v>
      </c>
      <c r="J102">
        <v>158.21402516081505</v>
      </c>
      <c r="K102">
        <v>249.4</v>
      </c>
      <c r="L102">
        <v>133.5</v>
      </c>
      <c r="M102">
        <v>-5</v>
      </c>
      <c r="N102">
        <v>0.11520158863777399</v>
      </c>
      <c r="O102">
        <v>273.7</v>
      </c>
      <c r="P102">
        <v>180.79999999999998</v>
      </c>
      <c r="Q102">
        <v>22.382000000000001</v>
      </c>
      <c r="R102">
        <v>29.454000000000001</v>
      </c>
      <c r="S102">
        <v>43.878999999999998</v>
      </c>
      <c r="T102">
        <v>67.126000000000005</v>
      </c>
      <c r="U102">
        <v>204004</v>
      </c>
      <c r="V102">
        <v>8.76</v>
      </c>
      <c r="W102">
        <v>7.37</v>
      </c>
      <c r="X102">
        <v>7.21</v>
      </c>
      <c r="Y102">
        <v>8.57</v>
      </c>
      <c r="Z102">
        <v>0.303931803</v>
      </c>
      <c r="AA102">
        <v>277.60000000000002</v>
      </c>
      <c r="AB102">
        <v>-0.65860611400000002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>
        <v>1970.25</v>
      </c>
      <c r="B103">
        <v>1070.0999999999999</v>
      </c>
      <c r="C103">
        <v>4715.343262536353</v>
      </c>
      <c r="D103">
        <v>2895.4484001802612</v>
      </c>
      <c r="E103">
        <v>3281.7017730319417</v>
      </c>
      <c r="F103">
        <v>152.15864628966995</v>
      </c>
      <c r="G103">
        <v>588.84120171673817</v>
      </c>
      <c r="H103">
        <v>3.5550752253917692</v>
      </c>
      <c r="I103">
        <v>2.4947273275082855</v>
      </c>
      <c r="J103">
        <v>157.08935124686866</v>
      </c>
      <c r="K103">
        <v>250.7</v>
      </c>
      <c r="L103">
        <v>131.69999999999999</v>
      </c>
      <c r="M103">
        <v>-3</v>
      </c>
      <c r="N103">
        <v>1.2499935820138199</v>
      </c>
      <c r="O103">
        <v>277.2</v>
      </c>
      <c r="P103">
        <v>182.3</v>
      </c>
      <c r="Q103">
        <v>22.693999999999999</v>
      </c>
      <c r="R103">
        <v>29.515999999999998</v>
      </c>
      <c r="S103">
        <v>44.405999999999999</v>
      </c>
      <c r="T103">
        <v>66.468999999999994</v>
      </c>
      <c r="U103">
        <v>204613</v>
      </c>
      <c r="V103">
        <v>8.98</v>
      </c>
      <c r="W103">
        <v>7.71</v>
      </c>
      <c r="X103">
        <v>6.68</v>
      </c>
      <c r="Y103">
        <v>7.88</v>
      </c>
      <c r="Z103">
        <v>0.32831263500000002</v>
      </c>
      <c r="AA103">
        <v>279.3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>
        <v>1970.5</v>
      </c>
      <c r="B104">
        <v>1088.5</v>
      </c>
      <c r="C104">
        <v>4757.4300699300702</v>
      </c>
      <c r="D104">
        <v>2921.0925644916542</v>
      </c>
      <c r="E104">
        <v>3313.6953204445904</v>
      </c>
      <c r="F104">
        <v>152.71230329991369</v>
      </c>
      <c r="G104">
        <v>598.25237374432368</v>
      </c>
      <c r="H104">
        <v>3.5691072992907</v>
      </c>
      <c r="I104">
        <v>2.6385877980799011</v>
      </c>
      <c r="J104">
        <v>155.75549025970668</v>
      </c>
      <c r="K104">
        <v>256.2</v>
      </c>
      <c r="L104">
        <v>132.30000000000001</v>
      </c>
      <c r="M104">
        <v>0</v>
      </c>
      <c r="N104">
        <v>1.0075688697991501</v>
      </c>
      <c r="O104">
        <v>275.8</v>
      </c>
      <c r="P104">
        <v>178.70000000000002</v>
      </c>
      <c r="Q104">
        <v>22.88</v>
      </c>
      <c r="R104">
        <v>29.821999999999999</v>
      </c>
      <c r="S104">
        <v>45.167000000000002</v>
      </c>
      <c r="T104">
        <v>66.025999999999996</v>
      </c>
      <c r="U104">
        <v>205296</v>
      </c>
      <c r="V104">
        <v>9.41</v>
      </c>
      <c r="W104">
        <v>7.46</v>
      </c>
      <c r="X104">
        <v>6.33</v>
      </c>
      <c r="Y104">
        <v>6.7</v>
      </c>
      <c r="Z104">
        <v>0.33714249699999999</v>
      </c>
      <c r="AA104">
        <v>284.10000000000002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>
        <v>1970.75</v>
      </c>
      <c r="B105">
        <v>1091.5</v>
      </c>
      <c r="C105">
        <v>4708.3944439651459</v>
      </c>
      <c r="D105">
        <v>2913.2886852308775</v>
      </c>
      <c r="E105">
        <v>3339.4898636901685</v>
      </c>
      <c r="F105">
        <v>142.54224834680383</v>
      </c>
      <c r="G105">
        <v>566.65307786384017</v>
      </c>
      <c r="H105">
        <v>3.4448132548603945</v>
      </c>
      <c r="I105">
        <v>2.9010448678549481</v>
      </c>
      <c r="J105">
        <v>154.98340366212909</v>
      </c>
      <c r="K105">
        <v>260.39999999999998</v>
      </c>
      <c r="L105">
        <v>133.5</v>
      </c>
      <c r="M105">
        <v>0</v>
      </c>
      <c r="N105">
        <v>-0.64770954481655296</v>
      </c>
      <c r="O105">
        <v>276.5</v>
      </c>
      <c r="P105">
        <v>177.9</v>
      </c>
      <c r="Q105">
        <v>23.181999999999999</v>
      </c>
      <c r="R105">
        <v>29.366</v>
      </c>
      <c r="S105">
        <v>44.905999999999999</v>
      </c>
      <c r="T105">
        <v>65.394000000000005</v>
      </c>
      <c r="U105">
        <v>206017</v>
      </c>
      <c r="V105">
        <v>9.2799999999999994</v>
      </c>
      <c r="W105">
        <v>6.85</v>
      </c>
      <c r="X105">
        <v>5.35</v>
      </c>
      <c r="Y105">
        <v>5.57</v>
      </c>
      <c r="Z105">
        <v>0.38739115000000002</v>
      </c>
      <c r="AA105">
        <v>288.39999999999998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>
        <v>1971</v>
      </c>
      <c r="B106">
        <v>1137.8</v>
      </c>
      <c r="C106">
        <v>4834.2963970088376</v>
      </c>
      <c r="D106">
        <v>2968.8795774955261</v>
      </c>
      <c r="E106">
        <v>3358.1349455838176</v>
      </c>
      <c r="F106">
        <v>157.95575306733647</v>
      </c>
      <c r="G106">
        <v>632.55223980239009</v>
      </c>
      <c r="H106">
        <v>3.4742662228701895</v>
      </c>
      <c r="I106">
        <v>3.0551728269334451</v>
      </c>
      <c r="J106">
        <v>155.36079206933087</v>
      </c>
      <c r="K106">
        <v>263.7</v>
      </c>
      <c r="L106">
        <v>133.30000000000001</v>
      </c>
      <c r="M106">
        <v>0</v>
      </c>
      <c r="N106">
        <v>0.51874359574127404</v>
      </c>
      <c r="O106">
        <v>284.5</v>
      </c>
      <c r="P106">
        <v>182.89999999999998</v>
      </c>
      <c r="Q106">
        <v>23.536000000000001</v>
      </c>
      <c r="R106">
        <v>30.349</v>
      </c>
      <c r="S106">
        <v>46.186</v>
      </c>
      <c r="T106">
        <v>65.709999999999994</v>
      </c>
      <c r="U106">
        <v>206663</v>
      </c>
      <c r="V106">
        <v>8.5299999999999994</v>
      </c>
      <c r="W106">
        <v>6.02</v>
      </c>
      <c r="X106">
        <v>3.84</v>
      </c>
      <c r="Y106">
        <v>3.86</v>
      </c>
      <c r="Z106">
        <v>0.41247954999999997</v>
      </c>
      <c r="AA106">
        <v>288.60000000000002</v>
      </c>
      <c r="AB106">
        <v>-0.42793407999999999</v>
      </c>
      <c r="AC106">
        <v>-1.8209961E-2</v>
      </c>
      <c r="AD106">
        <v>-0.26593427600000002</v>
      </c>
      <c r="AE106">
        <v>-0.25493945200000001</v>
      </c>
      <c r="AF106">
        <v>0</v>
      </c>
    </row>
    <row r="107" spans="1:32" x14ac:dyDescent="0.25">
      <c r="A107">
        <v>1971.25</v>
      </c>
      <c r="B107">
        <v>1159.4000000000001</v>
      </c>
      <c r="C107">
        <v>4862.0313679443097</v>
      </c>
      <c r="D107">
        <v>2996.2886242016225</v>
      </c>
      <c r="E107">
        <v>3381.2959925785913</v>
      </c>
      <c r="F107">
        <v>161.49147772696747</v>
      </c>
      <c r="G107">
        <v>650.38238396624479</v>
      </c>
      <c r="H107">
        <v>3.5216055257933805</v>
      </c>
      <c r="I107">
        <v>3.3472311938457926</v>
      </c>
      <c r="J107">
        <v>155.81571782030926</v>
      </c>
      <c r="K107">
        <v>268</v>
      </c>
      <c r="L107">
        <v>134.19999999999999</v>
      </c>
      <c r="M107">
        <v>0</v>
      </c>
      <c r="N107">
        <v>0.91843754839124803</v>
      </c>
      <c r="O107">
        <v>289.59999999999997</v>
      </c>
      <c r="P107">
        <v>185</v>
      </c>
      <c r="Q107">
        <v>23.846</v>
      </c>
      <c r="R107">
        <v>30.553999999999998</v>
      </c>
      <c r="S107">
        <v>46.225999999999999</v>
      </c>
      <c r="T107">
        <v>66.096999999999994</v>
      </c>
      <c r="U107">
        <v>207262</v>
      </c>
      <c r="V107">
        <v>8.61</v>
      </c>
      <c r="W107">
        <v>6.25</v>
      </c>
      <c r="X107">
        <v>4.25</v>
      </c>
      <c r="Y107">
        <v>4.5599999999999996</v>
      </c>
      <c r="Z107">
        <v>0.41807979299999998</v>
      </c>
      <c r="AA107">
        <v>298.8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>
        <v>1971.5</v>
      </c>
      <c r="B108">
        <v>1180.3</v>
      </c>
      <c r="C108">
        <v>4899.9501826635669</v>
      </c>
      <c r="D108">
        <v>3020.2145390828668</v>
      </c>
      <c r="E108">
        <v>3397.852440436191</v>
      </c>
      <c r="F108">
        <v>165.70778377858619</v>
      </c>
      <c r="G108">
        <v>658.52069077875524</v>
      </c>
      <c r="H108">
        <v>3.5368648065777055</v>
      </c>
      <c r="I108">
        <v>3.5005767012687428</v>
      </c>
      <c r="J108">
        <v>155.64247936695543</v>
      </c>
      <c r="K108">
        <v>271.7</v>
      </c>
      <c r="L108">
        <v>135.5</v>
      </c>
      <c r="M108">
        <v>0</v>
      </c>
      <c r="N108">
        <v>-1.1586713752386899</v>
      </c>
      <c r="O108">
        <v>293.40000000000003</v>
      </c>
      <c r="P108">
        <v>185.7</v>
      </c>
      <c r="Q108">
        <v>24.088000000000001</v>
      </c>
      <c r="R108">
        <v>30.826000000000001</v>
      </c>
      <c r="S108">
        <v>46.764000000000003</v>
      </c>
      <c r="T108">
        <v>65.918000000000006</v>
      </c>
      <c r="U108">
        <v>207885</v>
      </c>
      <c r="V108">
        <v>8.6999999999999993</v>
      </c>
      <c r="W108">
        <v>6.48</v>
      </c>
      <c r="X108">
        <v>5.01</v>
      </c>
      <c r="Y108">
        <v>5.47</v>
      </c>
      <c r="Z108">
        <v>0.344388843</v>
      </c>
      <c r="AA108">
        <v>307.10000000000002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>
        <v>1971.75</v>
      </c>
      <c r="B109">
        <v>1193.5999999999999</v>
      </c>
      <c r="C109">
        <v>4914.3610013175221</v>
      </c>
      <c r="D109">
        <v>3070.4213387699624</v>
      </c>
      <c r="E109">
        <v>3439.5305282420463</v>
      </c>
      <c r="F109">
        <v>172.84706337188697</v>
      </c>
      <c r="G109">
        <v>640.59927028510538</v>
      </c>
      <c r="H109">
        <v>3.608454552760588</v>
      </c>
      <c r="I109">
        <v>3.634505082628201</v>
      </c>
      <c r="J109">
        <v>156.47084083749999</v>
      </c>
      <c r="K109">
        <v>274</v>
      </c>
      <c r="L109">
        <v>134.69999999999999</v>
      </c>
      <c r="M109">
        <v>0</v>
      </c>
      <c r="N109">
        <v>0.24926643505395499</v>
      </c>
      <c r="O109">
        <v>299.7</v>
      </c>
      <c r="P109">
        <v>188.6</v>
      </c>
      <c r="Q109">
        <v>24.288</v>
      </c>
      <c r="R109">
        <v>30.902000000000001</v>
      </c>
      <c r="S109">
        <v>46.408000000000001</v>
      </c>
      <c r="T109">
        <v>66.587999999999994</v>
      </c>
      <c r="U109">
        <v>208547</v>
      </c>
      <c r="V109">
        <v>8.41</v>
      </c>
      <c r="W109">
        <v>5.89</v>
      </c>
      <c r="X109">
        <v>4.2300000000000004</v>
      </c>
      <c r="Y109">
        <v>4.75</v>
      </c>
      <c r="Z109">
        <v>0.38620141099999999</v>
      </c>
      <c r="AA109">
        <v>314.3</v>
      </c>
      <c r="AB109">
        <v>0</v>
      </c>
      <c r="AC109">
        <v>0</v>
      </c>
      <c r="AD109">
        <v>0</v>
      </c>
      <c r="AE109">
        <v>0</v>
      </c>
      <c r="AF109">
        <v>0.55000000000000004</v>
      </c>
    </row>
    <row r="110" spans="1:32" x14ac:dyDescent="0.25">
      <c r="A110">
        <v>1972</v>
      </c>
      <c r="B110">
        <v>1233.8</v>
      </c>
      <c r="C110">
        <v>5002.4326954265325</v>
      </c>
      <c r="D110">
        <v>3110.7094821788833</v>
      </c>
      <c r="E110">
        <v>3478.704061004335</v>
      </c>
      <c r="F110">
        <v>176.80316872165079</v>
      </c>
      <c r="G110">
        <v>682.976881392888</v>
      </c>
      <c r="H110">
        <v>3.7243059970332695</v>
      </c>
      <c r="I110">
        <v>3.8739293511728157</v>
      </c>
      <c r="J110">
        <v>158.84635126412152</v>
      </c>
      <c r="K110">
        <v>284.3</v>
      </c>
      <c r="L110">
        <v>141.4</v>
      </c>
      <c r="M110">
        <v>0</v>
      </c>
      <c r="N110">
        <v>-0.67105490820108904</v>
      </c>
      <c r="O110">
        <v>323.2</v>
      </c>
      <c r="P110">
        <v>208</v>
      </c>
      <c r="Q110">
        <v>24.664000000000001</v>
      </c>
      <c r="R110">
        <v>31.623999999999999</v>
      </c>
      <c r="S110">
        <v>46.866</v>
      </c>
      <c r="T110">
        <v>67.477000000000004</v>
      </c>
      <c r="U110">
        <v>209063</v>
      </c>
      <c r="V110">
        <v>8.23</v>
      </c>
      <c r="W110">
        <v>6.03</v>
      </c>
      <c r="X110">
        <v>3.44</v>
      </c>
      <c r="Y110">
        <v>3.54</v>
      </c>
      <c r="Z110">
        <v>0.39721322100000001</v>
      </c>
      <c r="AA110">
        <v>317.2</v>
      </c>
      <c r="AB110">
        <v>0.16798252999999999</v>
      </c>
      <c r="AC110">
        <v>-0.75592138399999997</v>
      </c>
      <c r="AD110">
        <v>-0.694806323</v>
      </c>
      <c r="AE110">
        <v>-1.2346715939999999</v>
      </c>
      <c r="AF110">
        <v>0</v>
      </c>
    </row>
    <row r="111" spans="1:32" x14ac:dyDescent="0.25">
      <c r="A111">
        <v>1972.25</v>
      </c>
      <c r="B111">
        <v>1270.0999999999999</v>
      </c>
      <c r="C111">
        <v>5118.2752367519633</v>
      </c>
      <c r="D111">
        <v>3170.0793982448808</v>
      </c>
      <c r="E111">
        <v>3541.2001399723595</v>
      </c>
      <c r="F111">
        <v>181.30968838887037</v>
      </c>
      <c r="G111">
        <v>721.64948453608247</v>
      </c>
      <c r="H111">
        <v>3.7851904423941329</v>
      </c>
      <c r="I111">
        <v>3.9434109390665029</v>
      </c>
      <c r="J111">
        <v>159.50724058576435</v>
      </c>
      <c r="K111">
        <v>289</v>
      </c>
      <c r="L111">
        <v>144.6</v>
      </c>
      <c r="M111">
        <v>0</v>
      </c>
      <c r="N111">
        <v>-0.64127644172264298</v>
      </c>
      <c r="O111">
        <v>330</v>
      </c>
      <c r="P111">
        <v>211.00000000000003</v>
      </c>
      <c r="Q111">
        <v>24.815000000000001</v>
      </c>
      <c r="R111">
        <v>32.558999999999997</v>
      </c>
      <c r="S111">
        <v>48.014000000000003</v>
      </c>
      <c r="T111">
        <v>67.811999999999998</v>
      </c>
      <c r="U111">
        <v>209552</v>
      </c>
      <c r="V111">
        <v>8.2200000000000006</v>
      </c>
      <c r="W111">
        <v>6.14</v>
      </c>
      <c r="X111">
        <v>3.77</v>
      </c>
      <c r="Y111">
        <v>4.3</v>
      </c>
      <c r="Z111">
        <v>0.39996269299999998</v>
      </c>
      <c r="AA111">
        <v>319.2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>
        <v>1972.5</v>
      </c>
      <c r="B112">
        <v>1293.8</v>
      </c>
      <c r="C112">
        <v>5165.2826572979884</v>
      </c>
      <c r="D112">
        <v>3219.005012219875</v>
      </c>
      <c r="E112">
        <v>3589.6134394313558</v>
      </c>
      <c r="F112">
        <v>185.92885375494072</v>
      </c>
      <c r="G112">
        <v>731.91409193669938</v>
      </c>
      <c r="H112">
        <v>3.8397241667537352</v>
      </c>
      <c r="I112">
        <v>3.9642994031648686</v>
      </c>
      <c r="J112">
        <v>160.50626000497797</v>
      </c>
      <c r="K112">
        <v>286.3</v>
      </c>
      <c r="L112">
        <v>138.5</v>
      </c>
      <c r="M112">
        <v>0</v>
      </c>
      <c r="N112">
        <v>0.33948184228516698</v>
      </c>
      <c r="O112">
        <v>335</v>
      </c>
      <c r="P112">
        <v>213.60000000000002</v>
      </c>
      <c r="Q112">
        <v>25.047999999999998</v>
      </c>
      <c r="R112">
        <v>32.892000000000003</v>
      </c>
      <c r="S112">
        <v>48.134</v>
      </c>
      <c r="T112">
        <v>68.334999999999994</v>
      </c>
      <c r="U112">
        <v>210083</v>
      </c>
      <c r="V112">
        <v>8.17</v>
      </c>
      <c r="W112">
        <v>6.29</v>
      </c>
      <c r="X112">
        <v>4.22</v>
      </c>
      <c r="Y112">
        <v>4.74</v>
      </c>
      <c r="Z112">
        <v>0.36829388099999999</v>
      </c>
      <c r="AA112">
        <v>322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>
        <v>1972.75</v>
      </c>
      <c r="B113">
        <v>1332</v>
      </c>
      <c r="C113">
        <v>5251.1235512102812</v>
      </c>
      <c r="D113">
        <v>3294.7121903118455</v>
      </c>
      <c r="E113">
        <v>3655.6309150793631</v>
      </c>
      <c r="F113">
        <v>195.73010183040955</v>
      </c>
      <c r="G113">
        <v>736.45078038589156</v>
      </c>
      <c r="H113">
        <v>4.0249285899766294</v>
      </c>
      <c r="I113">
        <v>4.1044974247331814</v>
      </c>
      <c r="J113">
        <v>161.62271946503631</v>
      </c>
      <c r="K113">
        <v>293.5</v>
      </c>
      <c r="L113">
        <v>141.69999999999999</v>
      </c>
      <c r="M113">
        <v>0</v>
      </c>
      <c r="N113">
        <v>0.74847495253096996</v>
      </c>
      <c r="O113">
        <v>345.5</v>
      </c>
      <c r="P113">
        <v>220.7</v>
      </c>
      <c r="Q113">
        <v>25.366</v>
      </c>
      <c r="R113">
        <v>33.542999999999999</v>
      </c>
      <c r="S113">
        <v>48.646999999999998</v>
      </c>
      <c r="T113">
        <v>68.951999999999998</v>
      </c>
      <c r="U113">
        <v>210652</v>
      </c>
      <c r="V113">
        <v>7.99</v>
      </c>
      <c r="W113">
        <v>6.37</v>
      </c>
      <c r="X113">
        <v>4.8600000000000003</v>
      </c>
      <c r="Y113">
        <v>5.14</v>
      </c>
      <c r="Z113">
        <v>0.36768272499999999</v>
      </c>
      <c r="AA113">
        <v>329</v>
      </c>
      <c r="AB113">
        <v>0</v>
      </c>
      <c r="AC113">
        <v>0</v>
      </c>
      <c r="AD113">
        <v>0</v>
      </c>
      <c r="AE113">
        <v>0</v>
      </c>
      <c r="AF113">
        <v>0.13</v>
      </c>
    </row>
    <row r="114" spans="1:32" x14ac:dyDescent="0.25">
      <c r="A114">
        <v>1973</v>
      </c>
      <c r="B114">
        <v>1380.7</v>
      </c>
      <c r="C114">
        <v>5380.5385604614003</v>
      </c>
      <c r="D114">
        <v>3354.9827481225898</v>
      </c>
      <c r="E114">
        <v>3692.7944311344986</v>
      </c>
      <c r="F114">
        <v>208.20498238630086</v>
      </c>
      <c r="G114">
        <v>779.6069775284343</v>
      </c>
      <c r="H114">
        <v>4.1917709459807408</v>
      </c>
      <c r="I114">
        <v>4.2378208486118387</v>
      </c>
      <c r="J114">
        <v>163.4598645394764</v>
      </c>
      <c r="K114">
        <v>301.3</v>
      </c>
      <c r="L114">
        <v>145.9</v>
      </c>
      <c r="M114">
        <v>0</v>
      </c>
      <c r="N114">
        <v>0.449291337043975</v>
      </c>
      <c r="O114">
        <v>364.5</v>
      </c>
      <c r="P114">
        <v>236.40000000000003</v>
      </c>
      <c r="Q114">
        <v>25.661000000000001</v>
      </c>
      <c r="R114">
        <v>34.619999999999997</v>
      </c>
      <c r="S114">
        <v>49.543999999999997</v>
      </c>
      <c r="T114">
        <v>69.878</v>
      </c>
      <c r="U114">
        <v>211120</v>
      </c>
      <c r="V114">
        <v>7.97</v>
      </c>
      <c r="W114">
        <v>6.6</v>
      </c>
      <c r="X114">
        <v>5.7</v>
      </c>
      <c r="Y114">
        <v>6.54</v>
      </c>
      <c r="Z114">
        <v>0.38305130599999998</v>
      </c>
      <c r="AA114">
        <v>335.9</v>
      </c>
      <c r="AB114">
        <v>0.748783227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>
        <v>1973.25</v>
      </c>
      <c r="B115">
        <v>1417.6</v>
      </c>
      <c r="C115">
        <v>5441.4248426224476</v>
      </c>
      <c r="D115">
        <v>3353.2457188371168</v>
      </c>
      <c r="E115">
        <v>3699.2924398842115</v>
      </c>
      <c r="F115">
        <v>205.77357071213643</v>
      </c>
      <c r="G115">
        <v>812.87506819421719</v>
      </c>
      <c r="H115">
        <v>4.3490403168477716</v>
      </c>
      <c r="I115">
        <v>4.0189970380962112</v>
      </c>
      <c r="J115">
        <v>165.00827913759949</v>
      </c>
      <c r="K115">
        <v>304.89999999999998</v>
      </c>
      <c r="L115">
        <v>146.5</v>
      </c>
      <c r="M115">
        <v>0</v>
      </c>
      <c r="N115">
        <v>-0.80134132101718603</v>
      </c>
      <c r="O115">
        <v>370.7</v>
      </c>
      <c r="P115">
        <v>240.2</v>
      </c>
      <c r="Q115">
        <v>26.052</v>
      </c>
      <c r="R115">
        <v>35.097999999999999</v>
      </c>
      <c r="S115">
        <v>49.692999999999998</v>
      </c>
      <c r="T115">
        <v>70.63</v>
      </c>
      <c r="U115">
        <v>211581</v>
      </c>
      <c r="V115">
        <v>8.09</v>
      </c>
      <c r="W115">
        <v>6.81</v>
      </c>
      <c r="X115">
        <v>6.6</v>
      </c>
      <c r="Y115">
        <v>7.82</v>
      </c>
      <c r="Z115">
        <v>0.35087257599999999</v>
      </c>
      <c r="AA115">
        <v>337.7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>
        <v>1973.5</v>
      </c>
      <c r="B116">
        <v>1436.8</v>
      </c>
      <c r="C116">
        <v>5411.8799201476513</v>
      </c>
      <c r="D116">
        <v>3365.403418201729</v>
      </c>
      <c r="E116">
        <v>3720.8856019913633</v>
      </c>
      <c r="F116">
        <v>203.93844426773938</v>
      </c>
      <c r="G116">
        <v>783.29678145930893</v>
      </c>
      <c r="H116">
        <v>4.4145585441455859</v>
      </c>
      <c r="I116">
        <v>3.8455842424840796</v>
      </c>
      <c r="J116">
        <v>165.98219738864523</v>
      </c>
      <c r="K116">
        <v>305.60000000000002</v>
      </c>
      <c r="L116">
        <v>143.4</v>
      </c>
      <c r="M116">
        <v>-5</v>
      </c>
      <c r="N116">
        <v>7.6854107429233195E-2</v>
      </c>
      <c r="O116">
        <v>377.5</v>
      </c>
      <c r="P116">
        <v>243.8</v>
      </c>
      <c r="Q116">
        <v>26.548999999999999</v>
      </c>
      <c r="R116">
        <v>34.798999999999999</v>
      </c>
      <c r="S116">
        <v>48.99</v>
      </c>
      <c r="T116">
        <v>71.033000000000001</v>
      </c>
      <c r="U116">
        <v>212097</v>
      </c>
      <c r="V116">
        <v>8.4700000000000006</v>
      </c>
      <c r="W116">
        <v>7.21</v>
      </c>
      <c r="X116">
        <v>8.32</v>
      </c>
      <c r="Y116">
        <v>10.56</v>
      </c>
      <c r="Z116">
        <v>0.344750106</v>
      </c>
      <c r="AA116">
        <v>335.4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>
        <v>1973.75</v>
      </c>
      <c r="B117">
        <v>1479.1</v>
      </c>
      <c r="C117">
        <v>5462.5697086087821</v>
      </c>
      <c r="D117">
        <v>3355.5606652870392</v>
      </c>
      <c r="E117">
        <v>3723.5264832418061</v>
      </c>
      <c r="F117">
        <v>199.16728809346259</v>
      </c>
      <c r="G117">
        <v>811.42758102721109</v>
      </c>
      <c r="H117">
        <v>4.4477921564753533</v>
      </c>
      <c r="I117">
        <v>3.6715491318265596</v>
      </c>
      <c r="J117">
        <v>166.50245989260813</v>
      </c>
      <c r="K117">
        <v>313.7</v>
      </c>
      <c r="L117">
        <v>146.5</v>
      </c>
      <c r="M117">
        <v>5</v>
      </c>
      <c r="N117">
        <v>-0.64749915823770499</v>
      </c>
      <c r="O117">
        <v>388.6</v>
      </c>
      <c r="P117">
        <v>252.39999999999995</v>
      </c>
      <c r="Q117">
        <v>27.077000000000002</v>
      </c>
      <c r="R117">
        <v>35.136000000000003</v>
      </c>
      <c r="S117">
        <v>49.173999999999999</v>
      </c>
      <c r="T117">
        <v>71.453000000000003</v>
      </c>
      <c r="U117">
        <v>212631</v>
      </c>
      <c r="V117">
        <v>8.44</v>
      </c>
      <c r="W117">
        <v>6.75</v>
      </c>
      <c r="X117">
        <v>7.5</v>
      </c>
      <c r="Y117">
        <v>10</v>
      </c>
      <c r="Z117">
        <v>0.37351432400000001</v>
      </c>
      <c r="AA117">
        <v>337.4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>
        <v>1974</v>
      </c>
      <c r="B118">
        <v>1494.7</v>
      </c>
      <c r="C118">
        <v>5417.1498985213111</v>
      </c>
      <c r="D118">
        <v>3326.3863044287309</v>
      </c>
      <c r="E118">
        <v>3700.5710293832262</v>
      </c>
      <c r="F118">
        <v>194.58181036336271</v>
      </c>
      <c r="G118">
        <v>765.08651406744377</v>
      </c>
      <c r="H118">
        <v>4.4441213531065236</v>
      </c>
      <c r="I118">
        <v>3.4320929130125628</v>
      </c>
      <c r="J118">
        <v>166.78180365451215</v>
      </c>
      <c r="K118">
        <v>326.10000000000002</v>
      </c>
      <c r="L118">
        <v>151.9</v>
      </c>
      <c r="M118">
        <v>0</v>
      </c>
      <c r="N118">
        <v>-0.17137108426912101</v>
      </c>
      <c r="O118">
        <v>396.5</v>
      </c>
      <c r="P118">
        <v>259.19999999999993</v>
      </c>
      <c r="Q118">
        <v>27.591999999999999</v>
      </c>
      <c r="R118">
        <v>34.643000000000001</v>
      </c>
      <c r="S118">
        <v>48.488</v>
      </c>
      <c r="T118">
        <v>71.447000000000003</v>
      </c>
      <c r="U118">
        <v>213072</v>
      </c>
      <c r="V118">
        <v>8.5399999999999991</v>
      </c>
      <c r="W118">
        <v>7.05</v>
      </c>
      <c r="X118">
        <v>7.62</v>
      </c>
      <c r="Y118">
        <v>9.32</v>
      </c>
      <c r="Z118">
        <v>0.41194376300000002</v>
      </c>
      <c r="AA118">
        <v>338.5</v>
      </c>
      <c r="AB118">
        <v>0.29025570099999998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>
        <v>1974.25</v>
      </c>
      <c r="B119">
        <v>1534.2</v>
      </c>
      <c r="C119">
        <v>5431.1809685641456</v>
      </c>
      <c r="D119">
        <v>3337.9175563678477</v>
      </c>
      <c r="E119">
        <v>3711.7871103043522</v>
      </c>
      <c r="F119">
        <v>195.57632118843313</v>
      </c>
      <c r="G119">
        <v>761.94138489850855</v>
      </c>
      <c r="H119">
        <v>4.4360902255639099</v>
      </c>
      <c r="I119">
        <v>3.2972121885708994</v>
      </c>
      <c r="J119">
        <v>166.09895451847495</v>
      </c>
      <c r="K119">
        <v>337.3</v>
      </c>
      <c r="L119">
        <v>154.69999999999999</v>
      </c>
      <c r="M119">
        <v>0</v>
      </c>
      <c r="N119">
        <v>-0.97394251314680902</v>
      </c>
      <c r="O119">
        <v>410.1</v>
      </c>
      <c r="P119">
        <v>268.10000000000002</v>
      </c>
      <c r="Q119">
        <v>28.248000000000001</v>
      </c>
      <c r="R119">
        <v>34.703000000000003</v>
      </c>
      <c r="S119">
        <v>48.667000000000002</v>
      </c>
      <c r="T119">
        <v>71.307000000000002</v>
      </c>
      <c r="U119">
        <v>213520</v>
      </c>
      <c r="V119">
        <v>9.06</v>
      </c>
      <c r="W119">
        <v>7.54</v>
      </c>
      <c r="X119">
        <v>8.15</v>
      </c>
      <c r="Y119">
        <v>11.25</v>
      </c>
      <c r="Z119">
        <v>0.36993816499999999</v>
      </c>
      <c r="AA119">
        <v>339.4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>
        <v>1974.5</v>
      </c>
      <c r="B120">
        <v>1563.4</v>
      </c>
      <c r="C120">
        <v>5378.6080434857395</v>
      </c>
      <c r="D120">
        <v>3351.77614885819</v>
      </c>
      <c r="E120">
        <v>3726.307307438442</v>
      </c>
      <c r="F120">
        <v>196.64420815719996</v>
      </c>
      <c r="G120">
        <v>722.39697179719565</v>
      </c>
      <c r="H120">
        <v>4.3917088150289016</v>
      </c>
      <c r="I120">
        <v>3.1826547560263951</v>
      </c>
      <c r="J120">
        <v>166.03734484783433</v>
      </c>
      <c r="K120">
        <v>348.3</v>
      </c>
      <c r="L120">
        <v>159.5</v>
      </c>
      <c r="M120">
        <v>0</v>
      </c>
      <c r="N120">
        <v>0.67091321007126903</v>
      </c>
      <c r="O120">
        <v>425.79999999999995</v>
      </c>
      <c r="P120">
        <v>279</v>
      </c>
      <c r="Q120">
        <v>29.067</v>
      </c>
      <c r="R120">
        <v>34.209000000000003</v>
      </c>
      <c r="S120">
        <v>48.244</v>
      </c>
      <c r="T120">
        <v>70.908000000000001</v>
      </c>
      <c r="U120">
        <v>214047</v>
      </c>
      <c r="V120">
        <v>9.81</v>
      </c>
      <c r="W120">
        <v>7.96</v>
      </c>
      <c r="X120">
        <v>8.19</v>
      </c>
      <c r="Y120">
        <v>12.09</v>
      </c>
      <c r="Z120">
        <v>0.32818096899999999</v>
      </c>
      <c r="AA120">
        <v>343.3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>
        <v>1974.75</v>
      </c>
      <c r="B121">
        <v>1603</v>
      </c>
      <c r="C121">
        <v>5357.0831801624172</v>
      </c>
      <c r="D121">
        <v>3302.6293177521911</v>
      </c>
      <c r="E121">
        <v>3721.4813351653879</v>
      </c>
      <c r="F121">
        <v>177.89659323125159</v>
      </c>
      <c r="G121">
        <v>726.7231580035135</v>
      </c>
      <c r="H121">
        <v>4.276686001212016</v>
      </c>
      <c r="I121">
        <v>2.7691500065619663</v>
      </c>
      <c r="J121">
        <v>164.44934857707599</v>
      </c>
      <c r="K121">
        <v>360.8</v>
      </c>
      <c r="L121">
        <v>166.4</v>
      </c>
      <c r="M121">
        <v>0</v>
      </c>
      <c r="N121">
        <v>-0.61149427998556705</v>
      </c>
      <c r="O121">
        <v>423.1</v>
      </c>
      <c r="P121">
        <v>276</v>
      </c>
      <c r="Q121">
        <v>29.922999999999998</v>
      </c>
      <c r="R121">
        <v>33.963000000000001</v>
      </c>
      <c r="S121">
        <v>48.619</v>
      </c>
      <c r="T121">
        <v>69.855000000000004</v>
      </c>
      <c r="U121">
        <v>214619</v>
      </c>
      <c r="V121">
        <v>10.57</v>
      </c>
      <c r="W121">
        <v>7.67</v>
      </c>
      <c r="X121">
        <v>7.36</v>
      </c>
      <c r="Y121">
        <v>9.35</v>
      </c>
      <c r="Z121">
        <v>0.32209333800000001</v>
      </c>
      <c r="AA121">
        <v>349.8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>
        <v>1975</v>
      </c>
      <c r="B122">
        <v>1619.6</v>
      </c>
      <c r="C122">
        <v>5292.6374955066831</v>
      </c>
      <c r="D122">
        <v>3330.1845416821297</v>
      </c>
      <c r="E122">
        <v>3745.3179813325637</v>
      </c>
      <c r="F122">
        <v>181.78056685745815</v>
      </c>
      <c r="G122">
        <v>609.72870442009639</v>
      </c>
      <c r="H122">
        <v>4.0312310807707563</v>
      </c>
      <c r="I122">
        <v>2.6140440799589957</v>
      </c>
      <c r="J122">
        <v>160.71356230076015</v>
      </c>
      <c r="K122">
        <v>371.7</v>
      </c>
      <c r="L122">
        <v>167.6</v>
      </c>
      <c r="M122">
        <v>0</v>
      </c>
      <c r="N122">
        <v>-0.11745678980758199</v>
      </c>
      <c r="O122">
        <v>418.5</v>
      </c>
      <c r="P122">
        <v>270.39999999999998</v>
      </c>
      <c r="Q122">
        <v>30.600999999999999</v>
      </c>
      <c r="R122">
        <v>33.341000000000001</v>
      </c>
      <c r="S122">
        <v>49.293999999999997</v>
      </c>
      <c r="T122">
        <v>67.637</v>
      </c>
      <c r="U122">
        <v>215065</v>
      </c>
      <c r="V122">
        <v>10.65</v>
      </c>
      <c r="W122">
        <v>7.54</v>
      </c>
      <c r="X122">
        <v>5.75</v>
      </c>
      <c r="Y122">
        <v>6.3</v>
      </c>
      <c r="Z122">
        <v>0.35218942199999997</v>
      </c>
      <c r="AA122">
        <v>366.9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>
        <v>1975.25</v>
      </c>
      <c r="B123">
        <v>1656.4</v>
      </c>
      <c r="C123">
        <v>5333.0757590392477</v>
      </c>
      <c r="D123">
        <v>3385.6614338566142</v>
      </c>
      <c r="E123">
        <v>3806.1605567677943</v>
      </c>
      <c r="F123">
        <v>185.3056798156432</v>
      </c>
      <c r="G123">
        <v>591.63971500133744</v>
      </c>
      <c r="H123">
        <v>3.9356612032983813</v>
      </c>
      <c r="I123">
        <v>2.6893016219850407</v>
      </c>
      <c r="J123">
        <v>159.89568011589046</v>
      </c>
      <c r="K123">
        <v>375.8</v>
      </c>
      <c r="L123">
        <v>169</v>
      </c>
      <c r="M123">
        <v>0</v>
      </c>
      <c r="N123">
        <v>-1.0506799068519099</v>
      </c>
      <c r="O123">
        <v>389.29999999999995</v>
      </c>
      <c r="P123">
        <v>237.29999999999998</v>
      </c>
      <c r="Q123">
        <v>31.059000000000001</v>
      </c>
      <c r="R123">
        <v>33.628999999999998</v>
      </c>
      <c r="S123">
        <v>50.128</v>
      </c>
      <c r="T123">
        <v>67.085999999999999</v>
      </c>
      <c r="U123">
        <v>215548</v>
      </c>
      <c r="V123">
        <v>10.63</v>
      </c>
      <c r="W123">
        <v>8.0500000000000007</v>
      </c>
      <c r="X123">
        <v>5.39</v>
      </c>
      <c r="Y123">
        <v>5.42</v>
      </c>
      <c r="Z123">
        <v>0.35052263700000003</v>
      </c>
      <c r="AA123">
        <v>391.5</v>
      </c>
      <c r="AB123">
        <v>-2.8213751870000001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>
        <v>1975.5</v>
      </c>
      <c r="B124">
        <v>1713.8</v>
      </c>
      <c r="C124">
        <v>5421.3589776034423</v>
      </c>
      <c r="D124">
        <v>3434.1054835754476</v>
      </c>
      <c r="E124">
        <v>3832.1006758063322</v>
      </c>
      <c r="F124">
        <v>196.8857713818216</v>
      </c>
      <c r="G124">
        <v>637.4693524349791</v>
      </c>
      <c r="H124">
        <v>3.9769185917928302</v>
      </c>
      <c r="I124">
        <v>2.865830799350189</v>
      </c>
      <c r="J124">
        <v>160.85888094646344</v>
      </c>
      <c r="K124">
        <v>387</v>
      </c>
      <c r="L124">
        <v>174.9</v>
      </c>
      <c r="M124">
        <v>0</v>
      </c>
      <c r="N124">
        <v>1.4364712784354601</v>
      </c>
      <c r="O124">
        <v>438.40000000000003</v>
      </c>
      <c r="P124">
        <v>281.10000000000002</v>
      </c>
      <c r="Q124">
        <v>31.611999999999998</v>
      </c>
      <c r="R124">
        <v>34.317</v>
      </c>
      <c r="S124">
        <v>50.634</v>
      </c>
      <c r="T124">
        <v>67.774000000000001</v>
      </c>
      <c r="U124">
        <v>216187</v>
      </c>
      <c r="V124">
        <v>10.58</v>
      </c>
      <c r="W124">
        <v>8.3000000000000007</v>
      </c>
      <c r="X124">
        <v>6.33</v>
      </c>
      <c r="Y124">
        <v>6.16</v>
      </c>
      <c r="Z124">
        <v>0.38227126</v>
      </c>
      <c r="AA124">
        <v>414</v>
      </c>
      <c r="AB124">
        <v>1.9541819490000001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>
        <v>1975.75</v>
      </c>
      <c r="B125">
        <v>1765.9</v>
      </c>
      <c r="C125">
        <v>5494.5704595662583</v>
      </c>
      <c r="D125">
        <v>3470.4122019499951</v>
      </c>
      <c r="E125">
        <v>3861.5272242190285</v>
      </c>
      <c r="F125">
        <v>202.60721408476749</v>
      </c>
      <c r="G125">
        <v>655.1699599117585</v>
      </c>
      <c r="H125">
        <v>4.0249151970800021</v>
      </c>
      <c r="I125">
        <v>2.9871511580325723</v>
      </c>
      <c r="J125">
        <v>162.89300370967729</v>
      </c>
      <c r="K125">
        <v>397.3</v>
      </c>
      <c r="L125">
        <v>179.7</v>
      </c>
      <c r="M125">
        <v>0</v>
      </c>
      <c r="N125">
        <v>-0.27926112773557699</v>
      </c>
      <c r="O125">
        <v>450.5</v>
      </c>
      <c r="P125">
        <v>289.2</v>
      </c>
      <c r="Q125">
        <v>32.139000000000003</v>
      </c>
      <c r="R125">
        <v>34.9</v>
      </c>
      <c r="S125">
        <v>50.765000000000001</v>
      </c>
      <c r="T125">
        <v>68.748000000000005</v>
      </c>
      <c r="U125">
        <v>216763</v>
      </c>
      <c r="V125">
        <v>10.58</v>
      </c>
      <c r="W125">
        <v>8.06</v>
      </c>
      <c r="X125">
        <v>5.63</v>
      </c>
      <c r="Y125">
        <v>5.41</v>
      </c>
      <c r="Z125">
        <v>0.37919959399999997</v>
      </c>
      <c r="AA125">
        <v>435.7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>
        <v>1976</v>
      </c>
      <c r="B126">
        <v>1824.5</v>
      </c>
      <c r="C126">
        <v>5618.5138422689624</v>
      </c>
      <c r="D126">
        <v>3539.8765196359236</v>
      </c>
      <c r="E126">
        <v>3919.0913470061596</v>
      </c>
      <c r="F126">
        <v>212.73269674191994</v>
      </c>
      <c r="G126">
        <v>718.37928350746449</v>
      </c>
      <c r="H126">
        <v>4.1105835262724169</v>
      </c>
      <c r="I126">
        <v>3.2689571051026634</v>
      </c>
      <c r="J126">
        <v>164.85132811127684</v>
      </c>
      <c r="K126">
        <v>402.9</v>
      </c>
      <c r="L126">
        <v>180.5</v>
      </c>
      <c r="M126">
        <v>4</v>
      </c>
      <c r="N126">
        <v>8.1286732108221099E-2</v>
      </c>
      <c r="O126">
        <v>469.79999999999995</v>
      </c>
      <c r="P126">
        <v>301.89999999999998</v>
      </c>
      <c r="Q126">
        <v>32.472999999999999</v>
      </c>
      <c r="R126">
        <v>35.914000000000001</v>
      </c>
      <c r="S126">
        <v>51.494</v>
      </c>
      <c r="T126">
        <v>69.742999999999995</v>
      </c>
      <c r="U126">
        <v>217242</v>
      </c>
      <c r="V126">
        <v>10.26</v>
      </c>
      <c r="W126">
        <v>7.75</v>
      </c>
      <c r="X126">
        <v>4.92</v>
      </c>
      <c r="Y126">
        <v>4.83</v>
      </c>
      <c r="Z126">
        <v>0.42914116400000002</v>
      </c>
      <c r="AA126">
        <v>456.2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>
        <v>1976.25</v>
      </c>
      <c r="B127">
        <v>1856.9</v>
      </c>
      <c r="C127">
        <v>5660.7627351156907</v>
      </c>
      <c r="D127">
        <v>3572.555702834059</v>
      </c>
      <c r="E127">
        <v>3958.4170814244167</v>
      </c>
      <c r="F127">
        <v>213.68952547787111</v>
      </c>
      <c r="G127">
        <v>746.89469781238415</v>
      </c>
      <c r="H127">
        <v>4.1651329936651234</v>
      </c>
      <c r="I127">
        <v>3.3495279851483191</v>
      </c>
      <c r="J127">
        <v>165.18927850934071</v>
      </c>
      <c r="K127">
        <v>403.2</v>
      </c>
      <c r="L127">
        <v>182</v>
      </c>
      <c r="M127">
        <v>0</v>
      </c>
      <c r="N127">
        <v>-1.3492078333415401E-2</v>
      </c>
      <c r="O127">
        <v>480.4</v>
      </c>
      <c r="P127">
        <v>308.7</v>
      </c>
      <c r="Q127">
        <v>32.802999999999997</v>
      </c>
      <c r="R127">
        <v>36.24</v>
      </c>
      <c r="S127">
        <v>51.845999999999997</v>
      </c>
      <c r="T127">
        <v>69.900000000000006</v>
      </c>
      <c r="U127">
        <v>217691</v>
      </c>
      <c r="V127">
        <v>9.9</v>
      </c>
      <c r="W127">
        <v>7.77</v>
      </c>
      <c r="X127">
        <v>5.16</v>
      </c>
      <c r="Y127">
        <v>5.2</v>
      </c>
      <c r="Z127">
        <v>0.41351348199999999</v>
      </c>
      <c r="AA127">
        <v>475.2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>
        <v>1976.5</v>
      </c>
      <c r="B128">
        <v>1890.5</v>
      </c>
      <c r="C128">
        <v>5689.8212243423823</v>
      </c>
      <c r="D128">
        <v>3610.2216557341371</v>
      </c>
      <c r="E128">
        <v>3999.7348896591366</v>
      </c>
      <c r="F128">
        <v>216.05527350459977</v>
      </c>
      <c r="G128">
        <v>749.49204392393221</v>
      </c>
      <c r="H128">
        <v>4.2558072841984513</v>
      </c>
      <c r="I128">
        <v>3.2999067164179103</v>
      </c>
      <c r="J128">
        <v>165.894467114874</v>
      </c>
      <c r="K128">
        <v>404.9</v>
      </c>
      <c r="L128">
        <v>183.6</v>
      </c>
      <c r="M128">
        <v>0</v>
      </c>
      <c r="N128">
        <v>-0.394321965171535</v>
      </c>
      <c r="O128">
        <v>491.40000000000003</v>
      </c>
      <c r="P128">
        <v>316</v>
      </c>
      <c r="Q128">
        <v>33.225999999999999</v>
      </c>
      <c r="R128">
        <v>36.438000000000002</v>
      </c>
      <c r="S128">
        <v>51.887999999999998</v>
      </c>
      <c r="T128">
        <v>70.224999999999994</v>
      </c>
      <c r="U128">
        <v>218236</v>
      </c>
      <c r="V128">
        <v>9.6199999999999992</v>
      </c>
      <c r="W128">
        <v>7.73</v>
      </c>
      <c r="X128">
        <v>5.15</v>
      </c>
      <c r="Y128">
        <v>5.28</v>
      </c>
      <c r="Z128">
        <v>0.41129305999999999</v>
      </c>
      <c r="AA128">
        <v>491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>
        <v>1976.75</v>
      </c>
      <c r="B129">
        <v>1938.4</v>
      </c>
      <c r="C129">
        <v>5732.3672926216177</v>
      </c>
      <c r="D129">
        <v>3657.5363427697016</v>
      </c>
      <c r="E129">
        <v>4050.0655855057985</v>
      </c>
      <c r="F129">
        <v>219.57536251829794</v>
      </c>
      <c r="G129">
        <v>755.00391367550037</v>
      </c>
      <c r="H129">
        <v>4.3378307077711611</v>
      </c>
      <c r="I129">
        <v>3.6987556302007789</v>
      </c>
      <c r="J129">
        <v>167.0839138573279</v>
      </c>
      <c r="K129">
        <v>412.3</v>
      </c>
      <c r="L129">
        <v>189</v>
      </c>
      <c r="M129">
        <v>0</v>
      </c>
      <c r="N129">
        <v>-4.9573334785049397E-2</v>
      </c>
      <c r="O129">
        <v>502.20000000000005</v>
      </c>
      <c r="P129">
        <v>322.10000000000002</v>
      </c>
      <c r="Q129">
        <v>33.814999999999998</v>
      </c>
      <c r="R129">
        <v>36.759</v>
      </c>
      <c r="S129">
        <v>52.231000000000002</v>
      </c>
      <c r="T129">
        <v>70.378</v>
      </c>
      <c r="U129">
        <v>218828</v>
      </c>
      <c r="V129">
        <v>9.2100000000000009</v>
      </c>
      <c r="W129">
        <v>7.19</v>
      </c>
      <c r="X129">
        <v>4.67</v>
      </c>
      <c r="Y129">
        <v>4.87</v>
      </c>
      <c r="Z129">
        <v>0.38271856300000001</v>
      </c>
      <c r="AA129">
        <v>504.6</v>
      </c>
      <c r="AB129">
        <v>0</v>
      </c>
      <c r="AC129">
        <v>0.12730069499999999</v>
      </c>
      <c r="AD129">
        <v>0.130542613</v>
      </c>
      <c r="AE129">
        <v>0.12730069499999999</v>
      </c>
      <c r="AF129">
        <v>0</v>
      </c>
    </row>
    <row r="130" spans="1:32" x14ac:dyDescent="0.25">
      <c r="A130">
        <v>1977</v>
      </c>
      <c r="B130">
        <v>1992.5</v>
      </c>
      <c r="C130">
        <v>5799.062836520271</v>
      </c>
      <c r="D130">
        <v>3699.3837366601529</v>
      </c>
      <c r="E130">
        <v>4079.2287974820365</v>
      </c>
      <c r="F130">
        <v>227.53142630901712</v>
      </c>
      <c r="G130">
        <v>790.07960002631398</v>
      </c>
      <c r="H130">
        <v>4.4971442302360405</v>
      </c>
      <c r="I130">
        <v>3.8077496274217588</v>
      </c>
      <c r="J130">
        <v>167.93829980906963</v>
      </c>
      <c r="K130">
        <v>422.7</v>
      </c>
      <c r="L130">
        <v>192.9</v>
      </c>
      <c r="M130">
        <v>0</v>
      </c>
      <c r="N130">
        <v>-0.32687679327084901</v>
      </c>
      <c r="O130">
        <v>521.70000000000005</v>
      </c>
      <c r="P130">
        <v>336.40000000000003</v>
      </c>
      <c r="Q130">
        <v>34.359000000000002</v>
      </c>
      <c r="R130">
        <v>37.338999999999999</v>
      </c>
      <c r="S130">
        <v>52.529000000000003</v>
      </c>
      <c r="T130">
        <v>71.082999999999998</v>
      </c>
      <c r="U130">
        <v>219342</v>
      </c>
      <c r="V130">
        <v>9.11</v>
      </c>
      <c r="W130">
        <v>7.35</v>
      </c>
      <c r="X130">
        <v>4.63</v>
      </c>
      <c r="Y130">
        <v>4.66</v>
      </c>
      <c r="Z130">
        <v>0.43172723099999999</v>
      </c>
      <c r="AA130">
        <v>518.70000000000005</v>
      </c>
      <c r="AB130">
        <v>0</v>
      </c>
      <c r="AC130">
        <v>-4.1251997999999998E-2</v>
      </c>
      <c r="AD130">
        <v>-4.2434065999999999E-2</v>
      </c>
      <c r="AE130">
        <v>-4.1251997999999998E-2</v>
      </c>
      <c r="AF130">
        <v>0</v>
      </c>
    </row>
    <row r="131" spans="1:32" x14ac:dyDescent="0.25">
      <c r="A131">
        <v>1977.25</v>
      </c>
      <c r="B131">
        <v>2060.1999999999998</v>
      </c>
      <c r="C131">
        <v>5913.1483022875336</v>
      </c>
      <c r="D131">
        <v>3719.6311402730976</v>
      </c>
      <c r="E131">
        <v>4088.7010511768999</v>
      </c>
      <c r="F131">
        <v>232.90740330403528</v>
      </c>
      <c r="G131">
        <v>846.75053777459095</v>
      </c>
      <c r="H131">
        <v>4.6201194638694636</v>
      </c>
      <c r="I131">
        <v>4.2266806951347826</v>
      </c>
      <c r="J131">
        <v>171.23603911610101</v>
      </c>
      <c r="K131">
        <v>433.1</v>
      </c>
      <c r="L131">
        <v>197.7</v>
      </c>
      <c r="M131">
        <v>0</v>
      </c>
      <c r="N131">
        <v>-0.66326132471408805</v>
      </c>
      <c r="O131">
        <v>540.29999999999995</v>
      </c>
      <c r="P131">
        <v>350</v>
      </c>
      <c r="Q131">
        <v>34.841000000000001</v>
      </c>
      <c r="R131">
        <v>38.247999999999998</v>
      </c>
      <c r="S131">
        <v>52.625999999999998</v>
      </c>
      <c r="T131">
        <v>72.677999999999997</v>
      </c>
      <c r="U131">
        <v>219863</v>
      </c>
      <c r="V131">
        <v>9</v>
      </c>
      <c r="W131">
        <v>7.37</v>
      </c>
      <c r="X131">
        <v>4.84</v>
      </c>
      <c r="Y131">
        <v>5.16</v>
      </c>
      <c r="Z131">
        <v>0.41476231800000002</v>
      </c>
      <c r="AA131">
        <v>528.1</v>
      </c>
      <c r="AB131">
        <v>0</v>
      </c>
      <c r="AC131">
        <v>0</v>
      </c>
      <c r="AD131">
        <v>0</v>
      </c>
      <c r="AE131">
        <v>0</v>
      </c>
      <c r="AF131">
        <v>0.66</v>
      </c>
    </row>
    <row r="132" spans="1:32" x14ac:dyDescent="0.25">
      <c r="A132">
        <v>1977.5</v>
      </c>
      <c r="B132">
        <v>2122.4</v>
      </c>
      <c r="C132">
        <v>6017.5786787638217</v>
      </c>
      <c r="D132">
        <v>3755.1317513466297</v>
      </c>
      <c r="E132">
        <v>4123.8935492641258</v>
      </c>
      <c r="F132">
        <v>236.37493450952203</v>
      </c>
      <c r="G132">
        <v>889.5237686078234</v>
      </c>
      <c r="H132">
        <v>4.7138227975007609</v>
      </c>
      <c r="I132">
        <v>4.2142230026338892</v>
      </c>
      <c r="J132">
        <v>172.79266069143193</v>
      </c>
      <c r="K132">
        <v>439.1</v>
      </c>
      <c r="L132">
        <v>200</v>
      </c>
      <c r="M132">
        <v>-5</v>
      </c>
      <c r="N132">
        <v>-1.0594627893716899</v>
      </c>
      <c r="O132">
        <v>551.5</v>
      </c>
      <c r="P132">
        <v>356.6</v>
      </c>
      <c r="Q132">
        <v>35.270000000000003</v>
      </c>
      <c r="R132">
        <v>39.036999999999999</v>
      </c>
      <c r="S132">
        <v>53.295000000000002</v>
      </c>
      <c r="T132">
        <v>73.247</v>
      </c>
      <c r="U132">
        <v>220462</v>
      </c>
      <c r="V132">
        <v>8.83</v>
      </c>
      <c r="W132">
        <v>7.36</v>
      </c>
      <c r="X132">
        <v>5.5</v>
      </c>
      <c r="Y132">
        <v>5.82</v>
      </c>
      <c r="Z132">
        <v>0.42182800199999998</v>
      </c>
      <c r="AA132">
        <v>546</v>
      </c>
      <c r="AB132">
        <v>0</v>
      </c>
      <c r="AC132">
        <v>-0.338687827</v>
      </c>
      <c r="AD132">
        <v>-0.34909235999999999</v>
      </c>
      <c r="AE132">
        <v>-1.02</v>
      </c>
      <c r="AF132">
        <v>0</v>
      </c>
    </row>
    <row r="133" spans="1:32" x14ac:dyDescent="0.25">
      <c r="A133">
        <v>1977.75</v>
      </c>
      <c r="B133">
        <v>2168.6999999999998</v>
      </c>
      <c r="C133">
        <v>6018.1485181485168</v>
      </c>
      <c r="D133">
        <v>3811.8612929153751</v>
      </c>
      <c r="E133">
        <v>4181.9173421535215</v>
      </c>
      <c r="F133">
        <v>241.32457975615037</v>
      </c>
      <c r="G133">
        <v>867.28826090528219</v>
      </c>
      <c r="H133">
        <v>4.8558555387377238</v>
      </c>
      <c r="I133">
        <v>4.1625506693463228</v>
      </c>
      <c r="J133">
        <v>174.38639549555256</v>
      </c>
      <c r="K133">
        <v>448.1</v>
      </c>
      <c r="L133">
        <v>204.5</v>
      </c>
      <c r="M133">
        <v>0</v>
      </c>
      <c r="N133">
        <v>0.17220361040855001</v>
      </c>
      <c r="O133">
        <v>567.1</v>
      </c>
      <c r="P133">
        <v>367.70000000000005</v>
      </c>
      <c r="Q133">
        <v>36.036000000000001</v>
      </c>
      <c r="R133">
        <v>38.994</v>
      </c>
      <c r="S133">
        <v>52.701000000000001</v>
      </c>
      <c r="T133">
        <v>73.991</v>
      </c>
      <c r="U133">
        <v>221105</v>
      </c>
      <c r="V133">
        <v>8.94</v>
      </c>
      <c r="W133">
        <v>7.6</v>
      </c>
      <c r="X133">
        <v>6.11</v>
      </c>
      <c r="Y133">
        <v>6.51</v>
      </c>
      <c r="Z133">
        <v>0.43380662800000003</v>
      </c>
      <c r="AA133">
        <v>562.1</v>
      </c>
      <c r="AB133">
        <v>0</v>
      </c>
      <c r="AC133">
        <v>0</v>
      </c>
      <c r="AD133">
        <v>0</v>
      </c>
      <c r="AE133">
        <v>0.66</v>
      </c>
      <c r="AF133">
        <v>1.03</v>
      </c>
    </row>
    <row r="134" spans="1:32" x14ac:dyDescent="0.25">
      <c r="A134">
        <v>1978</v>
      </c>
      <c r="B134">
        <v>2208.6999999999998</v>
      </c>
      <c r="C134">
        <v>6039.1545675771731</v>
      </c>
      <c r="D134">
        <v>3833.968657348581</v>
      </c>
      <c r="E134">
        <v>4230.0453650046602</v>
      </c>
      <c r="F134">
        <v>234.96775417298937</v>
      </c>
      <c r="G134">
        <v>884.20710131370242</v>
      </c>
      <c r="H134">
        <v>4.8987805089597032</v>
      </c>
      <c r="I134">
        <v>4.201847620939704</v>
      </c>
      <c r="J134">
        <v>175.03537662068771</v>
      </c>
      <c r="K134">
        <v>454.8</v>
      </c>
      <c r="L134">
        <v>207.7</v>
      </c>
      <c r="M134">
        <v>0</v>
      </c>
      <c r="N134">
        <v>0.33895877746465702</v>
      </c>
      <c r="O134">
        <v>578</v>
      </c>
      <c r="P134">
        <v>376.4</v>
      </c>
      <c r="Q134">
        <v>36.573</v>
      </c>
      <c r="R134">
        <v>39.052999999999997</v>
      </c>
      <c r="S134">
        <v>52.514000000000003</v>
      </c>
      <c r="T134">
        <v>74.367000000000004</v>
      </c>
      <c r="U134">
        <v>221633</v>
      </c>
      <c r="V134">
        <v>9.1999999999999993</v>
      </c>
      <c r="W134">
        <v>8.01</v>
      </c>
      <c r="X134">
        <v>6.39</v>
      </c>
      <c r="Y134">
        <v>6.76</v>
      </c>
      <c r="Z134">
        <v>0.50778031300000004</v>
      </c>
      <c r="AA134">
        <v>579.1</v>
      </c>
      <c r="AB134">
        <v>0</v>
      </c>
      <c r="AC134">
        <v>0.13488372100000001</v>
      </c>
      <c r="AD134">
        <v>0</v>
      </c>
      <c r="AE134">
        <v>0</v>
      </c>
      <c r="AF134">
        <v>0</v>
      </c>
    </row>
    <row r="135" spans="1:32" x14ac:dyDescent="0.25">
      <c r="A135">
        <v>1978.25</v>
      </c>
      <c r="B135">
        <v>2336.6</v>
      </c>
      <c r="C135">
        <v>6274.0991353847812</v>
      </c>
      <c r="D135">
        <v>3915.617651127403</v>
      </c>
      <c r="E135">
        <v>4281.9084227560825</v>
      </c>
      <c r="F135">
        <v>252.46391704423374</v>
      </c>
      <c r="G135">
        <v>941.65199295661921</v>
      </c>
      <c r="H135">
        <v>5.2778867976042179</v>
      </c>
      <c r="I135">
        <v>4.4044365857579164</v>
      </c>
      <c r="J135">
        <v>180.02809935028554</v>
      </c>
      <c r="K135">
        <v>473.3</v>
      </c>
      <c r="L135">
        <v>214.8</v>
      </c>
      <c r="M135">
        <v>0</v>
      </c>
      <c r="N135">
        <v>1.93623257647161</v>
      </c>
      <c r="O135">
        <v>613.29999999999995</v>
      </c>
      <c r="P135">
        <v>403.1</v>
      </c>
      <c r="Q135">
        <v>37.241999999999997</v>
      </c>
      <c r="R135">
        <v>40.947000000000003</v>
      </c>
      <c r="S135">
        <v>53.536000000000001</v>
      </c>
      <c r="T135">
        <v>76.483999999999995</v>
      </c>
      <c r="U135">
        <v>222182</v>
      </c>
      <c r="V135">
        <v>9.4700000000000006</v>
      </c>
      <c r="W135">
        <v>8.32</v>
      </c>
      <c r="X135">
        <v>6.48</v>
      </c>
      <c r="Y135">
        <v>7.28</v>
      </c>
      <c r="Z135">
        <v>0.47906911400000002</v>
      </c>
      <c r="AA135">
        <v>593.6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>
        <v>1978.5</v>
      </c>
      <c r="B136">
        <v>2398.9</v>
      </c>
      <c r="C136">
        <v>6335.4020863594342</v>
      </c>
      <c r="D136">
        <v>3931.9213724477313</v>
      </c>
      <c r="E136">
        <v>4313.4408911895234</v>
      </c>
      <c r="F136">
        <v>249.00032173553336</v>
      </c>
      <c r="G136">
        <v>969.11964415753118</v>
      </c>
      <c r="H136">
        <v>5.4579031310333255</v>
      </c>
      <c r="I136">
        <v>4.4545312255439038</v>
      </c>
      <c r="J136">
        <v>180.76618257930235</v>
      </c>
      <c r="K136">
        <v>484</v>
      </c>
      <c r="L136">
        <v>218.6</v>
      </c>
      <c r="M136">
        <v>0</v>
      </c>
      <c r="N136">
        <v>-0.99803378162075995</v>
      </c>
      <c r="O136">
        <v>626.9</v>
      </c>
      <c r="P136">
        <v>418.59999999999997</v>
      </c>
      <c r="Q136">
        <v>37.865000000000002</v>
      </c>
      <c r="R136">
        <v>41.371000000000002</v>
      </c>
      <c r="S136">
        <v>53.652000000000001</v>
      </c>
      <c r="T136">
        <v>77.11</v>
      </c>
      <c r="U136">
        <v>222814</v>
      </c>
      <c r="V136">
        <v>9.5</v>
      </c>
      <c r="W136">
        <v>8.49</v>
      </c>
      <c r="X136">
        <v>7.31</v>
      </c>
      <c r="Y136">
        <v>8.1</v>
      </c>
      <c r="Z136">
        <v>0.46412572299999999</v>
      </c>
      <c r="AA136">
        <v>606.5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>
        <v>1978.75</v>
      </c>
      <c r="B137">
        <v>2482.1999999999998</v>
      </c>
      <c r="C137">
        <v>6420.4236827810964</v>
      </c>
      <c r="D137">
        <v>3963.4976118686131</v>
      </c>
      <c r="E137">
        <v>4348.1484824945728</v>
      </c>
      <c r="F137">
        <v>251.01626016260161</v>
      </c>
      <c r="G137">
        <v>991.56077587035497</v>
      </c>
      <c r="H137">
        <v>5.6336633663366333</v>
      </c>
      <c r="I137">
        <v>4.4448509237241636</v>
      </c>
      <c r="J137">
        <v>182.82287557618642</v>
      </c>
      <c r="K137">
        <v>497.4</v>
      </c>
      <c r="L137">
        <v>225.8</v>
      </c>
      <c r="M137">
        <v>0</v>
      </c>
      <c r="N137">
        <v>-0.294690905955381</v>
      </c>
      <c r="O137">
        <v>650.29999999999995</v>
      </c>
      <c r="P137">
        <v>436.00000000000006</v>
      </c>
      <c r="Q137">
        <v>38.661000000000001</v>
      </c>
      <c r="R137">
        <v>41.972999999999999</v>
      </c>
      <c r="S137">
        <v>53.847999999999999</v>
      </c>
      <c r="T137">
        <v>77.947999999999993</v>
      </c>
      <c r="U137">
        <v>223473</v>
      </c>
      <c r="V137">
        <v>9.7899999999999991</v>
      </c>
      <c r="W137">
        <v>8.82</v>
      </c>
      <c r="X137">
        <v>8.57</v>
      </c>
      <c r="Y137">
        <v>9.58</v>
      </c>
      <c r="Z137">
        <v>0.43537884999999998</v>
      </c>
      <c r="AA137">
        <v>616.79999999999995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>
        <v>1979</v>
      </c>
      <c r="B138">
        <v>2531.6</v>
      </c>
      <c r="C138">
        <v>6433.2181337670263</v>
      </c>
      <c r="D138">
        <v>3983.6567926455568</v>
      </c>
      <c r="E138">
        <v>4383.030418084878</v>
      </c>
      <c r="F138">
        <v>248.07252205212524</v>
      </c>
      <c r="G138">
        <v>993.10605345169506</v>
      </c>
      <c r="H138">
        <v>5.763916942716329</v>
      </c>
      <c r="I138">
        <v>4.3392563834552789</v>
      </c>
      <c r="J138">
        <v>183.28895911869145</v>
      </c>
      <c r="K138">
        <v>502.9</v>
      </c>
      <c r="L138">
        <v>229.1</v>
      </c>
      <c r="M138">
        <v>11</v>
      </c>
      <c r="N138">
        <v>-0.25799884147747598</v>
      </c>
      <c r="O138">
        <v>669.3</v>
      </c>
      <c r="P138">
        <v>451.00000000000006</v>
      </c>
      <c r="Q138">
        <v>39.351999999999997</v>
      </c>
      <c r="R138">
        <v>42.027999999999999</v>
      </c>
      <c r="S138">
        <v>53.545999999999999</v>
      </c>
      <c r="T138">
        <v>78.489999999999995</v>
      </c>
      <c r="U138">
        <v>224051</v>
      </c>
      <c r="V138">
        <v>10.16</v>
      </c>
      <c r="W138">
        <v>9.11</v>
      </c>
      <c r="X138">
        <v>9.3800000000000008</v>
      </c>
      <c r="Y138">
        <v>10.07</v>
      </c>
      <c r="Z138">
        <v>0.41400140499999999</v>
      </c>
      <c r="AA138">
        <v>623.79999999999995</v>
      </c>
      <c r="AB138">
        <v>0</v>
      </c>
      <c r="AC138">
        <v>-0.409836066</v>
      </c>
      <c r="AD138">
        <v>-0.78228476800000002</v>
      </c>
      <c r="AE138">
        <v>-0.76692095400000004</v>
      </c>
      <c r="AF138">
        <v>0</v>
      </c>
    </row>
    <row r="139" spans="1:32" x14ac:dyDescent="0.25">
      <c r="A139">
        <v>1979.25</v>
      </c>
      <c r="B139">
        <v>2595.9</v>
      </c>
      <c r="C139">
        <v>6440.7999206034137</v>
      </c>
      <c r="D139">
        <v>3981.1840293712712</v>
      </c>
      <c r="E139">
        <v>4397.1975473078337</v>
      </c>
      <c r="F139">
        <v>242.43813515844167</v>
      </c>
      <c r="G139">
        <v>992.23579629084475</v>
      </c>
      <c r="H139">
        <v>5.758864351317599</v>
      </c>
      <c r="I139">
        <v>4.2609699769053115</v>
      </c>
      <c r="J139">
        <v>183.09829859888367</v>
      </c>
      <c r="K139">
        <v>517.29999999999995</v>
      </c>
      <c r="L139">
        <v>234.9</v>
      </c>
      <c r="M139">
        <v>0</v>
      </c>
      <c r="N139">
        <v>0.33689665486734599</v>
      </c>
      <c r="O139">
        <v>682.5</v>
      </c>
      <c r="P139">
        <v>461.40000000000003</v>
      </c>
      <c r="Q139">
        <v>40.304000000000002</v>
      </c>
      <c r="R139">
        <v>42.076999999999998</v>
      </c>
      <c r="S139">
        <v>53.448</v>
      </c>
      <c r="T139">
        <v>78.724000000000004</v>
      </c>
      <c r="U139">
        <v>224638</v>
      </c>
      <c r="V139">
        <v>10.39</v>
      </c>
      <c r="W139">
        <v>9.11</v>
      </c>
      <c r="X139">
        <v>9.3800000000000008</v>
      </c>
      <c r="Y139">
        <v>10.18</v>
      </c>
      <c r="Z139">
        <v>0.42059105600000002</v>
      </c>
      <c r="AA139">
        <v>632.6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>
        <v>1979.5</v>
      </c>
      <c r="B140">
        <v>2670.4</v>
      </c>
      <c r="C140">
        <v>6487.0642536135065</v>
      </c>
      <c r="D140">
        <v>4020.5005722247097</v>
      </c>
      <c r="E140">
        <v>4427.1108404679226</v>
      </c>
      <c r="F140">
        <v>249.16101045634554</v>
      </c>
      <c r="G140">
        <v>975.45277385443296</v>
      </c>
      <c r="H140">
        <v>5.9282419589511814</v>
      </c>
      <c r="I140">
        <v>4.2099079694536909</v>
      </c>
      <c r="J140">
        <v>185.59316335813801</v>
      </c>
      <c r="K140">
        <v>531.79999999999995</v>
      </c>
      <c r="L140">
        <v>238.8</v>
      </c>
      <c r="M140">
        <v>0</v>
      </c>
      <c r="N140">
        <v>1.10418837754541</v>
      </c>
      <c r="O140">
        <v>700.4</v>
      </c>
      <c r="P140">
        <v>472.5</v>
      </c>
      <c r="Q140">
        <v>41.164999999999999</v>
      </c>
      <c r="R140">
        <v>42.423999999999999</v>
      </c>
      <c r="S140">
        <v>53.445999999999998</v>
      </c>
      <c r="T140">
        <v>79.376999999999995</v>
      </c>
      <c r="U140">
        <v>225299</v>
      </c>
      <c r="V140">
        <v>10.39</v>
      </c>
      <c r="W140">
        <v>9.1</v>
      </c>
      <c r="X140">
        <v>9.67</v>
      </c>
      <c r="Y140">
        <v>10.95</v>
      </c>
      <c r="Z140">
        <v>0.42895326</v>
      </c>
      <c r="AA140">
        <v>641.9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>
        <v>1979.75</v>
      </c>
      <c r="B141">
        <v>2730.7</v>
      </c>
      <c r="C141">
        <v>6503.8346115371796</v>
      </c>
      <c r="D141">
        <v>4031.3373011053081</v>
      </c>
      <c r="E141">
        <v>4459.9172710213379</v>
      </c>
      <c r="F141">
        <v>242.72616460861732</v>
      </c>
      <c r="G141">
        <v>958.20216859041625</v>
      </c>
      <c r="H141">
        <v>5.9438275636838673</v>
      </c>
      <c r="I141">
        <v>4.0416177394248889</v>
      </c>
      <c r="J141">
        <v>186.11595234145278</v>
      </c>
      <c r="K141">
        <v>550.20000000000005</v>
      </c>
      <c r="L141">
        <v>248.1</v>
      </c>
      <c r="M141">
        <v>0</v>
      </c>
      <c r="N141">
        <v>0.33919749679699002</v>
      </c>
      <c r="O141">
        <v>715.1</v>
      </c>
      <c r="P141">
        <v>481.69999999999993</v>
      </c>
      <c r="Q141">
        <v>41.985999999999997</v>
      </c>
      <c r="R141">
        <v>42.484999999999999</v>
      </c>
      <c r="S141">
        <v>53.341000000000001</v>
      </c>
      <c r="T141">
        <v>79.647999999999996</v>
      </c>
      <c r="U141">
        <v>226024</v>
      </c>
      <c r="V141">
        <v>11.82</v>
      </c>
      <c r="W141">
        <v>10.45</v>
      </c>
      <c r="X141">
        <v>11.84</v>
      </c>
      <c r="Y141">
        <v>13.58</v>
      </c>
      <c r="Z141">
        <v>0.42896205199999998</v>
      </c>
      <c r="AA141">
        <v>655.29999999999995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>
        <v>1980</v>
      </c>
      <c r="B142">
        <v>2796.5</v>
      </c>
      <c r="C142">
        <v>6524.8839216967262</v>
      </c>
      <c r="D142">
        <v>4024.9540072644932</v>
      </c>
      <c r="E142">
        <v>4463.1026344366255</v>
      </c>
      <c r="F142">
        <v>239.00485011996579</v>
      </c>
      <c r="G142">
        <v>951.62923179876111</v>
      </c>
      <c r="H142">
        <v>6.008883342989142</v>
      </c>
      <c r="I142">
        <v>3.7311049606131568</v>
      </c>
      <c r="J142">
        <v>185.50042423218446</v>
      </c>
      <c r="K142">
        <v>571.20000000000005</v>
      </c>
      <c r="L142">
        <v>259.7</v>
      </c>
      <c r="M142">
        <v>169.1</v>
      </c>
      <c r="N142">
        <v>2.3282098209189299</v>
      </c>
      <c r="O142">
        <v>734.6</v>
      </c>
      <c r="P142">
        <v>494.9</v>
      </c>
      <c r="Q142">
        <v>42.859000000000002</v>
      </c>
      <c r="R142">
        <v>42.561999999999998</v>
      </c>
      <c r="S142">
        <v>53.692999999999998</v>
      </c>
      <c r="T142">
        <v>79.269000000000005</v>
      </c>
      <c r="U142">
        <v>226652</v>
      </c>
      <c r="V142">
        <v>13.48</v>
      </c>
      <c r="W142">
        <v>11.99</v>
      </c>
      <c r="X142">
        <v>13.35</v>
      </c>
      <c r="Y142">
        <v>15.05</v>
      </c>
      <c r="Z142">
        <v>0.46461725199999998</v>
      </c>
      <c r="AA142">
        <v>660.2</v>
      </c>
      <c r="AB142">
        <v>0</v>
      </c>
      <c r="AC142">
        <v>6.2378454E-2</v>
      </c>
      <c r="AD142">
        <v>0</v>
      </c>
      <c r="AE142">
        <v>0</v>
      </c>
      <c r="AF142">
        <v>0</v>
      </c>
    </row>
    <row r="143" spans="1:32" x14ac:dyDescent="0.25">
      <c r="A143">
        <v>1980.25</v>
      </c>
      <c r="B143">
        <v>2799.9</v>
      </c>
      <c r="C143">
        <v>6392.465753424658</v>
      </c>
      <c r="D143">
        <v>3934.384712789225</v>
      </c>
      <c r="E143">
        <v>4422.8085676765986</v>
      </c>
      <c r="F143">
        <v>213.16835169257078</v>
      </c>
      <c r="G143">
        <v>870.69514771469755</v>
      </c>
      <c r="H143">
        <v>5.731420439694479</v>
      </c>
      <c r="I143">
        <v>3.0396006136405003</v>
      </c>
      <c r="J143">
        <v>183.23827331848727</v>
      </c>
      <c r="K143">
        <v>586.9</v>
      </c>
      <c r="L143">
        <v>271</v>
      </c>
      <c r="M143">
        <v>0</v>
      </c>
      <c r="N143">
        <v>-1.8466673340859401</v>
      </c>
      <c r="O143">
        <v>729.8</v>
      </c>
      <c r="P143">
        <v>490.4</v>
      </c>
      <c r="Q143">
        <v>43.8</v>
      </c>
      <c r="R143">
        <v>41.374000000000002</v>
      </c>
      <c r="S143">
        <v>53.09</v>
      </c>
      <c r="T143">
        <v>77.930999999999997</v>
      </c>
      <c r="U143">
        <v>227278</v>
      </c>
      <c r="V143">
        <v>13.36</v>
      </c>
      <c r="W143">
        <v>10.48</v>
      </c>
      <c r="X143">
        <v>9.6199999999999992</v>
      </c>
      <c r="Y143">
        <v>12.69</v>
      </c>
      <c r="Z143">
        <v>0.38012993299999998</v>
      </c>
      <c r="AA143">
        <v>689.5</v>
      </c>
      <c r="AB143">
        <v>0</v>
      </c>
      <c r="AC143">
        <v>0.30044333699999998</v>
      </c>
      <c r="AD143">
        <v>0.300873471</v>
      </c>
      <c r="AE143">
        <v>0.30044333699999998</v>
      </c>
      <c r="AF143">
        <v>0.26</v>
      </c>
    </row>
    <row r="144" spans="1:32" x14ac:dyDescent="0.25">
      <c r="A144">
        <v>1980.5</v>
      </c>
      <c r="B144">
        <v>2860</v>
      </c>
      <c r="C144">
        <v>6382.7887877164794</v>
      </c>
      <c r="D144">
        <v>3976.9173659699882</v>
      </c>
      <c r="E144">
        <v>4449.4781592677427</v>
      </c>
      <c r="F144">
        <v>222.6766643944558</v>
      </c>
      <c r="G144">
        <v>813.30595482546198</v>
      </c>
      <c r="H144">
        <v>5.7689299680056871</v>
      </c>
      <c r="I144">
        <v>3.1316725978647684</v>
      </c>
      <c r="J144">
        <v>182.67644173857622</v>
      </c>
      <c r="K144">
        <v>591.79999999999995</v>
      </c>
      <c r="L144">
        <v>272</v>
      </c>
      <c r="M144">
        <v>0</v>
      </c>
      <c r="N144">
        <v>1.31030768356002</v>
      </c>
      <c r="O144">
        <v>756.7</v>
      </c>
      <c r="P144">
        <v>510.40000000000009</v>
      </c>
      <c r="Q144">
        <v>44.808</v>
      </c>
      <c r="R144">
        <v>41.247</v>
      </c>
      <c r="S144">
        <v>53.125999999999998</v>
      </c>
      <c r="T144">
        <v>77.64</v>
      </c>
      <c r="U144">
        <v>227955</v>
      </c>
      <c r="V144">
        <v>13.17</v>
      </c>
      <c r="W144">
        <v>10.95</v>
      </c>
      <c r="X144">
        <v>9.15</v>
      </c>
      <c r="Y144">
        <v>9.84</v>
      </c>
      <c r="Z144">
        <v>0.49225017399999998</v>
      </c>
      <c r="AA144">
        <v>713.3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>
        <v>1980.75</v>
      </c>
      <c r="B145">
        <v>2993.5</v>
      </c>
      <c r="C145">
        <v>6501.1075880641101</v>
      </c>
      <c r="D145">
        <v>4029.6836235097812</v>
      </c>
      <c r="E145">
        <v>4497.5110193265027</v>
      </c>
      <c r="F145">
        <v>229.39833924148982</v>
      </c>
      <c r="G145">
        <v>889.21494332564771</v>
      </c>
      <c r="H145">
        <v>5.8912049938691338</v>
      </c>
      <c r="I145">
        <v>3.4231772450627251</v>
      </c>
      <c r="J145">
        <v>184.63844083312975</v>
      </c>
      <c r="K145">
        <v>613.4</v>
      </c>
      <c r="L145">
        <v>286.8</v>
      </c>
      <c r="M145">
        <v>0</v>
      </c>
      <c r="N145">
        <v>2.0301909911161098</v>
      </c>
      <c r="O145">
        <v>792.69999999999993</v>
      </c>
      <c r="P145">
        <v>536.80000000000007</v>
      </c>
      <c r="Q145">
        <v>46.045999999999999</v>
      </c>
      <c r="R145">
        <v>42.226999999999997</v>
      </c>
      <c r="S145">
        <v>53.707000000000001</v>
      </c>
      <c r="T145">
        <v>78.625</v>
      </c>
      <c r="U145">
        <v>228603</v>
      </c>
      <c r="V145">
        <v>14.67</v>
      </c>
      <c r="W145">
        <v>12.42</v>
      </c>
      <c r="X145">
        <v>13.61</v>
      </c>
      <c r="Y145">
        <v>15.85</v>
      </c>
      <c r="Z145">
        <v>0.45998588200000001</v>
      </c>
      <c r="AA145">
        <v>734.7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>
        <v>1981</v>
      </c>
      <c r="B146">
        <v>3131.8</v>
      </c>
      <c r="C146">
        <v>6635.7318416814987</v>
      </c>
      <c r="D146">
        <v>4050.7766470273168</v>
      </c>
      <c r="E146">
        <v>4505.4978732695754</v>
      </c>
      <c r="F146">
        <v>235.89428867323846</v>
      </c>
      <c r="G146">
        <v>971.68405365126682</v>
      </c>
      <c r="H146">
        <v>6.0113442071267675</v>
      </c>
      <c r="I146">
        <v>3.3402922755741122</v>
      </c>
      <c r="J146">
        <v>185.27633060736514</v>
      </c>
      <c r="K146">
        <v>636</v>
      </c>
      <c r="L146">
        <v>296.5</v>
      </c>
      <c r="M146">
        <v>74.5</v>
      </c>
      <c r="N146">
        <v>-0.1876406873002</v>
      </c>
      <c r="O146">
        <v>844.5</v>
      </c>
      <c r="P146">
        <v>578.1</v>
      </c>
      <c r="Q146">
        <v>47.195999999999998</v>
      </c>
      <c r="R146">
        <v>43.319000000000003</v>
      </c>
      <c r="S146">
        <v>54.798999999999999</v>
      </c>
      <c r="T146">
        <v>79.051000000000002</v>
      </c>
      <c r="U146">
        <v>229077</v>
      </c>
      <c r="V146">
        <v>15.25</v>
      </c>
      <c r="W146">
        <v>12.96</v>
      </c>
      <c r="X146">
        <v>14.39</v>
      </c>
      <c r="Y146">
        <v>16.57</v>
      </c>
      <c r="Z146">
        <v>0.43824136299999999</v>
      </c>
      <c r="AA146">
        <v>766.2</v>
      </c>
      <c r="AB146">
        <v>0</v>
      </c>
      <c r="AC146">
        <v>0.69774298199999996</v>
      </c>
      <c r="AD146">
        <v>0</v>
      </c>
      <c r="AE146">
        <v>0</v>
      </c>
      <c r="AF146">
        <v>0</v>
      </c>
    </row>
    <row r="147" spans="1:32" x14ac:dyDescent="0.25">
      <c r="A147">
        <v>1981.25</v>
      </c>
      <c r="B147">
        <v>3167.3</v>
      </c>
      <c r="C147">
        <v>6587.4253863272388</v>
      </c>
      <c r="D147">
        <v>4050.0273949508996</v>
      </c>
      <c r="E147">
        <v>4530.7808408047867</v>
      </c>
      <c r="F147">
        <v>226.72301017383037</v>
      </c>
      <c r="G147">
        <v>931.26250362700625</v>
      </c>
      <c r="H147">
        <v>6.134294536250513</v>
      </c>
      <c r="I147">
        <v>3.234752671719225</v>
      </c>
      <c r="J147">
        <v>184.29822967545695</v>
      </c>
      <c r="K147">
        <v>649</v>
      </c>
      <c r="L147">
        <v>309.39999999999998</v>
      </c>
      <c r="M147">
        <v>0</v>
      </c>
      <c r="N147">
        <v>0.397470692038222</v>
      </c>
      <c r="O147">
        <v>854.40000000000009</v>
      </c>
      <c r="P147">
        <v>584.5</v>
      </c>
      <c r="Q147">
        <v>48.081000000000003</v>
      </c>
      <c r="R147">
        <v>42.877000000000002</v>
      </c>
      <c r="S147">
        <v>54.329000000000001</v>
      </c>
      <c r="T147">
        <v>78.921000000000006</v>
      </c>
      <c r="U147">
        <v>229580</v>
      </c>
      <c r="V147">
        <v>15.77</v>
      </c>
      <c r="W147">
        <v>13.75</v>
      </c>
      <c r="X147">
        <v>14.91</v>
      </c>
      <c r="Y147">
        <v>17.78</v>
      </c>
      <c r="Z147">
        <v>0.44392237099999998</v>
      </c>
      <c r="AA147">
        <v>778.5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>
        <v>1981.5</v>
      </c>
      <c r="B148">
        <v>3261.2</v>
      </c>
      <c r="C148">
        <v>6662.8529399746658</v>
      </c>
      <c r="D148">
        <v>4066.264435736352</v>
      </c>
      <c r="E148">
        <v>4532.1089847597323</v>
      </c>
      <c r="F148">
        <v>233.63229115462025</v>
      </c>
      <c r="G148">
        <v>983.54970522157373</v>
      </c>
      <c r="H148">
        <v>6.2738310581315151</v>
      </c>
      <c r="I148">
        <v>2.982252995250136</v>
      </c>
      <c r="J148">
        <v>183.5435604919688</v>
      </c>
      <c r="K148">
        <v>655.20000000000005</v>
      </c>
      <c r="L148">
        <v>312.5</v>
      </c>
      <c r="M148">
        <v>0</v>
      </c>
      <c r="N148">
        <v>-8.3095829217462003E-2</v>
      </c>
      <c r="O148">
        <v>877.5</v>
      </c>
      <c r="P148">
        <v>599.6</v>
      </c>
      <c r="Q148">
        <v>48.945999999999998</v>
      </c>
      <c r="R148">
        <v>43.442999999999998</v>
      </c>
      <c r="S148">
        <v>55.024000000000001</v>
      </c>
      <c r="T148">
        <v>78.953000000000003</v>
      </c>
      <c r="U148">
        <v>230188</v>
      </c>
      <c r="V148">
        <v>16.48</v>
      </c>
      <c r="W148">
        <v>14.85</v>
      </c>
      <c r="X148">
        <v>15.05</v>
      </c>
      <c r="Y148">
        <v>17.579999999999998</v>
      </c>
      <c r="Z148">
        <v>0.42554610999999998</v>
      </c>
      <c r="AA148">
        <v>793.1</v>
      </c>
      <c r="AB148">
        <v>0</v>
      </c>
      <c r="AC148">
        <v>-0.27998867500000002</v>
      </c>
      <c r="AD148">
        <v>-0.28841552399999998</v>
      </c>
      <c r="AE148">
        <v>-0.83996602399999998</v>
      </c>
      <c r="AF148">
        <v>1.44</v>
      </c>
    </row>
    <row r="149" spans="1:32" x14ac:dyDescent="0.25">
      <c r="A149">
        <v>1981.75</v>
      </c>
      <c r="B149">
        <v>3283.5</v>
      </c>
      <c r="C149">
        <v>6585.0430178689612</v>
      </c>
      <c r="D149">
        <v>4035.8222367453641</v>
      </c>
      <c r="E149">
        <v>4541.1104946734804</v>
      </c>
      <c r="F149">
        <v>216.83393158010404</v>
      </c>
      <c r="G149">
        <v>948.42199914503453</v>
      </c>
      <c r="H149">
        <v>6.4163631269263099</v>
      </c>
      <c r="I149">
        <v>2.6706990810747935</v>
      </c>
      <c r="J149">
        <v>184.50711517319721</v>
      </c>
      <c r="K149">
        <v>678.8</v>
      </c>
      <c r="L149">
        <v>328.5</v>
      </c>
      <c r="M149">
        <v>0</v>
      </c>
      <c r="N149">
        <v>-1.19004423216521</v>
      </c>
      <c r="O149">
        <v>867.4</v>
      </c>
      <c r="P149">
        <v>586.79999999999995</v>
      </c>
      <c r="Q149">
        <v>49.863</v>
      </c>
      <c r="R149">
        <v>42.716999999999999</v>
      </c>
      <c r="S149">
        <v>54.286000000000001</v>
      </c>
      <c r="T149">
        <v>78.688000000000002</v>
      </c>
      <c r="U149">
        <v>230817</v>
      </c>
      <c r="V149">
        <v>16.68</v>
      </c>
      <c r="W149">
        <v>14.09</v>
      </c>
      <c r="X149">
        <v>11.75</v>
      </c>
      <c r="Y149">
        <v>13.59</v>
      </c>
      <c r="Z149">
        <v>0.38597407900000003</v>
      </c>
      <c r="AA149">
        <v>822.2</v>
      </c>
      <c r="AB149">
        <v>0</v>
      </c>
      <c r="AC149">
        <v>0</v>
      </c>
      <c r="AD149">
        <v>0</v>
      </c>
      <c r="AE149">
        <v>0.55687648599999995</v>
      </c>
      <c r="AF149">
        <v>0</v>
      </c>
    </row>
    <row r="150" spans="1:32" x14ac:dyDescent="0.25">
      <c r="A150">
        <v>1982</v>
      </c>
      <c r="B150">
        <v>3273.8</v>
      </c>
      <c r="C150">
        <v>6474.9510492276659</v>
      </c>
      <c r="D150">
        <v>4062.600838980316</v>
      </c>
      <c r="E150">
        <v>4555.6813163122943</v>
      </c>
      <c r="F150">
        <v>223.78638572271922</v>
      </c>
      <c r="G150">
        <v>854.86355314016669</v>
      </c>
      <c r="H150">
        <v>6.2489066600024996</v>
      </c>
      <c r="I150">
        <v>2.5173252558630499</v>
      </c>
      <c r="J150">
        <v>181.61597028283759</v>
      </c>
      <c r="K150">
        <v>687.4</v>
      </c>
      <c r="L150">
        <v>332.5</v>
      </c>
      <c r="M150">
        <v>0</v>
      </c>
      <c r="N150">
        <v>-0.73001167031361303</v>
      </c>
      <c r="O150">
        <v>862.4</v>
      </c>
      <c r="P150">
        <v>577.9</v>
      </c>
      <c r="Q150">
        <v>50.561</v>
      </c>
      <c r="R150">
        <v>41.74</v>
      </c>
      <c r="S150">
        <v>53.924999999999997</v>
      </c>
      <c r="T150">
        <v>77.403999999999996</v>
      </c>
      <c r="U150">
        <v>231313</v>
      </c>
      <c r="V150">
        <v>17.03</v>
      </c>
      <c r="W150">
        <v>14.29</v>
      </c>
      <c r="X150">
        <v>12.81</v>
      </c>
      <c r="Y150">
        <v>14.23</v>
      </c>
      <c r="Z150">
        <v>0.41852840800000002</v>
      </c>
      <c r="AA150">
        <v>851.5</v>
      </c>
      <c r="AB150">
        <v>0</v>
      </c>
      <c r="AC150">
        <v>-1.355591816</v>
      </c>
      <c r="AD150">
        <v>0</v>
      </c>
      <c r="AE150">
        <v>0</v>
      </c>
      <c r="AF150">
        <v>0</v>
      </c>
    </row>
    <row r="151" spans="1:32" x14ac:dyDescent="0.25">
      <c r="A151">
        <v>1982.25</v>
      </c>
      <c r="B151">
        <v>3331.3</v>
      </c>
      <c r="C151">
        <v>6510.2599179206563</v>
      </c>
      <c r="D151">
        <v>4077.6330509828995</v>
      </c>
      <c r="E151">
        <v>4572.2501482420303</v>
      </c>
      <c r="F151">
        <v>224.61580062192979</v>
      </c>
      <c r="G151">
        <v>853.76903936600172</v>
      </c>
      <c r="H151">
        <v>6.0502438121103639</v>
      </c>
      <c r="I151">
        <v>2.4356046043555937</v>
      </c>
      <c r="J151">
        <v>182.9194927004099</v>
      </c>
      <c r="K151">
        <v>701</v>
      </c>
      <c r="L151">
        <v>339.5</v>
      </c>
      <c r="M151">
        <v>0</v>
      </c>
      <c r="N151">
        <v>-0.185726304092864</v>
      </c>
      <c r="O151">
        <v>873.6</v>
      </c>
      <c r="P151">
        <v>583.19999999999993</v>
      </c>
      <c r="Q151">
        <v>51.17</v>
      </c>
      <c r="R151">
        <v>41.978000000000002</v>
      </c>
      <c r="S151">
        <v>54.097999999999999</v>
      </c>
      <c r="T151">
        <v>77.596999999999994</v>
      </c>
      <c r="U151">
        <v>231815</v>
      </c>
      <c r="V151">
        <v>16.78</v>
      </c>
      <c r="W151">
        <v>13.93</v>
      </c>
      <c r="X151">
        <v>12.42</v>
      </c>
      <c r="Y151">
        <v>14.51</v>
      </c>
      <c r="Z151">
        <v>0.411291927</v>
      </c>
      <c r="AA151">
        <v>875.3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>
        <v>1982.5</v>
      </c>
      <c r="B152">
        <v>3367.1</v>
      </c>
      <c r="C152">
        <v>6486.7936887125052</v>
      </c>
      <c r="D152">
        <v>4109.1202328737481</v>
      </c>
      <c r="E152">
        <v>4607.3899418374695</v>
      </c>
      <c r="F152">
        <v>226.44797355561943</v>
      </c>
      <c r="G152">
        <v>845.78959379278876</v>
      </c>
      <c r="H152">
        <v>5.8735475638335721</v>
      </c>
      <c r="I152">
        <v>2.4328934374719458</v>
      </c>
      <c r="J152">
        <v>181.61458328812822</v>
      </c>
      <c r="K152">
        <v>714.5</v>
      </c>
      <c r="L152">
        <v>347.6</v>
      </c>
      <c r="M152">
        <v>0</v>
      </c>
      <c r="N152">
        <v>8.6255627779890404E-2</v>
      </c>
      <c r="O152">
        <v>869.4</v>
      </c>
      <c r="P152">
        <v>573.5</v>
      </c>
      <c r="Q152">
        <v>51.906999999999996</v>
      </c>
      <c r="R152">
        <v>41.726999999999997</v>
      </c>
      <c r="S152">
        <v>54.118000000000002</v>
      </c>
      <c r="T152">
        <v>77.102999999999994</v>
      </c>
      <c r="U152">
        <v>232393</v>
      </c>
      <c r="V152">
        <v>16.25</v>
      </c>
      <c r="W152">
        <v>13.12</v>
      </c>
      <c r="X152">
        <v>9.32</v>
      </c>
      <c r="Y152">
        <v>11.01</v>
      </c>
      <c r="Z152">
        <v>0.41050422199999997</v>
      </c>
      <c r="AA152">
        <v>929.3</v>
      </c>
      <c r="AB152">
        <v>0</v>
      </c>
      <c r="AC152">
        <v>0</v>
      </c>
      <c r="AD152">
        <v>0</v>
      </c>
      <c r="AE152">
        <v>0</v>
      </c>
      <c r="AF152">
        <v>0.78</v>
      </c>
    </row>
    <row r="153" spans="1:32" x14ac:dyDescent="0.25">
      <c r="A153">
        <v>1982.75</v>
      </c>
      <c r="B153">
        <v>3407.8</v>
      </c>
      <c r="C153">
        <v>6493.1501629098948</v>
      </c>
      <c r="D153">
        <v>4184.0605365028114</v>
      </c>
      <c r="E153">
        <v>4673.9872952835794</v>
      </c>
      <c r="F153">
        <v>236.83055508281004</v>
      </c>
      <c r="G153">
        <v>780.2577180445254</v>
      </c>
      <c r="H153">
        <v>5.771890952270196</v>
      </c>
      <c r="I153">
        <v>2.625522311353429</v>
      </c>
      <c r="J153">
        <v>180.51135610643769</v>
      </c>
      <c r="K153">
        <v>737.2</v>
      </c>
      <c r="L153">
        <v>362.9</v>
      </c>
      <c r="M153">
        <v>0</v>
      </c>
      <c r="N153">
        <v>-0.823321387145862</v>
      </c>
      <c r="O153">
        <v>875.4</v>
      </c>
      <c r="P153">
        <v>576.6</v>
      </c>
      <c r="Q153">
        <v>52.482999999999997</v>
      </c>
      <c r="R153">
        <v>41.741999999999997</v>
      </c>
      <c r="S153">
        <v>54.634999999999998</v>
      </c>
      <c r="T153">
        <v>76.400999999999996</v>
      </c>
      <c r="U153">
        <v>232990</v>
      </c>
      <c r="V153">
        <v>14.39</v>
      </c>
      <c r="W153">
        <v>10.67</v>
      </c>
      <c r="X153">
        <v>7.91</v>
      </c>
      <c r="Y153">
        <v>9.2899999999999991</v>
      </c>
      <c r="Z153">
        <v>0.42050522600000001</v>
      </c>
      <c r="AA153">
        <v>983.6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>
        <v>1983</v>
      </c>
      <c r="B154">
        <v>3480.3</v>
      </c>
      <c r="C154">
        <v>6578.1465590564576</v>
      </c>
      <c r="D154">
        <v>4224.8794599807134</v>
      </c>
      <c r="E154">
        <v>4719.2117430191211</v>
      </c>
      <c r="F154">
        <v>239.16253090702099</v>
      </c>
      <c r="G154">
        <v>807.47647537589421</v>
      </c>
      <c r="H154">
        <v>5.6871046348487457</v>
      </c>
      <c r="I154">
        <v>3.078530307408478</v>
      </c>
      <c r="J154">
        <v>181.6725483187501</v>
      </c>
      <c r="K154">
        <v>748.8</v>
      </c>
      <c r="L154">
        <v>370.1</v>
      </c>
      <c r="M154">
        <v>0</v>
      </c>
      <c r="N154">
        <v>0.158959870455709</v>
      </c>
      <c r="O154">
        <v>885.30000000000007</v>
      </c>
      <c r="P154">
        <v>583.70000000000005</v>
      </c>
      <c r="Q154">
        <v>52.906999999999996</v>
      </c>
      <c r="R154">
        <v>42.378999999999998</v>
      </c>
      <c r="S154">
        <v>55.177999999999997</v>
      </c>
      <c r="T154">
        <v>76.805000000000007</v>
      </c>
      <c r="U154">
        <v>233469</v>
      </c>
      <c r="V154">
        <v>13.83</v>
      </c>
      <c r="W154">
        <v>10.56</v>
      </c>
      <c r="X154">
        <v>8.11</v>
      </c>
      <c r="Y154">
        <v>8.65</v>
      </c>
      <c r="Z154">
        <v>0.48649051799999998</v>
      </c>
      <c r="AA154">
        <v>1035.9000000000001</v>
      </c>
      <c r="AB154">
        <v>0</v>
      </c>
      <c r="AC154">
        <v>-0.91341748199999995</v>
      </c>
      <c r="AD154">
        <v>0</v>
      </c>
      <c r="AE154">
        <v>0</v>
      </c>
      <c r="AF154">
        <v>0</v>
      </c>
    </row>
    <row r="155" spans="1:32" x14ac:dyDescent="0.25">
      <c r="A155">
        <v>1983.25</v>
      </c>
      <c r="B155">
        <v>3583.8</v>
      </c>
      <c r="C155">
        <v>6728.2455646296821</v>
      </c>
      <c r="D155">
        <v>4308.4008561382052</v>
      </c>
      <c r="E155">
        <v>4777.2882286098074</v>
      </c>
      <c r="F155">
        <v>256.62383695170587</v>
      </c>
      <c r="G155">
        <v>879.1555065385221</v>
      </c>
      <c r="H155">
        <v>5.7665677546983183</v>
      </c>
      <c r="I155">
        <v>3.4363499312730013</v>
      </c>
      <c r="J155">
        <v>183.42784619219142</v>
      </c>
      <c r="K155">
        <v>761</v>
      </c>
      <c r="L155">
        <v>378.8</v>
      </c>
      <c r="M155">
        <v>0</v>
      </c>
      <c r="N155">
        <v>0.25646468062461297</v>
      </c>
      <c r="O155">
        <v>922.8</v>
      </c>
      <c r="P155">
        <v>608.80000000000007</v>
      </c>
      <c r="Q155">
        <v>53.265000000000001</v>
      </c>
      <c r="R155">
        <v>43.584000000000003</v>
      </c>
      <c r="S155">
        <v>56.179000000000002</v>
      </c>
      <c r="T155">
        <v>77.581000000000003</v>
      </c>
      <c r="U155">
        <v>233940</v>
      </c>
      <c r="V155">
        <v>13.25</v>
      </c>
      <c r="W155">
        <v>10.54</v>
      </c>
      <c r="X155">
        <v>8.4</v>
      </c>
      <c r="Y155">
        <v>8.8000000000000007</v>
      </c>
      <c r="Z155">
        <v>0.45922544599999998</v>
      </c>
      <c r="AA155">
        <v>1098.4000000000001</v>
      </c>
      <c r="AB155">
        <v>0</v>
      </c>
      <c r="AC155">
        <v>0</v>
      </c>
      <c r="AD155">
        <v>0</v>
      </c>
      <c r="AE155">
        <v>0</v>
      </c>
      <c r="AF155">
        <v>1.1200000000000001</v>
      </c>
    </row>
    <row r="156" spans="1:32" x14ac:dyDescent="0.25">
      <c r="A156">
        <v>1983.5</v>
      </c>
      <c r="B156">
        <v>3692.3</v>
      </c>
      <c r="C156">
        <v>6860.0784051427827</v>
      </c>
      <c r="D156">
        <v>4383.9827982949191</v>
      </c>
      <c r="E156">
        <v>4846.4402036139154</v>
      </c>
      <c r="F156">
        <v>266.50215916101172</v>
      </c>
      <c r="G156">
        <v>934.27290565605335</v>
      </c>
      <c r="H156">
        <v>6.0108477598632879</v>
      </c>
      <c r="I156">
        <v>3.7718795467571975</v>
      </c>
      <c r="J156">
        <v>186.25845088349186</v>
      </c>
      <c r="K156">
        <v>780.9</v>
      </c>
      <c r="L156">
        <v>391.7</v>
      </c>
      <c r="M156">
        <v>0</v>
      </c>
      <c r="N156">
        <v>-0.241398835609203</v>
      </c>
      <c r="O156">
        <v>927.6</v>
      </c>
      <c r="P156">
        <v>601.60000000000014</v>
      </c>
      <c r="Q156">
        <v>53.823</v>
      </c>
      <c r="R156">
        <v>44.631999999999998</v>
      </c>
      <c r="S156">
        <v>56.4</v>
      </c>
      <c r="T156">
        <v>79.135000000000005</v>
      </c>
      <c r="U156">
        <v>234503</v>
      </c>
      <c r="V156">
        <v>13.53</v>
      </c>
      <c r="W156">
        <v>11.63</v>
      </c>
      <c r="X156">
        <v>9.14</v>
      </c>
      <c r="Y156">
        <v>9.4600000000000009</v>
      </c>
      <c r="Z156">
        <v>0.47016847099999998</v>
      </c>
      <c r="AA156">
        <v>1142.5999999999999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>
        <v>1983.75</v>
      </c>
      <c r="B157">
        <v>3796.1</v>
      </c>
      <c r="C157">
        <v>7001.4201663623453</v>
      </c>
      <c r="D157">
        <v>4453.1674504880921</v>
      </c>
      <c r="E157">
        <v>4898.7271782387961</v>
      </c>
      <c r="F157">
        <v>279.64127445656931</v>
      </c>
      <c r="G157">
        <v>1025.1398242209793</v>
      </c>
      <c r="H157">
        <v>6.3741516817754</v>
      </c>
      <c r="I157">
        <v>3.9316388749262412</v>
      </c>
      <c r="J157">
        <v>188.36613492705095</v>
      </c>
      <c r="K157">
        <v>772.3</v>
      </c>
      <c r="L157">
        <v>380.1</v>
      </c>
      <c r="M157">
        <v>0</v>
      </c>
      <c r="N157">
        <v>-0.72477550116874501</v>
      </c>
      <c r="O157">
        <v>951.69999999999993</v>
      </c>
      <c r="P157">
        <v>616.1</v>
      </c>
      <c r="Q157">
        <v>54.219000000000001</v>
      </c>
      <c r="R157">
        <v>45.746000000000002</v>
      </c>
      <c r="S157">
        <v>56.896000000000001</v>
      </c>
      <c r="T157">
        <v>80.402000000000001</v>
      </c>
      <c r="U157">
        <v>235073</v>
      </c>
      <c r="V157">
        <v>13.61</v>
      </c>
      <c r="W157">
        <v>11.69</v>
      </c>
      <c r="X157">
        <v>8.8000000000000007</v>
      </c>
      <c r="Y157">
        <v>9.43</v>
      </c>
      <c r="Z157">
        <v>0.48173522899999999</v>
      </c>
      <c r="AA157">
        <v>1168.8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>
        <v>1984</v>
      </c>
      <c r="B158">
        <v>3912.8</v>
      </c>
      <c r="C158">
        <v>7140.6672019855469</v>
      </c>
      <c r="D158">
        <v>4490.9913249796109</v>
      </c>
      <c r="E158">
        <v>4918.5913272975286</v>
      </c>
      <c r="F158">
        <v>290.1240512313201</v>
      </c>
      <c r="G158">
        <v>1124.2040027291334</v>
      </c>
      <c r="H158">
        <v>6.5767493658355507</v>
      </c>
      <c r="I158">
        <v>4.0483895488999417</v>
      </c>
      <c r="J158">
        <v>191.73568833262817</v>
      </c>
      <c r="K158">
        <v>794.2</v>
      </c>
      <c r="L158">
        <v>391.1</v>
      </c>
      <c r="M158">
        <v>0</v>
      </c>
      <c r="N158">
        <v>8.8204640979976101E-2</v>
      </c>
      <c r="O158">
        <v>996.8</v>
      </c>
      <c r="P158">
        <v>648.80000000000007</v>
      </c>
      <c r="Q158">
        <v>54.795999999999999</v>
      </c>
      <c r="R158">
        <v>46.872</v>
      </c>
      <c r="S158">
        <v>57.185000000000002</v>
      </c>
      <c r="T158">
        <v>81.965999999999994</v>
      </c>
      <c r="U158">
        <v>235529</v>
      </c>
      <c r="V158">
        <v>13.74</v>
      </c>
      <c r="W158">
        <v>11.94</v>
      </c>
      <c r="X158">
        <v>9.17</v>
      </c>
      <c r="Y158">
        <v>9.69</v>
      </c>
      <c r="Z158">
        <v>0.47957929999999999</v>
      </c>
      <c r="AA158">
        <v>1217.7</v>
      </c>
      <c r="AB158">
        <v>0</v>
      </c>
      <c r="AC158">
        <v>-0.62998739999999998</v>
      </c>
      <c r="AD158">
        <v>0</v>
      </c>
      <c r="AE158">
        <v>0</v>
      </c>
      <c r="AF158">
        <v>0</v>
      </c>
    </row>
    <row r="159" spans="1:32" x14ac:dyDescent="0.25">
      <c r="A159">
        <v>1984.25</v>
      </c>
      <c r="B159">
        <v>4015</v>
      </c>
      <c r="C159">
        <v>7266.0477405577576</v>
      </c>
      <c r="D159">
        <v>4554.8334985497668</v>
      </c>
      <c r="E159">
        <v>4981.8691859215614</v>
      </c>
      <c r="F159">
        <v>296.92203295460479</v>
      </c>
      <c r="G159">
        <v>1160.6877099485494</v>
      </c>
      <c r="H159">
        <v>6.8829055403506167</v>
      </c>
      <c r="I159">
        <v>4.1196485485399261</v>
      </c>
      <c r="J159">
        <v>194.40922835531964</v>
      </c>
      <c r="K159">
        <v>819.2</v>
      </c>
      <c r="L159">
        <v>406.9</v>
      </c>
      <c r="M159">
        <v>0</v>
      </c>
      <c r="N159">
        <v>5.9903784524861399E-2</v>
      </c>
      <c r="O159">
        <v>1016.0999999999999</v>
      </c>
      <c r="P159">
        <v>659.69999999999993</v>
      </c>
      <c r="Q159">
        <v>55.256999999999998</v>
      </c>
      <c r="R159">
        <v>47.890999999999998</v>
      </c>
      <c r="S159">
        <v>57.69</v>
      </c>
      <c r="T159">
        <v>83.015000000000001</v>
      </c>
      <c r="U159">
        <v>235997</v>
      </c>
      <c r="V159">
        <v>14.7</v>
      </c>
      <c r="W159">
        <v>13.2</v>
      </c>
      <c r="X159">
        <v>9.8000000000000007</v>
      </c>
      <c r="Y159">
        <v>10.56</v>
      </c>
      <c r="Z159">
        <v>0.49356144699999999</v>
      </c>
      <c r="AA159">
        <v>1262.3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>
        <v>1984.5</v>
      </c>
      <c r="B160">
        <v>4087.4</v>
      </c>
      <c r="C160">
        <v>7337.5819046764209</v>
      </c>
      <c r="D160">
        <v>4589.8682988141427</v>
      </c>
      <c r="E160">
        <v>5026.1254293785141</v>
      </c>
      <c r="F160">
        <v>297.01079171043835</v>
      </c>
      <c r="G160">
        <v>1185.8417087202974</v>
      </c>
      <c r="H160">
        <v>7.0931233854102596</v>
      </c>
      <c r="I160">
        <v>4.0720989761092152</v>
      </c>
      <c r="J160">
        <v>195.10590531579498</v>
      </c>
      <c r="K160">
        <v>832.7</v>
      </c>
      <c r="L160">
        <v>409.5</v>
      </c>
      <c r="M160">
        <v>0</v>
      </c>
      <c r="N160">
        <v>0.52176978235049098</v>
      </c>
      <c r="O160">
        <v>1026.5</v>
      </c>
      <c r="P160">
        <v>666.30000000000007</v>
      </c>
      <c r="Q160">
        <v>55.704999999999998</v>
      </c>
      <c r="R160">
        <v>48.366999999999997</v>
      </c>
      <c r="S160">
        <v>57.982999999999997</v>
      </c>
      <c r="T160">
        <v>83.415000000000006</v>
      </c>
      <c r="U160">
        <v>236552</v>
      </c>
      <c r="V160">
        <v>14.71</v>
      </c>
      <c r="W160">
        <v>12.87</v>
      </c>
      <c r="X160">
        <v>10.32</v>
      </c>
      <c r="Y160">
        <v>11.39</v>
      </c>
      <c r="Z160">
        <v>0.46053850699999999</v>
      </c>
      <c r="AA160">
        <v>1314.6</v>
      </c>
      <c r="AB160">
        <v>0</v>
      </c>
      <c r="AC160">
        <v>0.20109597300000001</v>
      </c>
      <c r="AD160">
        <v>0.204684123</v>
      </c>
      <c r="AE160">
        <v>0.20109597300000001</v>
      </c>
      <c r="AF160">
        <v>0</v>
      </c>
    </row>
    <row r="161" spans="1:32" x14ac:dyDescent="0.25">
      <c r="A161">
        <v>1984.75</v>
      </c>
      <c r="B161">
        <v>4147.6000000000004</v>
      </c>
      <c r="C161">
        <v>7395.9949357156875</v>
      </c>
      <c r="D161">
        <v>4650.5186552978876</v>
      </c>
      <c r="E161">
        <v>5077.3789360112951</v>
      </c>
      <c r="F161">
        <v>306.59110209882323</v>
      </c>
      <c r="G161">
        <v>1170.3370154084289</v>
      </c>
      <c r="H161">
        <v>7.2604624874056967</v>
      </c>
      <c r="I161">
        <v>4.0763281349055402</v>
      </c>
      <c r="J161">
        <v>195.80869485087342</v>
      </c>
      <c r="K161">
        <v>854.7</v>
      </c>
      <c r="L161">
        <v>423</v>
      </c>
      <c r="M161">
        <v>0</v>
      </c>
      <c r="N161">
        <v>-0.24167066544087201</v>
      </c>
      <c r="O161">
        <v>1048.0999999999999</v>
      </c>
      <c r="P161">
        <v>680.39999999999986</v>
      </c>
      <c r="Q161">
        <v>56.079000000000001</v>
      </c>
      <c r="R161">
        <v>48.734999999999999</v>
      </c>
      <c r="S161">
        <v>58.093000000000004</v>
      </c>
      <c r="T161">
        <v>83.891999999999996</v>
      </c>
      <c r="U161">
        <v>237150</v>
      </c>
      <c r="V161">
        <v>13.61</v>
      </c>
      <c r="W161">
        <v>11.74</v>
      </c>
      <c r="X161">
        <v>8.8000000000000007</v>
      </c>
      <c r="Y161">
        <v>9.27</v>
      </c>
      <c r="Z161">
        <v>0.45230135300000002</v>
      </c>
      <c r="AA161">
        <v>1366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>
        <v>1985</v>
      </c>
      <c r="B162">
        <v>4237</v>
      </c>
      <c r="C162">
        <v>7469.5014455962209</v>
      </c>
      <c r="D162">
        <v>4729.6958855098392</v>
      </c>
      <c r="E162">
        <v>5149.2978271804941</v>
      </c>
      <c r="F162">
        <v>317.26873006293647</v>
      </c>
      <c r="G162">
        <v>1138.3633654738144</v>
      </c>
      <c r="H162">
        <v>7.3417194370613519</v>
      </c>
      <c r="I162">
        <v>4.0848092213200955</v>
      </c>
      <c r="J162">
        <v>197.13099020130207</v>
      </c>
      <c r="K162">
        <v>874.5</v>
      </c>
      <c r="L162">
        <v>432.2</v>
      </c>
      <c r="M162">
        <v>0</v>
      </c>
      <c r="N162">
        <v>0.55866690592534896</v>
      </c>
      <c r="O162">
        <v>1107.4000000000001</v>
      </c>
      <c r="P162">
        <v>730.59999999999991</v>
      </c>
      <c r="Q162">
        <v>56.723999999999997</v>
      </c>
      <c r="R162">
        <v>49.279000000000003</v>
      </c>
      <c r="S162">
        <v>58.292999999999999</v>
      </c>
      <c r="T162">
        <v>84.537000000000006</v>
      </c>
      <c r="U162">
        <v>237601</v>
      </c>
      <c r="V162">
        <v>13.39</v>
      </c>
      <c r="W162">
        <v>11.58</v>
      </c>
      <c r="X162">
        <v>8.18</v>
      </c>
      <c r="Y162">
        <v>8.48</v>
      </c>
      <c r="Z162">
        <v>0.47482085200000002</v>
      </c>
      <c r="AA162">
        <v>1410.2</v>
      </c>
      <c r="AB162">
        <v>0</v>
      </c>
      <c r="AC162">
        <v>0.213618158</v>
      </c>
      <c r="AD162">
        <v>0</v>
      </c>
      <c r="AE162">
        <v>0</v>
      </c>
      <c r="AF162">
        <v>0</v>
      </c>
    </row>
    <row r="163" spans="1:32" x14ac:dyDescent="0.25">
      <c r="A163">
        <v>1985.25</v>
      </c>
      <c r="B163">
        <v>4302.3</v>
      </c>
      <c r="C163">
        <v>7537.976346911958</v>
      </c>
      <c r="D163">
        <v>4774.0859661882878</v>
      </c>
      <c r="E163">
        <v>5195.6806598154144</v>
      </c>
      <c r="F163">
        <v>321.09618262829224</v>
      </c>
      <c r="G163">
        <v>1157.6471905708447</v>
      </c>
      <c r="H163">
        <v>7.4473027828043241</v>
      </c>
      <c r="I163">
        <v>4.1196222455403992</v>
      </c>
      <c r="J163">
        <v>198.29755302963684</v>
      </c>
      <c r="K163">
        <v>898.5</v>
      </c>
      <c r="L163">
        <v>443.8</v>
      </c>
      <c r="M163">
        <v>0</v>
      </c>
      <c r="N163">
        <v>-0.56530886198230901</v>
      </c>
      <c r="O163">
        <v>1070.5</v>
      </c>
      <c r="P163">
        <v>686.9</v>
      </c>
      <c r="Q163">
        <v>57.075000000000003</v>
      </c>
      <c r="R163">
        <v>49.768999999999998</v>
      </c>
      <c r="S163">
        <v>58.567999999999998</v>
      </c>
      <c r="T163">
        <v>84.977000000000004</v>
      </c>
      <c r="U163">
        <v>238081</v>
      </c>
      <c r="V163">
        <v>13.02</v>
      </c>
      <c r="W163">
        <v>10.81</v>
      </c>
      <c r="X163">
        <v>7.46</v>
      </c>
      <c r="Y163">
        <v>7.92</v>
      </c>
      <c r="Z163">
        <v>0.45990982699999999</v>
      </c>
      <c r="AA163">
        <v>1467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>
        <v>1985.5</v>
      </c>
      <c r="B164">
        <v>4394.6000000000004</v>
      </c>
      <c r="C164">
        <v>7655.2973556771085</v>
      </c>
      <c r="D164">
        <v>4865.7162970784939</v>
      </c>
      <c r="E164">
        <v>5258.0765341469196</v>
      </c>
      <c r="F164">
        <v>341.64835638274951</v>
      </c>
      <c r="G164">
        <v>1149.8818231402879</v>
      </c>
      <c r="H164">
        <v>7.3622023265728727</v>
      </c>
      <c r="I164">
        <v>4.1960081670069593</v>
      </c>
      <c r="J164">
        <v>199.17437600582628</v>
      </c>
      <c r="K164">
        <v>924.6</v>
      </c>
      <c r="L164">
        <v>458.7</v>
      </c>
      <c r="M164">
        <v>0</v>
      </c>
      <c r="N164">
        <v>-0.35345805012379899</v>
      </c>
      <c r="O164">
        <v>1119</v>
      </c>
      <c r="P164">
        <v>729.2</v>
      </c>
      <c r="Q164">
        <v>57.405999999999999</v>
      </c>
      <c r="R164">
        <v>50.646000000000001</v>
      </c>
      <c r="S164">
        <v>59.521999999999998</v>
      </c>
      <c r="T164">
        <v>85.087999999999994</v>
      </c>
      <c r="U164">
        <v>238681</v>
      </c>
      <c r="V164">
        <v>12.47</v>
      </c>
      <c r="W164">
        <v>10.34</v>
      </c>
      <c r="X164">
        <v>7.11</v>
      </c>
      <c r="Y164">
        <v>7.9</v>
      </c>
      <c r="Z164">
        <v>0.437315762</v>
      </c>
      <c r="AA164">
        <v>1513.2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>
        <v>1985.75</v>
      </c>
      <c r="B165">
        <v>4453.1000000000004</v>
      </c>
      <c r="C165">
        <v>7712.5982888219205</v>
      </c>
      <c r="D165">
        <v>4878.2576777193199</v>
      </c>
      <c r="E165">
        <v>5303.9721682114141</v>
      </c>
      <c r="F165">
        <v>329.88095749709913</v>
      </c>
      <c r="G165">
        <v>1192.1439172226308</v>
      </c>
      <c r="H165">
        <v>7.4961191423304552</v>
      </c>
      <c r="I165">
        <v>4.2888600769689864</v>
      </c>
      <c r="J165">
        <v>200.24021830570828</v>
      </c>
      <c r="K165">
        <v>936.1</v>
      </c>
      <c r="L165">
        <v>462.4</v>
      </c>
      <c r="M165">
        <v>0</v>
      </c>
      <c r="N165">
        <v>0.29380360363109898</v>
      </c>
      <c r="O165">
        <v>1131.7</v>
      </c>
      <c r="P165">
        <v>736.6</v>
      </c>
      <c r="Q165">
        <v>57.738</v>
      </c>
      <c r="R165">
        <v>51.021999999999998</v>
      </c>
      <c r="S165">
        <v>59.738999999999997</v>
      </c>
      <c r="T165">
        <v>85.409000000000006</v>
      </c>
      <c r="U165">
        <v>239299</v>
      </c>
      <c r="V165">
        <v>11.98</v>
      </c>
      <c r="W165">
        <v>9.76</v>
      </c>
      <c r="X165">
        <v>7.17</v>
      </c>
      <c r="Y165">
        <v>8.1</v>
      </c>
      <c r="Z165">
        <v>0.396718293</v>
      </c>
      <c r="AA165">
        <v>1588.3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>
        <v>1986</v>
      </c>
      <c r="B166">
        <v>4516.3</v>
      </c>
      <c r="C166">
        <v>7784.039986211651</v>
      </c>
      <c r="D166">
        <v>4919.5605768730147</v>
      </c>
      <c r="E166">
        <v>5339.1559707886709</v>
      </c>
      <c r="F166">
        <v>336.55333631269554</v>
      </c>
      <c r="G166">
        <v>1191.9222593379898</v>
      </c>
      <c r="H166">
        <v>7.4212512701408038</v>
      </c>
      <c r="I166">
        <v>4.461472794162483</v>
      </c>
      <c r="J166">
        <v>199.93008436340946</v>
      </c>
      <c r="K166">
        <v>944.2</v>
      </c>
      <c r="L166">
        <v>459.7</v>
      </c>
      <c r="M166">
        <v>0</v>
      </c>
      <c r="N166">
        <v>0.165139569145627</v>
      </c>
      <c r="O166">
        <v>1147.8</v>
      </c>
      <c r="P166">
        <v>744.69999999999993</v>
      </c>
      <c r="Q166">
        <v>58.02</v>
      </c>
      <c r="R166">
        <v>51.517000000000003</v>
      </c>
      <c r="S166">
        <v>60.296999999999997</v>
      </c>
      <c r="T166">
        <v>85.438999999999993</v>
      </c>
      <c r="U166">
        <v>239785</v>
      </c>
      <c r="V166">
        <v>11.02</v>
      </c>
      <c r="W166">
        <v>8.56</v>
      </c>
      <c r="X166">
        <v>6.9</v>
      </c>
      <c r="Y166">
        <v>7.83</v>
      </c>
      <c r="Z166">
        <v>0.272626221</v>
      </c>
      <c r="AA166">
        <v>1629.6</v>
      </c>
      <c r="AB166">
        <v>0</v>
      </c>
      <c r="AC166">
        <v>9.5767967999999995E-2</v>
      </c>
      <c r="AD166">
        <v>0</v>
      </c>
      <c r="AE166">
        <v>0</v>
      </c>
      <c r="AF166">
        <v>0</v>
      </c>
    </row>
    <row r="167" spans="1:32" x14ac:dyDescent="0.25">
      <c r="A167">
        <v>1986.25</v>
      </c>
      <c r="B167">
        <v>4555.2</v>
      </c>
      <c r="C167">
        <v>7819.8173453271984</v>
      </c>
      <c r="D167">
        <v>4974.5452018139804</v>
      </c>
      <c r="E167">
        <v>5377.9901522902755</v>
      </c>
      <c r="F167">
        <v>348.47408903072358</v>
      </c>
      <c r="G167">
        <v>1170.9935370796363</v>
      </c>
      <c r="H167">
        <v>7.2708481053732168</v>
      </c>
      <c r="I167">
        <v>4.7192774235078758</v>
      </c>
      <c r="J167">
        <v>200.60520021946502</v>
      </c>
      <c r="K167">
        <v>965.8</v>
      </c>
      <c r="L167">
        <v>474.5</v>
      </c>
      <c r="M167">
        <v>0</v>
      </c>
      <c r="N167">
        <v>-0.44817335515184498</v>
      </c>
      <c r="O167">
        <v>1156.0999999999999</v>
      </c>
      <c r="P167">
        <v>748.80000000000007</v>
      </c>
      <c r="Q167">
        <v>58.252000000000002</v>
      </c>
      <c r="R167">
        <v>51.723999999999997</v>
      </c>
      <c r="S167">
        <v>60.68</v>
      </c>
      <c r="T167">
        <v>85.241</v>
      </c>
      <c r="U167">
        <v>240275</v>
      </c>
      <c r="V167">
        <v>10.27</v>
      </c>
      <c r="W167">
        <v>7.6</v>
      </c>
      <c r="X167">
        <v>6.14</v>
      </c>
      <c r="Y167">
        <v>6.92</v>
      </c>
      <c r="Z167">
        <v>0.24009756700000001</v>
      </c>
      <c r="AA167">
        <v>1690.8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>
        <v>1986.5</v>
      </c>
      <c r="B168">
        <v>4619.6000000000004</v>
      </c>
      <c r="C168">
        <v>7898.5073606100505</v>
      </c>
      <c r="D168">
        <v>5064.6544272724132</v>
      </c>
      <c r="E168">
        <v>5415.1411265643046</v>
      </c>
      <c r="F168">
        <v>378.18299067482371</v>
      </c>
      <c r="G168">
        <v>1139.4993728527022</v>
      </c>
      <c r="H168">
        <v>7.1878880504346165</v>
      </c>
      <c r="I168">
        <v>4.7832734348628954</v>
      </c>
      <c r="J168">
        <v>200.95858435664738</v>
      </c>
      <c r="K168">
        <v>993</v>
      </c>
      <c r="L168">
        <v>492.9</v>
      </c>
      <c r="M168">
        <v>0</v>
      </c>
      <c r="N168">
        <v>-9.5275011038020205E-2</v>
      </c>
      <c r="O168">
        <v>1178.0999999999999</v>
      </c>
      <c r="P168">
        <v>762.5</v>
      </c>
      <c r="Q168">
        <v>58.487000000000002</v>
      </c>
      <c r="R168">
        <v>52.298000000000002</v>
      </c>
      <c r="S168">
        <v>61.024000000000001</v>
      </c>
      <c r="T168">
        <v>85.700999999999993</v>
      </c>
      <c r="U168">
        <v>240858</v>
      </c>
      <c r="V168">
        <v>10.18</v>
      </c>
      <c r="W168">
        <v>7.31</v>
      </c>
      <c r="X168">
        <v>5.52</v>
      </c>
      <c r="Y168">
        <v>6.21</v>
      </c>
      <c r="Z168">
        <v>0.16992211300000001</v>
      </c>
      <c r="AA168">
        <v>1751.1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>
        <v>1986.75</v>
      </c>
      <c r="B169">
        <v>4669.3999999999996</v>
      </c>
      <c r="C169">
        <v>7939.4011528063511</v>
      </c>
      <c r="D169">
        <v>5097.092383832829</v>
      </c>
      <c r="E169">
        <v>5471.4690433238384</v>
      </c>
      <c r="F169">
        <v>372.16719258871768</v>
      </c>
      <c r="G169">
        <v>1143.0083883052364</v>
      </c>
      <c r="H169">
        <v>7.2574702260679391</v>
      </c>
      <c r="I169">
        <v>4.796591533809786</v>
      </c>
      <c r="J169">
        <v>202.6874592853857</v>
      </c>
      <c r="K169">
        <v>994.8</v>
      </c>
      <c r="L169">
        <v>486.4</v>
      </c>
      <c r="M169">
        <v>-89.4</v>
      </c>
      <c r="N169">
        <v>0.39789867050250199</v>
      </c>
      <c r="O169">
        <v>1215.0999999999999</v>
      </c>
      <c r="P169">
        <v>788.09999999999991</v>
      </c>
      <c r="Q169">
        <v>58.813000000000002</v>
      </c>
      <c r="R169">
        <v>52.533999999999999</v>
      </c>
      <c r="S169">
        <v>60.85</v>
      </c>
      <c r="T169">
        <v>86.332999999999998</v>
      </c>
      <c r="U169">
        <v>241454</v>
      </c>
      <c r="V169">
        <v>10.09</v>
      </c>
      <c r="W169">
        <v>7.26</v>
      </c>
      <c r="X169">
        <v>5.35</v>
      </c>
      <c r="Y169">
        <v>6.27</v>
      </c>
      <c r="Z169">
        <v>0.236751974</v>
      </c>
      <c r="AA169">
        <v>1802.3</v>
      </c>
      <c r="AB169">
        <v>0</v>
      </c>
      <c r="AC169">
        <v>0.499329095</v>
      </c>
      <c r="AD169">
        <v>0.505421593</v>
      </c>
      <c r="AE169">
        <v>0.499329095</v>
      </c>
      <c r="AF169">
        <v>0.27</v>
      </c>
    </row>
    <row r="170" spans="1:32" x14ac:dyDescent="0.25">
      <c r="A170">
        <v>1987</v>
      </c>
      <c r="B170">
        <v>4736.2</v>
      </c>
      <c r="C170">
        <v>7994.9358541525989</v>
      </c>
      <c r="D170">
        <v>5097.9358656102286</v>
      </c>
      <c r="E170">
        <v>5529.1446611476504</v>
      </c>
      <c r="F170">
        <v>350.12130845812766</v>
      </c>
      <c r="G170">
        <v>1173.807599029911</v>
      </c>
      <c r="H170">
        <v>7.0859314686145263</v>
      </c>
      <c r="I170">
        <v>4.7882457979115713</v>
      </c>
      <c r="J170">
        <v>204.98179127118635</v>
      </c>
      <c r="K170">
        <v>1008</v>
      </c>
      <c r="L170">
        <v>489.6</v>
      </c>
      <c r="M170">
        <v>0</v>
      </c>
      <c r="N170">
        <v>0.84535612307796204</v>
      </c>
      <c r="O170">
        <v>1222.4000000000001</v>
      </c>
      <c r="P170">
        <v>791.5</v>
      </c>
      <c r="Q170">
        <v>59.24</v>
      </c>
      <c r="R170">
        <v>52.901000000000003</v>
      </c>
      <c r="S170">
        <v>60.575000000000003</v>
      </c>
      <c r="T170">
        <v>87.331000000000003</v>
      </c>
      <c r="U170">
        <v>241931</v>
      </c>
      <c r="V170">
        <v>9.66</v>
      </c>
      <c r="W170">
        <v>7.19</v>
      </c>
      <c r="X170">
        <v>5.54</v>
      </c>
      <c r="Y170">
        <v>6.22</v>
      </c>
      <c r="Z170">
        <v>0.29378458899999998</v>
      </c>
      <c r="AA170">
        <v>1833</v>
      </c>
      <c r="AB170">
        <v>0</v>
      </c>
      <c r="AC170">
        <v>-0.156053578</v>
      </c>
      <c r="AD170">
        <v>-0.158475117</v>
      </c>
      <c r="AE170">
        <v>-0.16</v>
      </c>
      <c r="AF170">
        <v>0</v>
      </c>
    </row>
    <row r="171" spans="1:32" x14ac:dyDescent="0.25">
      <c r="A171">
        <v>1987.25</v>
      </c>
      <c r="B171">
        <v>4821.5</v>
      </c>
      <c r="C171">
        <v>8084.746046917182</v>
      </c>
      <c r="D171">
        <v>5168.5923131336949</v>
      </c>
      <c r="E171">
        <v>5581.4523343929332</v>
      </c>
      <c r="F171">
        <v>364.4769825854541</v>
      </c>
      <c r="G171">
        <v>1174.4326574459515</v>
      </c>
      <c r="H171">
        <v>7.2285721075018419</v>
      </c>
      <c r="I171">
        <v>4.8043252395428482</v>
      </c>
      <c r="J171">
        <v>205.50990141650894</v>
      </c>
      <c r="K171">
        <v>1025</v>
      </c>
      <c r="L171">
        <v>499.2</v>
      </c>
      <c r="M171">
        <v>0</v>
      </c>
      <c r="N171">
        <v>-1.0252049221303099</v>
      </c>
      <c r="O171">
        <v>1309.2</v>
      </c>
      <c r="P171">
        <v>860</v>
      </c>
      <c r="Q171">
        <v>59.637</v>
      </c>
      <c r="R171">
        <v>53.567</v>
      </c>
      <c r="S171">
        <v>60.959000000000003</v>
      </c>
      <c r="T171">
        <v>87.873000000000005</v>
      </c>
      <c r="U171">
        <v>242428</v>
      </c>
      <c r="V171">
        <v>10.36</v>
      </c>
      <c r="W171">
        <v>8.34</v>
      </c>
      <c r="X171">
        <v>5.66</v>
      </c>
      <c r="Y171">
        <v>6.65</v>
      </c>
      <c r="Z171">
        <v>0.28720185199999998</v>
      </c>
      <c r="AA171">
        <v>1877.9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>
        <v>1987.5</v>
      </c>
      <c r="B172">
        <v>4900.5</v>
      </c>
      <c r="C172">
        <v>8157.9823539204262</v>
      </c>
      <c r="D172">
        <v>5228.5127897081647</v>
      </c>
      <c r="E172">
        <v>5618.5102046001575</v>
      </c>
      <c r="F172">
        <v>379.50585947157623</v>
      </c>
      <c r="G172">
        <v>1174.6180648619672</v>
      </c>
      <c r="H172">
        <v>7.4293587352867814</v>
      </c>
      <c r="I172">
        <v>4.764990660618305</v>
      </c>
      <c r="J172">
        <v>206.19474137719905</v>
      </c>
      <c r="K172">
        <v>1036</v>
      </c>
      <c r="L172">
        <v>502.2</v>
      </c>
      <c r="M172">
        <v>0</v>
      </c>
      <c r="N172">
        <v>9.2668858034118395E-2</v>
      </c>
      <c r="O172">
        <v>1303.5999999999999</v>
      </c>
      <c r="P172">
        <v>853.3</v>
      </c>
      <c r="Q172">
        <v>60.07</v>
      </c>
      <c r="R172">
        <v>53.985999999999997</v>
      </c>
      <c r="S172">
        <v>61.052</v>
      </c>
      <c r="T172">
        <v>88.426000000000002</v>
      </c>
      <c r="U172">
        <v>243013</v>
      </c>
      <c r="V172">
        <v>10.91</v>
      </c>
      <c r="W172">
        <v>8.8800000000000008</v>
      </c>
      <c r="X172">
        <v>6.04</v>
      </c>
      <c r="Y172">
        <v>6.84</v>
      </c>
      <c r="Z172">
        <v>0.31426423799999997</v>
      </c>
      <c r="AA172">
        <v>1902.8</v>
      </c>
      <c r="AB172">
        <v>0</v>
      </c>
      <c r="AC172">
        <v>-0.41948068300000002</v>
      </c>
      <c r="AD172">
        <v>0</v>
      </c>
      <c r="AE172">
        <v>0</v>
      </c>
      <c r="AF172">
        <v>0</v>
      </c>
    </row>
    <row r="173" spans="1:32" x14ac:dyDescent="0.25">
      <c r="A173">
        <v>1987.75</v>
      </c>
      <c r="B173">
        <v>5022.7</v>
      </c>
      <c r="C173">
        <v>8292.7997094127168</v>
      </c>
      <c r="D173">
        <v>5239.4263691549368</v>
      </c>
      <c r="E173">
        <v>5658.4986067695345</v>
      </c>
      <c r="F173">
        <v>369.24869913494524</v>
      </c>
      <c r="G173">
        <v>1254.6727113656248</v>
      </c>
      <c r="H173">
        <v>7.4192181873808574</v>
      </c>
      <c r="I173">
        <v>4.7717920646306018</v>
      </c>
      <c r="J173">
        <v>209.31034616477987</v>
      </c>
      <c r="K173">
        <v>1054</v>
      </c>
      <c r="L173">
        <v>509.8</v>
      </c>
      <c r="M173">
        <v>0</v>
      </c>
      <c r="N173">
        <v>-1.13493358807547E-2</v>
      </c>
      <c r="O173">
        <v>1328.4</v>
      </c>
      <c r="P173">
        <v>870.5</v>
      </c>
      <c r="Q173">
        <v>60.567</v>
      </c>
      <c r="R173">
        <v>54.972000000000001</v>
      </c>
      <c r="S173">
        <v>61.540999999999997</v>
      </c>
      <c r="T173">
        <v>89.325999999999993</v>
      </c>
      <c r="U173">
        <v>243631</v>
      </c>
      <c r="V173">
        <v>11.38</v>
      </c>
      <c r="W173">
        <v>9.1199999999999992</v>
      </c>
      <c r="X173">
        <v>5.86</v>
      </c>
      <c r="Y173">
        <v>6.92</v>
      </c>
      <c r="Z173">
        <v>0.25208962000000001</v>
      </c>
      <c r="AA173">
        <v>1944.6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>
        <v>1988</v>
      </c>
      <c r="B174">
        <v>5090.6000000000004</v>
      </c>
      <c r="C174">
        <v>8339.3673312255305</v>
      </c>
      <c r="D174">
        <v>5332.6986836490169</v>
      </c>
      <c r="E174">
        <v>5731.6976637396883</v>
      </c>
      <c r="F174">
        <v>386.73079294610926</v>
      </c>
      <c r="G174">
        <v>1194.4418882856353</v>
      </c>
      <c r="H174">
        <v>7.4791307186494418</v>
      </c>
      <c r="I174">
        <v>4.6870314842578713</v>
      </c>
      <c r="J174">
        <v>209.77079571993585</v>
      </c>
      <c r="K174">
        <v>1057</v>
      </c>
      <c r="L174">
        <v>504</v>
      </c>
      <c r="M174">
        <v>-242</v>
      </c>
      <c r="N174">
        <v>-0.32638202325478199</v>
      </c>
      <c r="O174">
        <v>1347.8</v>
      </c>
      <c r="P174">
        <v>884.59999999999991</v>
      </c>
      <c r="Q174">
        <v>61.042999999999999</v>
      </c>
      <c r="R174">
        <v>55.198999999999998</v>
      </c>
      <c r="S174">
        <v>61.753</v>
      </c>
      <c r="T174">
        <v>89.385999999999996</v>
      </c>
      <c r="U174">
        <v>244130</v>
      </c>
      <c r="V174">
        <v>10.75</v>
      </c>
      <c r="W174">
        <v>8.42</v>
      </c>
      <c r="X174">
        <v>5.72</v>
      </c>
      <c r="Y174">
        <v>6.66</v>
      </c>
      <c r="Z174">
        <v>0.26741471900000002</v>
      </c>
      <c r="AA174">
        <v>1988.7</v>
      </c>
      <c r="AB174">
        <v>0</v>
      </c>
      <c r="AC174">
        <v>0.38571053500000002</v>
      </c>
      <c r="AD174">
        <v>0.22117097699999999</v>
      </c>
      <c r="AE174">
        <v>0.218102508</v>
      </c>
      <c r="AF174">
        <v>0</v>
      </c>
    </row>
    <row r="175" spans="1:32" x14ac:dyDescent="0.25">
      <c r="A175">
        <v>1988.25</v>
      </c>
      <c r="B175">
        <v>5207.7</v>
      </c>
      <c r="C175">
        <v>8449.5319066084721</v>
      </c>
      <c r="D175">
        <v>5371.8404519553887</v>
      </c>
      <c r="E175">
        <v>5780.4318366612033</v>
      </c>
      <c r="F175">
        <v>386.87945581790831</v>
      </c>
      <c r="G175">
        <v>1222.8154196435582</v>
      </c>
      <c r="H175">
        <v>7.6469019262214291</v>
      </c>
      <c r="I175">
        <v>4.7451016807503015</v>
      </c>
      <c r="J175">
        <v>212.71279578067509</v>
      </c>
      <c r="K175">
        <v>1070.8</v>
      </c>
      <c r="L175">
        <v>505.4</v>
      </c>
      <c r="M175">
        <v>0</v>
      </c>
      <c r="N175">
        <v>1.5125777748670901</v>
      </c>
      <c r="O175">
        <v>1365.8</v>
      </c>
      <c r="P175">
        <v>895.19999999999993</v>
      </c>
      <c r="Q175">
        <v>61.633000000000003</v>
      </c>
      <c r="R175">
        <v>56.043999999999997</v>
      </c>
      <c r="S175">
        <v>61.845999999999997</v>
      </c>
      <c r="T175">
        <v>90.619</v>
      </c>
      <c r="U175">
        <v>244620</v>
      </c>
      <c r="V175">
        <v>10.98</v>
      </c>
      <c r="W175">
        <v>8.91</v>
      </c>
      <c r="X175">
        <v>6.21</v>
      </c>
      <c r="Y175">
        <v>7.16</v>
      </c>
      <c r="Z175">
        <v>0.28555539299999999</v>
      </c>
      <c r="AA175">
        <v>2021.2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>
        <v>1988.5</v>
      </c>
      <c r="B176">
        <v>5299.5</v>
      </c>
      <c r="C176">
        <v>8498.3723279719052</v>
      </c>
      <c r="D176">
        <v>5417.5887616665068</v>
      </c>
      <c r="E176">
        <v>5850.691099262538</v>
      </c>
      <c r="F176">
        <v>381.86467508219346</v>
      </c>
      <c r="G176">
        <v>1229.6526427088909</v>
      </c>
      <c r="H176">
        <v>7.6941730755906601</v>
      </c>
      <c r="I176">
        <v>4.748206745219524</v>
      </c>
      <c r="J176">
        <v>212.96443840205694</v>
      </c>
      <c r="K176">
        <v>1078.4000000000001</v>
      </c>
      <c r="L176">
        <v>505.8</v>
      </c>
      <c r="M176">
        <v>0</v>
      </c>
      <c r="N176">
        <v>6.8626322972736298E-2</v>
      </c>
      <c r="O176">
        <v>1395.4</v>
      </c>
      <c r="P176">
        <v>910.6</v>
      </c>
      <c r="Q176">
        <v>62.359000000000002</v>
      </c>
      <c r="R176">
        <v>56.32</v>
      </c>
      <c r="S176">
        <v>62.029000000000003</v>
      </c>
      <c r="T176">
        <v>90.796000000000006</v>
      </c>
      <c r="U176">
        <v>245242</v>
      </c>
      <c r="V176">
        <v>11.07</v>
      </c>
      <c r="W176">
        <v>9.1</v>
      </c>
      <c r="X176">
        <v>7.01</v>
      </c>
      <c r="Y176">
        <v>7.98</v>
      </c>
      <c r="Z176">
        <v>0.27511101999999998</v>
      </c>
      <c r="AA176">
        <v>2061.5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>
        <v>1988.75</v>
      </c>
      <c r="B177">
        <v>5412.7</v>
      </c>
      <c r="C177">
        <v>8610.8592246138178</v>
      </c>
      <c r="D177">
        <v>5479.73262626423</v>
      </c>
      <c r="E177">
        <v>5903.8956444357354</v>
      </c>
      <c r="F177">
        <v>391.77450806594572</v>
      </c>
      <c r="G177">
        <v>1248.5087400798798</v>
      </c>
      <c r="H177">
        <v>7.8014346677039601</v>
      </c>
      <c r="I177">
        <v>4.7792103436940714</v>
      </c>
      <c r="J177">
        <v>215.22278509537361</v>
      </c>
      <c r="K177">
        <v>1106.4000000000001</v>
      </c>
      <c r="L177">
        <v>520</v>
      </c>
      <c r="M177">
        <v>-58.8</v>
      </c>
      <c r="N177">
        <v>-0.36841612434076099</v>
      </c>
      <c r="O177">
        <v>1423.4</v>
      </c>
      <c r="P177">
        <v>927.99999999999989</v>
      </c>
      <c r="Q177">
        <v>62.859000000000002</v>
      </c>
      <c r="R177">
        <v>57.097000000000001</v>
      </c>
      <c r="S177">
        <v>62.164999999999999</v>
      </c>
      <c r="T177">
        <v>91.847999999999999</v>
      </c>
      <c r="U177">
        <v>245878</v>
      </c>
      <c r="V177">
        <v>10.51</v>
      </c>
      <c r="W177">
        <v>8.9600000000000009</v>
      </c>
      <c r="X177">
        <v>7.73</v>
      </c>
      <c r="Y177">
        <v>8.4700000000000006</v>
      </c>
      <c r="Z177">
        <v>0.28401866599999998</v>
      </c>
      <c r="AA177">
        <v>2086.8000000000002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>
        <v>1989</v>
      </c>
      <c r="B178">
        <v>5527.4</v>
      </c>
      <c r="C178">
        <v>8697.7183320220302</v>
      </c>
      <c r="D178">
        <v>5505.0322661684122</v>
      </c>
      <c r="E178">
        <v>5939.7094120207876</v>
      </c>
      <c r="F178">
        <v>389.96544508494418</v>
      </c>
      <c r="G178">
        <v>1290.7284258094332</v>
      </c>
      <c r="H178">
        <v>7.9249277275727845</v>
      </c>
      <c r="I178">
        <v>4.7328798185941041</v>
      </c>
      <c r="J178">
        <v>217.21706992619539</v>
      </c>
      <c r="K178">
        <v>1116.9000000000001</v>
      </c>
      <c r="L178">
        <v>517.5</v>
      </c>
      <c r="M178">
        <v>0</v>
      </c>
      <c r="N178">
        <v>0.695385231474279</v>
      </c>
      <c r="O178">
        <v>1482.4</v>
      </c>
      <c r="P178">
        <v>971</v>
      </c>
      <c r="Q178">
        <v>63.55</v>
      </c>
      <c r="R178">
        <v>57.746000000000002</v>
      </c>
      <c r="S178">
        <v>62.284999999999997</v>
      </c>
      <c r="T178">
        <v>92.712999999999994</v>
      </c>
      <c r="U178">
        <v>246377</v>
      </c>
      <c r="V178">
        <v>10.64</v>
      </c>
      <c r="W178">
        <v>9.2100000000000009</v>
      </c>
      <c r="X178">
        <v>8.5399999999999991</v>
      </c>
      <c r="Y178">
        <v>9.44</v>
      </c>
      <c r="Z178">
        <v>0.300031722</v>
      </c>
      <c r="AA178">
        <v>2122.9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>
        <v>1989.25</v>
      </c>
      <c r="B179">
        <v>5628.4</v>
      </c>
      <c r="C179">
        <v>8766.0223963119297</v>
      </c>
      <c r="D179">
        <v>5530.850041835818</v>
      </c>
      <c r="E179">
        <v>5959.3728969144813</v>
      </c>
      <c r="F179">
        <v>395.1774413201955</v>
      </c>
      <c r="G179">
        <v>1278.3020675035436</v>
      </c>
      <c r="H179">
        <v>8.0330432417731839</v>
      </c>
      <c r="I179">
        <v>4.5843937058675941</v>
      </c>
      <c r="J179">
        <v>218.4534839564127</v>
      </c>
      <c r="K179">
        <v>1146.0999999999999</v>
      </c>
      <c r="L179">
        <v>531.79999999999995</v>
      </c>
      <c r="M179">
        <v>0</v>
      </c>
      <c r="N179">
        <v>2.1305662427660101E-2</v>
      </c>
      <c r="O179">
        <v>1491.8</v>
      </c>
      <c r="P179">
        <v>970.19999999999993</v>
      </c>
      <c r="Q179">
        <v>64.206999999999994</v>
      </c>
      <c r="R179">
        <v>58.203000000000003</v>
      </c>
      <c r="S179">
        <v>62.613</v>
      </c>
      <c r="T179">
        <v>92.956999999999994</v>
      </c>
      <c r="U179">
        <v>246914</v>
      </c>
      <c r="V179">
        <v>10.37</v>
      </c>
      <c r="W179">
        <v>8.77</v>
      </c>
      <c r="X179">
        <v>8.41</v>
      </c>
      <c r="Y179">
        <v>9.73</v>
      </c>
      <c r="Z179">
        <v>0.229987368</v>
      </c>
      <c r="AA179">
        <v>2151.6999999999998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>
        <v>1989.5</v>
      </c>
      <c r="B180">
        <v>5711.6</v>
      </c>
      <c r="C180">
        <v>8831.6427511133115</v>
      </c>
      <c r="D180">
        <v>5585.9242596986405</v>
      </c>
      <c r="E180">
        <v>6006.6469402390121</v>
      </c>
      <c r="F180">
        <v>404.11468032898262</v>
      </c>
      <c r="G180">
        <v>1266.9412871564066</v>
      </c>
      <c r="H180">
        <v>8.2391517459745121</v>
      </c>
      <c r="I180">
        <v>4.5630703837979745</v>
      </c>
      <c r="J180">
        <v>218.71079462069022</v>
      </c>
      <c r="K180">
        <v>1164.5999999999999</v>
      </c>
      <c r="L180">
        <v>538.5</v>
      </c>
      <c r="M180">
        <v>0</v>
      </c>
      <c r="N180">
        <v>-0.44167961258738803</v>
      </c>
      <c r="O180">
        <v>1502.1</v>
      </c>
      <c r="P180">
        <v>980.4</v>
      </c>
      <c r="Q180">
        <v>64.671999999999997</v>
      </c>
      <c r="R180">
        <v>58.646999999999998</v>
      </c>
      <c r="S180">
        <v>62.866</v>
      </c>
      <c r="T180">
        <v>93.289000000000001</v>
      </c>
      <c r="U180">
        <v>247577</v>
      </c>
      <c r="V180">
        <v>9.89</v>
      </c>
      <c r="W180">
        <v>8.11</v>
      </c>
      <c r="X180">
        <v>7.84</v>
      </c>
      <c r="Y180">
        <v>9.08</v>
      </c>
      <c r="Z180">
        <v>0.21056798099999999</v>
      </c>
      <c r="AA180">
        <v>2189.6999999999998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>
        <v>1989.75</v>
      </c>
      <c r="B181">
        <v>5763.4</v>
      </c>
      <c r="C181">
        <v>8850.1581646755312</v>
      </c>
      <c r="D181">
        <v>5610.4868913857672</v>
      </c>
      <c r="E181">
        <v>6067.0870490413026</v>
      </c>
      <c r="F181">
        <v>391.88037252137059</v>
      </c>
      <c r="G181">
        <v>1257.6082838742266</v>
      </c>
      <c r="H181">
        <v>8.156926940844059</v>
      </c>
      <c r="I181">
        <v>4.4663912480717745</v>
      </c>
      <c r="J181">
        <v>219.82393407777374</v>
      </c>
      <c r="K181">
        <v>1180.2</v>
      </c>
      <c r="L181">
        <v>537.70000000000005</v>
      </c>
      <c r="M181">
        <v>-507.6</v>
      </c>
      <c r="N181">
        <v>-2.1053341539587298</v>
      </c>
      <c r="O181">
        <v>1514.7</v>
      </c>
      <c r="P181">
        <v>994.80000000000007</v>
      </c>
      <c r="Q181">
        <v>65.122</v>
      </c>
      <c r="R181">
        <v>58.698</v>
      </c>
      <c r="S181">
        <v>62.93</v>
      </c>
      <c r="T181">
        <v>93.275000000000006</v>
      </c>
      <c r="U181">
        <v>248276</v>
      </c>
      <c r="V181">
        <v>9.81</v>
      </c>
      <c r="W181">
        <v>7.91</v>
      </c>
      <c r="X181">
        <v>7.65</v>
      </c>
      <c r="Y181">
        <v>8.61</v>
      </c>
      <c r="Z181">
        <v>0.189897075</v>
      </c>
      <c r="AA181">
        <v>2237.5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>
        <v>1990</v>
      </c>
      <c r="B182">
        <v>5890.8</v>
      </c>
      <c r="C182">
        <v>8947.00870278398</v>
      </c>
      <c r="D182">
        <v>5658.7137711193836</v>
      </c>
      <c r="E182">
        <v>6087.9764642350774</v>
      </c>
      <c r="F182">
        <v>408.4220202388405</v>
      </c>
      <c r="G182">
        <v>1269.929015641686</v>
      </c>
      <c r="H182">
        <v>8.2604914596619547</v>
      </c>
      <c r="I182">
        <v>4.5055351202942679</v>
      </c>
      <c r="J182">
        <v>219.98956779272834</v>
      </c>
      <c r="K182">
        <v>1214</v>
      </c>
      <c r="L182">
        <v>552.6</v>
      </c>
      <c r="M182">
        <v>0</v>
      </c>
      <c r="N182">
        <v>1.1819431386482999</v>
      </c>
      <c r="O182">
        <v>1545.6</v>
      </c>
      <c r="P182">
        <v>1003.6999999999999</v>
      </c>
      <c r="Q182">
        <v>65.840999999999994</v>
      </c>
      <c r="R182">
        <v>59.372</v>
      </c>
      <c r="S182">
        <v>63.585999999999999</v>
      </c>
      <c r="T182">
        <v>93.373000000000005</v>
      </c>
      <c r="U182">
        <v>248833</v>
      </c>
      <c r="V182">
        <v>10.1</v>
      </c>
      <c r="W182">
        <v>8.42</v>
      </c>
      <c r="X182">
        <v>7.76</v>
      </c>
      <c r="Y182">
        <v>8.25</v>
      </c>
      <c r="Z182">
        <v>0.254759878</v>
      </c>
      <c r="AA182">
        <v>2317.3000000000002</v>
      </c>
      <c r="AB182">
        <v>0</v>
      </c>
      <c r="AC182">
        <v>0.180183332</v>
      </c>
      <c r="AD182">
        <v>0</v>
      </c>
      <c r="AE182">
        <v>0</v>
      </c>
      <c r="AF182">
        <v>0</v>
      </c>
    </row>
    <row r="183" spans="1:32" x14ac:dyDescent="0.25">
      <c r="A183">
        <v>1990.25</v>
      </c>
      <c r="B183">
        <v>5974.7</v>
      </c>
      <c r="C183">
        <v>8981.809981960314</v>
      </c>
      <c r="D183">
        <v>5676.5154004720225</v>
      </c>
      <c r="E183">
        <v>6142.1495472084162</v>
      </c>
      <c r="F183">
        <v>394.90678013105457</v>
      </c>
      <c r="G183">
        <v>1270.5010391366402</v>
      </c>
      <c r="H183">
        <v>8.1537009273141212</v>
      </c>
      <c r="I183">
        <v>4.328086105949585</v>
      </c>
      <c r="J183">
        <v>218.73950294511485</v>
      </c>
      <c r="K183">
        <v>1228.5999999999999</v>
      </c>
      <c r="L183">
        <v>559.5</v>
      </c>
      <c r="M183">
        <v>0</v>
      </c>
      <c r="N183">
        <v>-0.88713088339878099</v>
      </c>
      <c r="O183">
        <v>1567.2</v>
      </c>
      <c r="P183">
        <v>1020.7</v>
      </c>
      <c r="Q183">
        <v>66.52</v>
      </c>
      <c r="R183">
        <v>59.558999999999997</v>
      </c>
      <c r="S183">
        <v>64.19</v>
      </c>
      <c r="T183">
        <v>92.784999999999997</v>
      </c>
      <c r="U183">
        <v>249573</v>
      </c>
      <c r="V183">
        <v>10.31</v>
      </c>
      <c r="W183">
        <v>8.68</v>
      </c>
      <c r="X183">
        <v>7.75</v>
      </c>
      <c r="Y183">
        <v>8.24</v>
      </c>
      <c r="Z183">
        <v>0.24675397600000001</v>
      </c>
      <c r="AA183">
        <v>2379.6999999999998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>
        <v>1990.5</v>
      </c>
      <c r="B184">
        <v>6029.5</v>
      </c>
      <c r="C184">
        <v>8983.9675775546075</v>
      </c>
      <c r="D184">
        <v>5699.3228790181001</v>
      </c>
      <c r="E184">
        <v>6179.8810749954946</v>
      </c>
      <c r="F184">
        <v>390.93313902836957</v>
      </c>
      <c r="G184">
        <v>1245.705322909924</v>
      </c>
      <c r="H184">
        <v>8.2093420834941799</v>
      </c>
      <c r="I184">
        <v>4.0951399682168246</v>
      </c>
      <c r="J184">
        <v>218.79881795281347</v>
      </c>
      <c r="K184">
        <v>1240.4000000000001</v>
      </c>
      <c r="L184">
        <v>558</v>
      </c>
      <c r="M184">
        <v>0</v>
      </c>
      <c r="N184">
        <v>-0.23852911896357001</v>
      </c>
      <c r="O184">
        <v>1591.4</v>
      </c>
      <c r="P184">
        <v>1033.9999999999998</v>
      </c>
      <c r="Q184">
        <v>67.114000000000004</v>
      </c>
      <c r="R184">
        <v>59.457000000000001</v>
      </c>
      <c r="S184">
        <v>64.554000000000002</v>
      </c>
      <c r="T184">
        <v>92.103999999999999</v>
      </c>
      <c r="U184">
        <v>250441</v>
      </c>
      <c r="V184">
        <v>10.42</v>
      </c>
      <c r="W184">
        <v>8.6999999999999993</v>
      </c>
      <c r="X184">
        <v>7.48</v>
      </c>
      <c r="Y184">
        <v>8.16</v>
      </c>
      <c r="Z184">
        <v>0.25291448799999999</v>
      </c>
      <c r="AA184">
        <v>2446.6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>
        <v>1990.75</v>
      </c>
      <c r="B185">
        <v>6023.3</v>
      </c>
      <c r="C185">
        <v>8907.3082724557098</v>
      </c>
      <c r="D185">
        <v>5656.1244102743312</v>
      </c>
      <c r="E185">
        <v>6151.080611268173</v>
      </c>
      <c r="F185">
        <v>380.11002560940909</v>
      </c>
      <c r="G185">
        <v>1176.3245444163067</v>
      </c>
      <c r="H185">
        <v>8.0821362436036512</v>
      </c>
      <c r="I185">
        <v>3.8595022584977068</v>
      </c>
      <c r="J185">
        <v>218.17243605972979</v>
      </c>
      <c r="K185">
        <v>1270.4000000000001</v>
      </c>
      <c r="L185">
        <v>570</v>
      </c>
      <c r="M185">
        <v>112.1</v>
      </c>
      <c r="N185">
        <v>8.4130707123670406E-2</v>
      </c>
      <c r="O185">
        <v>1597.3000000000002</v>
      </c>
      <c r="P185">
        <v>1032</v>
      </c>
      <c r="Q185">
        <v>67.622</v>
      </c>
      <c r="R185">
        <v>58.72</v>
      </c>
      <c r="S185">
        <v>63.972000000000001</v>
      </c>
      <c r="T185">
        <v>91.790999999999997</v>
      </c>
      <c r="U185">
        <v>251343</v>
      </c>
      <c r="V185">
        <v>10.6</v>
      </c>
      <c r="W185">
        <v>8.4</v>
      </c>
      <c r="X185">
        <v>6.99</v>
      </c>
      <c r="Y185">
        <v>7.74</v>
      </c>
      <c r="Z185">
        <v>0.24610939600000001</v>
      </c>
      <c r="AA185">
        <v>2528.8000000000002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>
        <v>1991</v>
      </c>
      <c r="B186">
        <v>6054.9</v>
      </c>
      <c r="C186">
        <v>8865.6729530279954</v>
      </c>
      <c r="D186">
        <v>5636.6639619798307</v>
      </c>
      <c r="E186">
        <v>6150.8343280439231</v>
      </c>
      <c r="F186">
        <v>369.68243518605595</v>
      </c>
      <c r="G186">
        <v>1137.1295043660066</v>
      </c>
      <c r="H186">
        <v>7.9192664532580972</v>
      </c>
      <c r="I186">
        <v>3.6558653779292123</v>
      </c>
      <c r="J186">
        <v>216.53870157866982</v>
      </c>
      <c r="K186">
        <v>1287.2</v>
      </c>
      <c r="L186">
        <v>582.9</v>
      </c>
      <c r="M186">
        <v>0</v>
      </c>
      <c r="N186">
        <v>-0.427538016546538</v>
      </c>
      <c r="O186">
        <v>1591</v>
      </c>
      <c r="P186">
        <v>1028.9000000000001</v>
      </c>
      <c r="Q186">
        <v>68.296000000000006</v>
      </c>
      <c r="R186">
        <v>58.256999999999998</v>
      </c>
      <c r="S186">
        <v>64.141000000000005</v>
      </c>
      <c r="T186">
        <v>90.826999999999998</v>
      </c>
      <c r="U186">
        <v>252132</v>
      </c>
      <c r="V186">
        <v>10.199999999999999</v>
      </c>
      <c r="W186">
        <v>8.02</v>
      </c>
      <c r="X186">
        <v>6.02</v>
      </c>
      <c r="Y186">
        <v>6.43</v>
      </c>
      <c r="Z186">
        <v>0.25425311900000003</v>
      </c>
      <c r="AA186">
        <v>2585.3000000000002</v>
      </c>
      <c r="AB186">
        <v>0</v>
      </c>
      <c r="AC186">
        <v>0.59782608699999995</v>
      </c>
      <c r="AD186">
        <v>0.60212110799999996</v>
      </c>
      <c r="AE186">
        <v>0.59782608699999995</v>
      </c>
      <c r="AF186">
        <v>0</v>
      </c>
    </row>
    <row r="187" spans="1:32" x14ac:dyDescent="0.25">
      <c r="A187">
        <v>1991.25</v>
      </c>
      <c r="B187">
        <v>6143.6</v>
      </c>
      <c r="C187">
        <v>8934.3261008667323</v>
      </c>
      <c r="D187">
        <v>5684.0390879478828</v>
      </c>
      <c r="E187">
        <v>6205.3706728277675</v>
      </c>
      <c r="F187">
        <v>371.49669702536841</v>
      </c>
      <c r="G187">
        <v>1137.2674161716334</v>
      </c>
      <c r="H187">
        <v>7.8800429347413603</v>
      </c>
      <c r="I187">
        <v>3.7683616796719557</v>
      </c>
      <c r="J187">
        <v>215.55721888017365</v>
      </c>
      <c r="K187">
        <v>1296.5999999999999</v>
      </c>
      <c r="L187">
        <v>585.5</v>
      </c>
      <c r="M187">
        <v>0</v>
      </c>
      <c r="N187">
        <v>0.47347063690910601</v>
      </c>
      <c r="O187">
        <v>1601.7</v>
      </c>
      <c r="P187">
        <v>1031.2</v>
      </c>
      <c r="Q187">
        <v>68.763999999999996</v>
      </c>
      <c r="R187">
        <v>58.835000000000001</v>
      </c>
      <c r="S187">
        <v>65.171999999999997</v>
      </c>
      <c r="T187">
        <v>90.277000000000001</v>
      </c>
      <c r="U187">
        <v>252921</v>
      </c>
      <c r="V187">
        <v>9.92</v>
      </c>
      <c r="W187">
        <v>8.1300000000000008</v>
      </c>
      <c r="X187">
        <v>5.56</v>
      </c>
      <c r="Y187">
        <v>5.86</v>
      </c>
      <c r="Z187">
        <v>0.29136237500000001</v>
      </c>
      <c r="AA187">
        <v>2654.5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>
        <v>1991.5</v>
      </c>
      <c r="B188">
        <v>6218.4</v>
      </c>
      <c r="C188">
        <v>8977.1759372879642</v>
      </c>
      <c r="D188">
        <v>5711.5860903924067</v>
      </c>
      <c r="E188">
        <v>6226.5045692490758</v>
      </c>
      <c r="F188">
        <v>377.21593918434741</v>
      </c>
      <c r="G188">
        <v>1159.8584911434552</v>
      </c>
      <c r="H188">
        <v>7.8122287797257419</v>
      </c>
      <c r="I188">
        <v>3.8958358416897432</v>
      </c>
      <c r="J188">
        <v>215.74585210515986</v>
      </c>
      <c r="K188">
        <v>1302.4000000000001</v>
      </c>
      <c r="L188">
        <v>580.9</v>
      </c>
      <c r="M188">
        <v>0</v>
      </c>
      <c r="N188">
        <v>8.6102845795971205E-4</v>
      </c>
      <c r="O188">
        <v>1621.1000000000001</v>
      </c>
      <c r="P188">
        <v>1039.5</v>
      </c>
      <c r="Q188">
        <v>69.269000000000005</v>
      </c>
      <c r="R188">
        <v>59.167999999999999</v>
      </c>
      <c r="S188">
        <v>65.593000000000004</v>
      </c>
      <c r="T188">
        <v>90.204999999999998</v>
      </c>
      <c r="U188">
        <v>253809</v>
      </c>
      <c r="V188">
        <v>9.68</v>
      </c>
      <c r="W188">
        <v>7.94</v>
      </c>
      <c r="X188">
        <v>5.38</v>
      </c>
      <c r="Y188">
        <v>5.64</v>
      </c>
      <c r="Z188">
        <v>0.26714521600000002</v>
      </c>
      <c r="AA188">
        <v>2755.5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>
        <v>1991.75</v>
      </c>
      <c r="B189">
        <v>6279.3</v>
      </c>
      <c r="C189">
        <v>9016.4122740261046</v>
      </c>
      <c r="D189">
        <v>5710.0823016019676</v>
      </c>
      <c r="E189">
        <v>6238.4579741808129</v>
      </c>
      <c r="F189">
        <v>371.1216812783685</v>
      </c>
      <c r="G189">
        <v>1201.0258046308454</v>
      </c>
      <c r="H189">
        <v>7.8086574245358991</v>
      </c>
      <c r="I189">
        <v>3.9734070108789501</v>
      </c>
      <c r="J189">
        <v>215.59074621869757</v>
      </c>
      <c r="K189">
        <v>1306.5</v>
      </c>
      <c r="L189">
        <v>573.70000000000005</v>
      </c>
      <c r="M189">
        <v>-112.1</v>
      </c>
      <c r="N189">
        <v>0.16432047860430599</v>
      </c>
      <c r="O189">
        <v>1643.9</v>
      </c>
      <c r="P189">
        <v>1051.2</v>
      </c>
      <c r="Q189">
        <v>69.643000000000001</v>
      </c>
      <c r="R189">
        <v>59.447000000000003</v>
      </c>
      <c r="S189">
        <v>66.016000000000005</v>
      </c>
      <c r="T189">
        <v>90.049000000000007</v>
      </c>
      <c r="U189">
        <v>254706</v>
      </c>
      <c r="V189">
        <v>9.4</v>
      </c>
      <c r="W189">
        <v>7.35</v>
      </c>
      <c r="X189">
        <v>4.54</v>
      </c>
      <c r="Y189">
        <v>4.82</v>
      </c>
      <c r="Z189">
        <v>0.22835254699999999</v>
      </c>
      <c r="AA189">
        <v>2824.6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25">
      <c r="A190">
        <v>1992</v>
      </c>
      <c r="B190">
        <v>6380.8</v>
      </c>
      <c r="C190">
        <v>9122.987618312316</v>
      </c>
      <c r="D190">
        <v>5817.3572750519188</v>
      </c>
      <c r="E190">
        <v>6338.5251085306945</v>
      </c>
      <c r="F190">
        <v>385.67064876922723</v>
      </c>
      <c r="G190">
        <v>1178.9203908377381</v>
      </c>
      <c r="H190">
        <v>7.7791937609602551</v>
      </c>
      <c r="I190">
        <v>4.2005302649591902</v>
      </c>
      <c r="J190">
        <v>214.93412861699136</v>
      </c>
      <c r="K190">
        <v>1326.9</v>
      </c>
      <c r="L190">
        <v>578.6</v>
      </c>
      <c r="M190">
        <v>0</v>
      </c>
      <c r="N190">
        <v>0.72046190263606302</v>
      </c>
      <c r="O190">
        <v>1661.3</v>
      </c>
      <c r="P190">
        <v>1065.6000000000001</v>
      </c>
      <c r="Q190">
        <v>69.941999999999993</v>
      </c>
      <c r="R190">
        <v>60.326999999999998</v>
      </c>
      <c r="S190">
        <v>67.382000000000005</v>
      </c>
      <c r="T190">
        <v>89.53</v>
      </c>
      <c r="U190">
        <v>255455</v>
      </c>
      <c r="V190">
        <v>9.1999999999999993</v>
      </c>
      <c r="W190">
        <v>7.3</v>
      </c>
      <c r="X190">
        <v>3.89</v>
      </c>
      <c r="Y190">
        <v>4.0199999999999996</v>
      </c>
      <c r="Z190">
        <v>0.26808315500000002</v>
      </c>
      <c r="AA190">
        <v>2904.4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25">
      <c r="A191">
        <v>1992.25</v>
      </c>
      <c r="B191">
        <v>6492.3</v>
      </c>
      <c r="C191">
        <v>9223.5892481673</v>
      </c>
      <c r="D191">
        <v>5857.2390950429453</v>
      </c>
      <c r="E191">
        <v>6381.8391136409628</v>
      </c>
      <c r="F191">
        <v>388.34198899310132</v>
      </c>
      <c r="G191">
        <v>1245.7883475566266</v>
      </c>
      <c r="H191">
        <v>8.0321416500397973</v>
      </c>
      <c r="I191">
        <v>4.3442454189829114</v>
      </c>
      <c r="J191">
        <v>216.01510537676006</v>
      </c>
      <c r="K191">
        <v>1338.7</v>
      </c>
      <c r="L191">
        <v>582.20000000000005</v>
      </c>
      <c r="M191">
        <v>0</v>
      </c>
      <c r="N191">
        <v>-0.31206580298790398</v>
      </c>
      <c r="O191">
        <v>1690.8</v>
      </c>
      <c r="P191">
        <v>1080.6999999999998</v>
      </c>
      <c r="Q191">
        <v>70.388000000000005</v>
      </c>
      <c r="R191">
        <v>61.112000000000002</v>
      </c>
      <c r="S191">
        <v>67.867999999999995</v>
      </c>
      <c r="T191">
        <v>90.045000000000002</v>
      </c>
      <c r="U191">
        <v>256289</v>
      </c>
      <c r="V191">
        <v>9.1300000000000008</v>
      </c>
      <c r="W191">
        <v>7.38</v>
      </c>
      <c r="X191">
        <v>3.68</v>
      </c>
      <c r="Y191">
        <v>3.77</v>
      </c>
      <c r="Z191">
        <v>0.228932366</v>
      </c>
      <c r="AA191">
        <v>2987.9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>
        <v>1992.5</v>
      </c>
      <c r="B192">
        <v>6586.5</v>
      </c>
      <c r="C192">
        <v>9313.0947499399063</v>
      </c>
      <c r="D192">
        <v>5920.5645273756718</v>
      </c>
      <c r="E192">
        <v>6441.9271161995784</v>
      </c>
      <c r="F192">
        <v>396.62623727868396</v>
      </c>
      <c r="G192">
        <v>1255.7780257237093</v>
      </c>
      <c r="H192">
        <v>8.1564611026367402</v>
      </c>
      <c r="I192">
        <v>4.3451600265717349</v>
      </c>
      <c r="J192">
        <v>215.98969634099015</v>
      </c>
      <c r="K192">
        <v>1355.4</v>
      </c>
      <c r="L192">
        <v>592.70000000000005</v>
      </c>
      <c r="M192">
        <v>0</v>
      </c>
      <c r="N192">
        <v>-1.4866952038664401</v>
      </c>
      <c r="O192">
        <v>1702.9</v>
      </c>
      <c r="P192">
        <v>1089.3999999999999</v>
      </c>
      <c r="Q192">
        <v>70.722999999999999</v>
      </c>
      <c r="R192">
        <v>61.762999999999998</v>
      </c>
      <c r="S192">
        <v>68.483999999999995</v>
      </c>
      <c r="T192">
        <v>90.186000000000007</v>
      </c>
      <c r="U192">
        <v>257225</v>
      </c>
      <c r="V192">
        <v>8.6999999999999993</v>
      </c>
      <c r="W192">
        <v>6.62</v>
      </c>
      <c r="X192">
        <v>3.08</v>
      </c>
      <c r="Y192">
        <v>3.26</v>
      </c>
      <c r="Z192">
        <v>0.18829438100000001</v>
      </c>
      <c r="AA192">
        <v>3059.4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25">
      <c r="A193">
        <v>1992.75</v>
      </c>
      <c r="B193">
        <v>6697.6</v>
      </c>
      <c r="C193">
        <v>9406.6094577323365</v>
      </c>
      <c r="D193">
        <v>5991.0539945437677</v>
      </c>
      <c r="E193">
        <v>6511.3210210500101</v>
      </c>
      <c r="F193">
        <v>404.52548874041076</v>
      </c>
      <c r="G193">
        <v>1294.2212653520576</v>
      </c>
      <c r="H193">
        <v>8.3707399982567754</v>
      </c>
      <c r="I193">
        <v>4.5107599193006056</v>
      </c>
      <c r="J193">
        <v>217.22662893187587</v>
      </c>
      <c r="K193">
        <v>1360.5</v>
      </c>
      <c r="L193">
        <v>593</v>
      </c>
      <c r="M193">
        <v>0</v>
      </c>
      <c r="N193">
        <v>0.11269382150266601</v>
      </c>
      <c r="O193">
        <v>1741.3</v>
      </c>
      <c r="P193">
        <v>1121.7</v>
      </c>
      <c r="Q193">
        <v>71.200999999999993</v>
      </c>
      <c r="R193">
        <v>62.491999999999997</v>
      </c>
      <c r="S193">
        <v>68.840999999999994</v>
      </c>
      <c r="T193">
        <v>90.778000000000006</v>
      </c>
      <c r="U193">
        <v>258140</v>
      </c>
      <c r="V193">
        <v>8.8699999999999992</v>
      </c>
      <c r="W193">
        <v>6.74</v>
      </c>
      <c r="X193">
        <v>3.07</v>
      </c>
      <c r="Y193">
        <v>3.04</v>
      </c>
      <c r="Z193">
        <v>0.22875393899999999</v>
      </c>
      <c r="AA193">
        <v>3121.3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25">
      <c r="A194">
        <v>1993</v>
      </c>
      <c r="B194">
        <v>6748.2</v>
      </c>
      <c r="C194">
        <v>9424.0706086082173</v>
      </c>
      <c r="D194">
        <v>6013.8213956305663</v>
      </c>
      <c r="E194">
        <v>6530.695322140009</v>
      </c>
      <c r="F194">
        <v>408.46487155679353</v>
      </c>
      <c r="G194">
        <v>1324.607713741018</v>
      </c>
      <c r="H194">
        <v>8.4534331867462011</v>
      </c>
      <c r="I194">
        <v>4.5143798133701489</v>
      </c>
      <c r="J194">
        <v>218.71293047159915</v>
      </c>
      <c r="K194">
        <v>1351.5</v>
      </c>
      <c r="L194">
        <v>577</v>
      </c>
      <c r="M194">
        <v>0</v>
      </c>
      <c r="N194">
        <v>-0.60822637037042704</v>
      </c>
      <c r="O194">
        <v>1731.8000000000002</v>
      </c>
      <c r="P194">
        <v>1112.8</v>
      </c>
      <c r="Q194">
        <v>71.605999999999995</v>
      </c>
      <c r="R194">
        <v>62.456000000000003</v>
      </c>
      <c r="S194">
        <v>68.31</v>
      </c>
      <c r="T194">
        <v>91.430999999999997</v>
      </c>
      <c r="U194">
        <v>258917</v>
      </c>
      <c r="V194">
        <v>8.4</v>
      </c>
      <c r="W194">
        <v>6.28</v>
      </c>
      <c r="X194">
        <v>2.96</v>
      </c>
      <c r="Y194">
        <v>3.04</v>
      </c>
      <c r="Z194">
        <v>0.20338389300000001</v>
      </c>
      <c r="AA194">
        <v>3172.7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5">
      <c r="A195">
        <v>1993.25</v>
      </c>
      <c r="B195">
        <v>6829.6</v>
      </c>
      <c r="C195">
        <v>9480.1571327438542</v>
      </c>
      <c r="D195">
        <v>6067.8781911911501</v>
      </c>
      <c r="E195">
        <v>6568.189068120615</v>
      </c>
      <c r="F195">
        <v>421.65057959636073</v>
      </c>
      <c r="G195">
        <v>1332.1567672833496</v>
      </c>
      <c r="H195">
        <v>8.6185706050619419</v>
      </c>
      <c r="I195">
        <v>4.5745503611920162</v>
      </c>
      <c r="J195">
        <v>221.18387542546191</v>
      </c>
      <c r="K195">
        <v>1360.9</v>
      </c>
      <c r="L195">
        <v>575.6</v>
      </c>
      <c r="M195">
        <v>0</v>
      </c>
      <c r="N195">
        <v>0.25121396193159301</v>
      </c>
      <c r="O195">
        <v>1786.5</v>
      </c>
      <c r="P195">
        <v>1158.2</v>
      </c>
      <c r="Q195">
        <v>72.040999999999997</v>
      </c>
      <c r="R195">
        <v>62.856000000000002</v>
      </c>
      <c r="S195">
        <v>68.012</v>
      </c>
      <c r="T195">
        <v>92.42</v>
      </c>
      <c r="U195">
        <v>259686</v>
      </c>
      <c r="V195">
        <v>8.14</v>
      </c>
      <c r="W195">
        <v>5.99</v>
      </c>
      <c r="X195">
        <v>2.97</v>
      </c>
      <c r="Y195">
        <v>3</v>
      </c>
      <c r="Z195">
        <v>0.16960935299999999</v>
      </c>
      <c r="AA195">
        <v>3263.1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25">
      <c r="A196">
        <v>1993.5</v>
      </c>
      <c r="B196">
        <v>6904.2</v>
      </c>
      <c r="C196">
        <v>9526.3194204898246</v>
      </c>
      <c r="D196">
        <v>6134.7020462621349</v>
      </c>
      <c r="E196">
        <v>6640.5251572114194</v>
      </c>
      <c r="F196">
        <v>426.3565891472868</v>
      </c>
      <c r="G196">
        <v>1323.0873244878005</v>
      </c>
      <c r="H196">
        <v>8.688271269070885</v>
      </c>
      <c r="I196">
        <v>4.7452042281090954</v>
      </c>
      <c r="J196">
        <v>221.58617706674482</v>
      </c>
      <c r="K196">
        <v>1370.6</v>
      </c>
      <c r="L196">
        <v>578.9</v>
      </c>
      <c r="M196">
        <v>0</v>
      </c>
      <c r="N196">
        <v>0.10801857664865699</v>
      </c>
      <c r="O196">
        <v>1805.6</v>
      </c>
      <c r="P196">
        <v>1167.3</v>
      </c>
      <c r="Q196">
        <v>72.474999999999994</v>
      </c>
      <c r="R196">
        <v>63.165999999999997</v>
      </c>
      <c r="S196">
        <v>67.998000000000005</v>
      </c>
      <c r="T196">
        <v>92.893000000000001</v>
      </c>
      <c r="U196">
        <v>260563</v>
      </c>
      <c r="V196">
        <v>7.62</v>
      </c>
      <c r="W196">
        <v>5.62</v>
      </c>
      <c r="X196">
        <v>3</v>
      </c>
      <c r="Y196">
        <v>3.06</v>
      </c>
      <c r="Z196">
        <v>0.16365850000000001</v>
      </c>
      <c r="AA196">
        <v>3307.6</v>
      </c>
      <c r="AB196">
        <v>0</v>
      </c>
      <c r="AC196">
        <v>0.34159350399999999</v>
      </c>
      <c r="AD196">
        <v>0.344270464</v>
      </c>
      <c r="AE196">
        <v>1.0247805109999999</v>
      </c>
      <c r="AF196">
        <v>0.19</v>
      </c>
    </row>
    <row r="197" spans="1:32" x14ac:dyDescent="0.25">
      <c r="A197">
        <v>1993.75</v>
      </c>
      <c r="B197">
        <v>7032.8</v>
      </c>
      <c r="C197">
        <v>9653.4116645848499</v>
      </c>
      <c r="D197">
        <v>6189.0838206627677</v>
      </c>
      <c r="E197">
        <v>6685.2167272286979</v>
      </c>
      <c r="F197">
        <v>436.65197969697658</v>
      </c>
      <c r="G197">
        <v>1392.5457136645812</v>
      </c>
      <c r="H197">
        <v>9.0007487060406461</v>
      </c>
      <c r="I197">
        <v>4.9893514981060294</v>
      </c>
      <c r="J197">
        <v>223.09047588515187</v>
      </c>
      <c r="K197">
        <v>1381.3</v>
      </c>
      <c r="L197">
        <v>582</v>
      </c>
      <c r="M197">
        <v>0</v>
      </c>
      <c r="N197">
        <v>0.340580695030331</v>
      </c>
      <c r="O197">
        <v>1874.6</v>
      </c>
      <c r="P197">
        <v>1220.9000000000001</v>
      </c>
      <c r="Q197">
        <v>72.852999999999994</v>
      </c>
      <c r="R197">
        <v>64.245999999999995</v>
      </c>
      <c r="S197">
        <v>68.588999999999999</v>
      </c>
      <c r="T197">
        <v>93.668000000000006</v>
      </c>
      <c r="U197">
        <v>261421</v>
      </c>
      <c r="V197">
        <v>7.55</v>
      </c>
      <c r="W197">
        <v>5.61</v>
      </c>
      <c r="X197">
        <v>3.06</v>
      </c>
      <c r="Y197">
        <v>2.99</v>
      </c>
      <c r="Z197">
        <v>0.22420716299999999</v>
      </c>
      <c r="AA197">
        <v>3375.6</v>
      </c>
      <c r="AB197">
        <v>0</v>
      </c>
      <c r="AC197">
        <v>7.7938884E-2</v>
      </c>
      <c r="AD197">
        <v>7.9242857E-2</v>
      </c>
      <c r="AE197">
        <v>-0.59262962900000005</v>
      </c>
      <c r="AF197">
        <v>0</v>
      </c>
    </row>
    <row r="198" spans="1:32" x14ac:dyDescent="0.25">
      <c r="A198">
        <v>1994</v>
      </c>
      <c r="B198">
        <v>7136.3</v>
      </c>
      <c r="C198">
        <v>9748.2446793978634</v>
      </c>
      <c r="D198">
        <v>6260.1505382145833</v>
      </c>
      <c r="E198">
        <v>6749.8334185597105</v>
      </c>
      <c r="F198">
        <v>447.02916926067081</v>
      </c>
      <c r="G198">
        <v>1446.2919293517491</v>
      </c>
      <c r="H198">
        <v>9.1022227993853217</v>
      </c>
      <c r="I198">
        <v>5.063697333376119</v>
      </c>
      <c r="J198">
        <v>224.26386743816468</v>
      </c>
      <c r="K198">
        <v>1373.9</v>
      </c>
      <c r="L198">
        <v>564.4</v>
      </c>
      <c r="M198">
        <v>0</v>
      </c>
      <c r="N198">
        <v>0.27584872476116201</v>
      </c>
      <c r="O198">
        <v>1877.3</v>
      </c>
      <c r="P198">
        <v>1213.7</v>
      </c>
      <c r="Q198">
        <v>73.206000000000003</v>
      </c>
      <c r="R198">
        <v>65</v>
      </c>
      <c r="S198">
        <v>68.89</v>
      </c>
      <c r="T198">
        <v>94.352999999999994</v>
      </c>
      <c r="U198">
        <v>262131</v>
      </c>
      <c r="V198">
        <v>7.85</v>
      </c>
      <c r="W198">
        <v>6.07</v>
      </c>
      <c r="X198">
        <v>3.24</v>
      </c>
      <c r="Y198">
        <v>3.21</v>
      </c>
      <c r="Z198">
        <v>0.28170517099999998</v>
      </c>
      <c r="AA198">
        <v>3415.5</v>
      </c>
      <c r="AB198">
        <v>0</v>
      </c>
      <c r="AC198">
        <v>0.19389379300000001</v>
      </c>
      <c r="AD198">
        <v>0</v>
      </c>
      <c r="AE198">
        <v>0</v>
      </c>
      <c r="AF198">
        <v>0</v>
      </c>
    </row>
    <row r="199" spans="1:32" x14ac:dyDescent="0.25">
      <c r="A199">
        <v>1994.25</v>
      </c>
      <c r="B199">
        <v>7269.8</v>
      </c>
      <c r="C199">
        <v>9881.3391145967835</v>
      </c>
      <c r="D199">
        <v>6308.6375038566266</v>
      </c>
      <c r="E199">
        <v>6799.4188148407329</v>
      </c>
      <c r="F199">
        <v>451.83541628931965</v>
      </c>
      <c r="G199">
        <v>1517.1429599338026</v>
      </c>
      <c r="H199">
        <v>9.2413197256871324</v>
      </c>
      <c r="I199">
        <v>5.2269973857042658</v>
      </c>
      <c r="J199">
        <v>227.59972074805293</v>
      </c>
      <c r="K199">
        <v>1392.4</v>
      </c>
      <c r="L199">
        <v>569</v>
      </c>
      <c r="M199">
        <v>0</v>
      </c>
      <c r="N199">
        <v>0.73025211188183803</v>
      </c>
      <c r="O199">
        <v>1931.5</v>
      </c>
      <c r="P199">
        <v>1261.2</v>
      </c>
      <c r="Q199">
        <v>73.570999999999998</v>
      </c>
      <c r="R199">
        <v>66.081000000000003</v>
      </c>
      <c r="S199">
        <v>68.808000000000007</v>
      </c>
      <c r="T199">
        <v>96.037000000000006</v>
      </c>
      <c r="U199">
        <v>262887</v>
      </c>
      <c r="V199">
        <v>8.6</v>
      </c>
      <c r="W199">
        <v>7.08</v>
      </c>
      <c r="X199">
        <v>3.99</v>
      </c>
      <c r="Y199">
        <v>3.94</v>
      </c>
      <c r="Z199">
        <v>0.27175834799999998</v>
      </c>
      <c r="AA199">
        <v>3454.1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25">
      <c r="A200">
        <v>1994.5</v>
      </c>
      <c r="B200">
        <v>7352.3</v>
      </c>
      <c r="C200">
        <v>9939.7044707918194</v>
      </c>
      <c r="D200">
        <v>6357.4368332023614</v>
      </c>
      <c r="E200">
        <v>6849.2037713124346</v>
      </c>
      <c r="F200">
        <v>456.60286866204035</v>
      </c>
      <c r="G200">
        <v>1492.1671952120935</v>
      </c>
      <c r="H200">
        <v>9.3970943266080358</v>
      </c>
      <c r="I200">
        <v>5.1500520685411342</v>
      </c>
      <c r="J200">
        <v>229.7822619239403</v>
      </c>
      <c r="K200">
        <v>1424.4</v>
      </c>
      <c r="L200">
        <v>584</v>
      </c>
      <c r="M200">
        <v>0</v>
      </c>
      <c r="N200">
        <v>-0.447911413285011</v>
      </c>
      <c r="O200">
        <v>1956.5</v>
      </c>
      <c r="P200">
        <v>1268.9000000000001</v>
      </c>
      <c r="Q200">
        <v>73.968999999999994</v>
      </c>
      <c r="R200">
        <v>66.477999999999994</v>
      </c>
      <c r="S200">
        <v>68.430999999999997</v>
      </c>
      <c r="T200">
        <v>97.144999999999996</v>
      </c>
      <c r="U200">
        <v>263726</v>
      </c>
      <c r="V200">
        <v>8.84</v>
      </c>
      <c r="W200">
        <v>7.33</v>
      </c>
      <c r="X200">
        <v>4.4800000000000004</v>
      </c>
      <c r="Y200">
        <v>4.49</v>
      </c>
      <c r="Z200">
        <v>0.30737018599999999</v>
      </c>
      <c r="AA200">
        <v>3494.7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25">
      <c r="A201">
        <v>1994.75</v>
      </c>
      <c r="B201">
        <v>7476.7</v>
      </c>
      <c r="C201">
        <v>10052.570721738195</v>
      </c>
      <c r="D201">
        <v>6425.9200339378513</v>
      </c>
      <c r="E201">
        <v>6898.6063309628234</v>
      </c>
      <c r="F201">
        <v>472.63886291378333</v>
      </c>
      <c r="G201">
        <v>1553.5272865563795</v>
      </c>
      <c r="H201">
        <v>9.7627688099673708</v>
      </c>
      <c r="I201">
        <v>5.0706683496174403</v>
      </c>
      <c r="J201">
        <v>230.84921115130069</v>
      </c>
      <c r="K201">
        <v>1424.2</v>
      </c>
      <c r="L201">
        <v>573.4</v>
      </c>
      <c r="M201">
        <v>0</v>
      </c>
      <c r="N201">
        <v>0.77134364812424505</v>
      </c>
      <c r="O201">
        <v>1989.9</v>
      </c>
      <c r="P201">
        <v>1294.5999999999999</v>
      </c>
      <c r="Q201">
        <v>74.376000000000005</v>
      </c>
      <c r="R201">
        <v>67.433999999999997</v>
      </c>
      <c r="S201">
        <v>68.998000000000005</v>
      </c>
      <c r="T201">
        <v>97.733000000000004</v>
      </c>
      <c r="U201">
        <v>264555</v>
      </c>
      <c r="V201">
        <v>9.2100000000000009</v>
      </c>
      <c r="W201">
        <v>7.84</v>
      </c>
      <c r="X201">
        <v>5.28</v>
      </c>
      <c r="Y201">
        <v>5.17</v>
      </c>
      <c r="Z201">
        <v>0.31357833699999998</v>
      </c>
      <c r="AA201">
        <v>3538.4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25">
      <c r="A202">
        <v>1995</v>
      </c>
      <c r="B202">
        <v>7545.3</v>
      </c>
      <c r="C202">
        <v>10086.894910631927</v>
      </c>
      <c r="D202">
        <v>6442.8582737419847</v>
      </c>
      <c r="E202">
        <v>6940.9533353110146</v>
      </c>
      <c r="F202">
        <v>462.90363438584984</v>
      </c>
      <c r="G202">
        <v>1570.323221806824</v>
      </c>
      <c r="H202">
        <v>10.126432960504443</v>
      </c>
      <c r="I202">
        <v>4.9561829074835586</v>
      </c>
      <c r="J202">
        <v>232.70985798924357</v>
      </c>
      <c r="K202">
        <v>1440</v>
      </c>
      <c r="L202">
        <v>577.6</v>
      </c>
      <c r="M202">
        <v>0</v>
      </c>
      <c r="N202">
        <v>0.99674213519241395</v>
      </c>
      <c r="O202">
        <v>2022</v>
      </c>
      <c r="P202">
        <v>1317.5</v>
      </c>
      <c r="Q202">
        <v>74.802999999999997</v>
      </c>
      <c r="R202">
        <v>67.619</v>
      </c>
      <c r="S202">
        <v>68.694000000000003</v>
      </c>
      <c r="T202">
        <v>98.435000000000002</v>
      </c>
      <c r="U202">
        <v>265270</v>
      </c>
      <c r="V202">
        <v>8.8800000000000008</v>
      </c>
      <c r="W202">
        <v>7.48</v>
      </c>
      <c r="X202">
        <v>5.74</v>
      </c>
      <c r="Y202">
        <v>5.81</v>
      </c>
      <c r="Z202">
        <v>0.30128803799999998</v>
      </c>
      <c r="AA202">
        <v>3584.1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25">
      <c r="A203">
        <v>1995.25</v>
      </c>
      <c r="B203">
        <v>7604.9</v>
      </c>
      <c r="C203">
        <v>10122.05185540116</v>
      </c>
      <c r="D203">
        <v>6500.7478155912995</v>
      </c>
      <c r="E203">
        <v>7002.0606222845381</v>
      </c>
      <c r="F203">
        <v>467.56714425292927</v>
      </c>
      <c r="G203">
        <v>1537.6994657325831</v>
      </c>
      <c r="H203">
        <v>10.224454895254382</v>
      </c>
      <c r="I203">
        <v>4.8040087039136967</v>
      </c>
      <c r="J203">
        <v>232.82332927628289</v>
      </c>
      <c r="K203">
        <v>1455.6</v>
      </c>
      <c r="L203">
        <v>579.70000000000005</v>
      </c>
      <c r="M203">
        <v>0</v>
      </c>
      <c r="N203">
        <v>6.9605516763731499E-3</v>
      </c>
      <c r="O203">
        <v>2045.1</v>
      </c>
      <c r="P203">
        <v>1346.0000000000002</v>
      </c>
      <c r="Q203">
        <v>75.132000000000005</v>
      </c>
      <c r="R203">
        <v>67.843000000000004</v>
      </c>
      <c r="S203">
        <v>68.861999999999995</v>
      </c>
      <c r="T203">
        <v>98.52</v>
      </c>
      <c r="U203">
        <v>266008</v>
      </c>
      <c r="V203">
        <v>8.23</v>
      </c>
      <c r="W203">
        <v>6.62</v>
      </c>
      <c r="X203">
        <v>5.6</v>
      </c>
      <c r="Y203">
        <v>6.02</v>
      </c>
      <c r="Z203">
        <v>0.25118714599999997</v>
      </c>
      <c r="AA203">
        <v>3648.9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5">
      <c r="A204">
        <v>1995.5</v>
      </c>
      <c r="B204">
        <v>7706.5</v>
      </c>
      <c r="C204">
        <v>10208.772138987137</v>
      </c>
      <c r="D204">
        <v>6560.3439264060207</v>
      </c>
      <c r="E204">
        <v>7046.9401644707741</v>
      </c>
      <c r="F204">
        <v>480.73685549461652</v>
      </c>
      <c r="G204">
        <v>1528.5906984927572</v>
      </c>
      <c r="H204">
        <v>10.292299164250384</v>
      </c>
      <c r="I204">
        <v>4.9811528072397637</v>
      </c>
      <c r="J204">
        <v>234.8805197492203</v>
      </c>
      <c r="K204">
        <v>1457.3</v>
      </c>
      <c r="L204">
        <v>576.9</v>
      </c>
      <c r="M204">
        <v>0</v>
      </c>
      <c r="N204">
        <v>0.55038129147995596</v>
      </c>
      <c r="O204">
        <v>2068.1999999999998</v>
      </c>
      <c r="P204">
        <v>1354.9</v>
      </c>
      <c r="Q204">
        <v>75.489000000000004</v>
      </c>
      <c r="R204">
        <v>68.566000000000003</v>
      </c>
      <c r="S204">
        <v>68.927000000000007</v>
      </c>
      <c r="T204">
        <v>99.475999999999999</v>
      </c>
      <c r="U204">
        <v>266851</v>
      </c>
      <c r="V204">
        <v>8.0500000000000007</v>
      </c>
      <c r="W204">
        <v>6.32</v>
      </c>
      <c r="X204">
        <v>5.37</v>
      </c>
      <c r="Y204">
        <v>5.8</v>
      </c>
      <c r="Z204">
        <v>0.253108799</v>
      </c>
      <c r="AA204">
        <v>3671.8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25">
      <c r="A205">
        <v>1995.75</v>
      </c>
      <c r="B205">
        <v>7799.5</v>
      </c>
      <c r="C205">
        <v>10281.303963828581</v>
      </c>
      <c r="D205">
        <v>6606.3436719400488</v>
      </c>
      <c r="E205">
        <v>7085.8010298576482</v>
      </c>
      <c r="F205">
        <v>489.07419350000748</v>
      </c>
      <c r="G205">
        <v>1566.6310862960834</v>
      </c>
      <c r="H205">
        <v>10.496009913788498</v>
      </c>
      <c r="I205">
        <v>5.0771588546803637</v>
      </c>
      <c r="J205">
        <v>234.50555728902069</v>
      </c>
      <c r="K205">
        <v>1455.7</v>
      </c>
      <c r="L205">
        <v>567.29999999999995</v>
      </c>
      <c r="M205">
        <v>0</v>
      </c>
      <c r="N205">
        <v>0.38895589761113603</v>
      </c>
      <c r="O205">
        <v>2091.4</v>
      </c>
      <c r="P205">
        <v>1372</v>
      </c>
      <c r="Q205">
        <v>75.861000000000004</v>
      </c>
      <c r="R205">
        <v>69.212000000000003</v>
      </c>
      <c r="S205">
        <v>69.558999999999997</v>
      </c>
      <c r="T205">
        <v>99.501000000000005</v>
      </c>
      <c r="U205">
        <v>267705</v>
      </c>
      <c r="V205">
        <v>7.64</v>
      </c>
      <c r="W205">
        <v>5.89</v>
      </c>
      <c r="X205">
        <v>5.26</v>
      </c>
      <c r="Y205">
        <v>5.72</v>
      </c>
      <c r="Z205">
        <v>0.236486167</v>
      </c>
      <c r="AA205">
        <v>3679.3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25">
      <c r="A206">
        <v>1996</v>
      </c>
      <c r="B206">
        <v>7893.1</v>
      </c>
      <c r="C206">
        <v>10348.620725823368</v>
      </c>
      <c r="D206">
        <v>6667.7016624619964</v>
      </c>
      <c r="E206">
        <v>7149.9553442133583</v>
      </c>
      <c r="F206">
        <v>494.39886103930161</v>
      </c>
      <c r="G206">
        <v>1590.5916597223038</v>
      </c>
      <c r="H206">
        <v>10.757275309502116</v>
      </c>
      <c r="I206">
        <v>5.20962427833026</v>
      </c>
      <c r="J206">
        <v>233.27353825391003</v>
      </c>
      <c r="K206">
        <v>1472.9</v>
      </c>
      <c r="L206">
        <v>577.20000000000005</v>
      </c>
      <c r="M206">
        <v>0</v>
      </c>
      <c r="N206">
        <v>5.8147745095390301E-2</v>
      </c>
      <c r="O206">
        <v>2138.3000000000002</v>
      </c>
      <c r="P206">
        <v>1410</v>
      </c>
      <c r="Q206">
        <v>76.272000000000006</v>
      </c>
      <c r="R206">
        <v>69.787999999999997</v>
      </c>
      <c r="S206">
        <v>70.228999999999999</v>
      </c>
      <c r="T206">
        <v>99.372</v>
      </c>
      <c r="U206">
        <v>268370</v>
      </c>
      <c r="V206">
        <v>7.71</v>
      </c>
      <c r="W206">
        <v>5.91</v>
      </c>
      <c r="X206">
        <v>4.93</v>
      </c>
      <c r="Y206">
        <v>5.36</v>
      </c>
      <c r="Z206">
        <v>0.243300453</v>
      </c>
      <c r="AA206">
        <v>3731.2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5">
      <c r="A207">
        <v>1996.25</v>
      </c>
      <c r="B207">
        <v>8061.5</v>
      </c>
      <c r="C207">
        <v>10529.37488571354</v>
      </c>
      <c r="D207">
        <v>6740.055266371055</v>
      </c>
      <c r="E207">
        <v>7205.6653823447841</v>
      </c>
      <c r="F207">
        <v>510.12634357910622</v>
      </c>
      <c r="G207">
        <v>1667.7247184406669</v>
      </c>
      <c r="H207">
        <v>11.047856827696048</v>
      </c>
      <c r="I207">
        <v>5.4371210639546259</v>
      </c>
      <c r="J207">
        <v>235.67217670585191</v>
      </c>
      <c r="K207">
        <v>1492.5</v>
      </c>
      <c r="L207">
        <v>582.5</v>
      </c>
      <c r="M207">
        <v>0</v>
      </c>
      <c r="N207">
        <v>8.8047204455139499E-2</v>
      </c>
      <c r="O207">
        <v>2202.3000000000002</v>
      </c>
      <c r="P207">
        <v>1463.8000000000002</v>
      </c>
      <c r="Q207">
        <v>76.561999999999998</v>
      </c>
      <c r="R207">
        <v>71.22</v>
      </c>
      <c r="S207">
        <v>71.162000000000006</v>
      </c>
      <c r="T207">
        <v>100.08199999999999</v>
      </c>
      <c r="U207">
        <v>269116</v>
      </c>
      <c r="V207">
        <v>8.3000000000000007</v>
      </c>
      <c r="W207">
        <v>6.72</v>
      </c>
      <c r="X207">
        <v>5.0199999999999996</v>
      </c>
      <c r="Y207">
        <v>5.24</v>
      </c>
      <c r="Z207">
        <v>0.29110044200000001</v>
      </c>
      <c r="AA207">
        <v>3757.4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25">
      <c r="A208">
        <v>1996.5</v>
      </c>
      <c r="B208">
        <v>8159</v>
      </c>
      <c r="C208">
        <v>10626.742035478912</v>
      </c>
      <c r="D208">
        <v>6780.6956922368117</v>
      </c>
      <c r="E208">
        <v>7247.9031427080581</v>
      </c>
      <c r="F208">
        <v>513.79782350583446</v>
      </c>
      <c r="G208">
        <v>1744.4391859914813</v>
      </c>
      <c r="H208">
        <v>11.396137085059449</v>
      </c>
      <c r="I208">
        <v>5.425490721710899</v>
      </c>
      <c r="J208">
        <v>237.61617339549542</v>
      </c>
      <c r="K208">
        <v>1500.5</v>
      </c>
      <c r="L208">
        <v>576.9</v>
      </c>
      <c r="M208">
        <v>0</v>
      </c>
      <c r="N208">
        <v>-1.00078590748819</v>
      </c>
      <c r="O208">
        <v>2217.9</v>
      </c>
      <c r="P208">
        <v>1473</v>
      </c>
      <c r="Q208">
        <v>76.778000000000006</v>
      </c>
      <c r="R208">
        <v>72.03</v>
      </c>
      <c r="S208">
        <v>71.462999999999994</v>
      </c>
      <c r="T208">
        <v>100.79300000000001</v>
      </c>
      <c r="U208">
        <v>269976</v>
      </c>
      <c r="V208">
        <v>8.2899999999999991</v>
      </c>
      <c r="W208">
        <v>6.78</v>
      </c>
      <c r="X208">
        <v>5.0999999999999996</v>
      </c>
      <c r="Y208">
        <v>5.31</v>
      </c>
      <c r="Z208">
        <v>0.28420656900000002</v>
      </c>
      <c r="AA208">
        <v>3800.7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25">
      <c r="A209">
        <v>1996.75</v>
      </c>
      <c r="B209">
        <v>8287.1</v>
      </c>
      <c r="C209">
        <v>10739.036906489735</v>
      </c>
      <c r="D209">
        <v>6833.9964661166687</v>
      </c>
      <c r="E209">
        <v>7292.3713102684851</v>
      </c>
      <c r="F209">
        <v>523.7733556129424</v>
      </c>
      <c r="G209">
        <v>1743.9462676014848</v>
      </c>
      <c r="H209">
        <v>11.682696454757181</v>
      </c>
      <c r="I209">
        <v>5.3639733135656043</v>
      </c>
      <c r="J209">
        <v>240.08612170333811</v>
      </c>
      <c r="K209">
        <v>1519.8</v>
      </c>
      <c r="L209">
        <v>576.29999999999995</v>
      </c>
      <c r="M209">
        <v>0</v>
      </c>
      <c r="N209">
        <v>0.13532437732368799</v>
      </c>
      <c r="O209">
        <v>2259.5</v>
      </c>
      <c r="P209">
        <v>1502.8</v>
      </c>
      <c r="Q209">
        <v>77.168000000000006</v>
      </c>
      <c r="R209">
        <v>72.956000000000003</v>
      </c>
      <c r="S209">
        <v>71.521000000000001</v>
      </c>
      <c r="T209">
        <v>102.006</v>
      </c>
      <c r="U209">
        <v>270861</v>
      </c>
      <c r="V209">
        <v>7.92</v>
      </c>
      <c r="W209">
        <v>6.34</v>
      </c>
      <c r="X209">
        <v>4.9800000000000004</v>
      </c>
      <c r="Y209">
        <v>5.28</v>
      </c>
      <c r="Z209">
        <v>0.27186259600000001</v>
      </c>
      <c r="AA209">
        <v>3818.9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25">
      <c r="A210">
        <v>1997</v>
      </c>
      <c r="B210">
        <v>8402.1</v>
      </c>
      <c r="C210">
        <v>10820.894561283758</v>
      </c>
      <c r="D210">
        <v>6905.9913433062502</v>
      </c>
      <c r="E210">
        <v>7351.6967885054146</v>
      </c>
      <c r="F210">
        <v>537.98940185276967</v>
      </c>
      <c r="G210">
        <v>1781.6381237781964</v>
      </c>
      <c r="H210">
        <v>11.947709878342346</v>
      </c>
      <c r="I210">
        <v>5.3920845261635622</v>
      </c>
      <c r="J210">
        <v>241.52949543384364</v>
      </c>
      <c r="K210">
        <v>1532.2</v>
      </c>
      <c r="L210">
        <v>572.1</v>
      </c>
      <c r="M210">
        <v>0</v>
      </c>
      <c r="N210">
        <v>0.16099833883706</v>
      </c>
      <c r="O210">
        <v>2311</v>
      </c>
      <c r="P210">
        <v>1545.2</v>
      </c>
      <c r="Q210">
        <v>77.647000000000006</v>
      </c>
      <c r="R210">
        <v>73.58</v>
      </c>
      <c r="S210">
        <v>71.340999999999994</v>
      </c>
      <c r="T210">
        <v>103.13800000000001</v>
      </c>
      <c r="U210">
        <v>271589</v>
      </c>
      <c r="V210">
        <v>8.07</v>
      </c>
      <c r="W210">
        <v>6.56</v>
      </c>
      <c r="X210">
        <v>5.0599999999999996</v>
      </c>
      <c r="Y210">
        <v>5.28</v>
      </c>
      <c r="Z210">
        <v>0.30693185299999998</v>
      </c>
      <c r="AA210">
        <v>3833.3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25">
      <c r="A211">
        <v>1997.25</v>
      </c>
      <c r="B211">
        <v>8551.9</v>
      </c>
      <c r="C211">
        <v>10984.111897453024</v>
      </c>
      <c r="D211">
        <v>6937.4692269817824</v>
      </c>
      <c r="E211">
        <v>7393.4586779974061</v>
      </c>
      <c r="F211">
        <v>536.27517398534212</v>
      </c>
      <c r="G211">
        <v>1880.0255415760098</v>
      </c>
      <c r="H211">
        <v>12.198995300599579</v>
      </c>
      <c r="I211">
        <v>5.4672011982906739</v>
      </c>
      <c r="J211">
        <v>242.9914493678142</v>
      </c>
      <c r="K211">
        <v>1552.2</v>
      </c>
      <c r="L211">
        <v>585.70000000000005</v>
      </c>
      <c r="M211">
        <v>0</v>
      </c>
      <c r="N211">
        <v>-0.16385383187071401</v>
      </c>
      <c r="O211">
        <v>2351.1000000000004</v>
      </c>
      <c r="P211">
        <v>1578.7</v>
      </c>
      <c r="Q211">
        <v>77.856999999999999</v>
      </c>
      <c r="R211">
        <v>74.92</v>
      </c>
      <c r="S211">
        <v>72.234999999999999</v>
      </c>
      <c r="T211">
        <v>103.718</v>
      </c>
      <c r="U211">
        <v>272349</v>
      </c>
      <c r="V211">
        <v>8.19</v>
      </c>
      <c r="W211">
        <v>6.7</v>
      </c>
      <c r="X211">
        <v>5.05</v>
      </c>
      <c r="Y211">
        <v>5.52</v>
      </c>
      <c r="Z211">
        <v>0.28488686699999999</v>
      </c>
      <c r="AA211">
        <v>3830.3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25">
      <c r="A212">
        <v>1997.5</v>
      </c>
      <c r="B212">
        <v>8691.7999999999993</v>
      </c>
      <c r="C212">
        <v>11124.080117744927</v>
      </c>
      <c r="D212">
        <v>7056.1494969337518</v>
      </c>
      <c r="E212">
        <v>7490.5753088430893</v>
      </c>
      <c r="F212">
        <v>560.17112034224067</v>
      </c>
      <c r="G212">
        <v>1913.5809736857595</v>
      </c>
      <c r="H212">
        <v>12.740561345846128</v>
      </c>
      <c r="I212">
        <v>5.5205966322903919</v>
      </c>
      <c r="J212">
        <v>244.50959540642242</v>
      </c>
      <c r="K212">
        <v>1559.8</v>
      </c>
      <c r="L212">
        <v>585.4</v>
      </c>
      <c r="M212">
        <v>0</v>
      </c>
      <c r="N212">
        <v>0.27146339759643201</v>
      </c>
      <c r="O212">
        <v>2402.8999999999996</v>
      </c>
      <c r="P212">
        <v>1615.1</v>
      </c>
      <c r="Q212">
        <v>78.135000000000005</v>
      </c>
      <c r="R212">
        <v>76.022000000000006</v>
      </c>
      <c r="S212">
        <v>72.902000000000001</v>
      </c>
      <c r="T212">
        <v>104.28</v>
      </c>
      <c r="U212">
        <v>273234</v>
      </c>
      <c r="V212">
        <v>7.76</v>
      </c>
      <c r="W212">
        <v>6.24</v>
      </c>
      <c r="X212">
        <v>5.05</v>
      </c>
      <c r="Y212">
        <v>5.53</v>
      </c>
      <c r="Z212">
        <v>0.29108303800000002</v>
      </c>
      <c r="AA212">
        <v>3842.6</v>
      </c>
      <c r="AB212">
        <v>0</v>
      </c>
      <c r="AC212">
        <v>0</v>
      </c>
      <c r="AD212">
        <v>0</v>
      </c>
      <c r="AE212">
        <v>0</v>
      </c>
      <c r="AF212">
        <v>0.03</v>
      </c>
    </row>
    <row r="213" spans="1:32" x14ac:dyDescent="0.25">
      <c r="A213">
        <v>1997.75</v>
      </c>
      <c r="B213">
        <v>8788.2999999999993</v>
      </c>
      <c r="C213">
        <v>11210.281267938006</v>
      </c>
      <c r="D213">
        <v>7139.933968540905</v>
      </c>
      <c r="E213">
        <v>7564.1249076654976</v>
      </c>
      <c r="F213">
        <v>574.49229282585998</v>
      </c>
      <c r="G213">
        <v>1940.7386437359189</v>
      </c>
      <c r="H213">
        <v>12.827776330641662</v>
      </c>
      <c r="I213">
        <v>5.5788529947653069</v>
      </c>
      <c r="J213">
        <v>245.59503424776332</v>
      </c>
      <c r="K213">
        <v>1572.4</v>
      </c>
      <c r="L213">
        <v>586.5</v>
      </c>
      <c r="M213">
        <v>0</v>
      </c>
      <c r="N213">
        <v>-0.44997680277790503</v>
      </c>
      <c r="O213">
        <v>2438.6999999999998</v>
      </c>
      <c r="P213">
        <v>1639.0000000000002</v>
      </c>
      <c r="Q213">
        <v>78.394999999999996</v>
      </c>
      <c r="R213">
        <v>76.659000000000006</v>
      </c>
      <c r="S213">
        <v>73.251000000000005</v>
      </c>
      <c r="T213">
        <v>104.65300000000001</v>
      </c>
      <c r="U213">
        <v>274117</v>
      </c>
      <c r="V213">
        <v>7.44</v>
      </c>
      <c r="W213">
        <v>5.91</v>
      </c>
      <c r="X213">
        <v>5.09</v>
      </c>
      <c r="Y213">
        <v>5.51</v>
      </c>
      <c r="Z213">
        <v>0.27076435100000001</v>
      </c>
      <c r="AA213">
        <v>3836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25">
      <c r="A214">
        <v>1998</v>
      </c>
      <c r="B214">
        <v>8889.7000000000007</v>
      </c>
      <c r="C214">
        <v>11321.141576353428</v>
      </c>
      <c r="D214">
        <v>7213.4831460674159</v>
      </c>
      <c r="E214">
        <v>7644.6166593627167</v>
      </c>
      <c r="F214">
        <v>579.09238631278993</v>
      </c>
      <c r="G214">
        <v>2027.1102166449627</v>
      </c>
      <c r="H214">
        <v>13.235085421101468</v>
      </c>
      <c r="I214">
        <v>5.6931085699453483</v>
      </c>
      <c r="J214">
        <v>247.26669199871625</v>
      </c>
      <c r="K214">
        <v>1566.7</v>
      </c>
      <c r="L214">
        <v>571.5</v>
      </c>
      <c r="M214">
        <v>0</v>
      </c>
      <c r="N214">
        <v>0.37973931999154897</v>
      </c>
      <c r="O214">
        <v>2484.6999999999998</v>
      </c>
      <c r="P214">
        <v>1668</v>
      </c>
      <c r="Q214">
        <v>78.522999999999996</v>
      </c>
      <c r="R214">
        <v>77.515000000000001</v>
      </c>
      <c r="S214">
        <v>73.700999999999993</v>
      </c>
      <c r="T214">
        <v>105.175</v>
      </c>
      <c r="U214">
        <v>274837</v>
      </c>
      <c r="V214">
        <v>7.25</v>
      </c>
      <c r="W214">
        <v>5.59</v>
      </c>
      <c r="X214">
        <v>5.05</v>
      </c>
      <c r="Y214">
        <v>5.52</v>
      </c>
      <c r="Z214">
        <v>0.25141310700000002</v>
      </c>
      <c r="AA214">
        <v>3825.6</v>
      </c>
      <c r="AB214">
        <v>-0.24339967600000001</v>
      </c>
      <c r="AC214">
        <v>0</v>
      </c>
      <c r="AD214">
        <v>0</v>
      </c>
      <c r="AE214">
        <v>0</v>
      </c>
      <c r="AF214">
        <v>0</v>
      </c>
    </row>
    <row r="215" spans="1:32" x14ac:dyDescent="0.25">
      <c r="A215">
        <v>1998.25</v>
      </c>
      <c r="B215">
        <v>8994.7000000000007</v>
      </c>
      <c r="C215">
        <v>11430.986058688222</v>
      </c>
      <c r="D215">
        <v>7340.9694721539918</v>
      </c>
      <c r="E215">
        <v>7742.4836761202032</v>
      </c>
      <c r="F215">
        <v>608.32773142473013</v>
      </c>
      <c r="G215">
        <v>2013.4483332145317</v>
      </c>
      <c r="H215">
        <v>13.671922144322657</v>
      </c>
      <c r="I215">
        <v>5.8906091116107877</v>
      </c>
      <c r="J215">
        <v>248.31957917466053</v>
      </c>
      <c r="K215">
        <v>1604.4</v>
      </c>
      <c r="L215">
        <v>586.6</v>
      </c>
      <c r="M215">
        <v>0</v>
      </c>
      <c r="N215">
        <v>5.0194343938354598E-2</v>
      </c>
      <c r="O215">
        <v>2523</v>
      </c>
      <c r="P215">
        <v>1694.5</v>
      </c>
      <c r="Q215">
        <v>78.686999999999998</v>
      </c>
      <c r="R215">
        <v>78.361000000000004</v>
      </c>
      <c r="S215">
        <v>74.099999999999994</v>
      </c>
      <c r="T215">
        <v>105.75</v>
      </c>
      <c r="U215">
        <v>275568</v>
      </c>
      <c r="V215">
        <v>7.25</v>
      </c>
      <c r="W215">
        <v>5.6</v>
      </c>
      <c r="X215">
        <v>4.9800000000000004</v>
      </c>
      <c r="Y215">
        <v>5.5</v>
      </c>
      <c r="Z215">
        <v>0.24258036899999999</v>
      </c>
      <c r="AA215">
        <v>3823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5">
      <c r="A216">
        <v>1998.5</v>
      </c>
      <c r="B216">
        <v>9146.5</v>
      </c>
      <c r="C216">
        <v>11580.63331687368</v>
      </c>
      <c r="D216">
        <v>7437.5601284405957</v>
      </c>
      <c r="E216">
        <v>7826.5510262866073</v>
      </c>
      <c r="F216">
        <v>625.60269049004216</v>
      </c>
      <c r="G216">
        <v>2067.2282886372545</v>
      </c>
      <c r="H216">
        <v>13.877964682683938</v>
      </c>
      <c r="I216">
        <v>6.0640440196273087</v>
      </c>
      <c r="J216">
        <v>248.696332028173</v>
      </c>
      <c r="K216">
        <v>1628.6</v>
      </c>
      <c r="L216">
        <v>584.70000000000005</v>
      </c>
      <c r="M216">
        <v>0</v>
      </c>
      <c r="N216">
        <v>-0.33467470006814198</v>
      </c>
      <c r="O216">
        <v>2566.4</v>
      </c>
      <c r="P216">
        <v>1730.5</v>
      </c>
      <c r="Q216">
        <v>78.980999999999995</v>
      </c>
      <c r="R216">
        <v>79.575999999999993</v>
      </c>
      <c r="S216">
        <v>75.165999999999997</v>
      </c>
      <c r="T216">
        <v>105.866</v>
      </c>
      <c r="U216">
        <v>276416</v>
      </c>
      <c r="V216">
        <v>7.13</v>
      </c>
      <c r="W216">
        <v>5.2</v>
      </c>
      <c r="X216">
        <v>4.82</v>
      </c>
      <c r="Y216">
        <v>5.53</v>
      </c>
      <c r="Z216">
        <v>0.19016991599999999</v>
      </c>
      <c r="AA216">
        <v>3789.8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5">
      <c r="A217">
        <v>1998.75</v>
      </c>
      <c r="B217">
        <v>9325.7000000000007</v>
      </c>
      <c r="C217">
        <v>11770.712374413088</v>
      </c>
      <c r="D217">
        <v>7546.7347956131607</v>
      </c>
      <c r="E217">
        <v>7889.080144519894</v>
      </c>
      <c r="F217">
        <v>662.59836197205709</v>
      </c>
      <c r="G217">
        <v>2125.5123072184974</v>
      </c>
      <c r="H217">
        <v>14.276880265903998</v>
      </c>
      <c r="I217">
        <v>6.2057236028336886</v>
      </c>
      <c r="J217">
        <v>251.61891286785979</v>
      </c>
      <c r="K217">
        <v>1654.3</v>
      </c>
      <c r="L217">
        <v>593.6</v>
      </c>
      <c r="M217">
        <v>0</v>
      </c>
      <c r="N217">
        <v>-4.8232750378837702E-2</v>
      </c>
      <c r="O217">
        <v>2603.9</v>
      </c>
      <c r="P217">
        <v>1757.5</v>
      </c>
      <c r="Q217">
        <v>79.227999999999994</v>
      </c>
      <c r="R217">
        <v>81.194999999999993</v>
      </c>
      <c r="S217">
        <v>75.697000000000003</v>
      </c>
      <c r="T217">
        <v>107.264</v>
      </c>
      <c r="U217">
        <v>277269</v>
      </c>
      <c r="V217">
        <v>7.25</v>
      </c>
      <c r="W217">
        <v>4.67</v>
      </c>
      <c r="X217">
        <v>4.25</v>
      </c>
      <c r="Y217">
        <v>4.8600000000000003</v>
      </c>
      <c r="Z217">
        <v>0.112095691</v>
      </c>
      <c r="AA217">
        <v>3772.7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25">
      <c r="A218">
        <v>1999</v>
      </c>
      <c r="B218">
        <v>9447.1</v>
      </c>
      <c r="C218">
        <v>11864.638802371144</v>
      </c>
      <c r="D218">
        <v>7618.680622024438</v>
      </c>
      <c r="E218">
        <v>7973.2677836328303</v>
      </c>
      <c r="F218">
        <v>663.98879179792846</v>
      </c>
      <c r="G218">
        <v>2186.0234360234358</v>
      </c>
      <c r="H218">
        <v>14.589850442702865</v>
      </c>
      <c r="I218">
        <v>6.2300697645273138</v>
      </c>
      <c r="J218">
        <v>251.54403036970317</v>
      </c>
      <c r="K218">
        <v>1676</v>
      </c>
      <c r="L218">
        <v>594.5</v>
      </c>
      <c r="M218">
        <v>15</v>
      </c>
      <c r="N218">
        <v>-0.18026515487127301</v>
      </c>
      <c r="O218">
        <v>2642.9</v>
      </c>
      <c r="P218">
        <v>1788.5</v>
      </c>
      <c r="Q218">
        <v>79.623999999999995</v>
      </c>
      <c r="R218">
        <v>81.95</v>
      </c>
      <c r="S218">
        <v>76.522000000000006</v>
      </c>
      <c r="T218">
        <v>107.093</v>
      </c>
      <c r="U218">
        <v>277993</v>
      </c>
      <c r="V218">
        <v>7.4</v>
      </c>
      <c r="W218">
        <v>4.9800000000000004</v>
      </c>
      <c r="X218">
        <v>4.41</v>
      </c>
      <c r="Y218">
        <v>4.7300000000000004</v>
      </c>
      <c r="Z218">
        <v>0.21176713699999999</v>
      </c>
      <c r="AA218">
        <v>3747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25">
      <c r="A219">
        <v>1999.25</v>
      </c>
      <c r="B219">
        <v>9557</v>
      </c>
      <c r="C219">
        <v>11962.548972975679</v>
      </c>
      <c r="D219">
        <v>7731.589099361986</v>
      </c>
      <c r="E219">
        <v>8051.146457146463</v>
      </c>
      <c r="F219">
        <v>695.77391417594583</v>
      </c>
      <c r="G219">
        <v>2188.0297300821489</v>
      </c>
      <c r="H219">
        <v>14.972965786208119</v>
      </c>
      <c r="I219">
        <v>6.3269691710058691</v>
      </c>
      <c r="J219">
        <v>253.66622208622118</v>
      </c>
      <c r="K219">
        <v>1703.7</v>
      </c>
      <c r="L219">
        <v>601.1</v>
      </c>
      <c r="M219">
        <v>0</v>
      </c>
      <c r="N219">
        <v>-0.17052332401157</v>
      </c>
      <c r="O219">
        <v>2672.6000000000004</v>
      </c>
      <c r="P219">
        <v>1808</v>
      </c>
      <c r="Q219">
        <v>79.891000000000005</v>
      </c>
      <c r="R219">
        <v>82.716999999999999</v>
      </c>
      <c r="S219">
        <v>76.673000000000002</v>
      </c>
      <c r="T219">
        <v>107.883</v>
      </c>
      <c r="U219">
        <v>278723</v>
      </c>
      <c r="V219">
        <v>7.74</v>
      </c>
      <c r="W219">
        <v>5.54</v>
      </c>
      <c r="X219">
        <v>4.45</v>
      </c>
      <c r="Y219">
        <v>4.75</v>
      </c>
      <c r="Z219">
        <v>0.26981419299999998</v>
      </c>
      <c r="AA219">
        <v>3721.8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25">
      <c r="A220">
        <v>1999.5</v>
      </c>
      <c r="B220">
        <v>9712.2999999999993</v>
      </c>
      <c r="C220">
        <v>12113.120478922421</v>
      </c>
      <c r="D220">
        <v>7819.2418390691491</v>
      </c>
      <c r="E220">
        <v>8126.70061271956</v>
      </c>
      <c r="F220">
        <v>712.46319921491659</v>
      </c>
      <c r="G220">
        <v>2242.7678476118181</v>
      </c>
      <c r="H220">
        <v>15.393172185946137</v>
      </c>
      <c r="I220">
        <v>6.3737944977187659</v>
      </c>
      <c r="J220">
        <v>254.46258872577914</v>
      </c>
      <c r="K220">
        <v>1740.2</v>
      </c>
      <c r="L220">
        <v>614.6</v>
      </c>
      <c r="M220">
        <v>0</v>
      </c>
      <c r="N220">
        <v>-1.05672216818705</v>
      </c>
      <c r="O220">
        <v>2720.4</v>
      </c>
      <c r="P220">
        <v>1838.1000000000001</v>
      </c>
      <c r="Q220">
        <v>80.180000000000007</v>
      </c>
      <c r="R220">
        <v>83.935000000000002</v>
      </c>
      <c r="S220">
        <v>77.314999999999998</v>
      </c>
      <c r="T220">
        <v>108.562</v>
      </c>
      <c r="U220">
        <v>279600</v>
      </c>
      <c r="V220">
        <v>8.1</v>
      </c>
      <c r="W220">
        <v>5.88</v>
      </c>
      <c r="X220">
        <v>4.6500000000000004</v>
      </c>
      <c r="Y220">
        <v>5.09</v>
      </c>
      <c r="Z220">
        <v>0.22522208099999999</v>
      </c>
      <c r="AA220">
        <v>3693.6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25">
      <c r="A221">
        <v>1999.75</v>
      </c>
      <c r="B221">
        <v>9926.1</v>
      </c>
      <c r="C221">
        <v>12323.363998659168</v>
      </c>
      <c r="D221">
        <v>7934.1925070918514</v>
      </c>
      <c r="E221">
        <v>8249.9023169932061</v>
      </c>
      <c r="F221">
        <v>720.96754288535112</v>
      </c>
      <c r="G221">
        <v>2308.5941663409953</v>
      </c>
      <c r="H221">
        <v>15.448670974618613</v>
      </c>
      <c r="I221">
        <v>6.4205761986069332</v>
      </c>
      <c r="J221">
        <v>255.84300570327019</v>
      </c>
      <c r="K221">
        <v>1784.2</v>
      </c>
      <c r="L221">
        <v>631.6</v>
      </c>
      <c r="M221">
        <v>0</v>
      </c>
      <c r="N221">
        <v>-0.71081568799338701</v>
      </c>
      <c r="O221">
        <v>2784</v>
      </c>
      <c r="P221">
        <v>1882.8999999999999</v>
      </c>
      <c r="Q221">
        <v>80.546999999999997</v>
      </c>
      <c r="R221">
        <v>85.638999999999996</v>
      </c>
      <c r="S221">
        <v>78.534000000000006</v>
      </c>
      <c r="T221">
        <v>109.04600000000001</v>
      </c>
      <c r="U221">
        <v>280463</v>
      </c>
      <c r="V221">
        <v>8.24</v>
      </c>
      <c r="W221">
        <v>6.14</v>
      </c>
      <c r="X221">
        <v>5.04</v>
      </c>
      <c r="Y221">
        <v>5.31</v>
      </c>
      <c r="Z221">
        <v>0.23222830899999999</v>
      </c>
      <c r="AA221">
        <v>3698.5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5">
      <c r="A222">
        <v>2000</v>
      </c>
      <c r="B222">
        <v>10031</v>
      </c>
      <c r="C222">
        <v>12359.079876298314</v>
      </c>
      <c r="D222">
        <v>8054.7842219500662</v>
      </c>
      <c r="E222">
        <v>8323.7919653458048</v>
      </c>
      <c r="F222">
        <v>761.24424458350211</v>
      </c>
      <c r="G222">
        <v>2287.8137675621656</v>
      </c>
      <c r="H222">
        <v>15.998893193137798</v>
      </c>
      <c r="I222">
        <v>6.4519567737551133</v>
      </c>
      <c r="J222">
        <v>257.45980636888055</v>
      </c>
      <c r="K222">
        <v>1795.1</v>
      </c>
      <c r="L222">
        <v>618.1</v>
      </c>
      <c r="M222">
        <v>0</v>
      </c>
      <c r="N222">
        <v>0.18378401957825899</v>
      </c>
      <c r="O222">
        <v>2879.4</v>
      </c>
      <c r="P222">
        <v>1962.8999999999999</v>
      </c>
      <c r="Q222">
        <v>81.162999999999997</v>
      </c>
      <c r="R222">
        <v>85.766000000000005</v>
      </c>
      <c r="S222">
        <v>78.323999999999998</v>
      </c>
      <c r="T222">
        <v>109.502</v>
      </c>
      <c r="U222">
        <v>281192</v>
      </c>
      <c r="V222">
        <v>8.33</v>
      </c>
      <c r="W222">
        <v>6.48</v>
      </c>
      <c r="X222">
        <v>5.52</v>
      </c>
      <c r="Y222">
        <v>5.68</v>
      </c>
      <c r="Z222">
        <v>0.24204587899999999</v>
      </c>
      <c r="AA222">
        <v>3643.4</v>
      </c>
      <c r="AB222">
        <v>0</v>
      </c>
      <c r="AC222">
        <v>1.7654267000000001E-2</v>
      </c>
      <c r="AD222">
        <v>0</v>
      </c>
      <c r="AE222">
        <v>0</v>
      </c>
      <c r="AF222">
        <v>0</v>
      </c>
    </row>
    <row r="223" spans="1:32" x14ac:dyDescent="0.25">
      <c r="A223">
        <v>2000.25</v>
      </c>
      <c r="B223">
        <v>10278.299999999999</v>
      </c>
      <c r="C223">
        <v>12592.406552074781</v>
      </c>
      <c r="D223">
        <v>8132.2196337827563</v>
      </c>
      <c r="E223">
        <v>8441.3567710651168</v>
      </c>
      <c r="F223">
        <v>747.13167377707828</v>
      </c>
      <c r="G223">
        <v>2424.6041498437667</v>
      </c>
      <c r="H223">
        <v>16.505079505300355</v>
      </c>
      <c r="I223">
        <v>6.4192710051053394</v>
      </c>
      <c r="J223">
        <v>258.12055600475088</v>
      </c>
      <c r="K223">
        <v>1828.9</v>
      </c>
      <c r="L223">
        <v>639.29999999999995</v>
      </c>
      <c r="M223">
        <v>0</v>
      </c>
      <c r="N223">
        <v>-0.16685167554706301</v>
      </c>
      <c r="O223">
        <v>2910.3</v>
      </c>
      <c r="P223">
        <v>1976.2</v>
      </c>
      <c r="Q223">
        <v>81.623000000000005</v>
      </c>
      <c r="R223">
        <v>87.65</v>
      </c>
      <c r="S223">
        <v>80.034999999999997</v>
      </c>
      <c r="T223">
        <v>109.515</v>
      </c>
      <c r="U223">
        <v>281885</v>
      </c>
      <c r="V223">
        <v>8.59</v>
      </c>
      <c r="W223">
        <v>6.18</v>
      </c>
      <c r="X223">
        <v>5.71</v>
      </c>
      <c r="Y223">
        <v>6.27</v>
      </c>
      <c r="Z223">
        <v>0.207801387</v>
      </c>
      <c r="AA223">
        <v>3531.4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25">
      <c r="A224">
        <v>2000.5</v>
      </c>
      <c r="B224">
        <v>10357.4</v>
      </c>
      <c r="C224">
        <v>12607.60541435388</v>
      </c>
      <c r="D224">
        <v>8211.1968139342389</v>
      </c>
      <c r="E224">
        <v>8513.9446335592511</v>
      </c>
      <c r="F224">
        <v>759.88297952141625</v>
      </c>
      <c r="G224">
        <v>2394.1677245041751</v>
      </c>
      <c r="H224">
        <v>16.679690509470721</v>
      </c>
      <c r="I224">
        <v>6.3199068562682328</v>
      </c>
      <c r="J224">
        <v>257.59890785100248</v>
      </c>
      <c r="K224">
        <v>1845</v>
      </c>
      <c r="L224">
        <v>636.20000000000005</v>
      </c>
      <c r="M224">
        <v>0</v>
      </c>
      <c r="N224">
        <v>0.23666282566435001</v>
      </c>
      <c r="O224">
        <v>2926</v>
      </c>
      <c r="P224">
        <v>1995.4</v>
      </c>
      <c r="Q224">
        <v>82.152000000000001</v>
      </c>
      <c r="R224">
        <v>87.682000000000002</v>
      </c>
      <c r="S224">
        <v>80.061000000000007</v>
      </c>
      <c r="T224">
        <v>109.51900000000001</v>
      </c>
      <c r="U224">
        <v>282657</v>
      </c>
      <c r="V224">
        <v>8.32</v>
      </c>
      <c r="W224">
        <v>5.89</v>
      </c>
      <c r="X224">
        <v>6.02</v>
      </c>
      <c r="Y224">
        <v>6.52</v>
      </c>
      <c r="Z224">
        <v>0.22058050300000001</v>
      </c>
      <c r="AA224">
        <v>3460.7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5">
      <c r="A225">
        <v>2000.75</v>
      </c>
      <c r="B225">
        <v>10472.299999999999</v>
      </c>
      <c r="C225">
        <v>12679.403823568582</v>
      </c>
      <c r="D225">
        <v>8284.4020280345958</v>
      </c>
      <c r="E225">
        <v>8591.9686941099299</v>
      </c>
      <c r="F225">
        <v>765.08575677323961</v>
      </c>
      <c r="G225">
        <v>2395.593669385763</v>
      </c>
      <c r="H225">
        <v>16.722798212595478</v>
      </c>
      <c r="I225">
        <v>6.3262738791549404</v>
      </c>
      <c r="J225">
        <v>256.54230255178453</v>
      </c>
      <c r="K225">
        <v>1868.7</v>
      </c>
      <c r="L225">
        <v>636.1</v>
      </c>
      <c r="M225">
        <v>0</v>
      </c>
      <c r="N225">
        <v>-0.38061182331485899</v>
      </c>
      <c r="O225">
        <v>2950.4</v>
      </c>
      <c r="P225">
        <v>2013.9</v>
      </c>
      <c r="Q225">
        <v>82.593000000000004</v>
      </c>
      <c r="R225">
        <v>88.16</v>
      </c>
      <c r="S225">
        <v>80.956999999999994</v>
      </c>
      <c r="T225">
        <v>108.89700000000001</v>
      </c>
      <c r="U225">
        <v>283450</v>
      </c>
      <c r="V225">
        <v>8.2100000000000009</v>
      </c>
      <c r="W225">
        <v>5.57</v>
      </c>
      <c r="X225">
        <v>6.02</v>
      </c>
      <c r="Y225">
        <v>6.47</v>
      </c>
      <c r="Z225">
        <v>0.16443943999999999</v>
      </c>
      <c r="AA225">
        <v>3397.8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25">
      <c r="A226">
        <v>2001</v>
      </c>
      <c r="B226">
        <v>10508.1</v>
      </c>
      <c r="C226">
        <v>12643.300606410627</v>
      </c>
      <c r="D226">
        <v>8319.3894721873294</v>
      </c>
      <c r="E226">
        <v>8611.758442570881</v>
      </c>
      <c r="F226">
        <v>777.67988252569751</v>
      </c>
      <c r="G226">
        <v>2285.2131897743243</v>
      </c>
      <c r="H226">
        <v>16.588777302707896</v>
      </c>
      <c r="I226">
        <v>6.3532060219234854</v>
      </c>
      <c r="J226">
        <v>256.48388290486878</v>
      </c>
      <c r="K226">
        <v>1911.9</v>
      </c>
      <c r="L226">
        <v>652.5</v>
      </c>
      <c r="M226">
        <v>0</v>
      </c>
      <c r="N226">
        <v>-0.33611323904101997</v>
      </c>
      <c r="O226">
        <v>2987.8</v>
      </c>
      <c r="P226">
        <v>2027.5000000000002</v>
      </c>
      <c r="Q226">
        <v>83.111999999999995</v>
      </c>
      <c r="R226">
        <v>87.73</v>
      </c>
      <c r="S226">
        <v>80.697000000000003</v>
      </c>
      <c r="T226">
        <v>108.71599999999999</v>
      </c>
      <c r="U226">
        <v>284136</v>
      </c>
      <c r="V226">
        <v>7.88</v>
      </c>
      <c r="W226">
        <v>5.05</v>
      </c>
      <c r="X226">
        <v>4.82</v>
      </c>
      <c r="Y226">
        <v>5.59</v>
      </c>
      <c r="Z226">
        <v>0.160515353</v>
      </c>
      <c r="AA226">
        <v>3396.2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25">
      <c r="A227">
        <v>2001.25</v>
      </c>
      <c r="B227">
        <v>10638.4</v>
      </c>
      <c r="C227">
        <v>12710.3071721287</v>
      </c>
      <c r="D227">
        <v>8340.7241419978764</v>
      </c>
      <c r="E227">
        <v>8637.9890431894382</v>
      </c>
      <c r="F227">
        <v>777.03130941817722</v>
      </c>
      <c r="G227">
        <v>2277.0684046629544</v>
      </c>
      <c r="H227">
        <v>16.212096106048051</v>
      </c>
      <c r="I227">
        <v>6.4518572763314062</v>
      </c>
      <c r="J227">
        <v>254.72837736052642</v>
      </c>
      <c r="K227">
        <v>1958.6</v>
      </c>
      <c r="L227">
        <v>666.4</v>
      </c>
      <c r="M227">
        <v>0</v>
      </c>
      <c r="N227">
        <v>-1.0947773014281199</v>
      </c>
      <c r="O227">
        <v>2984.8999999999996</v>
      </c>
      <c r="P227">
        <v>2015.5</v>
      </c>
      <c r="Q227">
        <v>83.698999999999998</v>
      </c>
      <c r="R227">
        <v>88.186000000000007</v>
      </c>
      <c r="S227">
        <v>81.962999999999994</v>
      </c>
      <c r="T227">
        <v>107.593</v>
      </c>
      <c r="U227">
        <v>284818</v>
      </c>
      <c r="V227">
        <v>8.0399999999999991</v>
      </c>
      <c r="W227">
        <v>5.27</v>
      </c>
      <c r="X227">
        <v>3.66</v>
      </c>
      <c r="Y227">
        <v>4.33</v>
      </c>
      <c r="Z227">
        <v>0.21685425899999999</v>
      </c>
      <c r="AA227">
        <v>3305.5</v>
      </c>
      <c r="AB227">
        <v>0</v>
      </c>
      <c r="AC227">
        <v>0</v>
      </c>
      <c r="AD227">
        <v>0</v>
      </c>
      <c r="AE227">
        <v>0</v>
      </c>
      <c r="AF227">
        <v>-0.8</v>
      </c>
    </row>
    <row r="228" spans="1:32" x14ac:dyDescent="0.25">
      <c r="A228">
        <v>2001.5</v>
      </c>
      <c r="B228">
        <v>10639.5</v>
      </c>
      <c r="C228">
        <v>12670.143974849059</v>
      </c>
      <c r="D228">
        <v>8371.3201499045426</v>
      </c>
      <c r="E228">
        <v>8659.5210462517389</v>
      </c>
      <c r="F228">
        <v>785.94336171769328</v>
      </c>
      <c r="G228">
        <v>2236.5504502424383</v>
      </c>
      <c r="H228">
        <v>15.99937995482528</v>
      </c>
      <c r="I228">
        <v>6.4915376394860447</v>
      </c>
      <c r="J228">
        <v>253.39424347102079</v>
      </c>
      <c r="K228">
        <v>1965.5</v>
      </c>
      <c r="L228">
        <v>674.9</v>
      </c>
      <c r="M228">
        <v>97.1</v>
      </c>
      <c r="N228">
        <v>-0.48505479502186499</v>
      </c>
      <c r="O228">
        <v>2768.1</v>
      </c>
      <c r="P228">
        <v>1825.5</v>
      </c>
      <c r="Q228">
        <v>83.972999999999999</v>
      </c>
      <c r="R228">
        <v>87.68</v>
      </c>
      <c r="S228">
        <v>82.411000000000001</v>
      </c>
      <c r="T228">
        <v>106.393</v>
      </c>
      <c r="U228">
        <v>285574</v>
      </c>
      <c r="V228">
        <v>7.95</v>
      </c>
      <c r="W228">
        <v>4.9800000000000004</v>
      </c>
      <c r="X228">
        <v>3.17</v>
      </c>
      <c r="Y228">
        <v>3.5</v>
      </c>
      <c r="Z228">
        <v>0.20381091500000001</v>
      </c>
      <c r="AA228">
        <v>3357.5</v>
      </c>
      <c r="AB228">
        <v>-0.56240195000000004</v>
      </c>
      <c r="AC228">
        <v>0</v>
      </c>
      <c r="AD228">
        <v>0</v>
      </c>
      <c r="AE228">
        <v>0</v>
      </c>
      <c r="AF228">
        <v>0</v>
      </c>
    </row>
    <row r="229" spans="1:32" x14ac:dyDescent="0.25">
      <c r="A229">
        <v>2001.75</v>
      </c>
      <c r="B229">
        <v>10701.3</v>
      </c>
      <c r="C229">
        <v>12705.308274068884</v>
      </c>
      <c r="D229">
        <v>8499.1167118125086</v>
      </c>
      <c r="E229">
        <v>8704.2251884784546</v>
      </c>
      <c r="F229">
        <v>851.44400937024443</v>
      </c>
      <c r="G229">
        <v>2126.8958193864123</v>
      </c>
      <c r="H229">
        <v>15.536660532558809</v>
      </c>
      <c r="I229">
        <v>6.450935330021994</v>
      </c>
      <c r="J229">
        <v>251.75537852676675</v>
      </c>
      <c r="K229">
        <v>1999.1</v>
      </c>
      <c r="L229">
        <v>683.3</v>
      </c>
      <c r="M229">
        <v>0</v>
      </c>
      <c r="N229">
        <v>-1.0379116949063001</v>
      </c>
      <c r="O229">
        <v>2879.7</v>
      </c>
      <c r="P229">
        <v>1931.7</v>
      </c>
      <c r="Q229">
        <v>84.227000000000004</v>
      </c>
      <c r="R229">
        <v>87.933000000000007</v>
      </c>
      <c r="S229">
        <v>83.510999999999996</v>
      </c>
      <c r="T229">
        <v>105.29600000000001</v>
      </c>
      <c r="U229">
        <v>286336</v>
      </c>
      <c r="V229">
        <v>7.92</v>
      </c>
      <c r="W229">
        <v>4.7699999999999996</v>
      </c>
      <c r="X229">
        <v>1.91</v>
      </c>
      <c r="Y229">
        <v>2.13</v>
      </c>
      <c r="Z229">
        <v>0.22416383000000001</v>
      </c>
      <c r="AA229">
        <v>3381.3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25">
      <c r="A230">
        <v>2002</v>
      </c>
      <c r="B230">
        <v>10834.4</v>
      </c>
      <c r="C230">
        <v>12822.2303750429</v>
      </c>
      <c r="D230">
        <v>8524.6402708548867</v>
      </c>
      <c r="E230">
        <v>8751.956150627575</v>
      </c>
      <c r="F230">
        <v>840.931243584546</v>
      </c>
      <c r="G230">
        <v>2202.7447814554262</v>
      </c>
      <c r="H230">
        <v>15.220502579464137</v>
      </c>
      <c r="I230">
        <v>6.661304294023016</v>
      </c>
      <c r="J230">
        <v>250.07804558047741</v>
      </c>
      <c r="K230">
        <v>2048.3000000000002</v>
      </c>
      <c r="L230">
        <v>714.4</v>
      </c>
      <c r="M230">
        <v>296.3</v>
      </c>
      <c r="N230">
        <v>1.7522714075560999</v>
      </c>
      <c r="O230">
        <v>2739.9</v>
      </c>
      <c r="P230">
        <v>1789.6000000000001</v>
      </c>
      <c r="Q230">
        <v>84.497</v>
      </c>
      <c r="R230">
        <v>88.872</v>
      </c>
      <c r="S230">
        <v>85.097999999999999</v>
      </c>
      <c r="T230">
        <v>104.435</v>
      </c>
      <c r="U230">
        <v>286991</v>
      </c>
      <c r="V230">
        <v>7.96</v>
      </c>
      <c r="W230">
        <v>5.08</v>
      </c>
      <c r="X230">
        <v>1.72</v>
      </c>
      <c r="Y230">
        <v>1.73</v>
      </c>
      <c r="Z230">
        <v>0.21435615399999999</v>
      </c>
      <c r="AA230">
        <v>3407.3</v>
      </c>
      <c r="AB230">
        <v>0.55161468300000005</v>
      </c>
      <c r="AC230">
        <v>-0.79742192700000003</v>
      </c>
      <c r="AD230">
        <v>0</v>
      </c>
      <c r="AE230">
        <v>0</v>
      </c>
      <c r="AF230">
        <v>0</v>
      </c>
    </row>
    <row r="231" spans="1:32" x14ac:dyDescent="0.25">
      <c r="A231">
        <v>2002.25</v>
      </c>
      <c r="B231">
        <v>10934.8</v>
      </c>
      <c r="C231">
        <v>12892.986841484695</v>
      </c>
      <c r="D231">
        <v>8568.1120871685398</v>
      </c>
      <c r="E231">
        <v>8790.7116098493625</v>
      </c>
      <c r="F231">
        <v>849.25450762829405</v>
      </c>
      <c r="G231">
        <v>2224.9182525101969</v>
      </c>
      <c r="H231">
        <v>15.018278387057345</v>
      </c>
      <c r="I231">
        <v>6.8265432934256989</v>
      </c>
      <c r="J231">
        <v>251.31639572114821</v>
      </c>
      <c r="K231">
        <v>2080.6</v>
      </c>
      <c r="L231">
        <v>733.1</v>
      </c>
      <c r="M231">
        <v>0</v>
      </c>
      <c r="N231">
        <v>-0.38975437422419601</v>
      </c>
      <c r="O231">
        <v>2744.6</v>
      </c>
      <c r="P231">
        <v>1792.3</v>
      </c>
      <c r="Q231">
        <v>84.811999999999998</v>
      </c>
      <c r="R231">
        <v>89.344999999999999</v>
      </c>
      <c r="S231">
        <v>85.370999999999995</v>
      </c>
      <c r="T231">
        <v>104.655</v>
      </c>
      <c r="U231">
        <v>287628</v>
      </c>
      <c r="V231">
        <v>8.02</v>
      </c>
      <c r="W231">
        <v>5.0999999999999996</v>
      </c>
      <c r="X231">
        <v>1.72</v>
      </c>
      <c r="Y231">
        <v>1.75</v>
      </c>
      <c r="Z231">
        <v>0.196304545</v>
      </c>
      <c r="AA231">
        <v>3493.2</v>
      </c>
      <c r="AB231">
        <v>-0.35390251900000003</v>
      </c>
      <c r="AC231">
        <v>0</v>
      </c>
      <c r="AD231">
        <v>0</v>
      </c>
      <c r="AE231">
        <v>0</v>
      </c>
      <c r="AF231">
        <v>0</v>
      </c>
    </row>
    <row r="232" spans="1:32" x14ac:dyDescent="0.25">
      <c r="A232">
        <v>2002.5</v>
      </c>
      <c r="B232">
        <v>11037.1</v>
      </c>
      <c r="C232">
        <v>12955.863364244629</v>
      </c>
      <c r="D232">
        <v>8627.9903889682082</v>
      </c>
      <c r="E232">
        <v>8822.01938291849</v>
      </c>
      <c r="F232">
        <v>874.09084970166805</v>
      </c>
      <c r="G232">
        <v>2224.6711285483498</v>
      </c>
      <c r="H232">
        <v>14.93016589073212</v>
      </c>
      <c r="I232">
        <v>6.84750248097916</v>
      </c>
      <c r="J232">
        <v>250.93729029095326</v>
      </c>
      <c r="K232">
        <v>2107.6999999999998</v>
      </c>
      <c r="L232">
        <v>746.2</v>
      </c>
      <c r="M232">
        <v>93</v>
      </c>
      <c r="N232">
        <v>-5.3567523688343201E-2</v>
      </c>
      <c r="O232">
        <v>2772</v>
      </c>
      <c r="P232">
        <v>1789</v>
      </c>
      <c r="Q232">
        <v>85.19</v>
      </c>
      <c r="R232">
        <v>89.822000000000003</v>
      </c>
      <c r="S232">
        <v>86.132000000000005</v>
      </c>
      <c r="T232">
        <v>104.28400000000001</v>
      </c>
      <c r="U232">
        <v>288361</v>
      </c>
      <c r="V232">
        <v>7.63</v>
      </c>
      <c r="W232">
        <v>4.26</v>
      </c>
      <c r="X232">
        <v>1.64</v>
      </c>
      <c r="Y232">
        <v>1.74</v>
      </c>
      <c r="Z232">
        <v>7.8446320999999999E-2</v>
      </c>
      <c r="AA232">
        <v>3570.6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x14ac:dyDescent="0.25">
      <c r="A233">
        <v>2002.75</v>
      </c>
      <c r="B233">
        <v>11103.8</v>
      </c>
      <c r="C233">
        <v>12964.005090425098</v>
      </c>
      <c r="D233">
        <v>8674.3312727482808</v>
      </c>
      <c r="E233">
        <v>8895.2587845731268</v>
      </c>
      <c r="F233">
        <v>862.01455246778301</v>
      </c>
      <c r="G233">
        <v>2220.6550158249624</v>
      </c>
      <c r="H233">
        <v>14.750985508855699</v>
      </c>
      <c r="I233">
        <v>6.9704092087024643</v>
      </c>
      <c r="J233">
        <v>251.22081872643034</v>
      </c>
      <c r="K233">
        <v>2143.1</v>
      </c>
      <c r="L233">
        <v>768.8</v>
      </c>
      <c r="M233">
        <v>0</v>
      </c>
      <c r="N233">
        <v>-0.216541380799702</v>
      </c>
      <c r="O233">
        <v>2789.1000000000004</v>
      </c>
      <c r="P233">
        <v>1799.5</v>
      </c>
      <c r="Q233">
        <v>85.650999999999996</v>
      </c>
      <c r="R233">
        <v>89.802999999999997</v>
      </c>
      <c r="S233">
        <v>85.977999999999994</v>
      </c>
      <c r="T233">
        <v>104.449</v>
      </c>
      <c r="U233">
        <v>289096</v>
      </c>
      <c r="V233">
        <v>7.6</v>
      </c>
      <c r="W233">
        <v>4.01</v>
      </c>
      <c r="X233">
        <v>1.33</v>
      </c>
      <c r="Y233">
        <v>1.44</v>
      </c>
      <c r="Z233">
        <v>9.4344176000000002E-2</v>
      </c>
      <c r="AA233">
        <v>3638.7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25">
      <c r="A234">
        <v>2003</v>
      </c>
      <c r="B234">
        <v>11230.1</v>
      </c>
      <c r="C234">
        <v>13031.132874598219</v>
      </c>
      <c r="D234">
        <v>8712.5384368259201</v>
      </c>
      <c r="E234">
        <v>8935.4890262740701</v>
      </c>
      <c r="F234">
        <v>864.67099889918677</v>
      </c>
      <c r="G234">
        <v>2239.486341669618</v>
      </c>
      <c r="H234">
        <v>14.785697582486108</v>
      </c>
      <c r="I234">
        <v>7.0982590734730007</v>
      </c>
      <c r="J234">
        <v>249.79252372809131</v>
      </c>
      <c r="K234">
        <v>2178</v>
      </c>
      <c r="L234">
        <v>789.3</v>
      </c>
      <c r="M234">
        <v>123.8</v>
      </c>
      <c r="N234">
        <v>-4.76475671926491E-2</v>
      </c>
      <c r="O234">
        <v>2806.5</v>
      </c>
      <c r="P234">
        <v>1812.7</v>
      </c>
      <c r="Q234">
        <v>86.179000000000002</v>
      </c>
      <c r="R234">
        <v>90.233999999999995</v>
      </c>
      <c r="S234">
        <v>86.861000000000004</v>
      </c>
      <c r="T234">
        <v>103.884</v>
      </c>
      <c r="U234">
        <v>289714</v>
      </c>
      <c r="V234">
        <v>7.12</v>
      </c>
      <c r="W234">
        <v>3.92</v>
      </c>
      <c r="X234">
        <v>1.1599999999999999</v>
      </c>
      <c r="Y234">
        <v>1.25</v>
      </c>
      <c r="Z234">
        <v>0.13668328499999999</v>
      </c>
      <c r="AA234">
        <v>3671.8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 x14ac:dyDescent="0.25">
      <c r="A235">
        <v>2003.25</v>
      </c>
      <c r="B235">
        <v>11370.7</v>
      </c>
      <c r="C235">
        <v>13152.16008328032</v>
      </c>
      <c r="D235">
        <v>8809.4828673292759</v>
      </c>
      <c r="E235">
        <v>8989.2636108425304</v>
      </c>
      <c r="F235">
        <v>904.32691444877162</v>
      </c>
      <c r="G235">
        <v>2251.2281503484519</v>
      </c>
      <c r="H235">
        <v>15.14368168295319</v>
      </c>
      <c r="I235">
        <v>7.2102751428739769</v>
      </c>
      <c r="J235">
        <v>248.90575507576983</v>
      </c>
      <c r="K235">
        <v>2216.9</v>
      </c>
      <c r="L235">
        <v>831.4</v>
      </c>
      <c r="M235">
        <v>0</v>
      </c>
      <c r="N235">
        <v>-0.61392817254093002</v>
      </c>
      <c r="O235">
        <v>2824</v>
      </c>
      <c r="P235">
        <v>1831.6</v>
      </c>
      <c r="Q235">
        <v>86.454999999999998</v>
      </c>
      <c r="R235">
        <v>91.26</v>
      </c>
      <c r="S235">
        <v>88.298000000000002</v>
      </c>
      <c r="T235">
        <v>103.354</v>
      </c>
      <c r="U235">
        <v>290352</v>
      </c>
      <c r="V235">
        <v>6.47</v>
      </c>
      <c r="W235">
        <v>3.62</v>
      </c>
      <c r="X235">
        <v>1.04</v>
      </c>
      <c r="Y235">
        <v>1.25</v>
      </c>
      <c r="Z235">
        <v>7.8609519000000003E-2</v>
      </c>
      <c r="AA235">
        <v>3845</v>
      </c>
      <c r="AB235">
        <v>0</v>
      </c>
      <c r="AC235">
        <v>0</v>
      </c>
      <c r="AD235">
        <v>0</v>
      </c>
      <c r="AE235">
        <v>0</v>
      </c>
      <c r="AF235">
        <v>2.2599999999999998</v>
      </c>
    </row>
    <row r="236" spans="1:32" x14ac:dyDescent="0.25">
      <c r="A236">
        <v>2003.5</v>
      </c>
      <c r="B236">
        <v>11625.1</v>
      </c>
      <c r="C236">
        <v>13372.328433064164</v>
      </c>
      <c r="D236">
        <v>8939.3145253178991</v>
      </c>
      <c r="E236">
        <v>9081.3876968007426</v>
      </c>
      <c r="F236">
        <v>944.72844608802836</v>
      </c>
      <c r="G236">
        <v>2330.9246088193458</v>
      </c>
      <c r="H236">
        <v>15.446313353802342</v>
      </c>
      <c r="I236">
        <v>7.6233708496150872</v>
      </c>
      <c r="J236">
        <v>249.48713244082739</v>
      </c>
      <c r="K236">
        <v>2231.1999999999998</v>
      </c>
      <c r="L236">
        <v>830.5</v>
      </c>
      <c r="M236">
        <v>41</v>
      </c>
      <c r="N236">
        <v>-0.280851233112142</v>
      </c>
      <c r="O236">
        <v>2800.7</v>
      </c>
      <c r="P236">
        <v>1761.8999999999999</v>
      </c>
      <c r="Q236">
        <v>86.933999999999997</v>
      </c>
      <c r="R236">
        <v>93.254999999999995</v>
      </c>
      <c r="S236">
        <v>89.938999999999993</v>
      </c>
      <c r="T236">
        <v>103.687</v>
      </c>
      <c r="U236">
        <v>291071</v>
      </c>
      <c r="V236">
        <v>6.81</v>
      </c>
      <c r="W236">
        <v>4.2300000000000004</v>
      </c>
      <c r="X236">
        <v>0.93</v>
      </c>
      <c r="Y236">
        <v>1.02</v>
      </c>
      <c r="Z236">
        <v>0.16786125299999999</v>
      </c>
      <c r="AA236">
        <v>3943.7</v>
      </c>
      <c r="AB236">
        <v>0</v>
      </c>
      <c r="AC236">
        <v>-1.140166515</v>
      </c>
      <c r="AD236">
        <v>-1.1478804170000001</v>
      </c>
      <c r="AE236">
        <v>-2.8576325310000001</v>
      </c>
      <c r="AF236">
        <v>0</v>
      </c>
    </row>
    <row r="237" spans="1:32" x14ac:dyDescent="0.25">
      <c r="A237">
        <v>2003.75</v>
      </c>
      <c r="B237">
        <v>11816.8</v>
      </c>
      <c r="C237">
        <v>13528.724841435211</v>
      </c>
      <c r="D237">
        <v>9008.8403182060629</v>
      </c>
      <c r="E237">
        <v>9145.0369352394082</v>
      </c>
      <c r="F237">
        <v>956.81525050081871</v>
      </c>
      <c r="G237">
        <v>2413.161050892716</v>
      </c>
      <c r="H237">
        <v>15.668013497913153</v>
      </c>
      <c r="I237">
        <v>7.8497861970665319</v>
      </c>
      <c r="J237">
        <v>250.52126530834488</v>
      </c>
      <c r="K237">
        <v>2257.3000000000002</v>
      </c>
      <c r="L237">
        <v>848.1</v>
      </c>
      <c r="M237">
        <v>78.2</v>
      </c>
      <c r="N237">
        <v>-0.304376868871442</v>
      </c>
      <c r="O237">
        <v>2918</v>
      </c>
      <c r="P237">
        <v>1860.4</v>
      </c>
      <c r="Q237">
        <v>87.346000000000004</v>
      </c>
      <c r="R237">
        <v>94.516999999999996</v>
      </c>
      <c r="S237">
        <v>90.646000000000001</v>
      </c>
      <c r="T237">
        <v>104.27</v>
      </c>
      <c r="U237">
        <v>291796</v>
      </c>
      <c r="V237">
        <v>6.66</v>
      </c>
      <c r="W237">
        <v>4.29</v>
      </c>
      <c r="X237">
        <v>0.92</v>
      </c>
      <c r="Y237">
        <v>1</v>
      </c>
      <c r="Z237">
        <v>0.26853138199999999</v>
      </c>
      <c r="AA237">
        <v>4040.3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25">
      <c r="A238">
        <v>2004</v>
      </c>
      <c r="B238">
        <v>11988.4</v>
      </c>
      <c r="C238">
        <v>13606.482952739818</v>
      </c>
      <c r="D238">
        <v>9096.4174296944511</v>
      </c>
      <c r="E238">
        <v>9224.737746813702</v>
      </c>
      <c r="F238">
        <v>972.69530820788918</v>
      </c>
      <c r="G238">
        <v>2414.573483609312</v>
      </c>
      <c r="H238">
        <v>15.49432918395574</v>
      </c>
      <c r="I238">
        <v>7.9414179817999804</v>
      </c>
      <c r="J238">
        <v>251.68118433627188</v>
      </c>
      <c r="K238">
        <v>2303.1</v>
      </c>
      <c r="L238">
        <v>872.5</v>
      </c>
      <c r="M238">
        <v>0</v>
      </c>
      <c r="N238">
        <v>0.71794960150392595</v>
      </c>
      <c r="O238">
        <v>2944.7999999999997</v>
      </c>
      <c r="P238">
        <v>1877.4</v>
      </c>
      <c r="Q238">
        <v>88.108000000000004</v>
      </c>
      <c r="R238">
        <v>95.144999999999996</v>
      </c>
      <c r="S238">
        <v>90.956000000000003</v>
      </c>
      <c r="T238">
        <v>104.60599999999999</v>
      </c>
      <c r="U238">
        <v>292374</v>
      </c>
      <c r="V238">
        <v>6.27</v>
      </c>
      <c r="W238">
        <v>4.0199999999999996</v>
      </c>
      <c r="X238">
        <v>0.92</v>
      </c>
      <c r="Y238">
        <v>1</v>
      </c>
      <c r="Z238">
        <v>0.232107863</v>
      </c>
      <c r="AA238">
        <v>4128.3999999999996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25">
      <c r="A239">
        <v>2004.25</v>
      </c>
      <c r="B239">
        <v>12181.4</v>
      </c>
      <c r="C239">
        <v>13706.216596343178</v>
      </c>
      <c r="D239">
        <v>9155.3989822736676</v>
      </c>
      <c r="E239">
        <v>9280.4924177740941</v>
      </c>
      <c r="F239">
        <v>982.21077618205311</v>
      </c>
      <c r="G239">
        <v>2500.8301051466519</v>
      </c>
      <c r="H239">
        <v>15.837860426243211</v>
      </c>
      <c r="I239">
        <v>8.1952026468155506</v>
      </c>
      <c r="J239">
        <v>251.8083971857339</v>
      </c>
      <c r="K239">
        <v>2343.6</v>
      </c>
      <c r="L239">
        <v>886.7</v>
      </c>
      <c r="M239">
        <v>25</v>
      </c>
      <c r="N239">
        <v>-0.12552465469955201</v>
      </c>
      <c r="O239">
        <v>3004.8</v>
      </c>
      <c r="P239">
        <v>1925.9</v>
      </c>
      <c r="Q239">
        <v>88.875</v>
      </c>
      <c r="R239">
        <v>95.933999999999997</v>
      </c>
      <c r="S239">
        <v>91.602000000000004</v>
      </c>
      <c r="T239">
        <v>104.73</v>
      </c>
      <c r="U239">
        <v>293000</v>
      </c>
      <c r="V239">
        <v>6.66</v>
      </c>
      <c r="W239">
        <v>4.5999999999999996</v>
      </c>
      <c r="X239">
        <v>1.08</v>
      </c>
      <c r="Y239">
        <v>1.01</v>
      </c>
      <c r="Z239">
        <v>0.245150968</v>
      </c>
      <c r="AA239">
        <v>4249.8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25">
      <c r="A240">
        <v>2004.5</v>
      </c>
      <c r="B240">
        <v>12367.7</v>
      </c>
      <c r="C240">
        <v>13830.712799982108</v>
      </c>
      <c r="D240">
        <v>9243.008839717575</v>
      </c>
      <c r="E240">
        <v>9355.5275519283732</v>
      </c>
      <c r="F240">
        <v>1001.3021915606905</v>
      </c>
      <c r="G240">
        <v>2539.3878133995477</v>
      </c>
      <c r="H240">
        <v>16.268959097629086</v>
      </c>
      <c r="I240">
        <v>8.252348470926524</v>
      </c>
      <c r="J240">
        <v>252.95047150032272</v>
      </c>
      <c r="K240">
        <v>2381.8000000000002</v>
      </c>
      <c r="L240">
        <v>906.9</v>
      </c>
      <c r="M240">
        <v>0</v>
      </c>
      <c r="N240">
        <v>0.50131863566510304</v>
      </c>
      <c r="O240">
        <v>3094.1</v>
      </c>
      <c r="P240">
        <v>1983.6</v>
      </c>
      <c r="Q240">
        <v>89.421999999999997</v>
      </c>
      <c r="R240">
        <v>96.947999999999993</v>
      </c>
      <c r="S240">
        <v>91.977000000000004</v>
      </c>
      <c r="T240">
        <v>105.405</v>
      </c>
      <c r="U240">
        <v>293718</v>
      </c>
      <c r="V240">
        <v>6.45</v>
      </c>
      <c r="W240">
        <v>4.3</v>
      </c>
      <c r="X240">
        <v>1.49</v>
      </c>
      <c r="Y240">
        <v>1.43</v>
      </c>
      <c r="Z240">
        <v>0.12653645899999999</v>
      </c>
      <c r="AA240">
        <v>4325.8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25">
      <c r="A241">
        <v>2004.75</v>
      </c>
      <c r="B241">
        <v>12562.2</v>
      </c>
      <c r="C241">
        <v>13950.404779619983</v>
      </c>
      <c r="D241">
        <v>9337.8564730542221</v>
      </c>
      <c r="E241">
        <v>9446.3163040360268</v>
      </c>
      <c r="F241">
        <v>1015.5032325300425</v>
      </c>
      <c r="G241">
        <v>2590.6701922763036</v>
      </c>
      <c r="H241">
        <v>16.613519367021105</v>
      </c>
      <c r="I241">
        <v>8.3671232293562365</v>
      </c>
      <c r="J241">
        <v>253.45983888893113</v>
      </c>
      <c r="K241">
        <v>2401.1999999999998</v>
      </c>
      <c r="L241">
        <v>903.3</v>
      </c>
      <c r="M241">
        <v>0</v>
      </c>
      <c r="N241">
        <v>-0.18226574072326901</v>
      </c>
      <c r="O241">
        <v>3156.8</v>
      </c>
      <c r="P241">
        <v>2011.1</v>
      </c>
      <c r="Q241">
        <v>90.049000000000007</v>
      </c>
      <c r="R241">
        <v>97.876999999999995</v>
      </c>
      <c r="S241">
        <v>92.620999999999995</v>
      </c>
      <c r="T241">
        <v>105.67400000000001</v>
      </c>
      <c r="U241">
        <v>294463</v>
      </c>
      <c r="V241">
        <v>6.19</v>
      </c>
      <c r="W241">
        <v>4.17</v>
      </c>
      <c r="X241">
        <v>2.0099999999999998</v>
      </c>
      <c r="Y241">
        <v>1.95</v>
      </c>
      <c r="Z241">
        <v>0.208464548</v>
      </c>
      <c r="AA241">
        <v>4405.8999999999996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25">
      <c r="A242">
        <v>2005</v>
      </c>
      <c r="B242">
        <v>12813.7</v>
      </c>
      <c r="C242">
        <v>14099.116446420123</v>
      </c>
      <c r="D242">
        <v>9409.2016594595771</v>
      </c>
      <c r="E242">
        <v>9514.5145852792175</v>
      </c>
      <c r="F242">
        <v>1026.2357800962934</v>
      </c>
      <c r="G242">
        <v>2664.3989709254133</v>
      </c>
      <c r="H242">
        <v>16.818995063697702</v>
      </c>
      <c r="I242">
        <v>8.5636839285151449</v>
      </c>
      <c r="J242">
        <v>254.76289989485218</v>
      </c>
      <c r="K242">
        <v>2442.1999999999998</v>
      </c>
      <c r="L242">
        <v>931.2</v>
      </c>
      <c r="M242">
        <v>100</v>
      </c>
      <c r="N242">
        <v>0.419551560476631</v>
      </c>
      <c r="O242">
        <v>3345.8</v>
      </c>
      <c r="P242">
        <v>2165</v>
      </c>
      <c r="Q242">
        <v>90.882999999999996</v>
      </c>
      <c r="R242">
        <v>99.066999999999993</v>
      </c>
      <c r="S242">
        <v>93.489000000000004</v>
      </c>
      <c r="T242">
        <v>105.96599999999999</v>
      </c>
      <c r="U242">
        <v>295102</v>
      </c>
      <c r="V242">
        <v>5.97</v>
      </c>
      <c r="W242">
        <v>4.3</v>
      </c>
      <c r="X242">
        <v>2.54</v>
      </c>
      <c r="Y242">
        <v>2.4700000000000002</v>
      </c>
      <c r="Z242">
        <v>0.25085070700000001</v>
      </c>
      <c r="AA242">
        <v>4513.1000000000004</v>
      </c>
      <c r="AB242">
        <v>0</v>
      </c>
      <c r="AC242">
        <v>0.560309363</v>
      </c>
      <c r="AD242">
        <v>0</v>
      </c>
      <c r="AE242">
        <v>0</v>
      </c>
      <c r="AF242">
        <v>0</v>
      </c>
    </row>
    <row r="243" spans="1:32" x14ac:dyDescent="0.25">
      <c r="A243">
        <v>2005.25</v>
      </c>
      <c r="B243">
        <v>12974.1</v>
      </c>
      <c r="C243">
        <v>14172.683875337272</v>
      </c>
      <c r="D243">
        <v>9511.447884866986</v>
      </c>
      <c r="E243">
        <v>9593.2368602542429</v>
      </c>
      <c r="F243">
        <v>1055.368444427995</v>
      </c>
      <c r="G243">
        <v>2630.4577070972828</v>
      </c>
      <c r="H243">
        <v>17.060962566844921</v>
      </c>
      <c r="I243">
        <v>8.7228477197770964</v>
      </c>
      <c r="J243">
        <v>256.07952757625918</v>
      </c>
      <c r="K243">
        <v>2469.6999999999998</v>
      </c>
      <c r="L243">
        <v>938.2</v>
      </c>
      <c r="M243">
        <v>0</v>
      </c>
      <c r="N243">
        <v>0.20350366926326</v>
      </c>
      <c r="O243">
        <v>3389</v>
      </c>
      <c r="P243">
        <v>2190</v>
      </c>
      <c r="Q243">
        <v>91.543000000000006</v>
      </c>
      <c r="R243">
        <v>99.623999999999995</v>
      </c>
      <c r="S243">
        <v>93.224999999999994</v>
      </c>
      <c r="T243">
        <v>106.864</v>
      </c>
      <c r="U243">
        <v>295710</v>
      </c>
      <c r="V243">
        <v>5.97</v>
      </c>
      <c r="W243">
        <v>4.16</v>
      </c>
      <c r="X243">
        <v>2.86</v>
      </c>
      <c r="Y243">
        <v>2.94</v>
      </c>
      <c r="Z243">
        <v>0.18323808899999999</v>
      </c>
      <c r="AA243">
        <v>4564.7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25">
      <c r="A244">
        <v>2005.5</v>
      </c>
      <c r="B244">
        <v>13205.4</v>
      </c>
      <c r="C244">
        <v>14291.713113778287</v>
      </c>
      <c r="D244">
        <v>9585.3374458080798</v>
      </c>
      <c r="E244">
        <v>9662.5159784293865</v>
      </c>
      <c r="F244">
        <v>1067.3251642361274</v>
      </c>
      <c r="G244">
        <v>2657.8324656885943</v>
      </c>
      <c r="H244">
        <v>17.374197115998129</v>
      </c>
      <c r="I244">
        <v>8.818404327111935</v>
      </c>
      <c r="J244">
        <v>256.76851987195704</v>
      </c>
      <c r="K244">
        <v>2521.6</v>
      </c>
      <c r="L244">
        <v>963.1</v>
      </c>
      <c r="M244">
        <v>0</v>
      </c>
      <c r="N244">
        <v>-0.15878906774918899</v>
      </c>
      <c r="O244">
        <v>3455.6</v>
      </c>
      <c r="P244">
        <v>2234.4</v>
      </c>
      <c r="Q244">
        <v>92.399000000000001</v>
      </c>
      <c r="R244">
        <v>100.578</v>
      </c>
      <c r="S244">
        <v>93.998000000000005</v>
      </c>
      <c r="T244">
        <v>107</v>
      </c>
      <c r="U244">
        <v>296444</v>
      </c>
      <c r="V244">
        <v>5.98</v>
      </c>
      <c r="W244">
        <v>4.21</v>
      </c>
      <c r="X244">
        <v>3.36</v>
      </c>
      <c r="Y244">
        <v>3.46</v>
      </c>
      <c r="Z244">
        <v>0.200185433</v>
      </c>
      <c r="AA244">
        <v>4625.8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x14ac:dyDescent="0.25">
      <c r="A245">
        <v>2005.75</v>
      </c>
      <c r="B245">
        <v>13381.6</v>
      </c>
      <c r="C245">
        <v>14373.361976369497</v>
      </c>
      <c r="D245">
        <v>9621.3029148653841</v>
      </c>
      <c r="E245">
        <v>9742.3355566428927</v>
      </c>
      <c r="F245">
        <v>1038.8300554715081</v>
      </c>
      <c r="G245">
        <v>2737.6564041327033</v>
      </c>
      <c r="H245">
        <v>17.443868739205527</v>
      </c>
      <c r="I245">
        <v>8.7990428729631383</v>
      </c>
      <c r="J245">
        <v>257.29124194930921</v>
      </c>
      <c r="K245">
        <v>2541.3000000000002</v>
      </c>
      <c r="L245">
        <v>952.8</v>
      </c>
      <c r="M245">
        <v>0</v>
      </c>
      <c r="N245">
        <v>0.388771333891127</v>
      </c>
      <c r="O245">
        <v>3544.8</v>
      </c>
      <c r="P245">
        <v>2295.4</v>
      </c>
      <c r="Q245">
        <v>93.1</v>
      </c>
      <c r="R245">
        <v>101.25700000000001</v>
      </c>
      <c r="S245">
        <v>94.156999999999996</v>
      </c>
      <c r="T245">
        <v>107.541</v>
      </c>
      <c r="U245">
        <v>297203</v>
      </c>
      <c r="V245">
        <v>6.34</v>
      </c>
      <c r="W245">
        <v>4.49</v>
      </c>
      <c r="X245">
        <v>3.83</v>
      </c>
      <c r="Y245">
        <v>3.98</v>
      </c>
      <c r="Z245">
        <v>0.203388229</v>
      </c>
      <c r="AA245">
        <v>4714.6000000000004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25">
      <c r="A246">
        <v>2006</v>
      </c>
      <c r="B246">
        <v>13648.9</v>
      </c>
      <c r="C246">
        <v>14546.103674652571</v>
      </c>
      <c r="D246">
        <v>9729.2432230920786</v>
      </c>
      <c r="E246">
        <v>9810.9839564254798</v>
      </c>
      <c r="F246">
        <v>1081.3167443299549</v>
      </c>
      <c r="G246">
        <v>2773.8733740213306</v>
      </c>
      <c r="H246">
        <v>18.086931057563589</v>
      </c>
      <c r="I246">
        <v>8.7170156456760335</v>
      </c>
      <c r="J246">
        <v>259.43143062204166</v>
      </c>
      <c r="K246">
        <v>2592.1999999999998</v>
      </c>
      <c r="L246">
        <v>995.3</v>
      </c>
      <c r="M246">
        <v>0</v>
      </c>
      <c r="N246">
        <v>7.8250712352908192E-3</v>
      </c>
      <c r="O246">
        <v>3671.3</v>
      </c>
      <c r="P246">
        <v>2390.0000000000005</v>
      </c>
      <c r="Q246">
        <v>93.831999999999994</v>
      </c>
      <c r="R246">
        <v>102.77</v>
      </c>
      <c r="S246">
        <v>94.787999999999997</v>
      </c>
      <c r="T246">
        <v>108.42100000000001</v>
      </c>
      <c r="U246">
        <v>297854</v>
      </c>
      <c r="V246">
        <v>6.31</v>
      </c>
      <c r="W246">
        <v>4.57</v>
      </c>
      <c r="X246">
        <v>4.3899999999999997</v>
      </c>
      <c r="Y246">
        <v>4.46</v>
      </c>
      <c r="AA246">
        <v>4805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x14ac:dyDescent="0.25">
      <c r="A247">
        <v>2006.25</v>
      </c>
      <c r="B247">
        <v>13799.8</v>
      </c>
      <c r="C247">
        <v>14589.531330943999</v>
      </c>
      <c r="D247">
        <v>9780.9933515838893</v>
      </c>
      <c r="E247">
        <v>9872.1267822514528</v>
      </c>
      <c r="F247">
        <v>1080.1393728222997</v>
      </c>
      <c r="G247">
        <v>2755.7526464217112</v>
      </c>
      <c r="H247">
        <v>18.313037510009256</v>
      </c>
      <c r="I247">
        <v>8.2782223079147794</v>
      </c>
      <c r="J247">
        <v>260.08934681093115</v>
      </c>
      <c r="K247">
        <v>2630.7</v>
      </c>
      <c r="L247">
        <v>998.7</v>
      </c>
      <c r="M247">
        <v>227.7</v>
      </c>
      <c r="N247">
        <v>-1.49368851489356E-2</v>
      </c>
      <c r="O247">
        <v>3729.1</v>
      </c>
      <c r="P247">
        <v>2420.6</v>
      </c>
      <c r="Q247">
        <v>94.587000000000003</v>
      </c>
      <c r="R247">
        <v>103.1</v>
      </c>
      <c r="S247">
        <v>94.733000000000004</v>
      </c>
      <c r="T247">
        <v>108.83199999999999</v>
      </c>
      <c r="U247">
        <v>298505</v>
      </c>
      <c r="V247">
        <v>6.74</v>
      </c>
      <c r="W247">
        <v>5.07</v>
      </c>
      <c r="X247">
        <v>4.7</v>
      </c>
      <c r="Y247">
        <v>4.91</v>
      </c>
      <c r="AA247">
        <v>4842.8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 x14ac:dyDescent="0.25">
      <c r="A248">
        <v>2006.5</v>
      </c>
      <c r="B248">
        <v>13908.5</v>
      </c>
      <c r="C248">
        <v>14602.559660671726</v>
      </c>
      <c r="D248">
        <v>9838.0664525743541</v>
      </c>
      <c r="E248">
        <v>9918.5083311044418</v>
      </c>
      <c r="F248">
        <v>1095.1079504080649</v>
      </c>
      <c r="G248">
        <v>2727.6052674361895</v>
      </c>
      <c r="H248">
        <v>18.531414342835298</v>
      </c>
      <c r="I248">
        <v>7.8160720803796142</v>
      </c>
      <c r="J248">
        <v>261.39202744153727</v>
      </c>
      <c r="K248">
        <v>2655.4</v>
      </c>
      <c r="L248">
        <v>1000.4</v>
      </c>
      <c r="M248">
        <v>0</v>
      </c>
      <c r="N248">
        <v>0.11066141732033601</v>
      </c>
      <c r="O248">
        <v>3772.3</v>
      </c>
      <c r="P248">
        <v>2462.8000000000002</v>
      </c>
      <c r="Q248">
        <v>95.247</v>
      </c>
      <c r="R248">
        <v>103.14</v>
      </c>
      <c r="S248">
        <v>94.222999999999999</v>
      </c>
      <c r="T248">
        <v>109.464</v>
      </c>
      <c r="U248">
        <v>299271</v>
      </c>
      <c r="V248">
        <v>6.59</v>
      </c>
      <c r="W248">
        <v>4.9000000000000004</v>
      </c>
      <c r="X248">
        <v>4.91</v>
      </c>
      <c r="Y248">
        <v>5.25</v>
      </c>
      <c r="AA248">
        <v>4866.2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25">
      <c r="A249">
        <v>2006.75</v>
      </c>
      <c r="B249">
        <v>14066.4</v>
      </c>
      <c r="C249">
        <v>14716.886377903327</v>
      </c>
      <c r="D249">
        <v>9938.3949033872286</v>
      </c>
      <c r="E249">
        <v>10015.222123759231</v>
      </c>
      <c r="F249">
        <v>1109.5569764786478</v>
      </c>
      <c r="G249">
        <v>2663.0374514844502</v>
      </c>
      <c r="H249">
        <v>18.65123662245891</v>
      </c>
      <c r="I249">
        <v>7.4519528828270296</v>
      </c>
      <c r="J249">
        <v>262.57047878315325</v>
      </c>
      <c r="K249">
        <v>2690.6</v>
      </c>
      <c r="L249">
        <v>1013.5</v>
      </c>
      <c r="M249">
        <v>0</v>
      </c>
      <c r="N249">
        <v>-8.0745968114812203E-2</v>
      </c>
      <c r="O249">
        <v>3807.5</v>
      </c>
      <c r="P249">
        <v>2486.6999999999998</v>
      </c>
      <c r="Q249">
        <v>95.58</v>
      </c>
      <c r="R249">
        <v>104.182</v>
      </c>
      <c r="S249">
        <v>94.831999999999994</v>
      </c>
      <c r="T249">
        <v>109.86</v>
      </c>
      <c r="U249">
        <v>300090</v>
      </c>
      <c r="V249">
        <v>6.28</v>
      </c>
      <c r="W249">
        <v>4.63</v>
      </c>
      <c r="X249">
        <v>4.9000000000000004</v>
      </c>
      <c r="Y249">
        <v>5.25</v>
      </c>
      <c r="AA249">
        <v>4899.5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25">
      <c r="A250">
        <v>2007</v>
      </c>
      <c r="B250">
        <v>14233.2</v>
      </c>
      <c r="C250">
        <v>14725.929604568875</v>
      </c>
      <c r="D250">
        <v>9990.729939171737</v>
      </c>
      <c r="E250">
        <v>10059.326309471462</v>
      </c>
      <c r="F250">
        <v>1122.0869631740509</v>
      </c>
      <c r="G250">
        <v>2638.5271845827156</v>
      </c>
      <c r="H250">
        <v>18.971411130328619</v>
      </c>
      <c r="I250">
        <v>7.111267177890821</v>
      </c>
      <c r="J250">
        <v>262.32724779251697</v>
      </c>
      <c r="K250">
        <v>2735.6</v>
      </c>
      <c r="L250">
        <v>1018.3</v>
      </c>
      <c r="M250">
        <v>0</v>
      </c>
      <c r="N250">
        <v>0.33412736006652999</v>
      </c>
      <c r="O250">
        <v>3912.6000000000004</v>
      </c>
      <c r="P250">
        <v>2549.1</v>
      </c>
      <c r="Q250">
        <v>96.653999999999996</v>
      </c>
      <c r="R250">
        <v>104.26600000000001</v>
      </c>
      <c r="S250">
        <v>94.849000000000004</v>
      </c>
      <c r="T250">
        <v>109.928</v>
      </c>
      <c r="U250">
        <v>300799</v>
      </c>
      <c r="V250">
        <v>6.3</v>
      </c>
      <c r="W250">
        <v>4.68</v>
      </c>
      <c r="X250">
        <v>4.9800000000000004</v>
      </c>
      <c r="Y250">
        <v>5.26</v>
      </c>
      <c r="AA250">
        <v>4986.2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25">
      <c r="A251">
        <v>2007.25</v>
      </c>
      <c r="B251">
        <v>14422.3</v>
      </c>
      <c r="C251">
        <v>14838.673169125666</v>
      </c>
      <c r="D251">
        <v>10024.594144940116</v>
      </c>
      <c r="E251">
        <v>10078.047674860807</v>
      </c>
      <c r="F251">
        <v>1138.2106011411886</v>
      </c>
      <c r="G251">
        <v>2674.6816689356933</v>
      </c>
      <c r="H251">
        <v>19.343879931041478</v>
      </c>
      <c r="I251">
        <v>6.8268123459375083</v>
      </c>
      <c r="J251">
        <v>263.15265591025769</v>
      </c>
      <c r="K251">
        <v>2782.5</v>
      </c>
      <c r="L251">
        <v>1040.8</v>
      </c>
      <c r="M251">
        <v>0</v>
      </c>
      <c r="N251">
        <v>-0.17393043037060099</v>
      </c>
      <c r="O251">
        <v>3941.3</v>
      </c>
      <c r="P251">
        <v>2562.9</v>
      </c>
      <c r="Q251">
        <v>97.194000000000003</v>
      </c>
      <c r="R251">
        <v>105.255</v>
      </c>
      <c r="S251">
        <v>95.634</v>
      </c>
      <c r="T251">
        <v>110.06</v>
      </c>
      <c r="U251">
        <v>301492</v>
      </c>
      <c r="V251">
        <v>6.49</v>
      </c>
      <c r="W251">
        <v>4.8499999999999996</v>
      </c>
      <c r="X251">
        <v>4.74</v>
      </c>
      <c r="Y251">
        <v>5.25</v>
      </c>
      <c r="AA251">
        <v>4992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25">
      <c r="A252">
        <v>2007.5</v>
      </c>
      <c r="B252">
        <v>14569.7</v>
      </c>
      <c r="C252">
        <v>14938.532364068858</v>
      </c>
      <c r="D252">
        <v>10069.154019256261</v>
      </c>
      <c r="E252">
        <v>10113.864304409724</v>
      </c>
      <c r="F252">
        <v>1150.9080008509486</v>
      </c>
      <c r="G252">
        <v>2658.0936762529495</v>
      </c>
      <c r="H252">
        <v>19.644594923363883</v>
      </c>
      <c r="I252">
        <v>6.3916642877533549</v>
      </c>
      <c r="J252">
        <v>262.54998553600888</v>
      </c>
      <c r="K252">
        <v>2824.3</v>
      </c>
      <c r="L252">
        <v>1063.9000000000001</v>
      </c>
      <c r="M252">
        <v>0</v>
      </c>
      <c r="N252">
        <v>0.472480113089005</v>
      </c>
      <c r="O252">
        <v>3923.2</v>
      </c>
      <c r="P252">
        <v>2548.1</v>
      </c>
      <c r="Q252">
        <v>97.531000000000006</v>
      </c>
      <c r="R252">
        <v>106.05200000000001</v>
      </c>
      <c r="S252">
        <v>96.710999999999999</v>
      </c>
      <c r="T252">
        <v>109.658</v>
      </c>
      <c r="U252">
        <v>302272</v>
      </c>
      <c r="V252">
        <v>6.63</v>
      </c>
      <c r="W252">
        <v>4.7300000000000004</v>
      </c>
      <c r="X252">
        <v>4.3</v>
      </c>
      <c r="Y252">
        <v>5.07</v>
      </c>
      <c r="AA252">
        <v>5069.5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25">
      <c r="A253">
        <v>2007.75</v>
      </c>
      <c r="B253">
        <v>14685.3</v>
      </c>
      <c r="C253">
        <v>14991.730981256891</v>
      </c>
      <c r="D253">
        <v>10081.793765768698</v>
      </c>
      <c r="E253">
        <v>10123.38031376648</v>
      </c>
      <c r="F253">
        <v>1155.5042041283957</v>
      </c>
      <c r="G253">
        <v>2605.2072210524216</v>
      </c>
      <c r="H253">
        <v>19.975490196078429</v>
      </c>
      <c r="I253">
        <v>5.8614885746617089</v>
      </c>
      <c r="J253">
        <v>263.03708364313798</v>
      </c>
      <c r="K253">
        <v>2865.3</v>
      </c>
      <c r="L253">
        <v>1076.0999999999999</v>
      </c>
      <c r="M253">
        <v>739.3</v>
      </c>
      <c r="N253">
        <v>0.73610004164229703</v>
      </c>
      <c r="O253">
        <v>3942.4</v>
      </c>
      <c r="P253">
        <v>2560.1999999999998</v>
      </c>
      <c r="Q253">
        <v>97.956000000000003</v>
      </c>
      <c r="R253">
        <v>106.32</v>
      </c>
      <c r="S253">
        <v>96.997</v>
      </c>
      <c r="T253">
        <v>109.61199999999999</v>
      </c>
      <c r="U253">
        <v>303049</v>
      </c>
      <c r="V253">
        <v>6.51</v>
      </c>
      <c r="W253">
        <v>4.26</v>
      </c>
      <c r="X253">
        <v>3.39</v>
      </c>
      <c r="Y253">
        <v>4.5</v>
      </c>
      <c r="AA253">
        <v>5131.3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5">
      <c r="A254">
        <v>2008</v>
      </c>
      <c r="B254">
        <v>14668.4</v>
      </c>
      <c r="C254">
        <v>14889.35807381542</v>
      </c>
      <c r="D254">
        <v>10061.025428943201</v>
      </c>
      <c r="E254">
        <v>10139.425633264782</v>
      </c>
      <c r="F254">
        <v>1122.4758175282739</v>
      </c>
      <c r="G254">
        <v>2517.4588310303948</v>
      </c>
      <c r="H254">
        <v>19.980841946054952</v>
      </c>
      <c r="I254">
        <v>5.3998052059660449</v>
      </c>
      <c r="J254">
        <v>262.72296821656118</v>
      </c>
      <c r="K254">
        <v>2923.8</v>
      </c>
      <c r="L254">
        <v>1110.7</v>
      </c>
      <c r="M254">
        <v>0</v>
      </c>
      <c r="N254">
        <v>0</v>
      </c>
      <c r="O254">
        <v>3908.9</v>
      </c>
      <c r="P254">
        <v>2524.6000000000004</v>
      </c>
      <c r="Q254">
        <v>98.516000000000005</v>
      </c>
      <c r="R254">
        <v>105.10299999999999</v>
      </c>
      <c r="S254">
        <v>96.144000000000005</v>
      </c>
      <c r="T254">
        <v>109.318</v>
      </c>
      <c r="U254">
        <v>303708</v>
      </c>
      <c r="V254">
        <v>6.75</v>
      </c>
      <c r="W254">
        <v>3.66</v>
      </c>
      <c r="X254">
        <v>2.04</v>
      </c>
      <c r="Y254">
        <v>3.18</v>
      </c>
      <c r="AA254">
        <v>5270.3</v>
      </c>
    </row>
    <row r="255" spans="1:32" x14ac:dyDescent="0.25">
      <c r="A255">
        <v>2008.25</v>
      </c>
      <c r="B255">
        <v>14813</v>
      </c>
      <c r="C255">
        <v>14963.381988989342</v>
      </c>
      <c r="D255">
        <v>10077.96200724717</v>
      </c>
      <c r="E255">
        <v>10163.308195508591</v>
      </c>
      <c r="F255">
        <v>1118.9538890470535</v>
      </c>
      <c r="G255">
        <v>2472.6533445728173</v>
      </c>
      <c r="H255">
        <v>19.865269160492343</v>
      </c>
      <c r="I255">
        <v>5.1630721430009876</v>
      </c>
      <c r="J255">
        <v>262.08703973553321</v>
      </c>
      <c r="K255">
        <v>2983.4</v>
      </c>
      <c r="L255">
        <v>1140.5</v>
      </c>
      <c r="M255">
        <v>0</v>
      </c>
      <c r="N255">
        <v>0</v>
      </c>
      <c r="O255">
        <v>3916.6</v>
      </c>
      <c r="P255">
        <v>2501.6999999999998</v>
      </c>
      <c r="Q255">
        <v>98.995000000000005</v>
      </c>
      <c r="R255">
        <v>105.551</v>
      </c>
      <c r="S255">
        <v>97.066999999999993</v>
      </c>
      <c r="T255">
        <v>108.74</v>
      </c>
      <c r="U255">
        <v>304332</v>
      </c>
      <c r="V255">
        <v>6.99</v>
      </c>
      <c r="W255">
        <v>3.89</v>
      </c>
      <c r="X255">
        <v>1.63</v>
      </c>
      <c r="Y255">
        <v>2.09</v>
      </c>
      <c r="AA255">
        <v>5336.1</v>
      </c>
    </row>
    <row r="256" spans="1:32" x14ac:dyDescent="0.25">
      <c r="A256">
        <v>2008.5</v>
      </c>
      <c r="B256">
        <v>14843</v>
      </c>
      <c r="C256">
        <v>14891.695845414506</v>
      </c>
      <c r="D256">
        <v>10005.138492247794</v>
      </c>
      <c r="E256">
        <v>10120.01675282102</v>
      </c>
      <c r="F256">
        <v>1084.7501009046969</v>
      </c>
      <c r="G256">
        <v>2403.8091478758574</v>
      </c>
      <c r="H256">
        <v>19.329766430748155</v>
      </c>
      <c r="I256">
        <v>4.9092932127134628</v>
      </c>
      <c r="J256">
        <v>259.96845636355033</v>
      </c>
      <c r="K256">
        <v>3055.9</v>
      </c>
      <c r="L256">
        <v>1180</v>
      </c>
      <c r="M256">
        <v>0</v>
      </c>
      <c r="N256">
        <v>0</v>
      </c>
      <c r="O256">
        <v>3852.9</v>
      </c>
      <c r="P256">
        <v>2470.7000000000003</v>
      </c>
      <c r="Q256">
        <v>99.673000000000002</v>
      </c>
      <c r="R256">
        <v>104.666</v>
      </c>
      <c r="S256">
        <v>97.305000000000007</v>
      </c>
      <c r="T256">
        <v>107.565</v>
      </c>
      <c r="U256">
        <v>305051</v>
      </c>
      <c r="V256">
        <v>7.21</v>
      </c>
      <c r="W256">
        <v>3.86</v>
      </c>
      <c r="X256">
        <v>1.49</v>
      </c>
      <c r="Y256">
        <v>1.94</v>
      </c>
      <c r="AA256">
        <v>5831</v>
      </c>
    </row>
    <row r="257" spans="1:27" x14ac:dyDescent="0.25">
      <c r="A257">
        <v>2008.75</v>
      </c>
      <c r="B257">
        <v>14549.9</v>
      </c>
      <c r="C257">
        <v>14576.867204328008</v>
      </c>
      <c r="D257">
        <v>9884.7071561766898</v>
      </c>
      <c r="E257">
        <v>10072.211992648439</v>
      </c>
      <c r="F257">
        <v>1006.7340401265484</v>
      </c>
      <c r="G257">
        <v>2190.035441258311</v>
      </c>
      <c r="H257">
        <v>18.20142967807729</v>
      </c>
      <c r="I257">
        <v>4.4358755482294763</v>
      </c>
      <c r="J257">
        <v>255.38628108869824</v>
      </c>
      <c r="K257">
        <v>3049.7</v>
      </c>
      <c r="L257">
        <v>1191.2</v>
      </c>
      <c r="M257">
        <v>-243.6</v>
      </c>
      <c r="N257">
        <v>0</v>
      </c>
      <c r="O257">
        <v>3692.3</v>
      </c>
      <c r="P257">
        <v>2356.5</v>
      </c>
      <c r="Q257">
        <v>99.814999999999998</v>
      </c>
      <c r="R257">
        <v>101.61499999999999</v>
      </c>
      <c r="S257">
        <v>96.76</v>
      </c>
      <c r="T257">
        <v>105.018</v>
      </c>
      <c r="U257">
        <v>305781</v>
      </c>
      <c r="V257">
        <v>8.84</v>
      </c>
      <c r="W257">
        <v>3.25</v>
      </c>
      <c r="X257">
        <v>0.3</v>
      </c>
      <c r="Y257">
        <v>0.51</v>
      </c>
      <c r="AA257">
        <v>6365</v>
      </c>
    </row>
    <row r="258" spans="1:27" x14ac:dyDescent="0.25">
      <c r="A258">
        <v>2009</v>
      </c>
      <c r="B258">
        <v>14383.9</v>
      </c>
      <c r="C258">
        <v>14374.987507745198</v>
      </c>
      <c r="D258">
        <v>9850.7793752898724</v>
      </c>
      <c r="E258">
        <v>10031.026763481319</v>
      </c>
      <c r="F258">
        <v>1008.5909625465926</v>
      </c>
      <c r="G258">
        <v>1937.6295699505793</v>
      </c>
      <c r="H258">
        <v>16.882758348698026</v>
      </c>
      <c r="I258">
        <v>4.0100473689935825</v>
      </c>
      <c r="J258">
        <v>250.17439168397877</v>
      </c>
      <c r="K258">
        <v>3035.4</v>
      </c>
      <c r="L258">
        <v>1182.2</v>
      </c>
      <c r="M258">
        <v>0</v>
      </c>
      <c r="N258">
        <v>0</v>
      </c>
      <c r="O258">
        <v>3390.5</v>
      </c>
      <c r="P258">
        <v>2091.2000000000003</v>
      </c>
      <c r="Q258">
        <v>100.062</v>
      </c>
      <c r="R258">
        <v>99.733000000000004</v>
      </c>
      <c r="S258">
        <v>97.504999999999995</v>
      </c>
      <c r="T258">
        <v>102.285</v>
      </c>
      <c r="U258">
        <v>306399</v>
      </c>
      <c r="V258">
        <v>8.2100000000000009</v>
      </c>
      <c r="W258">
        <v>2.74</v>
      </c>
      <c r="X258">
        <v>0.21</v>
      </c>
      <c r="Y258">
        <v>0.18</v>
      </c>
      <c r="AA258">
        <v>6768.1</v>
      </c>
    </row>
    <row r="259" spans="1:27" x14ac:dyDescent="0.25">
      <c r="A259">
        <v>2009.25</v>
      </c>
      <c r="B259">
        <v>14340.4</v>
      </c>
      <c r="C259">
        <v>14355.473246909256</v>
      </c>
      <c r="D259">
        <v>9806.4762210667886</v>
      </c>
      <c r="E259">
        <v>9987.1235739523781</v>
      </c>
      <c r="F259">
        <v>1002.6042965904669</v>
      </c>
      <c r="G259">
        <v>1820.5657423748416</v>
      </c>
      <c r="H259">
        <v>16.33986928104575</v>
      </c>
      <c r="I259">
        <v>3.7694457522363245</v>
      </c>
      <c r="J259">
        <v>246.28632595082169</v>
      </c>
      <c r="K259">
        <v>3086.5</v>
      </c>
      <c r="L259">
        <v>1214.5999999999999</v>
      </c>
      <c r="M259">
        <v>0</v>
      </c>
      <c r="N259">
        <v>0</v>
      </c>
      <c r="O259">
        <v>3356.1000000000004</v>
      </c>
      <c r="P259">
        <v>2054.5</v>
      </c>
      <c r="Q259">
        <v>99.894999999999996</v>
      </c>
      <c r="R259">
        <v>99.447999999999993</v>
      </c>
      <c r="S259">
        <v>99.376000000000005</v>
      </c>
      <c r="T259">
        <v>100.07299999999999</v>
      </c>
      <c r="U259">
        <v>306992</v>
      </c>
      <c r="V259">
        <v>7.98</v>
      </c>
      <c r="W259">
        <v>3.31</v>
      </c>
      <c r="X259">
        <v>0.17</v>
      </c>
      <c r="Y259">
        <v>0.18</v>
      </c>
      <c r="AA259">
        <v>7237.5</v>
      </c>
    </row>
    <row r="260" spans="1:27" x14ac:dyDescent="0.25">
      <c r="A260">
        <v>2009.5</v>
      </c>
      <c r="B260">
        <v>14384.1</v>
      </c>
      <c r="C260">
        <v>14402.391036616502</v>
      </c>
      <c r="D260">
        <v>9865.8394262515831</v>
      </c>
      <c r="E260">
        <v>10000</v>
      </c>
      <c r="F260">
        <v>1050.527373179307</v>
      </c>
      <c r="G260">
        <v>1804.6814228130968</v>
      </c>
      <c r="H260">
        <v>16.130592990555293</v>
      </c>
      <c r="I260">
        <v>3.9537252766094788</v>
      </c>
      <c r="J260">
        <v>243.41388761329466</v>
      </c>
      <c r="K260">
        <v>3112.5</v>
      </c>
      <c r="L260">
        <v>1233.2</v>
      </c>
      <c r="M260">
        <v>0</v>
      </c>
      <c r="N260">
        <v>0</v>
      </c>
      <c r="O260">
        <v>3408.1</v>
      </c>
      <c r="P260">
        <v>2054.5</v>
      </c>
      <c r="Q260">
        <v>99.873000000000005</v>
      </c>
      <c r="R260">
        <v>99.813999999999993</v>
      </c>
      <c r="S260">
        <v>100.99299999999999</v>
      </c>
      <c r="T260">
        <v>98.832999999999998</v>
      </c>
      <c r="U260">
        <v>307690</v>
      </c>
      <c r="V260">
        <v>6.66</v>
      </c>
      <c r="W260">
        <v>3.52</v>
      </c>
      <c r="X260">
        <v>0.16</v>
      </c>
      <c r="Y260">
        <v>0.16</v>
      </c>
      <c r="AA260">
        <v>7573.3</v>
      </c>
    </row>
    <row r="261" spans="1:27" x14ac:dyDescent="0.25">
      <c r="A261">
        <v>2009.75</v>
      </c>
      <c r="B261">
        <v>14566.5</v>
      </c>
      <c r="C261">
        <v>14541.924148189561</v>
      </c>
      <c r="D261">
        <v>9864.765792185146</v>
      </c>
      <c r="E261">
        <v>10020.136423009657</v>
      </c>
      <c r="F261">
        <v>1031.576840314267</v>
      </c>
      <c r="G261">
        <v>1949.5227309496845</v>
      </c>
      <c r="H261">
        <v>15.98385061821852</v>
      </c>
      <c r="I261">
        <v>3.9567877131328903</v>
      </c>
      <c r="J261">
        <v>243.24592137780311</v>
      </c>
      <c r="K261">
        <v>3122</v>
      </c>
      <c r="L261">
        <v>1240.7</v>
      </c>
      <c r="M261">
        <v>0</v>
      </c>
      <c r="N261">
        <v>0</v>
      </c>
      <c r="O261">
        <v>3479.6</v>
      </c>
      <c r="P261">
        <v>2097.6</v>
      </c>
      <c r="Q261">
        <v>100.169</v>
      </c>
      <c r="R261">
        <v>101.005</v>
      </c>
      <c r="S261">
        <v>102.21899999999999</v>
      </c>
      <c r="T261">
        <v>98.811999999999998</v>
      </c>
      <c r="U261">
        <v>308413</v>
      </c>
      <c r="V261">
        <v>6.33</v>
      </c>
      <c r="W261">
        <v>3.46</v>
      </c>
      <c r="X261">
        <v>0.06</v>
      </c>
      <c r="Y261">
        <v>0.12</v>
      </c>
      <c r="AA261">
        <v>7803.8</v>
      </c>
    </row>
    <row r="262" spans="1:27" x14ac:dyDescent="0.25">
      <c r="A262">
        <v>2010</v>
      </c>
      <c r="B262">
        <v>14681.1</v>
      </c>
      <c r="C262">
        <v>14604.862617138537</v>
      </c>
      <c r="D262">
        <v>9917.6532153753487</v>
      </c>
      <c r="E262">
        <v>10065.045744371417</v>
      </c>
      <c r="F262">
        <v>1045.1645315247424</v>
      </c>
      <c r="G262">
        <v>2012.8694138953247</v>
      </c>
      <c r="H262">
        <v>16.150565735760374</v>
      </c>
      <c r="I262">
        <v>3.8297361870582711</v>
      </c>
      <c r="J262">
        <v>243.57986427482814</v>
      </c>
      <c r="K262">
        <v>3135.7</v>
      </c>
      <c r="L262">
        <v>1269.2</v>
      </c>
      <c r="M262">
        <v>0</v>
      </c>
      <c r="N262">
        <v>0</v>
      </c>
      <c r="O262">
        <v>3547.9</v>
      </c>
      <c r="P262">
        <v>2172.5000000000005</v>
      </c>
      <c r="Q262">
        <v>100.52200000000001</v>
      </c>
      <c r="R262">
        <v>101.511</v>
      </c>
      <c r="S262">
        <v>102.623</v>
      </c>
      <c r="T262">
        <v>98.915999999999997</v>
      </c>
      <c r="U262">
        <v>309024</v>
      </c>
      <c r="V262">
        <v>6.29</v>
      </c>
      <c r="W262">
        <v>3.72</v>
      </c>
      <c r="X262">
        <v>0.11</v>
      </c>
      <c r="Y262">
        <v>0.13</v>
      </c>
      <c r="AA262">
        <v>8224</v>
      </c>
    </row>
    <row r="263" spans="1:27" x14ac:dyDescent="0.25">
      <c r="A263">
        <v>2010.25</v>
      </c>
      <c r="B263">
        <v>14888.6</v>
      </c>
      <c r="C263">
        <v>14745.860074479042</v>
      </c>
      <c r="D263">
        <v>9998.4219817936155</v>
      </c>
      <c r="E263">
        <v>10121.794620637287</v>
      </c>
      <c r="F263">
        <v>1076.3134218214534</v>
      </c>
      <c r="G263">
        <v>2116.896122682258</v>
      </c>
      <c r="H263">
        <v>16.592721355877387</v>
      </c>
      <c r="I263">
        <v>4.0349941105999134</v>
      </c>
      <c r="J263">
        <v>246.10863501605328</v>
      </c>
      <c r="K263">
        <v>3181.5</v>
      </c>
      <c r="L263">
        <v>1304.5999999999999</v>
      </c>
      <c r="M263">
        <v>0</v>
      </c>
      <c r="N263">
        <v>0</v>
      </c>
      <c r="O263">
        <v>3602.2</v>
      </c>
      <c r="P263">
        <v>2228.3000000000002</v>
      </c>
      <c r="Q263">
        <v>100.968</v>
      </c>
      <c r="R263">
        <v>102.752</v>
      </c>
      <c r="S263">
        <v>103.02200000000001</v>
      </c>
      <c r="T263">
        <v>99.738</v>
      </c>
      <c r="U263">
        <v>309376</v>
      </c>
      <c r="V263">
        <v>6.18</v>
      </c>
      <c r="W263">
        <v>3.49</v>
      </c>
      <c r="X263">
        <v>0.15</v>
      </c>
      <c r="Y263">
        <v>0.19</v>
      </c>
      <c r="AA263">
        <v>8700.9</v>
      </c>
    </row>
    <row r="264" spans="1:27" x14ac:dyDescent="0.25">
      <c r="A264">
        <v>2010.5</v>
      </c>
      <c r="B264">
        <v>15057.7</v>
      </c>
      <c r="C264">
        <v>14845.556990604266</v>
      </c>
      <c r="D264">
        <v>10063.032853785413</v>
      </c>
      <c r="E264">
        <v>10175.748622059837</v>
      </c>
      <c r="F264">
        <v>1093.7706652559184</v>
      </c>
      <c r="G264">
        <v>2185.7360677753882</v>
      </c>
      <c r="H264">
        <v>16.927703548217821</v>
      </c>
      <c r="I264">
        <v>3.680845708532595</v>
      </c>
      <c r="J264">
        <v>246.18415309680969</v>
      </c>
      <c r="K264">
        <v>3194.7</v>
      </c>
      <c r="L264">
        <v>1321.6</v>
      </c>
      <c r="M264">
        <v>0</v>
      </c>
      <c r="N264">
        <v>0</v>
      </c>
      <c r="O264">
        <v>3691.3999999999996</v>
      </c>
      <c r="P264">
        <v>2272.1000000000004</v>
      </c>
      <c r="Q264">
        <v>101.429</v>
      </c>
      <c r="R264">
        <v>103.786</v>
      </c>
      <c r="S264">
        <v>103.60599999999999</v>
      </c>
      <c r="T264">
        <v>100.17400000000001</v>
      </c>
      <c r="U264">
        <v>309991</v>
      </c>
      <c r="V264">
        <v>5.78</v>
      </c>
      <c r="W264">
        <v>2.79</v>
      </c>
      <c r="X264">
        <v>0.16</v>
      </c>
      <c r="Y264">
        <v>0.19</v>
      </c>
      <c r="AA264">
        <v>9049.9</v>
      </c>
    </row>
    <row r="265" spans="1:27" x14ac:dyDescent="0.25">
      <c r="A265">
        <v>2010.75</v>
      </c>
      <c r="B265">
        <v>15230.2</v>
      </c>
      <c r="C265">
        <v>14939.038146524243</v>
      </c>
      <c r="D265">
        <v>10166.188999638083</v>
      </c>
      <c r="E265">
        <v>10255.600978764518</v>
      </c>
      <c r="F265">
        <v>1127.4113906580656</v>
      </c>
      <c r="G265">
        <v>2166.1828372826535</v>
      </c>
      <c r="H265">
        <v>17.280786394886018</v>
      </c>
      <c r="I265">
        <v>3.7507882961791408</v>
      </c>
      <c r="J265">
        <v>247.039285788586</v>
      </c>
      <c r="K265">
        <v>3184.2</v>
      </c>
      <c r="L265">
        <v>1320.1</v>
      </c>
      <c r="M265">
        <v>-97.8</v>
      </c>
      <c r="N265">
        <v>0</v>
      </c>
      <c r="O265">
        <v>3748.1</v>
      </c>
      <c r="P265">
        <v>2304.5</v>
      </c>
      <c r="Q265">
        <v>101.949</v>
      </c>
      <c r="R265">
        <v>104.652</v>
      </c>
      <c r="S265">
        <v>103.922</v>
      </c>
      <c r="T265">
        <v>100.702</v>
      </c>
      <c r="U265">
        <v>310654</v>
      </c>
      <c r="V265">
        <v>5.91</v>
      </c>
      <c r="W265">
        <v>2.86</v>
      </c>
      <c r="X265">
        <v>0.14000000000000001</v>
      </c>
      <c r="Y265">
        <v>0.19</v>
      </c>
      <c r="AA265">
        <v>9386.5</v>
      </c>
    </row>
    <row r="266" spans="1:27" x14ac:dyDescent="0.25">
      <c r="A266">
        <v>2011</v>
      </c>
      <c r="B266">
        <v>15238.4</v>
      </c>
      <c r="C266">
        <v>14881.395326126232</v>
      </c>
      <c r="D266">
        <v>10217.089486305693</v>
      </c>
      <c r="E266">
        <v>10297.573965024221</v>
      </c>
      <c r="F266">
        <v>1141.7895167895167</v>
      </c>
      <c r="G266">
        <v>2125.9661207000122</v>
      </c>
      <c r="H266">
        <v>17.241759011782136</v>
      </c>
      <c r="I266">
        <v>3.7436947510363083</v>
      </c>
      <c r="J266">
        <v>247.61834217525669</v>
      </c>
      <c r="K266">
        <v>3153.8</v>
      </c>
      <c r="L266">
        <v>1298.0999999999999</v>
      </c>
      <c r="M266">
        <v>0</v>
      </c>
      <c r="N266">
        <v>0</v>
      </c>
      <c r="O266">
        <v>3817.1</v>
      </c>
      <c r="P266">
        <v>2358.3000000000002</v>
      </c>
      <c r="Q266">
        <v>102.399</v>
      </c>
      <c r="R266">
        <v>104.072</v>
      </c>
      <c r="S266">
        <v>103.045</v>
      </c>
      <c r="T266">
        <v>100.997</v>
      </c>
      <c r="U266">
        <v>311205</v>
      </c>
      <c r="V266">
        <v>6.09</v>
      </c>
      <c r="W266">
        <v>3.46</v>
      </c>
      <c r="X266">
        <v>0.13</v>
      </c>
      <c r="Y266">
        <v>0.16</v>
      </c>
      <c r="AA266">
        <v>9579.5</v>
      </c>
    </row>
    <row r="267" spans="1:27" x14ac:dyDescent="0.25">
      <c r="A267">
        <v>2011.25</v>
      </c>
      <c r="B267">
        <v>15460.9</v>
      </c>
      <c r="C267">
        <v>14989.480827960639</v>
      </c>
      <c r="D267">
        <v>10237.694754952376</v>
      </c>
      <c r="E267">
        <v>10328.641970725133</v>
      </c>
      <c r="F267">
        <v>1134.1782993953361</v>
      </c>
      <c r="G267">
        <v>2207.9969664614368</v>
      </c>
      <c r="H267">
        <v>17.609630780260485</v>
      </c>
      <c r="I267">
        <v>3.7930210800804187</v>
      </c>
      <c r="J267">
        <v>248.89385192160373</v>
      </c>
      <c r="K267">
        <v>3183.8</v>
      </c>
      <c r="L267">
        <v>1314.9</v>
      </c>
      <c r="M267">
        <v>0</v>
      </c>
      <c r="N267">
        <v>0</v>
      </c>
      <c r="O267">
        <v>3837.7</v>
      </c>
      <c r="P267">
        <v>2378.6000000000004</v>
      </c>
      <c r="Q267">
        <v>103.145</v>
      </c>
      <c r="R267">
        <v>105.053</v>
      </c>
      <c r="S267">
        <v>103.36799999999999</v>
      </c>
      <c r="T267">
        <v>101.63</v>
      </c>
      <c r="U267">
        <v>311733</v>
      </c>
      <c r="V267">
        <v>5.85</v>
      </c>
      <c r="W267">
        <v>3.21</v>
      </c>
      <c r="X267">
        <v>0.05</v>
      </c>
      <c r="Y267">
        <v>0.09</v>
      </c>
      <c r="AA267">
        <v>9804.5</v>
      </c>
    </row>
    <row r="268" spans="1:27" x14ac:dyDescent="0.25">
      <c r="A268">
        <v>2011.5</v>
      </c>
      <c r="B268">
        <v>15587.1</v>
      </c>
      <c r="C268">
        <v>15021.104772184102</v>
      </c>
      <c r="D268">
        <v>10282.236860975399</v>
      </c>
      <c r="E268">
        <v>10363.510113195711</v>
      </c>
      <c r="F268">
        <v>1148.5747575196999</v>
      </c>
      <c r="G268">
        <v>2214.0082073906256</v>
      </c>
      <c r="H268">
        <v>18.408044151512744</v>
      </c>
      <c r="I268">
        <v>3.867474795728461</v>
      </c>
      <c r="J268">
        <v>250.06464298506023</v>
      </c>
      <c r="K268">
        <v>3176.8</v>
      </c>
      <c r="L268">
        <v>1305.9000000000001</v>
      </c>
      <c r="M268">
        <v>-389</v>
      </c>
      <c r="N268">
        <v>0</v>
      </c>
      <c r="O268">
        <v>3841.8</v>
      </c>
      <c r="P268">
        <v>2381.8999999999996</v>
      </c>
      <c r="Q268">
        <v>103.768</v>
      </c>
      <c r="R268">
        <v>105.34399999999999</v>
      </c>
      <c r="S268">
        <v>103.10299999999999</v>
      </c>
      <c r="T268">
        <v>102.173</v>
      </c>
      <c r="U268">
        <v>312360</v>
      </c>
      <c r="V268">
        <v>5.46</v>
      </c>
      <c r="W268">
        <v>2.4300000000000002</v>
      </c>
      <c r="X268">
        <v>0.02</v>
      </c>
      <c r="Y268">
        <v>0.08</v>
      </c>
      <c r="AA268">
        <v>10165.4</v>
      </c>
    </row>
    <row r="269" spans="1:27" x14ac:dyDescent="0.25">
      <c r="A269">
        <v>2011.75</v>
      </c>
      <c r="B269">
        <v>15785.3</v>
      </c>
      <c r="C269">
        <v>15190.296101696546</v>
      </c>
      <c r="D269">
        <v>10316.805457629058</v>
      </c>
      <c r="E269">
        <v>10367.952728000611</v>
      </c>
      <c r="F269">
        <v>1181.4632141389231</v>
      </c>
      <c r="G269">
        <v>2373.7649029265726</v>
      </c>
      <c r="H269">
        <v>18.830898943118395</v>
      </c>
      <c r="I269">
        <v>3.9760798400015922</v>
      </c>
      <c r="J269">
        <v>251.42251064372033</v>
      </c>
      <c r="K269">
        <v>3160.4</v>
      </c>
      <c r="L269">
        <v>1294.9000000000001</v>
      </c>
      <c r="M269">
        <v>-48.6</v>
      </c>
      <c r="N269">
        <v>0</v>
      </c>
      <c r="O269">
        <v>3880.7</v>
      </c>
      <c r="P269">
        <v>2410.8000000000002</v>
      </c>
      <c r="Q269">
        <v>103.917</v>
      </c>
      <c r="R269">
        <v>106.91</v>
      </c>
      <c r="S269">
        <v>103.923</v>
      </c>
      <c r="T269">
        <v>102.874</v>
      </c>
      <c r="U269">
        <v>313001</v>
      </c>
      <c r="V269">
        <v>5.25</v>
      </c>
      <c r="W269">
        <v>2.0499999999999998</v>
      </c>
      <c r="X269">
        <v>0.01</v>
      </c>
      <c r="Y269">
        <v>7.0000000000000007E-2</v>
      </c>
      <c r="AA269">
        <v>10443.700000000001</v>
      </c>
    </row>
    <row r="270" spans="1:27" x14ac:dyDescent="0.25">
      <c r="A270">
        <v>2012</v>
      </c>
      <c r="B270">
        <v>15973.9</v>
      </c>
      <c r="C270">
        <v>15291.00377156204</v>
      </c>
      <c r="D270">
        <v>10379.022555678706</v>
      </c>
      <c r="E270">
        <v>10404.17455188995</v>
      </c>
      <c r="F270">
        <v>1213.8561660762832</v>
      </c>
      <c r="G270">
        <v>2429.6038861024449</v>
      </c>
      <c r="H270">
        <v>19.381064262752769</v>
      </c>
      <c r="I270">
        <v>4.2245237691763275</v>
      </c>
      <c r="J270">
        <v>252.47408336291466</v>
      </c>
      <c r="K270">
        <v>3171.6</v>
      </c>
      <c r="L270">
        <v>1300.5</v>
      </c>
      <c r="M270">
        <v>0</v>
      </c>
      <c r="N270">
        <v>0</v>
      </c>
      <c r="O270">
        <v>3976.2</v>
      </c>
      <c r="P270">
        <v>2458.1</v>
      </c>
      <c r="Q270">
        <v>104.46599999999999</v>
      </c>
      <c r="R270">
        <v>107.807</v>
      </c>
      <c r="S270">
        <v>103.938</v>
      </c>
      <c r="T270">
        <v>103.723</v>
      </c>
      <c r="U270">
        <v>313538</v>
      </c>
      <c r="V270">
        <v>5.2</v>
      </c>
      <c r="W270">
        <v>2.04</v>
      </c>
      <c r="X270">
        <v>7.0000000000000007E-2</v>
      </c>
      <c r="Y270">
        <v>0.1</v>
      </c>
      <c r="AA270">
        <v>10785.9</v>
      </c>
    </row>
    <row r="271" spans="1:27" x14ac:dyDescent="0.25">
      <c r="A271">
        <v>2012.25</v>
      </c>
      <c r="B271">
        <v>16121.9</v>
      </c>
      <c r="C271">
        <v>15362.53013540684</v>
      </c>
      <c r="D271">
        <v>10396.566053416947</v>
      </c>
      <c r="E271">
        <v>10415.38350177947</v>
      </c>
      <c r="F271">
        <v>1222.113047525469</v>
      </c>
      <c r="G271">
        <v>2489.1734506495932</v>
      </c>
      <c r="H271">
        <v>19.737061075054086</v>
      </c>
      <c r="I271">
        <v>4.26368519824051</v>
      </c>
      <c r="J271">
        <v>252.5366448546188</v>
      </c>
      <c r="K271">
        <v>3159.6</v>
      </c>
      <c r="L271">
        <v>1293.7</v>
      </c>
      <c r="M271">
        <v>0</v>
      </c>
      <c r="N271">
        <v>0</v>
      </c>
      <c r="O271">
        <v>4006.8</v>
      </c>
      <c r="P271">
        <v>2489</v>
      </c>
      <c r="Q271">
        <v>104.943</v>
      </c>
      <c r="R271">
        <v>108.492</v>
      </c>
      <c r="S271">
        <v>104.547</v>
      </c>
      <c r="T271">
        <v>103.773</v>
      </c>
      <c r="U271">
        <v>314060</v>
      </c>
      <c r="V271">
        <v>5.09</v>
      </c>
      <c r="W271">
        <v>1.82</v>
      </c>
      <c r="X271">
        <v>0.09</v>
      </c>
      <c r="Y271">
        <v>0.15</v>
      </c>
      <c r="AA271">
        <v>11109.8</v>
      </c>
    </row>
    <row r="272" spans="1:27" x14ac:dyDescent="0.25">
      <c r="A272">
        <v>2012.5</v>
      </c>
      <c r="B272">
        <v>16227.9</v>
      </c>
      <c r="C272">
        <v>15380.729423361263</v>
      </c>
      <c r="D272">
        <v>10424.075834737507</v>
      </c>
      <c r="E272">
        <v>10425.909849099298</v>
      </c>
      <c r="F272">
        <v>1242.2631617272264</v>
      </c>
      <c r="G272">
        <v>2481.9974492298634</v>
      </c>
      <c r="H272">
        <v>19.633620268977769</v>
      </c>
      <c r="I272">
        <v>4.3723109942798635</v>
      </c>
      <c r="J272">
        <v>254.73389689955721</v>
      </c>
      <c r="K272">
        <v>3159.6</v>
      </c>
      <c r="L272">
        <v>1297</v>
      </c>
      <c r="M272">
        <v>0</v>
      </c>
      <c r="N272">
        <v>0</v>
      </c>
      <c r="O272">
        <v>4027.9</v>
      </c>
      <c r="P272">
        <v>2510.1999999999998</v>
      </c>
      <c r="Q272">
        <v>105.508</v>
      </c>
      <c r="R272">
        <v>108.64700000000001</v>
      </c>
      <c r="S272">
        <v>104.26</v>
      </c>
      <c r="T272">
        <v>104.208</v>
      </c>
      <c r="U272">
        <v>314677</v>
      </c>
      <c r="V272">
        <v>4.87</v>
      </c>
      <c r="W272">
        <v>1.64</v>
      </c>
      <c r="X272">
        <v>0.1</v>
      </c>
      <c r="Y272">
        <v>0.14000000000000001</v>
      </c>
      <c r="AA272">
        <v>11318.7</v>
      </c>
    </row>
    <row r="273" spans="1:27" x14ac:dyDescent="0.25">
      <c r="A273">
        <v>2012.75</v>
      </c>
      <c r="B273">
        <v>16297.3</v>
      </c>
      <c r="C273">
        <v>15384.245055930523</v>
      </c>
      <c r="D273">
        <v>10453.170791082648</v>
      </c>
      <c r="E273">
        <v>10433.868180482355</v>
      </c>
      <c r="F273">
        <v>1266.6436918449826</v>
      </c>
      <c r="G273">
        <v>2462.1589422081602</v>
      </c>
      <c r="H273">
        <v>19.813492527995628</v>
      </c>
      <c r="I273">
        <v>4.5983174272038676</v>
      </c>
      <c r="J273">
        <v>255.64232451568211</v>
      </c>
      <c r="K273">
        <v>3143.5</v>
      </c>
      <c r="L273">
        <v>1278.9000000000001</v>
      </c>
      <c r="M273">
        <v>0</v>
      </c>
      <c r="N273">
        <v>0</v>
      </c>
      <c r="O273">
        <v>4122.8</v>
      </c>
      <c r="P273">
        <v>2586.1999999999998</v>
      </c>
      <c r="Q273">
        <v>105.935</v>
      </c>
      <c r="R273">
        <v>108.68899999999999</v>
      </c>
      <c r="S273">
        <v>103.75</v>
      </c>
      <c r="T273">
        <v>104.76</v>
      </c>
      <c r="U273">
        <v>315334</v>
      </c>
      <c r="V273">
        <v>4.57</v>
      </c>
      <c r="W273">
        <v>1.71</v>
      </c>
      <c r="X273">
        <v>0.09</v>
      </c>
      <c r="Y273">
        <v>0.16</v>
      </c>
      <c r="AA273">
        <v>11578.2</v>
      </c>
    </row>
    <row r="274" spans="1:27" x14ac:dyDescent="0.25">
      <c r="A274">
        <v>2013</v>
      </c>
      <c r="B274">
        <v>16440.7</v>
      </c>
      <c r="C274">
        <v>15457.160854808533</v>
      </c>
      <c r="D274">
        <v>10518.17291093174</v>
      </c>
      <c r="E274">
        <v>10479.849884014287</v>
      </c>
      <c r="F274">
        <v>1293.6261112681811</v>
      </c>
      <c r="G274">
        <v>2505.076610670113</v>
      </c>
      <c r="H274">
        <v>20.006434504543147</v>
      </c>
      <c r="I274">
        <v>4.6987917118535085</v>
      </c>
      <c r="J274">
        <v>255.87239241949379</v>
      </c>
      <c r="K274">
        <v>3119.8</v>
      </c>
      <c r="L274">
        <v>1250.4000000000001</v>
      </c>
      <c r="M274">
        <v>-486.5</v>
      </c>
      <c r="N274">
        <v>0</v>
      </c>
      <c r="O274">
        <v>4344.3999999999996</v>
      </c>
      <c r="P274">
        <v>2780</v>
      </c>
      <c r="Q274">
        <v>106.363</v>
      </c>
      <c r="R274">
        <v>109.367</v>
      </c>
      <c r="S274">
        <v>104.05800000000001</v>
      </c>
      <c r="T274">
        <v>105.102</v>
      </c>
      <c r="U274">
        <v>315870</v>
      </c>
      <c r="V274">
        <v>4.8099999999999996</v>
      </c>
      <c r="W274">
        <v>1.95</v>
      </c>
      <c r="X274">
        <v>0.09</v>
      </c>
      <c r="Y274">
        <v>0.14000000000000001</v>
      </c>
      <c r="AA274">
        <v>11815.6</v>
      </c>
    </row>
    <row r="275" spans="1:27" x14ac:dyDescent="0.25">
      <c r="A275">
        <v>2013.25</v>
      </c>
      <c r="B275">
        <v>16526.8</v>
      </c>
      <c r="C275">
        <v>15500.220402727366</v>
      </c>
      <c r="D275">
        <v>10554.240226692269</v>
      </c>
      <c r="E275">
        <v>10513.100951142413</v>
      </c>
      <c r="F275">
        <v>1300.8095844694537</v>
      </c>
      <c r="G275">
        <v>2537.1559144469938</v>
      </c>
      <c r="H275">
        <v>20.056343501068582</v>
      </c>
      <c r="I275">
        <v>4.8032659556330159</v>
      </c>
      <c r="J275">
        <v>256.14344614426977</v>
      </c>
      <c r="K275">
        <v>3111.4</v>
      </c>
      <c r="L275">
        <v>1234.2</v>
      </c>
      <c r="M275">
        <v>0</v>
      </c>
      <c r="N275">
        <v>0</v>
      </c>
      <c r="O275">
        <v>4408.6000000000004</v>
      </c>
      <c r="P275">
        <v>2824.6</v>
      </c>
      <c r="Q275">
        <v>106.623</v>
      </c>
      <c r="R275">
        <v>109.8</v>
      </c>
      <c r="S275">
        <v>104.214</v>
      </c>
      <c r="T275">
        <v>105.36</v>
      </c>
      <c r="U275">
        <v>316403</v>
      </c>
      <c r="V275">
        <v>4.84</v>
      </c>
      <c r="W275">
        <v>2</v>
      </c>
      <c r="X275">
        <v>0.05</v>
      </c>
      <c r="Y275">
        <v>0.12</v>
      </c>
      <c r="AA275">
        <v>11972.8</v>
      </c>
    </row>
    <row r="276" spans="1:27" x14ac:dyDescent="0.25">
      <c r="A276">
        <v>2013.5</v>
      </c>
      <c r="B276">
        <v>16727.5</v>
      </c>
      <c r="C276">
        <v>15614.498543798074</v>
      </c>
      <c r="D276">
        <v>10598.834079052411</v>
      </c>
      <c r="E276">
        <v>10552.714248999982</v>
      </c>
      <c r="F276">
        <v>1311.2582781456954</v>
      </c>
      <c r="G276">
        <v>2619.730829058095</v>
      </c>
      <c r="H276">
        <v>20.230636432409366</v>
      </c>
      <c r="I276">
        <v>4.8603581710098327</v>
      </c>
      <c r="J276">
        <v>257.51854368765459</v>
      </c>
      <c r="K276">
        <v>3110.7</v>
      </c>
      <c r="L276">
        <v>1220.4000000000001</v>
      </c>
      <c r="M276">
        <v>0</v>
      </c>
      <c r="N276">
        <v>0</v>
      </c>
      <c r="O276">
        <v>4434.5</v>
      </c>
      <c r="P276">
        <v>2857.8</v>
      </c>
      <c r="Q276">
        <v>107.128</v>
      </c>
      <c r="R276">
        <v>110.858</v>
      </c>
      <c r="S276">
        <v>104.55800000000001</v>
      </c>
      <c r="T276">
        <v>106.02500000000001</v>
      </c>
      <c r="U276">
        <v>317024</v>
      </c>
      <c r="V276">
        <v>5.4</v>
      </c>
      <c r="W276">
        <v>2.71</v>
      </c>
      <c r="X276">
        <v>0.03</v>
      </c>
      <c r="Y276">
        <v>0.08</v>
      </c>
      <c r="AA276">
        <v>12036.6</v>
      </c>
    </row>
    <row r="277" spans="1:27" x14ac:dyDescent="0.25">
      <c r="A277">
        <v>2013.75</v>
      </c>
      <c r="B277">
        <v>16957.599999999999</v>
      </c>
      <c r="C277">
        <v>15761.462603054213</v>
      </c>
      <c r="D277">
        <v>10690.340961648753</v>
      </c>
      <c r="E277">
        <v>10641.696745402742</v>
      </c>
      <c r="F277">
        <v>1324.636012875445</v>
      </c>
      <c r="G277">
        <v>2647.0871356513035</v>
      </c>
      <c r="H277">
        <v>20.654919151159753</v>
      </c>
      <c r="I277">
        <v>4.7595902533862784</v>
      </c>
      <c r="J277">
        <v>258.858954023732</v>
      </c>
      <c r="K277">
        <v>3115.1</v>
      </c>
      <c r="L277">
        <v>1217.5999999999999</v>
      </c>
      <c r="M277">
        <v>0</v>
      </c>
      <c r="N277">
        <v>0</v>
      </c>
      <c r="O277">
        <v>4479.3999999999996</v>
      </c>
      <c r="P277">
        <v>2892.2999999999997</v>
      </c>
      <c r="Q277">
        <v>107.589</v>
      </c>
      <c r="R277">
        <v>112.245</v>
      </c>
      <c r="S277">
        <v>105.423</v>
      </c>
      <c r="T277">
        <v>106.471</v>
      </c>
      <c r="U277">
        <v>317672</v>
      </c>
      <c r="V277">
        <v>5.36</v>
      </c>
      <c r="W277">
        <v>2.75</v>
      </c>
      <c r="X277">
        <v>0.06</v>
      </c>
      <c r="Y277">
        <v>0.09</v>
      </c>
      <c r="AA277">
        <v>12343</v>
      </c>
    </row>
    <row r="278" spans="1:27" x14ac:dyDescent="0.25">
      <c r="A278">
        <v>2014</v>
      </c>
      <c r="B278">
        <v>16984.3</v>
      </c>
      <c r="C278">
        <v>15724.893295929043</v>
      </c>
      <c r="D278">
        <v>10724.729815638906</v>
      </c>
      <c r="E278">
        <v>10671.595549791753</v>
      </c>
      <c r="F278">
        <v>1333.2260832260831</v>
      </c>
      <c r="G278">
        <v>2630.466792878588</v>
      </c>
      <c r="H278">
        <v>21.068335216245185</v>
      </c>
      <c r="I278">
        <v>4.7255687020844928</v>
      </c>
      <c r="J278">
        <v>259.2111308997562</v>
      </c>
      <c r="K278">
        <v>3122.3</v>
      </c>
      <c r="L278">
        <v>1214.8</v>
      </c>
      <c r="M278">
        <v>0</v>
      </c>
      <c r="N278">
        <v>0</v>
      </c>
      <c r="O278">
        <v>4565.7</v>
      </c>
      <c r="P278">
        <v>2952.2000000000003</v>
      </c>
      <c r="Q278">
        <v>108.009</v>
      </c>
      <c r="R278">
        <v>111.761</v>
      </c>
      <c r="S278">
        <v>104.455</v>
      </c>
      <c r="T278">
        <v>106.994</v>
      </c>
      <c r="U278">
        <v>318202</v>
      </c>
      <c r="V278">
        <v>5.12</v>
      </c>
      <c r="W278">
        <v>2.76</v>
      </c>
      <c r="X278">
        <v>0.05</v>
      </c>
      <c r="Y278">
        <v>7.0000000000000007E-2</v>
      </c>
      <c r="AA278">
        <v>12502.4</v>
      </c>
    </row>
    <row r="279" spans="1:27" x14ac:dyDescent="0.25">
      <c r="A279">
        <v>2014.25</v>
      </c>
      <c r="B279">
        <v>17270</v>
      </c>
      <c r="C279">
        <v>15901.515570042171</v>
      </c>
      <c r="D279">
        <v>10826.291768242389</v>
      </c>
      <c r="E279">
        <v>10742.636181982292</v>
      </c>
      <c r="F279">
        <v>1377.2422852466782</v>
      </c>
      <c r="G279">
        <v>2709.537158876366</v>
      </c>
      <c r="H279">
        <v>21.298088497279597</v>
      </c>
      <c r="I279">
        <v>4.8438661377130217</v>
      </c>
      <c r="J279">
        <v>261.39054640698242</v>
      </c>
      <c r="K279">
        <v>3146.3</v>
      </c>
      <c r="L279">
        <v>1216.9000000000001</v>
      </c>
      <c r="M279">
        <v>0</v>
      </c>
      <c r="N279">
        <v>0</v>
      </c>
      <c r="O279">
        <v>4630.8999999999996</v>
      </c>
      <c r="P279">
        <v>3005.8</v>
      </c>
      <c r="Q279">
        <v>108.60599999999999</v>
      </c>
      <c r="R279">
        <v>113.31699999999999</v>
      </c>
      <c r="S279">
        <v>105.212</v>
      </c>
      <c r="T279">
        <v>107.703</v>
      </c>
      <c r="U279">
        <v>318736</v>
      </c>
      <c r="V279">
        <v>4.82</v>
      </c>
      <c r="W279">
        <v>2.62</v>
      </c>
      <c r="X279">
        <v>0.03</v>
      </c>
      <c r="Y279">
        <v>0.09</v>
      </c>
      <c r="AA279">
        <v>12642.5</v>
      </c>
    </row>
    <row r="280" spans="1:27" x14ac:dyDescent="0.25">
      <c r="A280">
        <v>2014.5</v>
      </c>
      <c r="B280">
        <v>17522.099999999999</v>
      </c>
      <c r="C280">
        <v>16068.834598877516</v>
      </c>
      <c r="D280">
        <v>10918.602313638772</v>
      </c>
      <c r="E280">
        <v>10821.42541717407</v>
      </c>
      <c r="F280">
        <v>1402.4277994953816</v>
      </c>
      <c r="G280">
        <v>2758.1435462928739</v>
      </c>
      <c r="H280">
        <v>21.763339285371426</v>
      </c>
      <c r="I280">
        <v>4.8846197867601093</v>
      </c>
      <c r="J280">
        <v>262.46335011197448</v>
      </c>
      <c r="K280">
        <v>3177.4</v>
      </c>
      <c r="L280">
        <v>1233.0999999999999</v>
      </c>
      <c r="M280">
        <v>0</v>
      </c>
      <c r="N280">
        <v>0</v>
      </c>
      <c r="O280">
        <v>4684.6000000000004</v>
      </c>
      <c r="P280">
        <v>3045.6000000000004</v>
      </c>
      <c r="Q280">
        <v>109.044</v>
      </c>
      <c r="R280">
        <v>114.846</v>
      </c>
      <c r="S280">
        <v>105.87</v>
      </c>
      <c r="T280">
        <v>108.47799999999999</v>
      </c>
      <c r="U280">
        <v>319358</v>
      </c>
      <c r="V280">
        <v>4.74</v>
      </c>
      <c r="W280">
        <v>2.5</v>
      </c>
      <c r="X280">
        <v>0.03</v>
      </c>
      <c r="Y280">
        <v>0.09</v>
      </c>
      <c r="AA280">
        <v>12848.6</v>
      </c>
    </row>
    <row r="281" spans="1:27" x14ac:dyDescent="0.25">
      <c r="A281">
        <v>2014.75</v>
      </c>
      <c r="B281">
        <v>17615.900000000001</v>
      </c>
      <c r="C281">
        <v>16151.448192395503</v>
      </c>
      <c r="D281">
        <v>11033.315647926234</v>
      </c>
      <c r="E281">
        <v>10929.159714269037</v>
      </c>
      <c r="F281">
        <v>1423.4389673924913</v>
      </c>
      <c r="G281">
        <v>2772.5389139032841</v>
      </c>
      <c r="H281">
        <v>21.79989838664839</v>
      </c>
      <c r="I281">
        <v>5.0024812167538721</v>
      </c>
      <c r="J281">
        <v>265.11211122919229</v>
      </c>
      <c r="K281">
        <v>3162.5</v>
      </c>
      <c r="L281">
        <v>1214.7</v>
      </c>
      <c r="M281">
        <v>0</v>
      </c>
      <c r="N281">
        <v>0</v>
      </c>
      <c r="O281">
        <v>4742.6000000000004</v>
      </c>
      <c r="P281">
        <v>3086.9</v>
      </c>
      <c r="Q281">
        <v>109.06699999999999</v>
      </c>
      <c r="R281">
        <v>115.593</v>
      </c>
      <c r="S281">
        <v>105.226</v>
      </c>
      <c r="T281">
        <v>109.85299999999999</v>
      </c>
      <c r="U281">
        <v>320006</v>
      </c>
      <c r="V281">
        <v>4.74</v>
      </c>
      <c r="W281">
        <v>2.2799999999999998</v>
      </c>
      <c r="X281">
        <v>0.02</v>
      </c>
      <c r="Y281">
        <v>0.1</v>
      </c>
    </row>
    <row r="282" spans="1:27" x14ac:dyDescent="0.25">
      <c r="A282">
        <v>2015</v>
      </c>
      <c r="B282">
        <v>17649.3</v>
      </c>
      <c r="C282">
        <v>16177.325181715689</v>
      </c>
      <c r="D282">
        <v>11081.237590999339</v>
      </c>
      <c r="E282">
        <v>10975.893273825579</v>
      </c>
      <c r="F282">
        <v>1430.4079816281906</v>
      </c>
      <c r="G282">
        <v>2830.2724558817972</v>
      </c>
      <c r="H282">
        <v>21.886245645685989</v>
      </c>
      <c r="I282">
        <v>5.1246742607134452</v>
      </c>
      <c r="J282">
        <v>266.47355265965228</v>
      </c>
      <c r="K282">
        <v>3149.5</v>
      </c>
      <c r="L282">
        <v>1218.2</v>
      </c>
      <c r="M282">
        <v>0</v>
      </c>
      <c r="N282">
        <v>0</v>
      </c>
      <c r="O282">
        <v>4822.5</v>
      </c>
      <c r="P282">
        <v>3168.4</v>
      </c>
      <c r="Q282">
        <v>109.099</v>
      </c>
      <c r="R282">
        <v>115.76600000000001</v>
      </c>
      <c r="S282">
        <v>104.884</v>
      </c>
      <c r="T282">
        <v>110.376</v>
      </c>
      <c r="U282">
        <v>320536</v>
      </c>
      <c r="V282">
        <v>4.5</v>
      </c>
      <c r="W282">
        <v>1.97</v>
      </c>
      <c r="X282">
        <v>0.03</v>
      </c>
      <c r="Y282">
        <v>0.11</v>
      </c>
    </row>
    <row r="283" spans="1:27" x14ac:dyDescent="0.25">
      <c r="A283">
        <v>2015.25</v>
      </c>
      <c r="B283">
        <v>17913.7</v>
      </c>
      <c r="C283">
        <v>16333.588635410397</v>
      </c>
      <c r="D283">
        <v>11178.922733755073</v>
      </c>
      <c r="E283">
        <v>11058.613373783401</v>
      </c>
      <c r="F283">
        <v>1458.3035567038646</v>
      </c>
      <c r="G283">
        <v>2864.8126580121016</v>
      </c>
      <c r="H283">
        <v>22.106032766067976</v>
      </c>
      <c r="I283">
        <v>5.2399916160134143</v>
      </c>
      <c r="J283">
        <v>267.39883281017472</v>
      </c>
      <c r="K283">
        <v>3179.2</v>
      </c>
      <c r="L283">
        <v>1220.7</v>
      </c>
      <c r="M283">
        <v>0</v>
      </c>
      <c r="N283">
        <v>0</v>
      </c>
      <c r="O283">
        <v>4911.6000000000004</v>
      </c>
      <c r="P283">
        <v>3236.8</v>
      </c>
      <c r="Q283">
        <v>109.67400000000001</v>
      </c>
      <c r="R283">
        <v>117.175</v>
      </c>
      <c r="S283">
        <v>105.846</v>
      </c>
      <c r="T283">
        <v>110.70399999999999</v>
      </c>
      <c r="U283">
        <v>321070</v>
      </c>
      <c r="V283">
        <v>4.83</v>
      </c>
      <c r="W283">
        <v>2.17</v>
      </c>
      <c r="X283">
        <v>0.02</v>
      </c>
      <c r="Y283">
        <v>0.12</v>
      </c>
    </row>
    <row r="284" spans="1:27" x14ac:dyDescent="0.25">
      <c r="A284">
        <v>2015.5</v>
      </c>
      <c r="B284">
        <v>18064.7</v>
      </c>
      <c r="C284">
        <v>16417.827703101852</v>
      </c>
      <c r="D284">
        <v>11262.735806069442</v>
      </c>
      <c r="E284">
        <v>11131.644369693784</v>
      </c>
      <c r="F284">
        <v>1481.4528080691896</v>
      </c>
      <c r="G284">
        <v>2862.4517784212562</v>
      </c>
      <c r="H284">
        <v>22.237675043161325</v>
      </c>
      <c r="I284">
        <v>5.3329869230103055</v>
      </c>
      <c r="K284">
        <v>3200.4</v>
      </c>
      <c r="L284">
        <v>1224.4000000000001</v>
      </c>
      <c r="M284">
        <v>0</v>
      </c>
      <c r="N284">
        <v>0</v>
      </c>
      <c r="O284">
        <v>4951.2</v>
      </c>
      <c r="P284">
        <v>3263.7999999999997</v>
      </c>
      <c r="Q284">
        <v>110.03100000000001</v>
      </c>
      <c r="R284">
        <v>117.614</v>
      </c>
      <c r="S284">
        <v>106.38</v>
      </c>
      <c r="T284">
        <v>110.56100000000001</v>
      </c>
      <c r="U284">
        <v>321692</v>
      </c>
      <c r="V284">
        <v>5.24</v>
      </c>
      <c r="W284">
        <v>2.2200000000000002</v>
      </c>
      <c r="X284">
        <v>0.04</v>
      </c>
      <c r="Y284">
        <v>0.14000000000000001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8A20-F942-44A4-BE13-C9C7098BA29B}">
  <dimension ref="A3:E232"/>
  <sheetViews>
    <sheetView topLeftCell="A196" workbookViewId="0">
      <selection activeCell="E123" sqref="E123:E217"/>
    </sheetView>
  </sheetViews>
  <sheetFormatPr baseColWidth="10" defaultRowHeight="15" x14ac:dyDescent="0.25"/>
  <cols>
    <col min="1" max="1" width="17.85546875" bestFit="1" customWidth="1"/>
    <col min="2" max="2" width="7" bestFit="1" customWidth="1"/>
    <col min="3" max="4" width="22.28515625" bestFit="1" customWidth="1"/>
    <col min="5" max="5" width="20" bestFit="1" customWidth="1"/>
  </cols>
  <sheetData>
    <row r="3" spans="1:5" x14ac:dyDescent="0.25">
      <c r="A3" s="8" t="s">
        <v>108</v>
      </c>
      <c r="B3" s="8" t="s">
        <v>110</v>
      </c>
      <c r="C3" t="s">
        <v>112</v>
      </c>
      <c r="D3" t="s">
        <v>113</v>
      </c>
      <c r="E3" t="s">
        <v>114</v>
      </c>
    </row>
    <row r="4" spans="1:5" x14ac:dyDescent="0.25">
      <c r="A4">
        <v>1959</v>
      </c>
      <c r="B4">
        <v>1</v>
      </c>
      <c r="C4" s="7"/>
      <c r="D4" s="7"/>
      <c r="E4" s="7"/>
    </row>
    <row r="5" spans="1:5" x14ac:dyDescent="0.25">
      <c r="A5">
        <v>1959</v>
      </c>
      <c r="B5">
        <v>2</v>
      </c>
      <c r="C5" s="7"/>
      <c r="D5" s="7"/>
      <c r="E5" s="7"/>
    </row>
    <row r="6" spans="1:5" x14ac:dyDescent="0.25">
      <c r="A6">
        <v>1959</v>
      </c>
      <c r="B6">
        <v>3</v>
      </c>
      <c r="C6" s="7"/>
      <c r="D6" s="7"/>
      <c r="E6" s="7"/>
    </row>
    <row r="7" spans="1:5" x14ac:dyDescent="0.25">
      <c r="A7">
        <v>1959</v>
      </c>
      <c r="B7">
        <v>4</v>
      </c>
      <c r="C7" s="7"/>
      <c r="D7" s="7"/>
      <c r="E7" s="7"/>
    </row>
    <row r="8" spans="1:5" x14ac:dyDescent="0.25">
      <c r="A8">
        <v>1960</v>
      </c>
      <c r="B8">
        <v>1</v>
      </c>
      <c r="C8" s="7"/>
      <c r="D8" s="7"/>
      <c r="E8" s="7"/>
    </row>
    <row r="9" spans="1:5" x14ac:dyDescent="0.25">
      <c r="A9">
        <v>1960</v>
      </c>
      <c r="B9">
        <v>2</v>
      </c>
      <c r="C9" s="7"/>
      <c r="D9" s="7"/>
      <c r="E9" s="7"/>
    </row>
    <row r="10" spans="1:5" x14ac:dyDescent="0.25">
      <c r="A10">
        <v>1960</v>
      </c>
      <c r="B10">
        <v>3</v>
      </c>
      <c r="C10" s="7"/>
      <c r="D10" s="7"/>
      <c r="E10" s="7"/>
    </row>
    <row r="11" spans="1:5" x14ac:dyDescent="0.25">
      <c r="A11">
        <v>1960</v>
      </c>
      <c r="B11">
        <v>4</v>
      </c>
      <c r="C11" s="7"/>
      <c r="D11" s="7"/>
      <c r="E11" s="7"/>
    </row>
    <row r="12" spans="1:5" x14ac:dyDescent="0.25">
      <c r="A12">
        <v>1961</v>
      </c>
      <c r="B12">
        <v>1</v>
      </c>
      <c r="C12" s="7"/>
      <c r="D12" s="7"/>
      <c r="E12" s="7"/>
    </row>
    <row r="13" spans="1:5" x14ac:dyDescent="0.25">
      <c r="A13">
        <v>1961</v>
      </c>
      <c r="B13">
        <v>2</v>
      </c>
      <c r="C13" s="7"/>
      <c r="D13" s="7"/>
      <c r="E13" s="7"/>
    </row>
    <row r="14" spans="1:5" x14ac:dyDescent="0.25">
      <c r="A14">
        <v>1961</v>
      </c>
      <c r="B14">
        <v>3</v>
      </c>
      <c r="C14" s="7"/>
      <c r="D14" s="7"/>
      <c r="E14" s="7"/>
    </row>
    <row r="15" spans="1:5" x14ac:dyDescent="0.25">
      <c r="A15">
        <v>1961</v>
      </c>
      <c r="B15">
        <v>4</v>
      </c>
      <c r="C15" s="7"/>
      <c r="D15" s="7"/>
      <c r="E15" s="7"/>
    </row>
    <row r="16" spans="1:5" x14ac:dyDescent="0.25">
      <c r="A16">
        <v>1962</v>
      </c>
      <c r="B16">
        <v>1</v>
      </c>
      <c r="C16" s="7"/>
      <c r="D16" s="7"/>
      <c r="E16" s="7"/>
    </row>
    <row r="17" spans="1:5" x14ac:dyDescent="0.25">
      <c r="A17">
        <v>1962</v>
      </c>
      <c r="B17">
        <v>2</v>
      </c>
      <c r="C17" s="7"/>
      <c r="D17" s="7"/>
      <c r="E17" s="7"/>
    </row>
    <row r="18" spans="1:5" x14ac:dyDescent="0.25">
      <c r="A18">
        <v>1962</v>
      </c>
      <c r="B18">
        <v>3</v>
      </c>
      <c r="C18" s="7"/>
      <c r="D18" s="7"/>
      <c r="E18" s="7"/>
    </row>
    <row r="19" spans="1:5" x14ac:dyDescent="0.25">
      <c r="A19">
        <v>1962</v>
      </c>
      <c r="B19">
        <v>4</v>
      </c>
      <c r="C19" s="7"/>
      <c r="D19" s="7"/>
      <c r="E19" s="7"/>
    </row>
    <row r="20" spans="1:5" x14ac:dyDescent="0.25">
      <c r="A20">
        <v>1963</v>
      </c>
      <c r="B20">
        <v>1</v>
      </c>
      <c r="C20" s="7"/>
      <c r="D20" s="7"/>
      <c r="E20" s="7"/>
    </row>
    <row r="21" spans="1:5" x14ac:dyDescent="0.25">
      <c r="A21">
        <v>1963</v>
      </c>
      <c r="B21">
        <v>2</v>
      </c>
      <c r="C21" s="7"/>
      <c r="D21" s="7"/>
      <c r="E21" s="7"/>
    </row>
    <row r="22" spans="1:5" x14ac:dyDescent="0.25">
      <c r="A22">
        <v>1963</v>
      </c>
      <c r="B22">
        <v>3</v>
      </c>
      <c r="C22" s="7"/>
      <c r="D22" s="7"/>
      <c r="E22" s="7"/>
    </row>
    <row r="23" spans="1:5" x14ac:dyDescent="0.25">
      <c r="A23">
        <v>1963</v>
      </c>
      <c r="B23">
        <v>4</v>
      </c>
      <c r="C23" s="7"/>
      <c r="D23" s="7"/>
      <c r="E23" s="7"/>
    </row>
    <row r="24" spans="1:5" x14ac:dyDescent="0.25">
      <c r="A24">
        <v>1964</v>
      </c>
      <c r="B24">
        <v>1</v>
      </c>
      <c r="C24" s="7"/>
      <c r="D24" s="7"/>
      <c r="E24" s="7"/>
    </row>
    <row r="25" spans="1:5" x14ac:dyDescent="0.25">
      <c r="A25">
        <v>1964</v>
      </c>
      <c r="B25">
        <v>2</v>
      </c>
      <c r="C25" s="7"/>
      <c r="D25" s="7"/>
      <c r="E25" s="7"/>
    </row>
    <row r="26" spans="1:5" x14ac:dyDescent="0.25">
      <c r="A26">
        <v>1964</v>
      </c>
      <c r="B26">
        <v>3</v>
      </c>
      <c r="C26" s="7"/>
      <c r="D26" s="7"/>
      <c r="E26" s="7"/>
    </row>
    <row r="27" spans="1:5" x14ac:dyDescent="0.25">
      <c r="A27">
        <v>1964</v>
      </c>
      <c r="B27">
        <v>4</v>
      </c>
      <c r="C27" s="7"/>
      <c r="D27" s="7"/>
      <c r="E27" s="7"/>
    </row>
    <row r="28" spans="1:5" x14ac:dyDescent="0.25">
      <c r="A28">
        <v>1965</v>
      </c>
      <c r="B28">
        <v>1</v>
      </c>
      <c r="C28" s="7"/>
      <c r="D28" s="7"/>
      <c r="E28" s="7"/>
    </row>
    <row r="29" spans="1:5" x14ac:dyDescent="0.25">
      <c r="A29">
        <v>1965</v>
      </c>
      <c r="B29">
        <v>2</v>
      </c>
      <c r="C29" s="7"/>
      <c r="D29" s="7"/>
      <c r="E29" s="7"/>
    </row>
    <row r="30" spans="1:5" x14ac:dyDescent="0.25">
      <c r="A30">
        <v>1965</v>
      </c>
      <c r="B30">
        <v>3</v>
      </c>
      <c r="C30" s="7"/>
      <c r="D30" s="7"/>
      <c r="E30" s="7"/>
    </row>
    <row r="31" spans="1:5" x14ac:dyDescent="0.25">
      <c r="A31">
        <v>1965</v>
      </c>
      <c r="B31">
        <v>4</v>
      </c>
      <c r="C31" s="7"/>
      <c r="D31" s="7"/>
      <c r="E31" s="7"/>
    </row>
    <row r="32" spans="1:5" x14ac:dyDescent="0.25">
      <c r="A32">
        <v>1966</v>
      </c>
      <c r="B32">
        <v>1</v>
      </c>
      <c r="C32" s="7"/>
      <c r="D32" s="7"/>
      <c r="E32" s="7"/>
    </row>
    <row r="33" spans="1:5" x14ac:dyDescent="0.25">
      <c r="A33">
        <v>1966</v>
      </c>
      <c r="B33">
        <v>2</v>
      </c>
      <c r="C33" s="7"/>
      <c r="D33" s="7"/>
      <c r="E33" s="7"/>
    </row>
    <row r="34" spans="1:5" x14ac:dyDescent="0.25">
      <c r="A34">
        <v>1966</v>
      </c>
      <c r="B34">
        <v>3</v>
      </c>
      <c r="C34" s="7"/>
      <c r="D34" s="7"/>
      <c r="E34" s="7"/>
    </row>
    <row r="35" spans="1:5" x14ac:dyDescent="0.25">
      <c r="A35">
        <v>1966</v>
      </c>
      <c r="B35">
        <v>4</v>
      </c>
      <c r="C35" s="7"/>
      <c r="D35" s="7"/>
      <c r="E35" s="7"/>
    </row>
    <row r="36" spans="1:5" x14ac:dyDescent="0.25">
      <c r="A36">
        <v>1967</v>
      </c>
      <c r="B36">
        <v>1</v>
      </c>
      <c r="C36" s="7"/>
      <c r="D36" s="7"/>
      <c r="E36" s="7"/>
    </row>
    <row r="37" spans="1:5" x14ac:dyDescent="0.25">
      <c r="A37">
        <v>1967</v>
      </c>
      <c r="B37">
        <v>2</v>
      </c>
      <c r="C37" s="7"/>
      <c r="D37" s="7"/>
      <c r="E37" s="7"/>
    </row>
    <row r="38" spans="1:5" x14ac:dyDescent="0.25">
      <c r="A38">
        <v>1967</v>
      </c>
      <c r="B38">
        <v>3</v>
      </c>
      <c r="C38" s="7"/>
      <c r="D38" s="7"/>
      <c r="E38" s="7"/>
    </row>
    <row r="39" spans="1:5" x14ac:dyDescent="0.25">
      <c r="A39">
        <v>1967</v>
      </c>
      <c r="B39">
        <v>4</v>
      </c>
      <c r="C39" s="7"/>
      <c r="D39" s="7"/>
      <c r="E39" s="7"/>
    </row>
    <row r="40" spans="1:5" x14ac:dyDescent="0.25">
      <c r="A40">
        <v>1968</v>
      </c>
      <c r="B40">
        <v>1</v>
      </c>
      <c r="C40" s="7"/>
      <c r="D40" s="7"/>
      <c r="E40" s="7"/>
    </row>
    <row r="41" spans="1:5" x14ac:dyDescent="0.25">
      <c r="A41">
        <v>1968</v>
      </c>
      <c r="B41">
        <v>2</v>
      </c>
      <c r="C41" s="7"/>
      <c r="D41" s="7"/>
      <c r="E41" s="7"/>
    </row>
    <row r="42" spans="1:5" x14ac:dyDescent="0.25">
      <c r="A42">
        <v>1968</v>
      </c>
      <c r="B42">
        <v>3</v>
      </c>
      <c r="C42" s="7"/>
      <c r="D42" s="7"/>
      <c r="E42" s="7"/>
    </row>
    <row r="43" spans="1:5" x14ac:dyDescent="0.25">
      <c r="A43">
        <v>1968</v>
      </c>
      <c r="B43">
        <v>4</v>
      </c>
      <c r="C43" s="7"/>
      <c r="D43" s="7"/>
      <c r="E43" s="7"/>
    </row>
    <row r="44" spans="1:5" x14ac:dyDescent="0.25">
      <c r="A44">
        <v>1969</v>
      </c>
      <c r="B44">
        <v>1</v>
      </c>
      <c r="C44" s="7">
        <v>-0.23169790000000001</v>
      </c>
      <c r="D44" s="7"/>
      <c r="E44" s="7"/>
    </row>
    <row r="45" spans="1:5" x14ac:dyDescent="0.25">
      <c r="A45">
        <v>1969</v>
      </c>
      <c r="B45">
        <v>2</v>
      </c>
      <c r="C45" s="7">
        <v>0.22283403333333332</v>
      </c>
      <c r="D45" s="7"/>
      <c r="E45" s="7"/>
    </row>
    <row r="46" spans="1:5" x14ac:dyDescent="0.25">
      <c r="A46">
        <v>1969</v>
      </c>
      <c r="B46">
        <v>3</v>
      </c>
      <c r="C46" s="7">
        <v>0.15518293333333333</v>
      </c>
      <c r="D46" s="7"/>
      <c r="E46" s="7"/>
    </row>
    <row r="47" spans="1:5" x14ac:dyDescent="0.25">
      <c r="A47">
        <v>1969</v>
      </c>
      <c r="B47">
        <v>4</v>
      </c>
      <c r="C47" s="7">
        <v>5.2923333333333329E-2</v>
      </c>
      <c r="D47" s="7"/>
      <c r="E47" s="7"/>
    </row>
    <row r="48" spans="1:5" x14ac:dyDescent="0.25">
      <c r="A48">
        <v>1970</v>
      </c>
      <c r="B48">
        <v>1</v>
      </c>
      <c r="C48" s="7">
        <v>-0.19017169999999997</v>
      </c>
      <c r="D48" s="7"/>
      <c r="E48" s="7"/>
    </row>
    <row r="49" spans="1:5" x14ac:dyDescent="0.25">
      <c r="A49">
        <v>1970</v>
      </c>
      <c r="B49">
        <v>2</v>
      </c>
      <c r="C49" s="7">
        <v>-1.7055800000000006E-2</v>
      </c>
      <c r="D49" s="7"/>
      <c r="E49" s="7"/>
    </row>
    <row r="50" spans="1:5" x14ac:dyDescent="0.25">
      <c r="A50">
        <v>1970</v>
      </c>
      <c r="B50">
        <v>3</v>
      </c>
      <c r="C50" s="7">
        <v>-0.3111010666666667</v>
      </c>
      <c r="D50" s="7"/>
      <c r="E50" s="7"/>
    </row>
    <row r="51" spans="1:5" x14ac:dyDescent="0.25">
      <c r="A51">
        <v>1970</v>
      </c>
      <c r="B51">
        <v>4</v>
      </c>
      <c r="C51" s="7">
        <v>-0.20890163333333334</v>
      </c>
      <c r="D51" s="7"/>
      <c r="E51" s="7"/>
    </row>
    <row r="52" spans="1:5" x14ac:dyDescent="0.25">
      <c r="A52">
        <v>1971</v>
      </c>
      <c r="B52">
        <v>1</v>
      </c>
      <c r="C52" s="7">
        <v>-0.28818503333333334</v>
      </c>
      <c r="D52" s="7"/>
      <c r="E52" s="7"/>
    </row>
    <row r="53" spans="1:5" x14ac:dyDescent="0.25">
      <c r="A53">
        <v>1971</v>
      </c>
      <c r="B53">
        <v>2</v>
      </c>
      <c r="C53" s="7">
        <v>0.30735063333333335</v>
      </c>
      <c r="D53" s="7"/>
      <c r="E53" s="7"/>
    </row>
    <row r="54" spans="1:5" x14ac:dyDescent="0.25">
      <c r="A54">
        <v>1971</v>
      </c>
      <c r="B54">
        <v>3</v>
      </c>
      <c r="C54" s="7">
        <v>-3.6539533333333332E-2</v>
      </c>
      <c r="D54" s="7"/>
      <c r="E54" s="7"/>
    </row>
    <row r="55" spans="1:5" x14ac:dyDescent="0.25">
      <c r="A55">
        <v>1971</v>
      </c>
      <c r="B55">
        <v>4</v>
      </c>
      <c r="C55" s="7">
        <v>-0.51233110000000004</v>
      </c>
      <c r="D55" s="7"/>
      <c r="E55" s="7"/>
    </row>
    <row r="56" spans="1:5" x14ac:dyDescent="0.25">
      <c r="A56">
        <v>1972</v>
      </c>
      <c r="B56">
        <v>1</v>
      </c>
      <c r="C56" s="7">
        <v>-4.0621733333333326E-2</v>
      </c>
      <c r="D56" s="7"/>
      <c r="E56" s="7"/>
    </row>
    <row r="57" spans="1:5" x14ac:dyDescent="0.25">
      <c r="A57">
        <v>1972</v>
      </c>
      <c r="B57">
        <v>2</v>
      </c>
      <c r="C57" s="7">
        <v>-0.12436226666666667</v>
      </c>
      <c r="D57" s="7"/>
      <c r="E57" s="7"/>
    </row>
    <row r="58" spans="1:5" x14ac:dyDescent="0.25">
      <c r="A58">
        <v>1972</v>
      </c>
      <c r="B58">
        <v>3</v>
      </c>
      <c r="C58" s="7">
        <v>0</v>
      </c>
      <c r="D58" s="7"/>
      <c r="E58" s="7"/>
    </row>
    <row r="59" spans="1:5" x14ac:dyDescent="0.25">
      <c r="A59">
        <v>1972</v>
      </c>
      <c r="B59">
        <v>4</v>
      </c>
      <c r="C59" s="7">
        <v>-3.4122333333333334E-3</v>
      </c>
      <c r="D59" s="7"/>
      <c r="E59" s="7"/>
    </row>
    <row r="60" spans="1:5" x14ac:dyDescent="0.25">
      <c r="A60">
        <v>1973</v>
      </c>
      <c r="B60">
        <v>1</v>
      </c>
      <c r="C60" s="7">
        <v>0.16854783333333334</v>
      </c>
      <c r="D60" s="7"/>
      <c r="E60" s="7"/>
    </row>
    <row r="61" spans="1:5" x14ac:dyDescent="0.25">
      <c r="A61">
        <v>1973</v>
      </c>
      <c r="B61">
        <v>2</v>
      </c>
      <c r="C61" s="7">
        <v>0.18453966666666669</v>
      </c>
      <c r="D61" s="7"/>
      <c r="E61" s="7"/>
    </row>
    <row r="62" spans="1:5" x14ac:dyDescent="0.25">
      <c r="A62">
        <v>1973</v>
      </c>
      <c r="B62">
        <v>3</v>
      </c>
      <c r="C62" s="7">
        <v>-9.1643633333333321E-2</v>
      </c>
      <c r="D62" s="7"/>
      <c r="E62" s="7"/>
    </row>
    <row r="63" spans="1:5" x14ac:dyDescent="0.25">
      <c r="A63">
        <v>1973</v>
      </c>
      <c r="B63">
        <v>4</v>
      </c>
      <c r="C63" s="7">
        <v>-0.397094</v>
      </c>
      <c r="D63" s="7"/>
      <c r="E63" s="7"/>
    </row>
    <row r="64" spans="1:5" x14ac:dyDescent="0.25">
      <c r="A64">
        <v>1974</v>
      </c>
      <c r="B64">
        <v>1</v>
      </c>
      <c r="C64" s="7">
        <v>0.25065120000000002</v>
      </c>
      <c r="D64" s="7"/>
      <c r="E64" s="7"/>
    </row>
    <row r="65" spans="1:5" x14ac:dyDescent="0.25">
      <c r="A65">
        <v>1974</v>
      </c>
      <c r="B65">
        <v>2</v>
      </c>
      <c r="C65" s="7">
        <v>0.32321996666666669</v>
      </c>
      <c r="D65" s="7"/>
      <c r="E65" s="7"/>
    </row>
    <row r="66" spans="1:5" x14ac:dyDescent="0.25">
      <c r="A66">
        <v>1974</v>
      </c>
      <c r="B66">
        <v>3</v>
      </c>
      <c r="C66" s="7">
        <v>-0.20521473333333332</v>
      </c>
      <c r="D66" s="7"/>
      <c r="E66" s="7"/>
    </row>
    <row r="67" spans="1:5" x14ac:dyDescent="0.25">
      <c r="A67">
        <v>1974</v>
      </c>
      <c r="B67">
        <v>4</v>
      </c>
      <c r="C67" s="7">
        <v>-9.1492766666666669E-2</v>
      </c>
      <c r="D67" s="7"/>
      <c r="E67" s="7"/>
    </row>
    <row r="68" spans="1:5" x14ac:dyDescent="0.25">
      <c r="A68">
        <v>1975</v>
      </c>
      <c r="B68">
        <v>1</v>
      </c>
      <c r="C68" s="7">
        <v>-0.18308706666666666</v>
      </c>
      <c r="D68" s="7"/>
      <c r="E68" s="7"/>
    </row>
    <row r="69" spans="1:5" x14ac:dyDescent="0.25">
      <c r="A69">
        <v>1975</v>
      </c>
      <c r="B69">
        <v>2</v>
      </c>
      <c r="C69" s="7">
        <v>-8.6221866666666647E-2</v>
      </c>
      <c r="D69" s="7"/>
      <c r="E69" s="7"/>
    </row>
    <row r="70" spans="1:5" x14ac:dyDescent="0.25">
      <c r="A70">
        <v>1975</v>
      </c>
      <c r="B70">
        <v>3</v>
      </c>
      <c r="C70" s="7">
        <v>-7.0292733333333343E-2</v>
      </c>
      <c r="D70" s="7"/>
      <c r="E70" s="7"/>
    </row>
    <row r="71" spans="1:5" x14ac:dyDescent="0.25">
      <c r="A71">
        <v>1975</v>
      </c>
      <c r="B71">
        <v>4</v>
      </c>
      <c r="C71" s="7">
        <v>-9.2161966666666692E-2</v>
      </c>
      <c r="D71" s="7"/>
      <c r="E71" s="7"/>
    </row>
    <row r="72" spans="1:5" x14ac:dyDescent="0.25">
      <c r="A72">
        <v>1976</v>
      </c>
      <c r="B72">
        <v>1</v>
      </c>
      <c r="C72" s="7">
        <v>-0.27568350000000003</v>
      </c>
      <c r="D72" s="7"/>
      <c r="E72" s="7"/>
    </row>
    <row r="73" spans="1:5" x14ac:dyDescent="0.25">
      <c r="A73">
        <v>1976</v>
      </c>
      <c r="B73">
        <v>2</v>
      </c>
      <c r="C73" s="7">
        <v>-4.9360899999999992E-2</v>
      </c>
      <c r="D73" s="7"/>
      <c r="E73" s="7"/>
    </row>
    <row r="74" spans="1:5" x14ac:dyDescent="0.25">
      <c r="A74">
        <v>1976</v>
      </c>
      <c r="B74">
        <v>3</v>
      </c>
      <c r="C74" s="7">
        <v>-6.7410366666666666E-2</v>
      </c>
      <c r="D74" s="7"/>
      <c r="E74" s="7"/>
    </row>
    <row r="75" spans="1:5" x14ac:dyDescent="0.25">
      <c r="A75">
        <v>1976</v>
      </c>
      <c r="B75">
        <v>4</v>
      </c>
      <c r="C75" s="7">
        <v>-6.6702266666666662E-2</v>
      </c>
      <c r="D75" s="7"/>
      <c r="E75" s="7"/>
    </row>
    <row r="76" spans="1:5" x14ac:dyDescent="0.25">
      <c r="A76">
        <v>1977</v>
      </c>
      <c r="B76">
        <v>1</v>
      </c>
      <c r="C76" s="7">
        <v>-0.16994283333333335</v>
      </c>
      <c r="D76" s="7"/>
      <c r="E76" s="7"/>
    </row>
    <row r="77" spans="1:5" x14ac:dyDescent="0.25">
      <c r="A77">
        <v>1977</v>
      </c>
      <c r="B77">
        <v>2</v>
      </c>
      <c r="C77" s="7">
        <v>-0.11015789999999999</v>
      </c>
      <c r="D77" s="7"/>
      <c r="E77" s="7"/>
    </row>
    <row r="78" spans="1:5" x14ac:dyDescent="0.25">
      <c r="A78">
        <v>1977</v>
      </c>
      <c r="B78">
        <v>3</v>
      </c>
      <c r="C78" s="7">
        <v>-7.3694066666666655E-2</v>
      </c>
      <c r="D78" s="7"/>
      <c r="E78" s="7"/>
    </row>
    <row r="79" spans="1:5" x14ac:dyDescent="0.25">
      <c r="A79">
        <v>1977</v>
      </c>
      <c r="B79">
        <v>4</v>
      </c>
      <c r="C79" s="7">
        <v>-7.2842799999999999E-2</v>
      </c>
      <c r="D79" s="7"/>
      <c r="E79" s="7"/>
    </row>
    <row r="80" spans="1:5" x14ac:dyDescent="0.25">
      <c r="A80">
        <v>1978</v>
      </c>
      <c r="B80">
        <v>1</v>
      </c>
      <c r="C80" s="7">
        <v>-5.3526566666666657E-2</v>
      </c>
      <c r="D80" s="7"/>
      <c r="E80" s="7"/>
    </row>
    <row r="81" spans="1:5" x14ac:dyDescent="0.25">
      <c r="A81">
        <v>1978</v>
      </c>
      <c r="B81">
        <v>2</v>
      </c>
      <c r="C81" s="7">
        <v>-4.4116133333333328E-2</v>
      </c>
      <c r="D81" s="7"/>
      <c r="E81" s="7"/>
    </row>
    <row r="82" spans="1:5" x14ac:dyDescent="0.25">
      <c r="A82">
        <v>1978</v>
      </c>
      <c r="B82">
        <v>3</v>
      </c>
      <c r="C82" s="7">
        <v>-0.14035823333333333</v>
      </c>
      <c r="D82" s="7"/>
      <c r="E82" s="7"/>
    </row>
    <row r="83" spans="1:5" x14ac:dyDescent="0.25">
      <c r="A83">
        <v>1978</v>
      </c>
      <c r="B83">
        <v>4</v>
      </c>
      <c r="C83" s="7">
        <v>7.0896899999999999E-2</v>
      </c>
      <c r="D83" s="7"/>
      <c r="E83" s="7"/>
    </row>
    <row r="84" spans="1:5" x14ac:dyDescent="0.25">
      <c r="A84">
        <v>1979</v>
      </c>
      <c r="B84">
        <v>1</v>
      </c>
      <c r="C84" s="7">
        <v>-3.6023433333333334E-2</v>
      </c>
      <c r="D84" s="7"/>
      <c r="E84" s="7"/>
    </row>
    <row r="85" spans="1:5" x14ac:dyDescent="0.25">
      <c r="A85">
        <v>1979</v>
      </c>
      <c r="B85">
        <v>2</v>
      </c>
      <c r="C85" s="7">
        <v>-1.1110133333333333E-2</v>
      </c>
      <c r="D85" s="7"/>
      <c r="E85" s="7"/>
    </row>
    <row r="86" spans="1:5" x14ac:dyDescent="0.25">
      <c r="A86">
        <v>1979</v>
      </c>
      <c r="B86">
        <v>3</v>
      </c>
      <c r="C86" s="7">
        <v>0.3046741</v>
      </c>
      <c r="D86" s="7"/>
      <c r="E86" s="7"/>
    </row>
    <row r="87" spans="1:5" x14ac:dyDescent="0.25">
      <c r="A87">
        <v>1979</v>
      </c>
      <c r="B87">
        <v>4</v>
      </c>
      <c r="C87" s="7">
        <v>3.4617633333333335E-2</v>
      </c>
      <c r="D87" s="7"/>
      <c r="E87" s="7"/>
    </row>
    <row r="88" spans="1:5" x14ac:dyDescent="0.25">
      <c r="A88">
        <v>1980</v>
      </c>
      <c r="B88">
        <v>1</v>
      </c>
      <c r="C88" s="7">
        <v>0.60029089999999996</v>
      </c>
      <c r="D88" s="7"/>
      <c r="E88" s="7"/>
    </row>
    <row r="89" spans="1:5" x14ac:dyDescent="0.25">
      <c r="A89">
        <v>1980</v>
      </c>
      <c r="B89">
        <v>2</v>
      </c>
      <c r="C89" s="7">
        <v>-1.3488163</v>
      </c>
      <c r="D89" s="7"/>
      <c r="E89" s="7"/>
    </row>
    <row r="90" spans="1:5" x14ac:dyDescent="0.25">
      <c r="A90">
        <v>1980</v>
      </c>
      <c r="B90">
        <v>3</v>
      </c>
      <c r="C90" s="7">
        <v>0.39278213333333339</v>
      </c>
      <c r="D90" s="7"/>
      <c r="E90" s="7"/>
    </row>
    <row r="91" spans="1:5" x14ac:dyDescent="0.25">
      <c r="A91">
        <v>1980</v>
      </c>
      <c r="B91">
        <v>4</v>
      </c>
      <c r="C91" s="7">
        <v>0.83793903333333331</v>
      </c>
      <c r="D91" s="7"/>
      <c r="E91" s="7"/>
    </row>
    <row r="92" spans="1:5" x14ac:dyDescent="0.25">
      <c r="A92">
        <v>1981</v>
      </c>
      <c r="B92">
        <v>1</v>
      </c>
      <c r="C92" s="7">
        <v>-0.14538219999999999</v>
      </c>
      <c r="D92" s="7"/>
      <c r="E92" s="7"/>
    </row>
    <row r="93" spans="1:5" x14ac:dyDescent="0.25">
      <c r="A93">
        <v>1981</v>
      </c>
      <c r="B93">
        <v>2</v>
      </c>
      <c r="C93" s="7">
        <v>0.50278266666666671</v>
      </c>
      <c r="D93" s="7"/>
      <c r="E93" s="7"/>
    </row>
    <row r="94" spans="1:5" x14ac:dyDescent="0.25">
      <c r="A94">
        <v>1981</v>
      </c>
      <c r="B94">
        <v>3</v>
      </c>
      <c r="C94" s="7">
        <v>-0.24833829999999998</v>
      </c>
      <c r="D94" s="7"/>
      <c r="E94" s="7"/>
    </row>
    <row r="95" spans="1:5" x14ac:dyDescent="0.25">
      <c r="A95">
        <v>1981</v>
      </c>
      <c r="B95">
        <v>4</v>
      </c>
      <c r="C95" s="7">
        <v>-0.28286923333333336</v>
      </c>
      <c r="D95" s="7"/>
      <c r="E95" s="7"/>
    </row>
    <row r="96" spans="1:5" x14ac:dyDescent="0.25">
      <c r="A96">
        <v>1982</v>
      </c>
      <c r="B96">
        <v>1</v>
      </c>
      <c r="C96" s="7">
        <v>0.20081693333333336</v>
      </c>
      <c r="D96" s="7"/>
      <c r="E96" s="7"/>
    </row>
    <row r="97" spans="1:5" x14ac:dyDescent="0.25">
      <c r="A97">
        <v>1982</v>
      </c>
      <c r="B97">
        <v>2</v>
      </c>
      <c r="C97" s="7">
        <v>-3.2626999999999996E-2</v>
      </c>
      <c r="D97" s="7"/>
      <c r="E97" s="7"/>
    </row>
    <row r="98" spans="1:5" x14ac:dyDescent="0.25">
      <c r="A98">
        <v>1982</v>
      </c>
      <c r="B98">
        <v>3</v>
      </c>
      <c r="C98" s="7">
        <v>-0.14732463333333334</v>
      </c>
      <c r="D98" s="7"/>
      <c r="E98" s="7"/>
    </row>
    <row r="99" spans="1:5" x14ac:dyDescent="0.25">
      <c r="A99">
        <v>1982</v>
      </c>
      <c r="B99">
        <v>4</v>
      </c>
      <c r="C99" s="7">
        <v>0.15404573333333332</v>
      </c>
      <c r="D99" s="7"/>
      <c r="E99" s="7"/>
    </row>
    <row r="100" spans="1:5" x14ac:dyDescent="0.25">
      <c r="A100">
        <v>1983</v>
      </c>
      <c r="B100">
        <v>1</v>
      </c>
      <c r="C100" s="7">
        <v>0.11608323333333333</v>
      </c>
      <c r="D100" s="7"/>
      <c r="E100" s="7"/>
    </row>
    <row r="101" spans="1:5" x14ac:dyDescent="0.25">
      <c r="A101">
        <v>1983</v>
      </c>
      <c r="B101">
        <v>2</v>
      </c>
      <c r="C101" s="7">
        <v>-1.2884366666666668E-2</v>
      </c>
      <c r="D101" s="7"/>
      <c r="E101" s="7"/>
    </row>
    <row r="102" spans="1:5" x14ac:dyDescent="0.25">
      <c r="A102">
        <v>1983</v>
      </c>
      <c r="B102">
        <v>3</v>
      </c>
      <c r="C102" s="7">
        <v>-6.9111366666666674E-2</v>
      </c>
      <c r="D102" s="7"/>
      <c r="E102" s="7"/>
    </row>
    <row r="103" spans="1:5" x14ac:dyDescent="0.25">
      <c r="A103">
        <v>1983</v>
      </c>
      <c r="B103">
        <v>4</v>
      </c>
      <c r="C103" s="7">
        <v>8.7572766666666677E-2</v>
      </c>
      <c r="D103" s="7"/>
      <c r="E103" s="7"/>
    </row>
    <row r="104" spans="1:5" x14ac:dyDescent="0.25">
      <c r="A104">
        <v>1984</v>
      </c>
      <c r="B104">
        <v>1</v>
      </c>
      <c r="C104" s="7">
        <v>4.6121866666666671E-2</v>
      </c>
      <c r="D104" s="7"/>
      <c r="E104" s="7"/>
    </row>
    <row r="105" spans="1:5" x14ac:dyDescent="0.25">
      <c r="A105">
        <v>1984</v>
      </c>
      <c r="B105">
        <v>2</v>
      </c>
      <c r="C105" s="7">
        <v>4.2103700000000001E-2</v>
      </c>
      <c r="D105" s="7"/>
      <c r="E105" s="7"/>
    </row>
    <row r="106" spans="1:5" x14ac:dyDescent="0.25">
      <c r="A106">
        <v>1984</v>
      </c>
      <c r="B106">
        <v>3</v>
      </c>
      <c r="C106" s="7">
        <v>8.9877899999999997E-2</v>
      </c>
      <c r="D106" s="7"/>
      <c r="E106" s="7"/>
    </row>
    <row r="107" spans="1:5" x14ac:dyDescent="0.25">
      <c r="A107">
        <v>1984</v>
      </c>
      <c r="B107">
        <v>4</v>
      </c>
      <c r="C107" s="7">
        <v>-0.2473756</v>
      </c>
      <c r="D107" s="7"/>
      <c r="E107" s="7"/>
    </row>
    <row r="108" spans="1:5" x14ac:dyDescent="0.25">
      <c r="A108">
        <v>1985</v>
      </c>
      <c r="B108">
        <v>1</v>
      </c>
      <c r="C108" s="7">
        <v>2.879113333333333E-2</v>
      </c>
      <c r="D108" s="7"/>
      <c r="E108" s="7"/>
    </row>
    <row r="109" spans="1:5" x14ac:dyDescent="0.25">
      <c r="A109">
        <v>1985</v>
      </c>
      <c r="B109">
        <v>2</v>
      </c>
      <c r="C109" s="7">
        <v>-4.8820499999999996E-2</v>
      </c>
      <c r="D109" s="7"/>
      <c r="E109" s="7"/>
    </row>
    <row r="110" spans="1:5" x14ac:dyDescent="0.25">
      <c r="A110">
        <v>1985</v>
      </c>
      <c r="B110">
        <v>3</v>
      </c>
      <c r="C110" s="7">
        <v>8.3586833333333332E-2</v>
      </c>
      <c r="D110" s="7"/>
      <c r="E110" s="7"/>
    </row>
    <row r="111" spans="1:5" x14ac:dyDescent="0.25">
      <c r="A111">
        <v>1985</v>
      </c>
      <c r="B111">
        <v>4</v>
      </c>
      <c r="C111" s="7">
        <v>2.4412633333333333E-2</v>
      </c>
      <c r="D111" s="7"/>
      <c r="E111" s="7"/>
    </row>
    <row r="112" spans="1:5" x14ac:dyDescent="0.25">
      <c r="A112">
        <v>1986</v>
      </c>
      <c r="B112">
        <v>1</v>
      </c>
      <c r="C112" s="7">
        <v>-3.1645666666666662E-2</v>
      </c>
      <c r="D112" s="7"/>
      <c r="E112" s="7"/>
    </row>
    <row r="113" spans="1:5" x14ac:dyDescent="0.25">
      <c r="A113">
        <v>1986</v>
      </c>
      <c r="B113">
        <v>2</v>
      </c>
      <c r="C113" s="7">
        <v>9.234106666666668E-2</v>
      </c>
      <c r="D113" s="7"/>
      <c r="E113" s="7"/>
    </row>
    <row r="114" spans="1:5" x14ac:dyDescent="0.25">
      <c r="A114">
        <v>1986</v>
      </c>
      <c r="B114">
        <v>3</v>
      </c>
      <c r="C114" s="7">
        <v>-0.1301011</v>
      </c>
      <c r="D114" s="7"/>
      <c r="E114" s="7"/>
    </row>
    <row r="115" spans="1:5" x14ac:dyDescent="0.25">
      <c r="A115">
        <v>1986</v>
      </c>
      <c r="B115">
        <v>4</v>
      </c>
      <c r="C115" s="7">
        <v>-4.938666666666665E-3</v>
      </c>
      <c r="D115" s="7"/>
      <c r="E115" s="7"/>
    </row>
    <row r="116" spans="1:5" x14ac:dyDescent="0.25">
      <c r="A116">
        <v>1987</v>
      </c>
      <c r="B116">
        <v>1</v>
      </c>
      <c r="C116" s="7">
        <v>0.14581219999999998</v>
      </c>
      <c r="D116" s="7"/>
      <c r="E116" s="7"/>
    </row>
    <row r="117" spans="1:5" x14ac:dyDescent="0.25">
      <c r="A117">
        <v>1987</v>
      </c>
      <c r="B117">
        <v>2</v>
      </c>
      <c r="C117" s="7">
        <v>8.7096566666666667E-2</v>
      </c>
      <c r="D117" s="7"/>
      <c r="E117" s="7"/>
    </row>
    <row r="118" spans="1:5" x14ac:dyDescent="0.25">
      <c r="A118">
        <v>1987</v>
      </c>
      <c r="B118">
        <v>3</v>
      </c>
      <c r="C118" s="7">
        <v>-5.8273133333333338E-2</v>
      </c>
      <c r="D118" s="7"/>
      <c r="E118" s="7"/>
    </row>
    <row r="119" spans="1:5" x14ac:dyDescent="0.25">
      <c r="A119">
        <v>1987</v>
      </c>
      <c r="B119">
        <v>4</v>
      </c>
      <c r="C119" s="7">
        <v>-6.1863933333333336E-2</v>
      </c>
      <c r="D119" s="7"/>
      <c r="E119" s="7"/>
    </row>
    <row r="120" spans="1:5" x14ac:dyDescent="0.25">
      <c r="A120">
        <v>1988</v>
      </c>
      <c r="B120">
        <v>1</v>
      </c>
      <c r="C120" s="7">
        <v>-2.9208099999999997E-2</v>
      </c>
      <c r="D120" s="7"/>
      <c r="E120" s="7"/>
    </row>
    <row r="121" spans="1:5" x14ac:dyDescent="0.25">
      <c r="A121">
        <v>1988</v>
      </c>
      <c r="B121">
        <v>2</v>
      </c>
      <c r="C121" s="7">
        <v>0.19337883333333336</v>
      </c>
      <c r="D121" s="7"/>
      <c r="E121" s="7"/>
    </row>
    <row r="122" spans="1:5" x14ac:dyDescent="0.25">
      <c r="A122">
        <v>1988</v>
      </c>
      <c r="B122">
        <v>3</v>
      </c>
      <c r="C122" s="7">
        <v>-7.0152133333333325E-2</v>
      </c>
      <c r="D122" s="7"/>
      <c r="E122" s="7"/>
    </row>
    <row r="123" spans="1:5" x14ac:dyDescent="0.25">
      <c r="A123">
        <v>1988</v>
      </c>
      <c r="B123">
        <v>4</v>
      </c>
      <c r="C123" s="7">
        <v>0.13711280000000001</v>
      </c>
      <c r="D123" s="7">
        <v>2.9336769999999999</v>
      </c>
      <c r="E123" s="7">
        <v>4.0131150000000004E-2</v>
      </c>
    </row>
    <row r="124" spans="1:5" x14ac:dyDescent="0.25">
      <c r="A124">
        <v>1989</v>
      </c>
      <c r="B124">
        <v>1</v>
      </c>
      <c r="C124" s="7">
        <v>0.10740546666666666</v>
      </c>
      <c r="D124" s="7">
        <v>-0.33056493333333331</v>
      </c>
      <c r="E124" s="7">
        <v>4.6041200000000004E-2</v>
      </c>
    </row>
    <row r="125" spans="1:5" x14ac:dyDescent="0.25">
      <c r="A125">
        <v>1989</v>
      </c>
      <c r="B125">
        <v>2</v>
      </c>
      <c r="C125" s="7">
        <v>4.6758399999999999E-2</v>
      </c>
      <c r="D125" s="7">
        <v>-7.3707800000000004E-2</v>
      </c>
      <c r="E125" s="7">
        <v>-3.1927499999999998E-2</v>
      </c>
    </row>
    <row r="126" spans="1:5" x14ac:dyDescent="0.25">
      <c r="A126">
        <v>1989</v>
      </c>
      <c r="B126">
        <v>3</v>
      </c>
      <c r="C126" s="7">
        <v>-2.1154733333333332E-2</v>
      </c>
      <c r="D126" s="7">
        <v>-0.38862993333333334</v>
      </c>
      <c r="E126" s="7">
        <v>-1.2637799999999999E-2</v>
      </c>
    </row>
    <row r="127" spans="1:5" x14ac:dyDescent="0.25">
      <c r="A127">
        <v>1989</v>
      </c>
      <c r="B127">
        <v>4</v>
      </c>
      <c r="C127" s="7">
        <v>6.8920000000000023E-3</v>
      </c>
      <c r="D127" s="7">
        <v>-0.2881186</v>
      </c>
      <c r="E127" s="7">
        <v>-0.12067806666666668</v>
      </c>
    </row>
    <row r="128" spans="1:5" x14ac:dyDescent="0.25">
      <c r="A128">
        <v>1990</v>
      </c>
      <c r="B128">
        <v>1</v>
      </c>
      <c r="C128" s="7">
        <v>8.2381833333333335E-2</v>
      </c>
      <c r="D128" s="7">
        <v>-3.9626333333333333E-2</v>
      </c>
      <c r="E128" s="7">
        <v>-3.9211933333333331E-2</v>
      </c>
    </row>
    <row r="129" spans="1:5" x14ac:dyDescent="0.25">
      <c r="A129">
        <v>1990</v>
      </c>
      <c r="B129">
        <v>2</v>
      </c>
      <c r="C129" s="7">
        <v>1.3720099999999999E-2</v>
      </c>
      <c r="D129" s="7">
        <v>6.1974700000000001E-2</v>
      </c>
      <c r="E129" s="7">
        <v>0</v>
      </c>
    </row>
    <row r="130" spans="1:5" x14ac:dyDescent="0.25">
      <c r="A130">
        <v>1990</v>
      </c>
      <c r="B130">
        <v>3</v>
      </c>
      <c r="C130" s="7">
        <v>2.3672266666666664E-2</v>
      </c>
      <c r="D130" s="7">
        <v>0.34472433333333335</v>
      </c>
      <c r="E130" s="7">
        <v>-4.5923333333333337E-2</v>
      </c>
    </row>
    <row r="131" spans="1:5" x14ac:dyDescent="0.25">
      <c r="A131">
        <v>1990</v>
      </c>
      <c r="B131">
        <v>4</v>
      </c>
      <c r="C131" s="7">
        <v>-4.1058666666666667E-2</v>
      </c>
      <c r="D131" s="7">
        <v>-0.7622960333333334</v>
      </c>
      <c r="E131" s="7">
        <v>-5.6674833333333334E-2</v>
      </c>
    </row>
    <row r="132" spans="1:5" x14ac:dyDescent="0.25">
      <c r="A132">
        <v>1991</v>
      </c>
      <c r="B132">
        <v>1</v>
      </c>
      <c r="C132" s="7">
        <v>1.0885566666666671E-2</v>
      </c>
      <c r="D132" s="7">
        <v>-0.22798776666666667</v>
      </c>
      <c r="E132" s="7">
        <v>-0.12221856666666668</v>
      </c>
    </row>
    <row r="133" spans="1:5" x14ac:dyDescent="0.25">
      <c r="A133">
        <v>1991</v>
      </c>
      <c r="B133">
        <v>2</v>
      </c>
      <c r="C133" s="7">
        <v>7.7338933333333332E-2</v>
      </c>
      <c r="D133" s="7">
        <v>2.0157866666666666E-2</v>
      </c>
      <c r="E133" s="7">
        <v>-6.1159966666666669E-2</v>
      </c>
    </row>
    <row r="134" spans="1:5" x14ac:dyDescent="0.25">
      <c r="A134">
        <v>1991</v>
      </c>
      <c r="B134">
        <v>3</v>
      </c>
      <c r="C134" s="7">
        <v>2.0048533333333337E-2</v>
      </c>
      <c r="D134" s="7">
        <v>0.32929790000000003</v>
      </c>
      <c r="E134" s="7">
        <v>-3.1254700000000003E-2</v>
      </c>
    </row>
    <row r="135" spans="1:5" x14ac:dyDescent="0.25">
      <c r="A135">
        <v>1991</v>
      </c>
      <c r="B135">
        <v>4</v>
      </c>
      <c r="C135" s="7">
        <v>-2.4102333333333331E-3</v>
      </c>
      <c r="D135" s="7">
        <v>-0.19021046666666663</v>
      </c>
      <c r="E135" s="7">
        <v>-9.4050466666666679E-2</v>
      </c>
    </row>
    <row r="136" spans="1:5" x14ac:dyDescent="0.25">
      <c r="A136">
        <v>1992</v>
      </c>
      <c r="B136">
        <v>1</v>
      </c>
      <c r="C136" s="7">
        <v>-3.7516000000000008E-3</v>
      </c>
      <c r="D136" s="7">
        <v>-9.0070600000000001E-2</v>
      </c>
      <c r="E136" s="7">
        <v>-6.1924833333333325E-2</v>
      </c>
    </row>
    <row r="137" spans="1:5" x14ac:dyDescent="0.25">
      <c r="A137">
        <v>1992</v>
      </c>
      <c r="B137">
        <v>2</v>
      </c>
      <c r="C137" s="7">
        <v>5.2175866666666661E-2</v>
      </c>
      <c r="D137" s="7">
        <v>0.35944999999999999</v>
      </c>
      <c r="E137" s="7">
        <v>-6.7979966666666669E-2</v>
      </c>
    </row>
    <row r="138" spans="1:5" x14ac:dyDescent="0.25">
      <c r="A138">
        <v>1992</v>
      </c>
      <c r="B138">
        <v>3</v>
      </c>
      <c r="C138" s="7">
        <v>-1.1364766666666666E-2</v>
      </c>
      <c r="D138" s="7">
        <v>-1.7196549333333333</v>
      </c>
      <c r="E138" s="7">
        <v>-1.9896666666666663E-2</v>
      </c>
    </row>
    <row r="139" spans="1:5" x14ac:dyDescent="0.25">
      <c r="A139">
        <v>1992</v>
      </c>
      <c r="B139">
        <v>4</v>
      </c>
      <c r="C139" s="7">
        <v>-8.7206599999999981E-2</v>
      </c>
      <c r="D139" s="7">
        <v>0.11196096666666666</v>
      </c>
      <c r="E139" s="7">
        <v>-1.2915299999999999E-2</v>
      </c>
    </row>
    <row r="140" spans="1:5" x14ac:dyDescent="0.25">
      <c r="A140">
        <v>1993</v>
      </c>
      <c r="B140">
        <v>1</v>
      </c>
      <c r="C140" s="7">
        <v>-1.1017666666666658E-3</v>
      </c>
      <c r="D140" s="7">
        <v>-2.4954166666666666E-2</v>
      </c>
      <c r="E140" s="7">
        <v>9.1619333333333337E-3</v>
      </c>
    </row>
    <row r="141" spans="1:5" x14ac:dyDescent="0.25">
      <c r="A141">
        <v>1993</v>
      </c>
      <c r="B141">
        <v>2</v>
      </c>
      <c r="C141" s="7">
        <v>0.11021783333333333</v>
      </c>
      <c r="D141" s="7">
        <v>-0.17162370000000002</v>
      </c>
      <c r="E141" s="7">
        <v>-8.6099999999999996E-3</v>
      </c>
    </row>
    <row r="142" spans="1:5" x14ac:dyDescent="0.25">
      <c r="A142">
        <v>1993</v>
      </c>
      <c r="B142">
        <v>3</v>
      </c>
      <c r="C142" s="7">
        <v>9.6039300000000008E-2</v>
      </c>
      <c r="D142" s="7">
        <v>0.12285086666666667</v>
      </c>
      <c r="E142" s="7">
        <v>8.986633333333334E-3</v>
      </c>
    </row>
    <row r="143" spans="1:5" x14ac:dyDescent="0.25">
      <c r="A143">
        <v>1993</v>
      </c>
      <c r="B143">
        <v>4</v>
      </c>
      <c r="C143" s="7">
        <v>-5.9439166666666661E-2</v>
      </c>
      <c r="D143" s="7">
        <v>4.9901966666666665E-2</v>
      </c>
      <c r="E143" s="7">
        <v>7.6933666666666664E-3</v>
      </c>
    </row>
    <row r="144" spans="1:5" x14ac:dyDescent="0.25">
      <c r="A144">
        <v>1994</v>
      </c>
      <c r="B144">
        <v>1</v>
      </c>
      <c r="C144" s="7">
        <v>0.19913126666666667</v>
      </c>
      <c r="D144" s="7">
        <v>0.40216363333333333</v>
      </c>
      <c r="E144" s="7">
        <v>5.4442266666666662E-2</v>
      </c>
    </row>
    <row r="145" spans="1:5" x14ac:dyDescent="0.25">
      <c r="A145">
        <v>1994</v>
      </c>
      <c r="B145">
        <v>2</v>
      </c>
      <c r="C145" s="7">
        <v>0.107207</v>
      </c>
      <c r="D145" s="7">
        <v>-0.36461699999999997</v>
      </c>
      <c r="E145" s="7">
        <v>8.6907733333333348E-2</v>
      </c>
    </row>
    <row r="146" spans="1:5" x14ac:dyDescent="0.25">
      <c r="A146">
        <v>1994</v>
      </c>
      <c r="B146">
        <v>3</v>
      </c>
      <c r="C146" s="7">
        <v>0.19364229999999996</v>
      </c>
      <c r="D146" s="7">
        <v>0.12381796666666667</v>
      </c>
      <c r="E146" s="7">
        <v>2.0796700000000001E-2</v>
      </c>
    </row>
    <row r="147" spans="1:5" x14ac:dyDescent="0.25">
      <c r="A147">
        <v>1994</v>
      </c>
      <c r="B147">
        <v>4</v>
      </c>
      <c r="C147" s="7">
        <v>0.12992506666666667</v>
      </c>
      <c r="D147" s="7">
        <v>0.15348626666666668</v>
      </c>
      <c r="E147" s="7">
        <v>-1.5091666666666668E-2</v>
      </c>
    </row>
    <row r="148" spans="1:5" x14ac:dyDescent="0.25">
      <c r="A148">
        <v>1995</v>
      </c>
      <c r="B148">
        <v>1</v>
      </c>
      <c r="C148" s="7">
        <v>0.25272863333333334</v>
      </c>
      <c r="D148" s="7">
        <v>0.59999576666666676</v>
      </c>
      <c r="E148" s="7">
        <v>-2.5748466666666664E-2</v>
      </c>
    </row>
    <row r="149" spans="1:5" x14ac:dyDescent="0.25">
      <c r="A149">
        <v>1995</v>
      </c>
      <c r="B149">
        <v>2</v>
      </c>
      <c r="C149" s="7">
        <v>7.4879299999999996E-2</v>
      </c>
      <c r="D149" s="7">
        <v>-8.7860033333333323E-2</v>
      </c>
      <c r="E149" s="7">
        <v>-2.8998966666666671E-3</v>
      </c>
    </row>
    <row r="150" spans="1:5" x14ac:dyDescent="0.25">
      <c r="A150">
        <v>1995</v>
      </c>
      <c r="B150">
        <v>3</v>
      </c>
      <c r="C150" s="7">
        <v>1.0570000000000001E-2</v>
      </c>
      <c r="D150" s="7">
        <v>-0.2836998</v>
      </c>
      <c r="E150" s="7">
        <v>-2.40561E-2</v>
      </c>
    </row>
    <row r="151" spans="1:5" x14ac:dyDescent="0.25">
      <c r="A151">
        <v>1995</v>
      </c>
      <c r="B151">
        <v>4</v>
      </c>
      <c r="C151" s="7">
        <v>-5.808733333333334E-3</v>
      </c>
      <c r="D151" s="7">
        <v>-0.28499836666666661</v>
      </c>
      <c r="E151" s="7">
        <v>9.028166666666667E-3</v>
      </c>
    </row>
    <row r="152" spans="1:5" x14ac:dyDescent="0.25">
      <c r="A152">
        <v>1996</v>
      </c>
      <c r="B152">
        <v>1</v>
      </c>
      <c r="C152" s="7">
        <v>4.6196333333333339E-2</v>
      </c>
      <c r="D152" s="7">
        <v>-0.35964423333333334</v>
      </c>
      <c r="E152" s="7">
        <v>-2.6856866666666663E-2</v>
      </c>
    </row>
    <row r="153" spans="1:5" x14ac:dyDescent="0.25">
      <c r="A153">
        <v>1996</v>
      </c>
      <c r="B153">
        <v>2</v>
      </c>
      <c r="C153" s="7">
        <v>2.1009333333333333E-3</v>
      </c>
      <c r="D153" s="7">
        <v>0.15055176666666667</v>
      </c>
      <c r="E153" s="7">
        <v>2.6848266666666671E-3</v>
      </c>
    </row>
    <row r="154" spans="1:5" x14ac:dyDescent="0.25">
      <c r="A154">
        <v>1996</v>
      </c>
      <c r="B154">
        <v>3</v>
      </c>
      <c r="C154" s="7">
        <v>-6.8757333333333351E-3</v>
      </c>
      <c r="D154" s="7">
        <v>-0.74878536666666662</v>
      </c>
      <c r="E154" s="7">
        <v>-4.2720000000000001E-2</v>
      </c>
    </row>
    <row r="155" spans="1:5" x14ac:dyDescent="0.25">
      <c r="A155">
        <v>1996</v>
      </c>
      <c r="B155">
        <v>4</v>
      </c>
      <c r="C155" s="7">
        <v>2.9714199999999996E-2</v>
      </c>
      <c r="D155" s="7">
        <v>0.24145646666666667</v>
      </c>
      <c r="E155" s="7">
        <v>-3.4764466666666667E-2</v>
      </c>
    </row>
    <row r="156" spans="1:5" x14ac:dyDescent="0.25">
      <c r="A156">
        <v>1997</v>
      </c>
      <c r="B156">
        <v>1</v>
      </c>
      <c r="C156" s="7">
        <v>4.082156666666667E-2</v>
      </c>
      <c r="D156" s="7">
        <v>0.35514136666666668</v>
      </c>
      <c r="E156" s="7">
        <v>-7.2580666666666668E-3</v>
      </c>
    </row>
    <row r="157" spans="1:5" x14ac:dyDescent="0.25">
      <c r="A157">
        <v>1997</v>
      </c>
      <c r="B157">
        <v>2</v>
      </c>
      <c r="C157" s="7">
        <v>3.2814166666666665E-2</v>
      </c>
      <c r="D157" s="7">
        <v>-0.38437399999999999</v>
      </c>
      <c r="E157" s="7">
        <v>-2.2560766666666666E-2</v>
      </c>
    </row>
    <row r="158" spans="1:5" x14ac:dyDescent="0.25">
      <c r="A158">
        <v>1997</v>
      </c>
      <c r="B158">
        <v>3</v>
      </c>
      <c r="C158" s="7">
        <v>-3.2153666666666671E-2</v>
      </c>
      <c r="D158" s="7">
        <v>9.8062866666666679E-2</v>
      </c>
      <c r="E158" s="7">
        <v>-7.1299733333333335E-3</v>
      </c>
    </row>
    <row r="159" spans="1:5" x14ac:dyDescent="0.25">
      <c r="A159">
        <v>1997</v>
      </c>
      <c r="B159">
        <v>4</v>
      </c>
      <c r="C159" s="7">
        <v>-2.2577866666666668E-2</v>
      </c>
      <c r="D159" s="7">
        <v>5.4727366666666666E-2</v>
      </c>
      <c r="E159" s="7">
        <v>-1.3886666666666667E-2</v>
      </c>
    </row>
    <row r="160" spans="1:5" x14ac:dyDescent="0.25">
      <c r="A160">
        <v>1998</v>
      </c>
      <c r="B160">
        <v>1</v>
      </c>
      <c r="C160" s="7">
        <v>-1.70609E-2</v>
      </c>
      <c r="D160" s="7">
        <v>6.6566666666666663E-2</v>
      </c>
      <c r="E160" s="7">
        <v>-1.0753333333333332E-4</v>
      </c>
    </row>
    <row r="161" spans="1:5" x14ac:dyDescent="0.25">
      <c r="A161">
        <v>1998</v>
      </c>
      <c r="B161">
        <v>2</v>
      </c>
      <c r="C161" s="7">
        <v>-2.2258299999999998E-2</v>
      </c>
      <c r="D161" s="7">
        <v>-3.5460200000000004E-2</v>
      </c>
      <c r="E161" s="7">
        <v>-1.1839133333333333E-2</v>
      </c>
    </row>
    <row r="162" spans="1:5" x14ac:dyDescent="0.25">
      <c r="A162">
        <v>1998</v>
      </c>
      <c r="B162">
        <v>3</v>
      </c>
      <c r="C162" s="7">
        <v>-3.5650633333333327E-2</v>
      </c>
      <c r="D162" s="7">
        <v>0.3805658666666667</v>
      </c>
      <c r="E162" s="7">
        <v>3.3678000000000002E-3</v>
      </c>
    </row>
    <row r="163" spans="1:5" x14ac:dyDescent="0.25">
      <c r="A163">
        <v>1998</v>
      </c>
      <c r="B163">
        <v>4</v>
      </c>
      <c r="C163" s="7">
        <v>-0.1031704</v>
      </c>
      <c r="D163" s="7">
        <v>-0.11733116666666667</v>
      </c>
      <c r="E163" s="7">
        <v>-8.8251099999999985E-2</v>
      </c>
    </row>
    <row r="164" spans="1:5" x14ac:dyDescent="0.25">
      <c r="A164">
        <v>1999</v>
      </c>
      <c r="B164">
        <v>1</v>
      </c>
      <c r="C164" s="7">
        <v>-8.9196533333333328E-2</v>
      </c>
      <c r="D164" s="7">
        <v>9.4560766666666671E-2</v>
      </c>
      <c r="E164" s="7">
        <v>1.6516000000000002E-3</v>
      </c>
    </row>
    <row r="165" spans="1:5" x14ac:dyDescent="0.25">
      <c r="A165">
        <v>1999</v>
      </c>
      <c r="B165">
        <v>2</v>
      </c>
      <c r="C165" s="7">
        <v>4.892549999999999E-2</v>
      </c>
      <c r="D165" s="7">
        <v>-2.9800633333333309E-2</v>
      </c>
      <c r="E165" s="7">
        <v>-7.4282333333333334E-3</v>
      </c>
    </row>
    <row r="166" spans="1:5" x14ac:dyDescent="0.25">
      <c r="A166">
        <v>1999</v>
      </c>
      <c r="B166">
        <v>3</v>
      </c>
      <c r="C166" s="7">
        <v>8.0206800000000009E-2</v>
      </c>
      <c r="D166" s="7">
        <v>0.1797417</v>
      </c>
      <c r="E166" s="7">
        <v>1.9999333333333333E-3</v>
      </c>
    </row>
    <row r="167" spans="1:5" x14ac:dyDescent="0.25">
      <c r="A167">
        <v>1999</v>
      </c>
      <c r="B167">
        <v>4</v>
      </c>
      <c r="C167" s="7">
        <v>-1.4008866666666666E-2</v>
      </c>
      <c r="D167" s="7">
        <v>0.79827169999999992</v>
      </c>
      <c r="E167" s="7">
        <v>1.2927833333333333E-2</v>
      </c>
    </row>
    <row r="168" spans="1:5" x14ac:dyDescent="0.25">
      <c r="A168">
        <v>2000</v>
      </c>
      <c r="B168">
        <v>1</v>
      </c>
      <c r="C168" s="7">
        <v>1.8641999999999988E-3</v>
      </c>
      <c r="D168" s="7">
        <v>0.13794619999999999</v>
      </c>
      <c r="E168" s="7">
        <v>-2.1854499999999999E-2</v>
      </c>
    </row>
    <row r="169" spans="1:5" x14ac:dyDescent="0.25">
      <c r="A169">
        <v>2000</v>
      </c>
      <c r="B169">
        <v>2</v>
      </c>
      <c r="C169" s="7">
        <v>0.11834466666666667</v>
      </c>
      <c r="D169" s="7">
        <v>0.21805126666666666</v>
      </c>
      <c r="E169" s="7">
        <v>2.9432666666666676E-3</v>
      </c>
    </row>
    <row r="170" spans="1:5" x14ac:dyDescent="0.25">
      <c r="A170">
        <v>2000</v>
      </c>
      <c r="B170">
        <v>3</v>
      </c>
      <c r="C170" s="7">
        <v>-2.2404999999999998E-2</v>
      </c>
      <c r="D170" s="7">
        <v>6.882163333333334E-2</v>
      </c>
      <c r="E170" s="7">
        <v>-1.3236600000000001E-2</v>
      </c>
    </row>
    <row r="171" spans="1:5" x14ac:dyDescent="0.25">
      <c r="A171">
        <v>2000</v>
      </c>
      <c r="B171">
        <v>4</v>
      </c>
      <c r="C171" s="7">
        <v>6.614823333333332E-2</v>
      </c>
      <c r="D171" s="7">
        <v>0.40578763333333329</v>
      </c>
      <c r="E171" s="7">
        <v>5.6973333333333329E-3</v>
      </c>
    </row>
    <row r="172" spans="1:5" x14ac:dyDescent="0.25">
      <c r="A172">
        <v>2001</v>
      </c>
      <c r="B172">
        <v>1</v>
      </c>
      <c r="C172" s="7">
        <v>-0.14529776666666666</v>
      </c>
      <c r="D172" s="7">
        <v>-0.47116323333333332</v>
      </c>
      <c r="E172" s="7">
        <v>-9.7755733333333331E-2</v>
      </c>
    </row>
    <row r="173" spans="1:5" x14ac:dyDescent="0.25">
      <c r="A173">
        <v>2001</v>
      </c>
      <c r="B173">
        <v>2</v>
      </c>
      <c r="C173" s="7">
        <v>-0.18173963333333334</v>
      </c>
      <c r="D173" s="7">
        <v>4.214599999999994E-2</v>
      </c>
      <c r="E173" s="7">
        <v>-0.1590616</v>
      </c>
    </row>
    <row r="174" spans="1:5" x14ac:dyDescent="0.25">
      <c r="A174">
        <v>2001</v>
      </c>
      <c r="B174">
        <v>3</v>
      </c>
      <c r="C174" s="7">
        <v>-4.2517166666666668E-2</v>
      </c>
      <c r="D174" s="7">
        <v>-0.1608308</v>
      </c>
      <c r="E174" s="7">
        <v>3.5496633333333333E-2</v>
      </c>
    </row>
    <row r="175" spans="1:5" x14ac:dyDescent="0.25">
      <c r="A175">
        <v>2001</v>
      </c>
      <c r="B175">
        <v>4</v>
      </c>
      <c r="C175" s="7">
        <v>-0.18619266666666667</v>
      </c>
      <c r="D175" s="7">
        <v>-1.4160598666666668</v>
      </c>
      <c r="E175" s="7">
        <v>-6.4223299999999997E-2</v>
      </c>
    </row>
    <row r="176" spans="1:5" x14ac:dyDescent="0.25">
      <c r="A176">
        <v>2002</v>
      </c>
      <c r="B176">
        <v>1</v>
      </c>
      <c r="C176" s="7">
        <v>-0.17057256666666665</v>
      </c>
      <c r="D176" s="7">
        <v>4.9171200000000005E-2</v>
      </c>
      <c r="E176" s="7">
        <v>3.8879666666666664E-3</v>
      </c>
    </row>
    <row r="177" spans="1:5" x14ac:dyDescent="0.25">
      <c r="A177">
        <v>2002</v>
      </c>
      <c r="B177">
        <v>2</v>
      </c>
      <c r="C177" s="7">
        <v>7.2436166666666663E-2</v>
      </c>
      <c r="D177" s="7">
        <v>-0.5680510333333334</v>
      </c>
      <c r="E177" s="7">
        <v>-2.8512999999999998E-3</v>
      </c>
    </row>
    <row r="178" spans="1:5" x14ac:dyDescent="0.25">
      <c r="A178">
        <v>2002</v>
      </c>
      <c r="B178">
        <v>3</v>
      </c>
      <c r="C178" s="7">
        <v>4.1905266666666663E-2</v>
      </c>
      <c r="D178" s="7">
        <v>-0.18799566666666667</v>
      </c>
      <c r="E178" s="7">
        <v>1.5908866666666667E-2</v>
      </c>
    </row>
    <row r="179" spans="1:5" x14ac:dyDescent="0.25">
      <c r="A179">
        <v>2002</v>
      </c>
      <c r="B179">
        <v>4</v>
      </c>
      <c r="C179" s="7">
        <v>-8.8588933333333328E-2</v>
      </c>
      <c r="D179" s="7">
        <v>-0.58794519999999995</v>
      </c>
      <c r="E179" s="7">
        <v>-6.1555533333333336E-2</v>
      </c>
    </row>
    <row r="180" spans="1:5" x14ac:dyDescent="0.25">
      <c r="A180">
        <v>2003</v>
      </c>
      <c r="B180">
        <v>1</v>
      </c>
      <c r="C180" s="7">
        <v>1.27247E-2</v>
      </c>
      <c r="D180" s="7">
        <v>0.2648524333333333</v>
      </c>
      <c r="E180" s="7">
        <v>6.920633333333333E-3</v>
      </c>
    </row>
    <row r="181" spans="1:5" x14ac:dyDescent="0.25">
      <c r="A181">
        <v>2003</v>
      </c>
      <c r="B181">
        <v>2</v>
      </c>
      <c r="C181" s="7">
        <v>-7.3467900000000003E-2</v>
      </c>
      <c r="D181" s="7">
        <v>0.61258299999999999</v>
      </c>
      <c r="E181" s="7">
        <v>2.5755966666666668E-2</v>
      </c>
    </row>
    <row r="182" spans="1:5" x14ac:dyDescent="0.25">
      <c r="A182">
        <v>2003</v>
      </c>
      <c r="B182">
        <v>3</v>
      </c>
      <c r="C182" s="7">
        <v>-8.8190766666666656E-2</v>
      </c>
      <c r="D182" s="7">
        <v>7.3728299999999997E-2</v>
      </c>
      <c r="E182" s="7">
        <v>3.7786733333333329E-2</v>
      </c>
    </row>
    <row r="183" spans="1:5" x14ac:dyDescent="0.25">
      <c r="A183">
        <v>2003</v>
      </c>
      <c r="B183">
        <v>4</v>
      </c>
      <c r="C183" s="7">
        <v>-0.14163513333333333</v>
      </c>
      <c r="D183" s="7">
        <v>0.10953766666666666</v>
      </c>
      <c r="E183" s="7">
        <v>1.1999999999999973E-4</v>
      </c>
    </row>
    <row r="184" spans="1:5" x14ac:dyDescent="0.25">
      <c r="A184">
        <v>2004</v>
      </c>
      <c r="B184">
        <v>1</v>
      </c>
      <c r="C184" s="7">
        <v>-9.8501333333333354E-3</v>
      </c>
      <c r="D184" s="7">
        <v>0.18971689999999999</v>
      </c>
      <c r="E184" s="7">
        <v>1.6666333333333336E-3</v>
      </c>
    </row>
    <row r="185" spans="1:5" x14ac:dyDescent="0.25">
      <c r="A185">
        <v>2004</v>
      </c>
      <c r="B185">
        <v>2</v>
      </c>
      <c r="C185" s="7">
        <v>1.1468399999999998E-2</v>
      </c>
      <c r="D185" s="7">
        <v>-0.21391199999999999</v>
      </c>
      <c r="E185" s="7">
        <v>-3.8821666666666661E-3</v>
      </c>
    </row>
    <row r="186" spans="1:5" x14ac:dyDescent="0.25">
      <c r="A186">
        <v>2004</v>
      </c>
      <c r="B186">
        <v>3</v>
      </c>
      <c r="C186" s="7">
        <v>0.14358990000000002</v>
      </c>
      <c r="D186" s="7">
        <v>0.47975296666666667</v>
      </c>
      <c r="E186" s="7">
        <v>8.4883333333333338E-4</v>
      </c>
    </row>
    <row r="187" spans="1:5" x14ac:dyDescent="0.25">
      <c r="A187">
        <v>2004</v>
      </c>
      <c r="B187">
        <v>4</v>
      </c>
      <c r="C187" s="7">
        <v>0.15986863333333332</v>
      </c>
      <c r="D187" s="7">
        <v>0.16385973333333334</v>
      </c>
      <c r="E187" s="7">
        <v>-4.2670666666666671E-3</v>
      </c>
    </row>
    <row r="188" spans="1:5" x14ac:dyDescent="0.25">
      <c r="A188">
        <v>2005</v>
      </c>
      <c r="B188">
        <v>1</v>
      </c>
      <c r="C188" s="7">
        <v>5.9258066666666664E-2</v>
      </c>
      <c r="D188" s="7">
        <v>0.28521023333333334</v>
      </c>
      <c r="E188" s="7">
        <v>-1.2762666666666666E-3</v>
      </c>
    </row>
    <row r="189" spans="1:5" x14ac:dyDescent="0.25">
      <c r="A189">
        <v>2005</v>
      </c>
      <c r="B189">
        <v>2</v>
      </c>
      <c r="C189" s="7">
        <v>0.17989413333333334</v>
      </c>
      <c r="D189" s="7">
        <v>0.2831924666666667</v>
      </c>
      <c r="E189" s="7">
        <v>-1.8988333333333333E-3</v>
      </c>
    </row>
    <row r="190" spans="1:5" x14ac:dyDescent="0.25">
      <c r="A190">
        <v>2005</v>
      </c>
      <c r="B190">
        <v>3</v>
      </c>
      <c r="C190" s="7">
        <v>0.10363903333333334</v>
      </c>
      <c r="D190" s="7">
        <v>0.47750336666666665</v>
      </c>
      <c r="E190" s="7">
        <v>1.5388000000000005E-3</v>
      </c>
    </row>
    <row r="191" spans="1:5" x14ac:dyDescent="0.25">
      <c r="A191">
        <v>2005</v>
      </c>
      <c r="B191">
        <v>4</v>
      </c>
      <c r="C191" s="7">
        <v>9.049723333333333E-2</v>
      </c>
      <c r="D191" s="7">
        <v>0.11979723333333335</v>
      </c>
      <c r="E191" s="7">
        <v>6.0142666666666671E-3</v>
      </c>
    </row>
    <row r="192" spans="1:5" x14ac:dyDescent="0.25">
      <c r="A192">
        <v>2006</v>
      </c>
      <c r="B192">
        <v>1</v>
      </c>
      <c r="C192" s="7">
        <v>7.4050933333333332E-2</v>
      </c>
      <c r="D192" s="7">
        <v>0.36177566666666666</v>
      </c>
      <c r="E192" s="7">
        <v>5.557666666666665E-4</v>
      </c>
    </row>
    <row r="193" spans="1:5" x14ac:dyDescent="0.25">
      <c r="A193">
        <v>2006</v>
      </c>
      <c r="B193">
        <v>2</v>
      </c>
      <c r="C193" s="7">
        <v>0.2037981666666667</v>
      </c>
      <c r="D193" s="7">
        <v>-0.15837929999999997</v>
      </c>
      <c r="E193" s="7">
        <v>-3.3329999999999997E-4</v>
      </c>
    </row>
    <row r="194" spans="1:5" x14ac:dyDescent="0.25">
      <c r="A194">
        <v>2006</v>
      </c>
      <c r="B194">
        <v>3</v>
      </c>
      <c r="C194" s="7">
        <v>4.0715666666666671E-2</v>
      </c>
      <c r="D194" s="7">
        <v>-7.1052000000000004E-2</v>
      </c>
      <c r="E194" s="7">
        <v>-2.2225466666666666E-2</v>
      </c>
    </row>
    <row r="195" spans="1:5" x14ac:dyDescent="0.25">
      <c r="A195">
        <v>2006</v>
      </c>
      <c r="B195">
        <v>4</v>
      </c>
      <c r="C195" s="7">
        <v>-4.790933333333333E-3</v>
      </c>
      <c r="D195" s="7">
        <v>2.0595233333333334E-2</v>
      </c>
      <c r="E195" s="7">
        <v>-4.831233333333333E-3</v>
      </c>
    </row>
    <row r="196" spans="1:5" x14ac:dyDescent="0.25">
      <c r="A196">
        <v>2007</v>
      </c>
      <c r="B196">
        <v>1</v>
      </c>
      <c r="C196" s="7">
        <v>2.9791999999999996E-2</v>
      </c>
      <c r="D196" s="7">
        <v>-2.8520066666666666E-2</v>
      </c>
      <c r="E196" s="7">
        <v>-1.6666999999999999E-3</v>
      </c>
    </row>
    <row r="197" spans="1:5" x14ac:dyDescent="0.25">
      <c r="A197">
        <v>2007</v>
      </c>
      <c r="B197">
        <v>2</v>
      </c>
      <c r="C197" s="7">
        <v>-2.8210733333333335E-2</v>
      </c>
      <c r="D197" s="7">
        <v>0.21181176666666665</v>
      </c>
      <c r="E197" s="7">
        <v>-2.3465666666666668E-3</v>
      </c>
    </row>
    <row r="198" spans="1:5" x14ac:dyDescent="0.25">
      <c r="A198">
        <v>2007</v>
      </c>
      <c r="B198">
        <v>3</v>
      </c>
      <c r="C198" s="7">
        <v>-0.19021613333333331</v>
      </c>
      <c r="D198" s="7">
        <v>-0.52999666666666667</v>
      </c>
      <c r="E198" s="7">
        <v>-2.6735533333333335E-2</v>
      </c>
    </row>
    <row r="199" spans="1:5" x14ac:dyDescent="0.25">
      <c r="A199">
        <v>2007</v>
      </c>
      <c r="B199">
        <v>4</v>
      </c>
      <c r="C199" s="7">
        <v>-0.12707216666666668</v>
      </c>
      <c r="D199" s="7">
        <v>0.38876863333333334</v>
      </c>
      <c r="E199" s="7">
        <v>-3.9105599999999997E-2</v>
      </c>
    </row>
    <row r="200" spans="1:5" x14ac:dyDescent="0.25">
      <c r="A200">
        <v>2008</v>
      </c>
      <c r="B200">
        <v>1</v>
      </c>
      <c r="C200" s="7"/>
      <c r="D200" s="7">
        <v>0.77291299999999996</v>
      </c>
      <c r="E200" s="7">
        <v>-0.1756424</v>
      </c>
    </row>
    <row r="201" spans="1:5" x14ac:dyDescent="0.25">
      <c r="A201">
        <v>2008</v>
      </c>
      <c r="B201">
        <v>2</v>
      </c>
      <c r="C201" s="7"/>
      <c r="D201" s="7">
        <v>-0.4169216</v>
      </c>
      <c r="E201" s="7">
        <v>-4.8964999999999989E-3</v>
      </c>
    </row>
    <row r="202" spans="1:5" x14ac:dyDescent="0.25">
      <c r="A202">
        <v>2008</v>
      </c>
      <c r="B202">
        <v>3</v>
      </c>
      <c r="C202" s="7"/>
      <c r="D202" s="7"/>
      <c r="E202" s="7">
        <v>1.4194966666666664E-2</v>
      </c>
    </row>
    <row r="203" spans="1:5" x14ac:dyDescent="0.25">
      <c r="A203">
        <v>2008</v>
      </c>
      <c r="B203">
        <v>4</v>
      </c>
      <c r="C203" s="7"/>
      <c r="D203" s="7"/>
      <c r="E203" s="7">
        <v>-6.1801133333333334E-2</v>
      </c>
    </row>
    <row r="204" spans="1:5" x14ac:dyDescent="0.25">
      <c r="A204">
        <v>2009</v>
      </c>
      <c r="B204">
        <v>1</v>
      </c>
      <c r="C204" s="7"/>
      <c r="D204" s="7"/>
      <c r="E204" s="7">
        <v>-2.41672E-2</v>
      </c>
    </row>
    <row r="205" spans="1:5" x14ac:dyDescent="0.25">
      <c r="A205">
        <v>2009</v>
      </c>
      <c r="B205">
        <v>2</v>
      </c>
      <c r="C205" s="7"/>
      <c r="D205" s="7"/>
      <c r="E205" s="7">
        <v>1.6666999999999999E-3</v>
      </c>
    </row>
    <row r="206" spans="1:5" x14ac:dyDescent="0.25">
      <c r="A206">
        <v>2009</v>
      </c>
      <c r="B206">
        <v>3</v>
      </c>
      <c r="C206" s="7"/>
      <c r="D206" s="7"/>
      <c r="E206" s="7">
        <v>-4.4440000000000001E-4</v>
      </c>
    </row>
    <row r="207" spans="1:5" x14ac:dyDescent="0.25">
      <c r="A207">
        <v>2009</v>
      </c>
      <c r="B207">
        <v>4</v>
      </c>
      <c r="C207" s="7"/>
      <c r="D207" s="7"/>
      <c r="E207" s="7">
        <v>-8.4789666666666656E-3</v>
      </c>
    </row>
    <row r="208" spans="1:5" x14ac:dyDescent="0.25">
      <c r="A208">
        <v>2010</v>
      </c>
      <c r="B208">
        <v>1</v>
      </c>
      <c r="C208" s="7"/>
      <c r="D208" s="7"/>
      <c r="E208" s="7">
        <v>-7.5561333333333336E-3</v>
      </c>
    </row>
    <row r="209" spans="1:5" x14ac:dyDescent="0.25">
      <c r="A209">
        <v>2010</v>
      </c>
      <c r="B209">
        <v>2</v>
      </c>
      <c r="C209" s="7"/>
      <c r="D209" s="7"/>
      <c r="E209" s="7">
        <v>-3.8943333333333322E-4</v>
      </c>
    </row>
    <row r="210" spans="1:5" x14ac:dyDescent="0.25">
      <c r="A210">
        <v>2010</v>
      </c>
      <c r="B210">
        <v>3</v>
      </c>
      <c r="C210" s="7"/>
      <c r="D210" s="7"/>
      <c r="E210" s="7">
        <v>2.452233333333333E-3</v>
      </c>
    </row>
    <row r="211" spans="1:5" x14ac:dyDescent="0.25">
      <c r="A211">
        <v>2010</v>
      </c>
      <c r="B211">
        <v>4</v>
      </c>
      <c r="C211" s="7"/>
      <c r="D211" s="7"/>
      <c r="E211" s="7">
        <v>2.7766333333333333E-3</v>
      </c>
    </row>
    <row r="212" spans="1:5" x14ac:dyDescent="0.25">
      <c r="A212">
        <v>2011</v>
      </c>
      <c r="B212">
        <v>1</v>
      </c>
      <c r="C212" s="7"/>
      <c r="D212" s="7"/>
      <c r="E212" s="7">
        <v>-1.6665333333333334E-3</v>
      </c>
    </row>
    <row r="213" spans="1:5" x14ac:dyDescent="0.25">
      <c r="A213">
        <v>2011</v>
      </c>
      <c r="B213">
        <v>2</v>
      </c>
      <c r="C213" s="7"/>
      <c r="D213" s="7"/>
      <c r="E213" s="7">
        <v>0</v>
      </c>
    </row>
    <row r="214" spans="1:5" x14ac:dyDescent="0.25">
      <c r="A214">
        <v>2011</v>
      </c>
      <c r="B214">
        <v>3</v>
      </c>
      <c r="C214" s="7"/>
      <c r="D214" s="7"/>
      <c r="E214" s="7">
        <v>-1.4200333333333334E-3</v>
      </c>
    </row>
    <row r="215" spans="1:5" x14ac:dyDescent="0.25">
      <c r="A215">
        <v>2011</v>
      </c>
      <c r="B215">
        <v>4</v>
      </c>
      <c r="C215" s="7"/>
      <c r="D215" s="7"/>
      <c r="E215" s="7">
        <v>2.7338666666666665E-3</v>
      </c>
    </row>
    <row r="216" spans="1:5" x14ac:dyDescent="0.25">
      <c r="A216">
        <v>2012</v>
      </c>
      <c r="B216">
        <v>1</v>
      </c>
      <c r="C216" s="7"/>
      <c r="D216" s="7"/>
      <c r="E216" s="7">
        <v>-1.1105666666666666E-3</v>
      </c>
    </row>
    <row r="217" spans="1:5" x14ac:dyDescent="0.25">
      <c r="A217">
        <v>2012</v>
      </c>
      <c r="B217">
        <v>2</v>
      </c>
      <c r="C217" s="7"/>
      <c r="D217" s="7"/>
      <c r="E217" s="7">
        <v>9.1790000000000003E-4</v>
      </c>
    </row>
    <row r="218" spans="1:5" x14ac:dyDescent="0.25">
      <c r="A218">
        <v>2012</v>
      </c>
      <c r="B218">
        <v>3</v>
      </c>
      <c r="C218" s="7"/>
      <c r="D218" s="7"/>
      <c r="E218" s="7"/>
    </row>
    <row r="219" spans="1:5" x14ac:dyDescent="0.25">
      <c r="A219">
        <v>2012</v>
      </c>
      <c r="B219">
        <v>4</v>
      </c>
      <c r="C219" s="7"/>
      <c r="D219" s="7"/>
      <c r="E219" s="7"/>
    </row>
    <row r="220" spans="1:5" x14ac:dyDescent="0.25">
      <c r="A220">
        <v>2013</v>
      </c>
      <c r="B220">
        <v>1</v>
      </c>
      <c r="C220" s="7"/>
      <c r="D220" s="7"/>
      <c r="E220" s="7"/>
    </row>
    <row r="221" spans="1:5" x14ac:dyDescent="0.25">
      <c r="A221">
        <v>2013</v>
      </c>
      <c r="B221">
        <v>2</v>
      </c>
      <c r="C221" s="7"/>
      <c r="D221" s="7"/>
      <c r="E221" s="7"/>
    </row>
    <row r="222" spans="1:5" x14ac:dyDescent="0.25">
      <c r="A222">
        <v>2013</v>
      </c>
      <c r="B222">
        <v>3</v>
      </c>
      <c r="C222" s="7"/>
      <c r="D222" s="7"/>
      <c r="E222" s="7"/>
    </row>
    <row r="223" spans="1:5" x14ac:dyDescent="0.25">
      <c r="A223">
        <v>2013</v>
      </c>
      <c r="B223">
        <v>4</v>
      </c>
      <c r="C223" s="7"/>
      <c r="D223" s="7"/>
      <c r="E223" s="7"/>
    </row>
    <row r="224" spans="1:5" x14ac:dyDescent="0.25">
      <c r="A224">
        <v>2014</v>
      </c>
      <c r="B224">
        <v>1</v>
      </c>
      <c r="C224" s="7"/>
      <c r="D224" s="7"/>
      <c r="E224" s="7"/>
    </row>
    <row r="225" spans="1:5" x14ac:dyDescent="0.25">
      <c r="A225">
        <v>2014</v>
      </c>
      <c r="B225">
        <v>2</v>
      </c>
      <c r="C225" s="7"/>
      <c r="D225" s="7"/>
      <c r="E225" s="7"/>
    </row>
    <row r="226" spans="1:5" x14ac:dyDescent="0.25">
      <c r="A226">
        <v>2014</v>
      </c>
      <c r="B226">
        <v>3</v>
      </c>
      <c r="C226" s="7"/>
      <c r="D226" s="7"/>
      <c r="E226" s="7"/>
    </row>
    <row r="227" spans="1:5" x14ac:dyDescent="0.25">
      <c r="A227">
        <v>2014</v>
      </c>
      <c r="B227">
        <v>4</v>
      </c>
      <c r="C227" s="7"/>
      <c r="D227" s="7"/>
      <c r="E227" s="7"/>
    </row>
    <row r="228" spans="1:5" x14ac:dyDescent="0.25">
      <c r="A228">
        <v>2015</v>
      </c>
      <c r="B228">
        <v>1</v>
      </c>
      <c r="C228" s="7"/>
      <c r="D228" s="7"/>
      <c r="E228" s="7"/>
    </row>
    <row r="229" spans="1:5" x14ac:dyDescent="0.25">
      <c r="A229">
        <v>2015</v>
      </c>
      <c r="B229">
        <v>2</v>
      </c>
      <c r="C229" s="7"/>
      <c r="D229" s="7"/>
      <c r="E229" s="7"/>
    </row>
    <row r="230" spans="1:5" x14ac:dyDescent="0.25">
      <c r="A230">
        <v>2015</v>
      </c>
      <c r="B230">
        <v>3</v>
      </c>
      <c r="C230" s="7"/>
      <c r="D230" s="7"/>
      <c r="E230" s="7"/>
    </row>
    <row r="231" spans="1:5" x14ac:dyDescent="0.25">
      <c r="A231">
        <v>2015</v>
      </c>
      <c r="B231">
        <v>4</v>
      </c>
      <c r="C231" s="7"/>
      <c r="D231" s="7"/>
      <c r="E231" s="7"/>
    </row>
    <row r="232" spans="1:5" x14ac:dyDescent="0.25">
      <c r="A232" t="s">
        <v>111</v>
      </c>
      <c r="C232" s="7">
        <v>4.2918454448453634E-10</v>
      </c>
      <c r="D232" s="7">
        <v>1.7021276674185967E-9</v>
      </c>
      <c r="E232" s="7">
        <v>-1.5549458204225357E-2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F0F6-8B1B-47F2-9C91-FFA7AFA22CA1}">
  <dimension ref="A1:AT685"/>
  <sheetViews>
    <sheetView topLeftCell="F1" workbookViewId="0">
      <selection activeCell="S1" sqref="S1"/>
    </sheetView>
  </sheetViews>
  <sheetFormatPr baseColWidth="10" defaultColWidth="9.140625" defaultRowHeight="15" x14ac:dyDescent="0.25"/>
  <cols>
    <col min="2" max="2" width="9.5703125" bestFit="1" customWidth="1"/>
    <col min="3" max="5" width="9.5703125" customWidth="1"/>
    <col min="6" max="14" width="10.42578125" customWidth="1"/>
    <col min="15" max="16" width="13.5703125" customWidth="1"/>
    <col min="18" max="18" width="15.5703125" customWidth="1"/>
    <col min="28" max="29" width="13.7109375" customWidth="1"/>
    <col min="30" max="33" width="9.42578125" customWidth="1"/>
    <col min="34" max="36" width="11" customWidth="1"/>
  </cols>
  <sheetData>
    <row r="1" spans="1:46" x14ac:dyDescent="0.25">
      <c r="A1" t="s">
        <v>71</v>
      </c>
      <c r="B1" t="s">
        <v>0</v>
      </c>
      <c r="C1" t="s">
        <v>108</v>
      </c>
      <c r="D1" t="s">
        <v>109</v>
      </c>
      <c r="E1" t="s">
        <v>110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tr">
        <f xml:space="preserve"> [1]Factors!B1</f>
        <v>factor1</v>
      </c>
      <c r="AQ1" t="str">
        <f xml:space="preserve"> [1]Factors!C1</f>
        <v>factor2</v>
      </c>
      <c r="AR1" t="str">
        <f xml:space="preserve"> [1]Factors!D1</f>
        <v>factor3</v>
      </c>
      <c r="AS1" t="str">
        <f xml:space="preserve"> [1]Factors!E1</f>
        <v>factor4</v>
      </c>
      <c r="AT1" t="str">
        <f xml:space="preserve"> [1]Factors!F1</f>
        <v>factor5</v>
      </c>
    </row>
    <row r="2" spans="1:46" x14ac:dyDescent="0.25">
      <c r="A2">
        <v>1959</v>
      </c>
      <c r="B2" s="1">
        <v>21551</v>
      </c>
      <c r="C2" s="7">
        <f>YEAR(B2)</f>
        <v>1959</v>
      </c>
      <c r="D2" s="7">
        <f>MONTH(B2)</f>
        <v>1</v>
      </c>
      <c r="E2" s="7">
        <f>ROUNDUP(D2/3,0)</f>
        <v>1</v>
      </c>
      <c r="F2">
        <f xml:space="preserve"> [1]Coibion_update!O8</f>
        <v>3.1236284430920382</v>
      </c>
      <c r="G2">
        <f xml:space="preserve"> [1]Coibion_update!P8</f>
        <v>6</v>
      </c>
      <c r="H2">
        <f xml:space="preserve"> [1]Coibion_update!Q8</f>
        <v>3.3676405981333128</v>
      </c>
      <c r="I2">
        <f xml:space="preserve"> [1]Coibion_update!W8</f>
        <v>2.48</v>
      </c>
      <c r="J2">
        <f xml:space="preserve"> [1]Coibion_update!X8</f>
        <v>4.6074675450367746</v>
      </c>
      <c r="K2">
        <f xml:space="preserve"> [1]Coibion_update!Y8</f>
        <v>2.027490136047736</v>
      </c>
      <c r="L2">
        <f xml:space="preserve"> [1]Coibion_update!Z8</f>
        <v>3.3653283785812445</v>
      </c>
      <c r="M2">
        <f xml:space="preserve"> [1]Coibion_update!AA8</f>
        <v>2.8482758040861156</v>
      </c>
      <c r="X2" s="5">
        <f xml:space="preserve"> [1]misc!N85</f>
        <v>3.36</v>
      </c>
      <c r="AK2" s="5">
        <v>2.5</v>
      </c>
      <c r="AL2">
        <f xml:space="preserve"> LN([1]misc!B21)</f>
        <v>4.9337542497602982</v>
      </c>
      <c r="AM2">
        <f xml:space="preserve"> LN([1]misc!D21)</f>
        <v>5.6580875153940715</v>
      </c>
      <c r="AN2">
        <f xml:space="preserve"> LN([1]misc!G126)</f>
        <v>2.9385797420496824</v>
      </c>
      <c r="AO2">
        <f xml:space="preserve"> LN([1]misc!J32 + [1]misc!L32)</f>
        <v>2.3570732782781154</v>
      </c>
    </row>
    <row r="3" spans="1:46" x14ac:dyDescent="0.25">
      <c r="A3">
        <f xml:space="preserve"> A2 + 1/12</f>
        <v>1959.0833333333333</v>
      </c>
      <c r="B3" s="1">
        <v>21582</v>
      </c>
      <c r="C3" s="7">
        <f t="shared" ref="C3:C66" si="0">YEAR(B3)</f>
        <v>1959</v>
      </c>
      <c r="D3" s="7">
        <f t="shared" ref="D3:D66" si="1">MONTH(B3)</f>
        <v>2</v>
      </c>
      <c r="E3" s="7">
        <f t="shared" ref="E3:E66" si="2">ROUNDUP(D3/3,0)</f>
        <v>1</v>
      </c>
      <c r="F3">
        <f xml:space="preserve"> [1]Coibion_update!O9</f>
        <v>3.1430223301760165</v>
      </c>
      <c r="G3">
        <f xml:space="preserve"> [1]Coibion_update!P9</f>
        <v>5.9</v>
      </c>
      <c r="H3">
        <f xml:space="preserve"> [1]Coibion_update!Q9</f>
        <v>3.3672958299864741</v>
      </c>
      <c r="I3">
        <f xml:space="preserve"> [1]Coibion_update!W9</f>
        <v>2.4300000000000002</v>
      </c>
      <c r="J3">
        <f xml:space="preserve"> [1]Coibion_update!X9</f>
        <v>4.5984476402272643</v>
      </c>
      <c r="K3">
        <f xml:space="preserve"> [1]Coibion_update!Y9</f>
        <v>2.0711573220921382</v>
      </c>
      <c r="L3">
        <f xml:space="preserve"> [1]Coibion_update!Z9</f>
        <v>3.3670889120287057</v>
      </c>
      <c r="M3">
        <f xml:space="preserve"> [1]Coibion_update!AA9</f>
        <v>2.8560678264260164</v>
      </c>
      <c r="X3" s="5">
        <f xml:space="preserve"> [1]misc!N86</f>
        <v>3.54</v>
      </c>
      <c r="AK3" s="5">
        <v>2.5</v>
      </c>
      <c r="AL3">
        <f xml:space="preserve"> LN([1]misc!B22)</f>
        <v>4.9373474983264236</v>
      </c>
      <c r="AM3">
        <f xml:space="preserve"> LN([1]misc!D22)</f>
        <v>5.6619182705575026</v>
      </c>
      <c r="AN3">
        <f xml:space="preserve"> LN([1]misc!G127)</f>
        <v>2.9215473753646144</v>
      </c>
      <c r="AO3">
        <f xml:space="preserve"> LN([1]misc!J33 + [1]misc!L33)</f>
        <v>2.3631155927340779</v>
      </c>
    </row>
    <row r="4" spans="1:46" x14ac:dyDescent="0.25">
      <c r="A4">
        <f t="shared" ref="A4:A67" si="3" xml:space="preserve"> A3 + 1/12</f>
        <v>1959.1666666666665</v>
      </c>
      <c r="B4" s="1">
        <v>21610</v>
      </c>
      <c r="C4" s="7">
        <f t="shared" si="0"/>
        <v>1959</v>
      </c>
      <c r="D4" s="7">
        <f t="shared" si="1"/>
        <v>3</v>
      </c>
      <c r="E4" s="7">
        <f t="shared" si="2"/>
        <v>1</v>
      </c>
      <c r="F4">
        <f xml:space="preserve"> [1]Coibion_update!O10</f>
        <v>3.1573237731215484</v>
      </c>
      <c r="G4">
        <f xml:space="preserve"> [1]Coibion_update!P10</f>
        <v>5.6</v>
      </c>
      <c r="H4">
        <f xml:space="preserve"> [1]Coibion_update!Q10</f>
        <v>3.3662608117812591</v>
      </c>
      <c r="I4">
        <f xml:space="preserve"> [1]Coibion_update!W10</f>
        <v>2.8</v>
      </c>
      <c r="J4">
        <f xml:space="preserve"> [1]Coibion_update!X10</f>
        <v>4.6165056956518367</v>
      </c>
      <c r="K4">
        <f xml:space="preserve"> [1]Coibion_update!Y10</f>
        <v>2.0753080103982291</v>
      </c>
      <c r="L4">
        <f xml:space="preserve"> [1]Coibion_update!Z10</f>
        <v>3.3862190984814422</v>
      </c>
      <c r="M4">
        <f xml:space="preserve"> [1]Coibion_update!AA10</f>
        <v>2.8584796801276142</v>
      </c>
      <c r="X4" s="5">
        <f xml:space="preserve"> [1]misc!N87</f>
        <v>3.61</v>
      </c>
      <c r="AK4" s="5">
        <v>3</v>
      </c>
      <c r="AL4">
        <f xml:space="preserve"> LN([1]misc!B23)</f>
        <v>4.939497266262916</v>
      </c>
      <c r="AM4">
        <f xml:space="preserve"> LN([1]misc!D23)</f>
        <v>5.6671184902846097</v>
      </c>
      <c r="AN4">
        <f xml:space="preserve"> LN([1]misc!G128)</f>
        <v>2.9140340295694855</v>
      </c>
      <c r="AO4">
        <f xml:space="preserve"> LN([1]misc!J34 + [1]misc!L34)</f>
        <v>2.3496595003799743</v>
      </c>
    </row>
    <row r="5" spans="1:46" x14ac:dyDescent="0.25">
      <c r="A5">
        <f t="shared" si="3"/>
        <v>1959.2499999999998</v>
      </c>
      <c r="B5" s="1">
        <v>21641</v>
      </c>
      <c r="C5" s="7">
        <f t="shared" si="0"/>
        <v>1959</v>
      </c>
      <c r="D5" s="7">
        <f t="shared" si="1"/>
        <v>4</v>
      </c>
      <c r="E5" s="7">
        <f t="shared" si="2"/>
        <v>2</v>
      </c>
      <c r="F5">
        <f xml:space="preserve"> [1]Coibion_update!O11</f>
        <v>3.1784037691122338</v>
      </c>
      <c r="G5">
        <f xml:space="preserve"> [1]Coibion_update!P11</f>
        <v>5.2</v>
      </c>
      <c r="H5">
        <f xml:space="preserve"> [1]Coibion_update!Q11</f>
        <v>3.3666059368925363</v>
      </c>
      <c r="I5">
        <f xml:space="preserve"> [1]Coibion_update!W11</f>
        <v>2.96</v>
      </c>
      <c r="J5">
        <f xml:space="preserve"> [1]Coibion_update!X11</f>
        <v>4.6306429819611221</v>
      </c>
      <c r="K5">
        <f xml:space="preserve"> [1]Coibion_update!Y11</f>
        <v>2.0881534822818573</v>
      </c>
      <c r="L5">
        <f xml:space="preserve"> [1]Coibion_update!Z11</f>
        <v>3.3690184832979204</v>
      </c>
      <c r="M5">
        <f xml:space="preserve"> [1]Coibion_update!AA11</f>
        <v>2.8618008009081284</v>
      </c>
      <c r="X5" s="5">
        <f xml:space="preserve"> [1]misc!N88</f>
        <v>3.72</v>
      </c>
      <c r="AK5" s="5">
        <v>3</v>
      </c>
      <c r="AL5">
        <f xml:space="preserve"> LN([1]misc!B24)</f>
        <v>4.939497266262916</v>
      </c>
      <c r="AM5">
        <f xml:space="preserve"> LN([1]misc!D24)</f>
        <v>5.6702256911273583</v>
      </c>
      <c r="AN5">
        <f xml:space="preserve"> LN([1]misc!G129)</f>
        <v>2.9273463606875261</v>
      </c>
      <c r="AO5">
        <f xml:space="preserve"> LN([1]misc!J35 + [1]misc!L35)</f>
        <v>2.3441108398225441</v>
      </c>
    </row>
    <row r="6" spans="1:46" x14ac:dyDescent="0.25">
      <c r="A6">
        <f t="shared" si="3"/>
        <v>1959.333333333333</v>
      </c>
      <c r="B6" s="1">
        <v>21671</v>
      </c>
      <c r="C6" s="7">
        <f t="shared" si="0"/>
        <v>1959</v>
      </c>
      <c r="D6" s="7">
        <f t="shared" si="1"/>
        <v>5</v>
      </c>
      <c r="E6" s="7">
        <f t="shared" si="2"/>
        <v>2</v>
      </c>
      <c r="F6">
        <f xml:space="preserve"> [1]Coibion_update!O12</f>
        <v>3.1933569710345227</v>
      </c>
      <c r="G6">
        <f xml:space="preserve"> [1]Coibion_update!P12</f>
        <v>5.0999999999999996</v>
      </c>
      <c r="H6">
        <f xml:space="preserve"> [1]Coibion_update!Q12</f>
        <v>3.3686741899565953</v>
      </c>
      <c r="I6">
        <f xml:space="preserve"> [1]Coibion_update!W12</f>
        <v>2.9</v>
      </c>
      <c r="J6">
        <f xml:space="preserve"> [1]Coibion_update!X12</f>
        <v>4.6408268631961258</v>
      </c>
      <c r="K6">
        <f xml:space="preserve"> [1]Coibion_update!Y12</f>
        <v>2.0929745559624204</v>
      </c>
      <c r="L6">
        <f xml:space="preserve"> [1]Coibion_update!Z12</f>
        <v>3.3886861077250838</v>
      </c>
      <c r="M6">
        <f xml:space="preserve"> [1]Coibion_update!AA12</f>
        <v>2.8692048670822325</v>
      </c>
      <c r="X6" s="5">
        <f xml:space="preserve"> [1]misc!N89</f>
        <v>3.96</v>
      </c>
      <c r="AK6" s="5">
        <v>3.25</v>
      </c>
      <c r="AL6">
        <f xml:space="preserve"> LN([1]misc!B25)</f>
        <v>4.9466299641203433</v>
      </c>
      <c r="AM6">
        <f xml:space="preserve"> LN([1]misc!D25)</f>
        <v>5.6774384993165992</v>
      </c>
      <c r="AN6">
        <f xml:space="preserve"> LN([1]misc!G130)</f>
        <v>2.9205775999532304</v>
      </c>
      <c r="AO6">
        <f xml:space="preserve"> LN([1]misc!J36 + [1]misc!L36)</f>
        <v>2.3337930201182391</v>
      </c>
    </row>
    <row r="7" spans="1:46" x14ac:dyDescent="0.25">
      <c r="A7">
        <f t="shared" si="3"/>
        <v>1959.4166666666663</v>
      </c>
      <c r="B7" s="1">
        <v>21702</v>
      </c>
      <c r="C7" s="7">
        <f t="shared" si="0"/>
        <v>1959</v>
      </c>
      <c r="D7" s="7">
        <f t="shared" si="1"/>
        <v>6</v>
      </c>
      <c r="E7" s="7">
        <f t="shared" si="2"/>
        <v>2</v>
      </c>
      <c r="F7">
        <f xml:space="preserve"> [1]Coibion_update!O13</f>
        <v>3.1944970630215317</v>
      </c>
      <c r="G7">
        <f xml:space="preserve"> [1]Coibion_update!P13</f>
        <v>5</v>
      </c>
      <c r="H7">
        <f xml:space="preserve"> [1]Coibion_update!Q13</f>
        <v>3.371081757757532</v>
      </c>
      <c r="I7">
        <f xml:space="preserve"> [1]Coibion_update!W13</f>
        <v>3.39</v>
      </c>
      <c r="J7">
        <f xml:space="preserve"> [1]Coibion_update!X13</f>
        <v>4.6382180400342916</v>
      </c>
      <c r="K7">
        <f xml:space="preserve"> [1]Coibion_update!Y13</f>
        <v>2.1043780269698673</v>
      </c>
      <c r="L7">
        <f xml:space="preserve"> [1]Coibion_update!Z13</f>
        <v>3.3857114241267077</v>
      </c>
      <c r="M7">
        <f xml:space="preserve"> [1]Coibion_update!AA13</f>
        <v>2.876272833516663</v>
      </c>
      <c r="X7" s="5">
        <f xml:space="preserve"> [1]misc!N90</f>
        <v>4.07</v>
      </c>
      <c r="AK7" s="5">
        <v>3</v>
      </c>
      <c r="AL7">
        <f xml:space="preserve"> LN([1]misc!B26)</f>
        <v>4.9501773250591414</v>
      </c>
      <c r="AM7">
        <f xml:space="preserve"> LN([1]misc!D26)</f>
        <v>5.6839198455599496</v>
      </c>
      <c r="AN7">
        <f xml:space="preserve"> LN([1]misc!G131)</f>
        <v>2.9152811491563639</v>
      </c>
      <c r="AO7">
        <f xml:space="preserve"> LN([1]misc!J37 + [1]misc!L37)</f>
        <v>2.3068758744112019</v>
      </c>
    </row>
    <row r="8" spans="1:46" x14ac:dyDescent="0.25">
      <c r="A8">
        <f t="shared" si="3"/>
        <v>1959.4999999999995</v>
      </c>
      <c r="B8" s="1">
        <v>21732</v>
      </c>
      <c r="C8" s="7">
        <f t="shared" si="0"/>
        <v>1959</v>
      </c>
      <c r="D8" s="7">
        <f t="shared" si="1"/>
        <v>7</v>
      </c>
      <c r="E8" s="7">
        <f t="shared" si="2"/>
        <v>3</v>
      </c>
      <c r="F8">
        <f xml:space="preserve"> [1]Coibion_update!O14</f>
        <v>3.1702568460457212</v>
      </c>
      <c r="G8">
        <f xml:space="preserve"> [1]Coibion_update!P14</f>
        <v>5.0999999999999996</v>
      </c>
      <c r="H8">
        <f xml:space="preserve"> [1]Coibion_update!Q14</f>
        <v>3.3724549127965013</v>
      </c>
      <c r="I8">
        <f xml:space="preserve"> [1]Coibion_update!W14</f>
        <v>3.47</v>
      </c>
      <c r="J8">
        <f xml:space="preserve"> [1]Coibion_update!X14</f>
        <v>4.6233047561835736</v>
      </c>
      <c r="K8">
        <f xml:space="preserve"> [1]Coibion_update!Y14</f>
        <v>2.0916171176099696</v>
      </c>
      <c r="L8">
        <f xml:space="preserve"> [1]Coibion_update!Z14</f>
        <v>3.38017801443808</v>
      </c>
      <c r="M8">
        <f xml:space="preserve"> [1]Coibion_update!AA14</f>
        <v>2.8777929756893044</v>
      </c>
      <c r="X8" s="5">
        <f xml:space="preserve"> [1]misc!N91</f>
        <v>4.3899999999999997</v>
      </c>
      <c r="AK8" s="5">
        <v>3.5</v>
      </c>
      <c r="AL8">
        <f xml:space="preserve"> LN([1]misc!B27)</f>
        <v>4.9537121466966347</v>
      </c>
      <c r="AM8">
        <f xml:space="preserve"> LN([1]misc!D27)</f>
        <v>5.6876530927263174</v>
      </c>
      <c r="AN8">
        <f xml:space="preserve"> LN([1]misc!G132)</f>
        <v>2.9276140194777005</v>
      </c>
      <c r="AO8">
        <f xml:space="preserve"> LN([1]misc!J38 + [1]misc!L38)</f>
        <v>2.3172766417370356</v>
      </c>
    </row>
    <row r="9" spans="1:46" x14ac:dyDescent="0.25">
      <c r="A9">
        <f t="shared" si="3"/>
        <v>1959.5833333333328</v>
      </c>
      <c r="B9" s="1">
        <v>21763</v>
      </c>
      <c r="C9" s="7">
        <f t="shared" si="0"/>
        <v>1959</v>
      </c>
      <c r="D9" s="7">
        <f t="shared" si="1"/>
        <v>8</v>
      </c>
      <c r="E9" s="7">
        <f t="shared" si="2"/>
        <v>3</v>
      </c>
      <c r="F9">
        <f xml:space="preserve"> [1]Coibion_update!O15</f>
        <v>3.1357941709381478</v>
      </c>
      <c r="G9">
        <f xml:space="preserve"> [1]Coibion_update!P15</f>
        <v>5.2</v>
      </c>
      <c r="H9">
        <f xml:space="preserve"> [1]Coibion_update!Q15</f>
        <v>3.3734835430946397</v>
      </c>
      <c r="I9">
        <f xml:space="preserve"> [1]Coibion_update!W15</f>
        <v>3.5</v>
      </c>
      <c r="J9">
        <f xml:space="preserve"> [1]Coibion_update!X15</f>
        <v>4.6239919402286791</v>
      </c>
      <c r="K9">
        <f xml:space="preserve"> [1]Coibion_update!Y15</f>
        <v>2.1133597598832967</v>
      </c>
      <c r="L9">
        <f xml:space="preserve"> [1]Coibion_update!Z15</f>
        <v>3.3827957724816029</v>
      </c>
      <c r="M9">
        <f xml:space="preserve"> [1]Coibion_update!AA15</f>
        <v>2.8817793934779599</v>
      </c>
      <c r="X9" s="5">
        <f xml:space="preserve"> [1]misc!N92</f>
        <v>4.42</v>
      </c>
      <c r="AK9" s="5">
        <v>3.5</v>
      </c>
      <c r="AL9">
        <f xml:space="preserve"> LN([1]misc!B28)</f>
        <v>4.9551225841659967</v>
      </c>
      <c r="AM9">
        <f xml:space="preserve"> LN([1]misc!D28)</f>
        <v>5.6917098934219315</v>
      </c>
      <c r="AN9">
        <f xml:space="preserve"> LN([1]misc!G133)</f>
        <v>2.9226775926480801</v>
      </c>
      <c r="AO9">
        <f xml:space="preserve"> LN([1]misc!J39 + [1]misc!L39)</f>
        <v>2.3201302722097945</v>
      </c>
    </row>
    <row r="10" spans="1:46" x14ac:dyDescent="0.25">
      <c r="A10">
        <f t="shared" si="3"/>
        <v>1959.6666666666661</v>
      </c>
      <c r="B10" s="1">
        <v>21794</v>
      </c>
      <c r="C10" s="7">
        <f t="shared" si="0"/>
        <v>1959</v>
      </c>
      <c r="D10" s="7">
        <f t="shared" si="1"/>
        <v>9</v>
      </c>
      <c r="E10" s="7">
        <f t="shared" si="2"/>
        <v>3</v>
      </c>
      <c r="F10">
        <f xml:space="preserve"> [1]Coibion_update!O16</f>
        <v>3.1345851071627995</v>
      </c>
      <c r="G10">
        <f xml:space="preserve"> [1]Coibion_update!P16</f>
        <v>5.5</v>
      </c>
      <c r="H10">
        <f xml:space="preserve"> [1]Coibion_update!Q16</f>
        <v>3.3758795736778655</v>
      </c>
      <c r="I10">
        <f xml:space="preserve"> [1]Coibion_update!W16</f>
        <v>3.76</v>
      </c>
      <c r="J10">
        <f xml:space="preserve"> [1]Coibion_update!X16</f>
        <v>4.6228136211606863</v>
      </c>
      <c r="K10">
        <f xml:space="preserve"> [1]Coibion_update!Y16</f>
        <v>2.1377104498038118</v>
      </c>
      <c r="L10">
        <f xml:space="preserve"> [1]Coibion_update!Z16</f>
        <v>3.3919884425768454</v>
      </c>
      <c r="M10">
        <f xml:space="preserve"> [1]Coibion_update!AA16</f>
        <v>2.8879243209196859</v>
      </c>
      <c r="X10" s="5">
        <f xml:space="preserve"> [1]misc!N93</f>
        <v>5</v>
      </c>
      <c r="AK10" s="5">
        <v>3</v>
      </c>
      <c r="AL10">
        <f xml:space="preserve"> LN([1]misc!B29)</f>
        <v>4.9487598903781684</v>
      </c>
      <c r="AM10">
        <f xml:space="preserve"> LN([1]misc!D29)</f>
        <v>5.6927215272967757</v>
      </c>
      <c r="AN10">
        <f xml:space="preserve"> LN([1]misc!G134)</f>
        <v>2.9243436774663381</v>
      </c>
      <c r="AO10">
        <f xml:space="preserve"> LN([1]misc!J40 + [1]misc!L40)</f>
        <v>2.3225837795007349</v>
      </c>
    </row>
    <row r="11" spans="1:46" x14ac:dyDescent="0.25">
      <c r="A11">
        <f t="shared" si="3"/>
        <v>1959.7499999999993</v>
      </c>
      <c r="B11" s="1">
        <v>21824</v>
      </c>
      <c r="C11" s="7">
        <f t="shared" si="0"/>
        <v>1959</v>
      </c>
      <c r="D11" s="7">
        <f t="shared" si="1"/>
        <v>10</v>
      </c>
      <c r="E11" s="7">
        <f t="shared" si="2"/>
        <v>4</v>
      </c>
      <c r="F11">
        <f xml:space="preserve"> [1]Coibion_update!O17</f>
        <v>3.1272954805713078</v>
      </c>
      <c r="G11">
        <f xml:space="preserve"> [1]Coibion_update!P17</f>
        <v>5.7</v>
      </c>
      <c r="H11">
        <f xml:space="preserve"> [1]Coibion_update!Q17</f>
        <v>3.3792925462741055</v>
      </c>
      <c r="I11">
        <f xml:space="preserve"> [1]Coibion_update!W17</f>
        <v>3.98</v>
      </c>
      <c r="J11">
        <f xml:space="preserve"> [1]Coibion_update!X17</f>
        <v>4.6166045636137545</v>
      </c>
      <c r="K11">
        <f xml:space="preserve"> [1]Coibion_update!Y17</f>
        <v>2.0815642870608144</v>
      </c>
      <c r="L11">
        <f xml:space="preserve"> [1]Coibion_update!Z17</f>
        <v>3.3923584329949512</v>
      </c>
      <c r="M11">
        <f xml:space="preserve"> [1]Coibion_update!AA17</f>
        <v>2.8900939415309939</v>
      </c>
      <c r="X11" s="5">
        <f xml:space="preserve"> [1]misc!N94</f>
        <v>4.8</v>
      </c>
      <c r="AK11" s="5">
        <v>4</v>
      </c>
      <c r="AL11">
        <f xml:space="preserve"> LN([1]misc!B30)</f>
        <v>4.9452074887738009</v>
      </c>
      <c r="AM11">
        <f xml:space="preserve"> LN([1]misc!D30)</f>
        <v>5.6920472184377804</v>
      </c>
      <c r="AN11">
        <f xml:space="preserve"> LN([1]misc!G135)</f>
        <v>2.9235378540055041</v>
      </c>
      <c r="AO11">
        <f xml:space="preserve"> LN([1]misc!J41 + [1]misc!L41)</f>
        <v>2.3174737054877963</v>
      </c>
    </row>
    <row r="12" spans="1:46" x14ac:dyDescent="0.25">
      <c r="A12">
        <f t="shared" si="3"/>
        <v>1959.8333333333326</v>
      </c>
      <c r="B12" s="1">
        <v>21855</v>
      </c>
      <c r="C12" s="7">
        <f t="shared" si="0"/>
        <v>1959</v>
      </c>
      <c r="D12" s="7">
        <f t="shared" si="1"/>
        <v>11</v>
      </c>
      <c r="E12" s="7">
        <f t="shared" si="2"/>
        <v>4</v>
      </c>
      <c r="F12">
        <f xml:space="preserve"> [1]Coibion_update!O18</f>
        <v>3.1333745797824677</v>
      </c>
      <c r="G12">
        <f xml:space="preserve"> [1]Coibion_update!P18</f>
        <v>5.8</v>
      </c>
      <c r="H12">
        <f xml:space="preserve"> [1]Coibion_update!Q18</f>
        <v>3.3792925462741055</v>
      </c>
      <c r="I12">
        <f xml:space="preserve"> [1]Coibion_update!W18</f>
        <v>4</v>
      </c>
      <c r="J12">
        <f xml:space="preserve"> [1]Coibion_update!X18</f>
        <v>4.6124436699545894</v>
      </c>
      <c r="K12">
        <f xml:space="preserve"> [1]Coibion_update!Y18</f>
        <v>2.0789414166381537</v>
      </c>
      <c r="L12">
        <f xml:space="preserve"> [1]Coibion_update!Z18</f>
        <v>3.3879770434913006</v>
      </c>
      <c r="M12">
        <f xml:space="preserve"> [1]Coibion_update!AA18</f>
        <v>2.8937549174415267</v>
      </c>
      <c r="X12" s="5">
        <f xml:space="preserve"> [1]misc!N95</f>
        <v>4.8099999999999996</v>
      </c>
      <c r="AK12" s="5">
        <v>4</v>
      </c>
      <c r="AL12">
        <f xml:space="preserve"> LN([1]misc!B31)</f>
        <v>4.9444954915917112</v>
      </c>
      <c r="AM12">
        <f xml:space="preserve"> LN([1]misc!D31)</f>
        <v>5.6940687824685616</v>
      </c>
      <c r="AN12">
        <f xml:space="preserve"> LN([1]misc!G136)</f>
        <v>2.9238065339824022</v>
      </c>
      <c r="AO12">
        <f xml:space="preserve"> LN([1]misc!J42 + [1]misc!L42)</f>
        <v>2.3217993119178502</v>
      </c>
    </row>
    <row r="13" spans="1:46" x14ac:dyDescent="0.25">
      <c r="A13">
        <f t="shared" si="3"/>
        <v>1959.9166666666658</v>
      </c>
      <c r="B13" s="1">
        <v>21885</v>
      </c>
      <c r="C13" s="7">
        <f t="shared" si="0"/>
        <v>1959</v>
      </c>
      <c r="D13" s="7">
        <f t="shared" si="1"/>
        <v>12</v>
      </c>
      <c r="E13" s="7">
        <f t="shared" si="2"/>
        <v>4</v>
      </c>
      <c r="F13">
        <f xml:space="preserve"> [1]Coibion_update!O19</f>
        <v>3.193352867637115</v>
      </c>
      <c r="G13">
        <f xml:space="preserve"> [1]Coibion_update!P19</f>
        <v>5.3</v>
      </c>
      <c r="H13">
        <f xml:space="preserve"> [1]Coibion_update!Q19</f>
        <v>3.3813347525659037</v>
      </c>
      <c r="I13">
        <f xml:space="preserve"> [1]Coibion_update!W19</f>
        <v>3.99</v>
      </c>
      <c r="J13">
        <f xml:space="preserve"> [1]Coibion_update!X19</f>
        <v>4.5914768588560886</v>
      </c>
      <c r="K13">
        <f xml:space="preserve"> [1]Coibion_update!Y19</f>
        <v>2.0349670515780063</v>
      </c>
      <c r="L13">
        <f xml:space="preserve"> [1]Coibion_update!Z19</f>
        <v>3.393165209964891</v>
      </c>
      <c r="M13">
        <f xml:space="preserve"> [1]Coibion_update!AA19</f>
        <v>2.8996618048032574</v>
      </c>
      <c r="X13" s="5">
        <f xml:space="preserve"> [1]misc!N96</f>
        <v>5.14</v>
      </c>
      <c r="AK13" s="5">
        <v>4</v>
      </c>
      <c r="AL13">
        <f xml:space="preserve"> LN([1]misc!B32)</f>
        <v>4.9409278816714357</v>
      </c>
      <c r="AM13">
        <f xml:space="preserve"> LN([1]misc!D32)</f>
        <v>5.6964221202499088</v>
      </c>
      <c r="AN13">
        <f xml:space="preserve"> LN([1]misc!G137)</f>
        <v>2.926382195419198</v>
      </c>
      <c r="AO13">
        <f xml:space="preserve"> LN([1]misc!J43 + [1]misc!L43)</f>
        <v>2.3192455338871527</v>
      </c>
    </row>
    <row r="14" spans="1:46" x14ac:dyDescent="0.25">
      <c r="A14">
        <f t="shared" si="3"/>
        <v>1959.9999999999991</v>
      </c>
      <c r="B14" s="1">
        <v>21916</v>
      </c>
      <c r="C14" s="7">
        <f t="shared" si="0"/>
        <v>1960</v>
      </c>
      <c r="D14" s="7">
        <f t="shared" si="1"/>
        <v>1</v>
      </c>
      <c r="E14" s="7">
        <f t="shared" si="2"/>
        <v>1</v>
      </c>
      <c r="F14">
        <f xml:space="preserve"> [1]Coibion_update!O20</f>
        <v>3.2192717464808944</v>
      </c>
      <c r="G14">
        <f xml:space="preserve"> [1]Coibion_update!P20</f>
        <v>5.2</v>
      </c>
      <c r="H14">
        <f xml:space="preserve"> [1]Coibion_update!Q20</f>
        <v>3.379973745210529</v>
      </c>
      <c r="I14">
        <f xml:space="preserve"> [1]Coibion_update!W20</f>
        <v>3.99</v>
      </c>
      <c r="J14">
        <f xml:space="preserve"> [1]Coibion_update!X20</f>
        <v>4.6001576441645469</v>
      </c>
      <c r="K14">
        <f xml:space="preserve"> [1]Coibion_update!Y20</f>
        <v>2.046918349974276</v>
      </c>
      <c r="L14">
        <f xml:space="preserve"> [1]Coibion_update!Z20</f>
        <v>3.3943741563140297</v>
      </c>
      <c r="M14">
        <f xml:space="preserve"> [1]Coibion_update!AA20</f>
        <v>2.90109186939987</v>
      </c>
      <c r="X14" s="5">
        <f xml:space="preserve"> [1]misc!N97</f>
        <v>5.03</v>
      </c>
      <c r="AK14">
        <v>4</v>
      </c>
      <c r="AL14">
        <f xml:space="preserve"> LN([1]misc!B33)</f>
        <v>4.9416424226093039</v>
      </c>
      <c r="AM14">
        <f xml:space="preserve"> LN([1]misc!D33)</f>
        <v>5.6977644023306384</v>
      </c>
      <c r="AN14">
        <f xml:space="preserve"> LN([1]misc!G138)</f>
        <v>2.9197687347469521</v>
      </c>
      <c r="AO14">
        <f xml:space="preserve"> LN([1]misc!J44 + [1]misc!L44)</f>
        <v>2.3217993119178502</v>
      </c>
      <c r="AP14">
        <f xml:space="preserve"> [1]Factors!B14</f>
        <v>-1.54164889</v>
      </c>
      <c r="AQ14">
        <f xml:space="preserve"> [1]Factors!C14</f>
        <v>-0.61924410600000002</v>
      </c>
      <c r="AR14">
        <f xml:space="preserve"> [1]Factors!D14</f>
        <v>2.02958705E-2</v>
      </c>
      <c r="AS14">
        <f xml:space="preserve"> [1]Factors!E14</f>
        <v>0.33460619800000002</v>
      </c>
      <c r="AT14">
        <f xml:space="preserve"> [1]Factors!F14</f>
        <v>-0.85964739099999998</v>
      </c>
    </row>
    <row r="15" spans="1:46" x14ac:dyDescent="0.25">
      <c r="A15">
        <f t="shared" si="3"/>
        <v>1960.0833333333323</v>
      </c>
      <c r="B15" s="1">
        <v>21947</v>
      </c>
      <c r="C15" s="7">
        <f t="shared" si="0"/>
        <v>1960</v>
      </c>
      <c r="D15" s="7">
        <f t="shared" si="1"/>
        <v>2</v>
      </c>
      <c r="E15" s="7">
        <f t="shared" si="2"/>
        <v>1</v>
      </c>
      <c r="F15">
        <f xml:space="preserve"> [1]Coibion_update!O21</f>
        <v>3.2103314252304078</v>
      </c>
      <c r="G15">
        <f xml:space="preserve"> [1]Coibion_update!P21</f>
        <v>4.8</v>
      </c>
      <c r="H15">
        <f xml:space="preserve"> [1]Coibion_update!Q21</f>
        <v>3.3813347525659037</v>
      </c>
      <c r="I15">
        <f xml:space="preserve"> [1]Coibion_update!W21</f>
        <v>3.97</v>
      </c>
      <c r="J15">
        <f xml:space="preserve"> [1]Coibion_update!X21</f>
        <v>4.595927604621159</v>
      </c>
      <c r="K15">
        <f xml:space="preserve"> [1]Coibion_update!Y21</f>
        <v>2.1019366195072067</v>
      </c>
      <c r="L15">
        <f xml:space="preserve"> [1]Coibion_update!Z21</f>
        <v>3.3846614130220556</v>
      </c>
      <c r="M15">
        <f xml:space="preserve"> [1]Coibion_update!AA21</f>
        <v>2.9026296552916668</v>
      </c>
      <c r="X15" s="5">
        <f xml:space="preserve"> [1]misc!N98</f>
        <v>4.66</v>
      </c>
      <c r="AK15">
        <v>4</v>
      </c>
      <c r="AL15">
        <f xml:space="preserve"> LN([1]misc!B34)</f>
        <v>4.9409278816714357</v>
      </c>
      <c r="AM15">
        <f xml:space="preserve"> LN([1]misc!D34)</f>
        <v>5.6987699328326569</v>
      </c>
      <c r="AN15">
        <f xml:space="preserve"> LN([1]misc!G139)</f>
        <v>2.8874229700471394</v>
      </c>
      <c r="AO15">
        <f xml:space="preserve"> LN([1]misc!J45 + [1]misc!L45)</f>
        <v>2.3099578473234588</v>
      </c>
      <c r="AP15">
        <f xml:space="preserve"> [1]Factors!B15</f>
        <v>-0.56619133499999996</v>
      </c>
      <c r="AQ15">
        <f xml:space="preserve"> [1]Factors!C15</f>
        <v>-0.50352681700000002</v>
      </c>
      <c r="AR15">
        <f xml:space="preserve"> [1]Factors!D15</f>
        <v>4.0776932199999998E-2</v>
      </c>
      <c r="AS15">
        <f xml:space="preserve"> [1]Factors!E15</f>
        <v>0.121646104</v>
      </c>
      <c r="AT15">
        <f xml:space="preserve"> [1]Factors!F15</f>
        <v>-0.38079897400000001</v>
      </c>
    </row>
    <row r="16" spans="1:46" x14ac:dyDescent="0.25">
      <c r="A16">
        <f t="shared" si="3"/>
        <v>1960.1666666666656</v>
      </c>
      <c r="B16" s="1">
        <v>21976</v>
      </c>
      <c r="C16" s="7">
        <f t="shared" si="0"/>
        <v>1960</v>
      </c>
      <c r="D16" s="7">
        <f t="shared" si="1"/>
        <v>3</v>
      </c>
      <c r="E16" s="7">
        <f t="shared" si="2"/>
        <v>1</v>
      </c>
      <c r="F16">
        <f xml:space="preserve"> [1]Coibion_update!O22</f>
        <v>3.2013145239224978</v>
      </c>
      <c r="G16">
        <f xml:space="preserve"> [1]Coibion_update!P22</f>
        <v>5.4</v>
      </c>
      <c r="H16">
        <f xml:space="preserve"> [1]Coibion_update!Q22</f>
        <v>3.3813347525659037</v>
      </c>
      <c r="I16">
        <f xml:space="preserve"> [1]Coibion_update!W22</f>
        <v>3.84</v>
      </c>
      <c r="J16">
        <f xml:space="preserve"> [1]Coibion_update!X22</f>
        <v>4.5943114426532157</v>
      </c>
      <c r="K16">
        <f xml:space="preserve"> [1]Coibion_update!Y22</f>
        <v>2.1401838036352219</v>
      </c>
      <c r="L16">
        <f xml:space="preserve"> [1]Coibion_update!Z22</f>
        <v>3.4018971367764288</v>
      </c>
      <c r="M16">
        <f xml:space="preserve"> [1]Coibion_update!AA22</f>
        <v>2.9066277984711704</v>
      </c>
      <c r="X16" s="5">
        <f xml:space="preserve"> [1]misc!N99</f>
        <v>4.0199999999999996</v>
      </c>
      <c r="AK16">
        <v>4</v>
      </c>
      <c r="AL16">
        <f xml:space="preserve"> LN([1]misc!B35)</f>
        <v>4.9402128297997097</v>
      </c>
      <c r="AM16">
        <f xml:space="preserve"> LN([1]misc!D35)</f>
        <v>5.7017804719855283</v>
      </c>
      <c r="AN16">
        <f xml:space="preserve"> LN([1]misc!G140)</f>
        <v>2.8778492328972742</v>
      </c>
      <c r="AO16">
        <f xml:space="preserve"> LN([1]misc!J46 + [1]misc!L46)</f>
        <v>2.3179661950323478</v>
      </c>
      <c r="AP16">
        <f xml:space="preserve"> [1]Factors!B16</f>
        <v>2.8076665600000002E-2</v>
      </c>
      <c r="AQ16">
        <f xml:space="preserve"> [1]Factors!C16</f>
        <v>-2.4815307799999999E-2</v>
      </c>
      <c r="AR16">
        <f xml:space="preserve"> [1]Factors!D16</f>
        <v>-0.28939312299999997</v>
      </c>
      <c r="AS16">
        <f xml:space="preserve"> [1]Factors!E16</f>
        <v>-0.11281864699999999</v>
      </c>
      <c r="AT16">
        <f xml:space="preserve"> [1]Factors!F16</f>
        <v>0.26074059500000002</v>
      </c>
    </row>
    <row r="17" spans="1:46" x14ac:dyDescent="0.25">
      <c r="A17">
        <f t="shared" si="3"/>
        <v>1960.2499999999989</v>
      </c>
      <c r="B17" s="1">
        <v>22007</v>
      </c>
      <c r="C17" s="7">
        <f t="shared" si="0"/>
        <v>1960</v>
      </c>
      <c r="D17" s="7">
        <f t="shared" si="1"/>
        <v>4</v>
      </c>
      <c r="E17" s="7">
        <f t="shared" si="2"/>
        <v>2</v>
      </c>
      <c r="F17">
        <f xml:space="preserve"> [1]Coibion_update!O23</f>
        <v>3.1933569710345227</v>
      </c>
      <c r="G17">
        <f xml:space="preserve"> [1]Coibion_update!P23</f>
        <v>5.2</v>
      </c>
      <c r="H17">
        <f xml:space="preserve"> [1]Coibion_update!Q23</f>
        <v>3.3857452771032337</v>
      </c>
      <c r="I17">
        <f xml:space="preserve"> [1]Coibion_update!W23</f>
        <v>3.92</v>
      </c>
      <c r="J17">
        <f xml:space="preserve"> [1]Coibion_update!X23</f>
        <v>4.6146253447588466</v>
      </c>
      <c r="K17">
        <f xml:space="preserve"> [1]Coibion_update!Y23</f>
        <v>2.174751721484161</v>
      </c>
      <c r="L17">
        <f xml:space="preserve"> [1]Coibion_update!Z23</f>
        <v>3.4202153874979171</v>
      </c>
      <c r="M17">
        <f xml:space="preserve"> [1]Coibion_update!AA23</f>
        <v>2.9133827405369659</v>
      </c>
      <c r="X17" s="5">
        <f xml:space="preserve"> [1]misc!N100</f>
        <v>4.04</v>
      </c>
      <c r="AK17">
        <v>4</v>
      </c>
      <c r="AL17">
        <f xml:space="preserve"> LN([1]misc!B36)</f>
        <v>4.9387811903282719</v>
      </c>
      <c r="AM17">
        <f xml:space="preserve"> LN([1]misc!D36)</f>
        <v>5.7041157524463211</v>
      </c>
      <c r="AN17">
        <f xml:space="preserve"> LN([1]misc!G141)</f>
        <v>2.8827875145378568</v>
      </c>
      <c r="AO17">
        <f xml:space="preserve"> LN([1]misc!J47 + [1]misc!L47)</f>
        <v>2.3185568625037445</v>
      </c>
      <c r="AP17">
        <f xml:space="preserve"> [1]Factors!B17</f>
        <v>0.66389187900000002</v>
      </c>
      <c r="AQ17">
        <f xml:space="preserve"> [1]Factors!C17</f>
        <v>6.8996946599999998E-2</v>
      </c>
      <c r="AR17">
        <f xml:space="preserve"> [1]Factors!D17</f>
        <v>-0.18809216000000001</v>
      </c>
      <c r="AS17">
        <f xml:space="preserve"> [1]Factors!E17</f>
        <v>-0.113908856</v>
      </c>
      <c r="AT17">
        <f xml:space="preserve"> [1]Factors!F17</f>
        <v>6.9975656799999994E-2</v>
      </c>
    </row>
    <row r="18" spans="1:46" x14ac:dyDescent="0.25">
      <c r="A18">
        <f t="shared" si="3"/>
        <v>1960.3333333333321</v>
      </c>
      <c r="B18" s="1">
        <v>22037</v>
      </c>
      <c r="C18" s="7">
        <f t="shared" si="0"/>
        <v>1960</v>
      </c>
      <c r="D18" s="7">
        <f t="shared" si="1"/>
        <v>5</v>
      </c>
      <c r="E18" s="7">
        <f t="shared" si="2"/>
        <v>2</v>
      </c>
      <c r="F18">
        <f xml:space="preserve"> [1]Coibion_update!O24</f>
        <v>3.1922114696703581</v>
      </c>
      <c r="G18">
        <f xml:space="preserve"> [1]Coibion_update!P24</f>
        <v>5.0999999999999996</v>
      </c>
      <c r="H18">
        <f xml:space="preserve"> [1]Coibion_update!Q24</f>
        <v>3.3867603338643857</v>
      </c>
      <c r="I18">
        <f xml:space="preserve"> [1]Coibion_update!W24</f>
        <v>3.85</v>
      </c>
      <c r="J18">
        <f xml:space="preserve"> [1]Coibion_update!X24</f>
        <v>4.6172963657859318</v>
      </c>
      <c r="K18">
        <f xml:space="preserve"> [1]Coibion_update!Y24</f>
        <v>2.1034021791246795</v>
      </c>
      <c r="L18">
        <f xml:space="preserve"> [1]Coibion_update!Z24</f>
        <v>3.3917529228341556</v>
      </c>
      <c r="M18">
        <f xml:space="preserve"> [1]Coibion_update!AA24</f>
        <v>2.9156603987884324</v>
      </c>
      <c r="X18" s="5">
        <f xml:space="preserve"> [1]misc!N101</f>
        <v>4.21</v>
      </c>
      <c r="AK18">
        <v>3.5</v>
      </c>
      <c r="AL18">
        <f xml:space="preserve"> LN([1]misc!B37)</f>
        <v>4.9387811903282719</v>
      </c>
      <c r="AM18">
        <f xml:space="preserve"> LN([1]misc!D37)</f>
        <v>5.7067779836359991</v>
      </c>
      <c r="AN18">
        <f xml:space="preserve"> LN([1]misc!G142)</f>
        <v>2.8869213676958112</v>
      </c>
      <c r="AO18">
        <f xml:space="preserve"> LN([1]misc!J48 + [1]misc!L48)</f>
        <v>2.3364066414695563</v>
      </c>
      <c r="AP18">
        <f xml:space="preserve"> [1]Factors!B18</f>
        <v>-0.169806128</v>
      </c>
      <c r="AQ18">
        <f xml:space="preserve"> [1]Factors!C18</f>
        <v>9.4575574900000001E-2</v>
      </c>
      <c r="AR18">
        <f xml:space="preserve"> [1]Factors!D18</f>
        <v>-0.37847644800000002</v>
      </c>
      <c r="AS18">
        <f xml:space="preserve"> [1]Factors!E18</f>
        <v>-4.40387842E-2</v>
      </c>
      <c r="AT18">
        <f xml:space="preserve"> [1]Factors!F18</f>
        <v>1.94881399E-2</v>
      </c>
    </row>
    <row r="19" spans="1:46" x14ac:dyDescent="0.25">
      <c r="A19">
        <f t="shared" si="3"/>
        <v>1960.4166666666654</v>
      </c>
      <c r="B19" s="1">
        <v>22068</v>
      </c>
      <c r="C19" s="7">
        <f t="shared" si="0"/>
        <v>1960</v>
      </c>
      <c r="D19" s="7">
        <f t="shared" si="1"/>
        <v>6</v>
      </c>
      <c r="E19" s="7">
        <f t="shared" si="2"/>
        <v>2</v>
      </c>
      <c r="F19">
        <f xml:space="preserve"> [1]Coibion_update!O25</f>
        <v>3.1795610272891186</v>
      </c>
      <c r="G19">
        <f xml:space="preserve"> [1]Coibion_update!P25</f>
        <v>5.4</v>
      </c>
      <c r="H19">
        <f xml:space="preserve"> [1]Coibion_update!Q25</f>
        <v>3.3881121421135001</v>
      </c>
      <c r="I19">
        <f xml:space="preserve"> [1]Coibion_update!W25</f>
        <v>3.32</v>
      </c>
      <c r="J19">
        <f xml:space="preserve"> [1]Coibion_update!X25</f>
        <v>4.6104561904173291</v>
      </c>
      <c r="K19">
        <f xml:space="preserve"> [1]Coibion_update!Y25</f>
        <v>2.0779404155535688</v>
      </c>
      <c r="L19">
        <f xml:space="preserve"> [1]Coibion_update!Z25</f>
        <v>3.4014306877775002</v>
      </c>
      <c r="M19">
        <f xml:space="preserve"> [1]Coibion_update!AA25</f>
        <v>2.914359515088254</v>
      </c>
      <c r="X19" s="5">
        <f xml:space="preserve"> [1]misc!N102</f>
        <v>3.36</v>
      </c>
      <c r="AK19">
        <v>3.5</v>
      </c>
      <c r="AL19">
        <f xml:space="preserve"> LN([1]misc!B38)</f>
        <v>4.9387811903282719</v>
      </c>
      <c r="AM19">
        <f xml:space="preserve"> LN([1]misc!D38)</f>
        <v>5.7114199017854128</v>
      </c>
      <c r="AN19">
        <f xml:space="preserve"> LN([1]misc!G143)</f>
        <v>2.8911492333615509</v>
      </c>
      <c r="AO19">
        <f xml:space="preserve"> LN([1]misc!J49 + [1]misc!L49)</f>
        <v>2.3466976676123665</v>
      </c>
      <c r="AP19">
        <f xml:space="preserve"> [1]Factors!B19</f>
        <v>0.56412377300000005</v>
      </c>
      <c r="AQ19">
        <f xml:space="preserve"> [1]Factors!C19</f>
        <v>-6.9233430799999995E-2</v>
      </c>
      <c r="AR19">
        <f xml:space="preserve"> [1]Factors!D19</f>
        <v>0.14893467199999999</v>
      </c>
      <c r="AS19">
        <f xml:space="preserve"> [1]Factors!E19</f>
        <v>-0.21527822399999999</v>
      </c>
      <c r="AT19">
        <f xml:space="preserve"> [1]Factors!F19</f>
        <v>-0.145894777</v>
      </c>
    </row>
    <row r="20" spans="1:46" x14ac:dyDescent="0.25">
      <c r="A20">
        <f t="shared" si="3"/>
        <v>1960.4999999999986</v>
      </c>
      <c r="B20" s="1">
        <v>22098</v>
      </c>
      <c r="C20" s="7">
        <f t="shared" si="0"/>
        <v>1960</v>
      </c>
      <c r="D20" s="7">
        <f t="shared" si="1"/>
        <v>7</v>
      </c>
      <c r="E20" s="7">
        <f t="shared" si="2"/>
        <v>3</v>
      </c>
      <c r="F20">
        <f xml:space="preserve"> [1]Coibion_update!O26</f>
        <v>3.1760852272531008</v>
      </c>
      <c r="G20">
        <f xml:space="preserve"> [1]Coibion_update!P26</f>
        <v>5.5</v>
      </c>
      <c r="H20">
        <f xml:space="preserve"> [1]Coibion_update!Q26</f>
        <v>3.3860837438521072</v>
      </c>
      <c r="I20">
        <f xml:space="preserve"> [1]Coibion_update!W26</f>
        <v>3.23</v>
      </c>
      <c r="J20">
        <f xml:space="preserve"> [1]Coibion_update!X26</f>
        <v>4.6126422008267927</v>
      </c>
      <c r="K20">
        <f xml:space="preserve"> [1]Coibion_update!Y26</f>
        <v>2.0866653867691554</v>
      </c>
      <c r="L20">
        <f xml:space="preserve"> [1]Coibion_update!Z26</f>
        <v>3.404923763402969</v>
      </c>
      <c r="M20">
        <f xml:space="preserve"> [1]Coibion_update!AA26</f>
        <v>2.9131655498970286</v>
      </c>
      <c r="X20" s="5">
        <f xml:space="preserve"> [1]misc!N103</f>
        <v>3.2</v>
      </c>
      <c r="AK20">
        <v>3.25</v>
      </c>
      <c r="AL20">
        <f xml:space="preserve"> LN([1]misc!B39)</f>
        <v>4.9430699746004896</v>
      </c>
      <c r="AM20">
        <f xml:space="preserve"> LN([1]misc!D39)</f>
        <v>5.7173565946833191</v>
      </c>
      <c r="AN20">
        <f xml:space="preserve"> LN([1]misc!G144)</f>
        <v>2.9016413501543954</v>
      </c>
      <c r="AO20">
        <f xml:space="preserve"> LN([1]misc!J50 + [1]misc!L50)</f>
        <v>2.3622680951552195</v>
      </c>
      <c r="AP20">
        <f xml:space="preserve"> [1]Factors!B20</f>
        <v>0.71273328899999999</v>
      </c>
      <c r="AQ20">
        <f xml:space="preserve"> [1]Factors!C20</f>
        <v>3.40627113E-2</v>
      </c>
      <c r="AR20">
        <f xml:space="preserve"> [1]Factors!D20</f>
        <v>-0.22795410199999999</v>
      </c>
      <c r="AS20">
        <f xml:space="preserve"> [1]Factors!E20</f>
        <v>-3.7919903499999998E-2</v>
      </c>
      <c r="AT20">
        <f xml:space="preserve"> [1]Factors!F20</f>
        <v>8.35931647E-2</v>
      </c>
    </row>
    <row r="21" spans="1:46" x14ac:dyDescent="0.25">
      <c r="A21">
        <f t="shared" si="3"/>
        <v>1960.5833333333319</v>
      </c>
      <c r="B21" s="1">
        <v>22129</v>
      </c>
      <c r="C21" s="7">
        <f t="shared" si="0"/>
        <v>1960</v>
      </c>
      <c r="D21" s="7">
        <f t="shared" si="1"/>
        <v>8</v>
      </c>
      <c r="E21" s="7">
        <f t="shared" si="2"/>
        <v>3</v>
      </c>
      <c r="F21">
        <f xml:space="preserve"> [1]Coibion_update!O27</f>
        <v>3.1749197576019652</v>
      </c>
      <c r="G21">
        <f xml:space="preserve"> [1]Coibion_update!P27</f>
        <v>5.6</v>
      </c>
      <c r="H21">
        <f xml:space="preserve"> [1]Coibion_update!Q27</f>
        <v>3.3881121421135001</v>
      </c>
      <c r="I21">
        <f xml:space="preserve"> [1]Coibion_update!W27</f>
        <v>2.98</v>
      </c>
      <c r="J21">
        <f xml:space="preserve"> [1]Coibion_update!X27</f>
        <v>4.6093613906065594</v>
      </c>
      <c r="K21">
        <f xml:space="preserve"> [1]Coibion_update!Y27</f>
        <v>2.1065702090680887</v>
      </c>
      <c r="L21">
        <f xml:space="preserve"> [1]Coibion_update!Z27</f>
        <v>3.396955062404023</v>
      </c>
      <c r="M21">
        <f xml:space="preserve"> [1]Coibion_update!AA27</f>
        <v>2.9120788885567377</v>
      </c>
      <c r="X21" s="5">
        <f xml:space="preserve"> [1]misc!N104</f>
        <v>2.95</v>
      </c>
      <c r="AK21">
        <v>3</v>
      </c>
      <c r="AL21">
        <f xml:space="preserve"> LN([1]misc!B40)</f>
        <v>4.9508852896904818</v>
      </c>
      <c r="AM21">
        <f xml:space="preserve"> LN([1]misc!D40)</f>
        <v>5.7265219616256902</v>
      </c>
      <c r="AN21">
        <f xml:space="preserve"> LN([1]misc!G145)</f>
        <v>2.8964642718953222</v>
      </c>
      <c r="AO21">
        <f xml:space="preserve"> LN([1]misc!J51 + [1]misc!L51)</f>
        <v>2.377878077029477</v>
      </c>
      <c r="AP21">
        <f xml:space="preserve"> [1]Factors!B21</f>
        <v>0.52103345000000001</v>
      </c>
      <c r="AQ21">
        <f xml:space="preserve"> [1]Factors!C21</f>
        <v>2.4808063500000001E-2</v>
      </c>
      <c r="AR21">
        <f xml:space="preserve"> [1]Factors!D21</f>
        <v>-0.16358809199999999</v>
      </c>
      <c r="AS21">
        <f xml:space="preserve"> [1]Factors!E21</f>
        <v>-0.12675034800000001</v>
      </c>
      <c r="AT21">
        <f xml:space="preserve"> [1]Factors!F21</f>
        <v>-8.0167539400000001E-2</v>
      </c>
    </row>
    <row r="22" spans="1:46" x14ac:dyDescent="0.25">
      <c r="A22">
        <f t="shared" si="3"/>
        <v>1960.6666666666652</v>
      </c>
      <c r="B22" s="1">
        <v>22160</v>
      </c>
      <c r="C22" s="7">
        <f t="shared" si="0"/>
        <v>1960</v>
      </c>
      <c r="D22" s="7">
        <f t="shared" si="1"/>
        <v>9</v>
      </c>
      <c r="E22" s="7">
        <f t="shared" si="2"/>
        <v>3</v>
      </c>
      <c r="F22">
        <f xml:space="preserve"> [1]Coibion_update!O28</f>
        <v>3.1644027434700668</v>
      </c>
      <c r="G22">
        <f xml:space="preserve"> [1]Coibion_update!P28</f>
        <v>5.5</v>
      </c>
      <c r="H22">
        <f xml:space="preserve"> [1]Coibion_update!Q28</f>
        <v>3.3881121421135001</v>
      </c>
      <c r="I22">
        <f xml:space="preserve"> [1]Coibion_update!W28</f>
        <v>2.6</v>
      </c>
      <c r="J22">
        <f xml:space="preserve"> [1]Coibion_update!X28</f>
        <v>4.5941092386286666</v>
      </c>
      <c r="K22">
        <f xml:space="preserve"> [1]Coibion_update!Y28</f>
        <v>2.1406542258478254</v>
      </c>
      <c r="L22">
        <f xml:space="preserve"> [1]Coibion_update!Z28</f>
        <v>3.3941056278483992</v>
      </c>
      <c r="M22">
        <f xml:space="preserve"> [1]Coibion_update!AA28</f>
        <v>2.914522218128448</v>
      </c>
      <c r="X22" s="5">
        <f xml:space="preserve"> [1]misc!N105</f>
        <v>3.07</v>
      </c>
      <c r="AK22">
        <v>3</v>
      </c>
      <c r="AL22">
        <f xml:space="preserve"> LN([1]misc!B41)</f>
        <v>4.9501773250591414</v>
      </c>
      <c r="AM22">
        <f xml:space="preserve"> LN([1]misc!D41)</f>
        <v>5.7313976416891741</v>
      </c>
      <c r="AN22">
        <f xml:space="preserve"> LN([1]misc!G146)</f>
        <v>2.8728864435551449</v>
      </c>
      <c r="AO22">
        <f xml:space="preserve"> LN([1]misc!J52 + [1]misc!L52)</f>
        <v>2.3916942680658217</v>
      </c>
      <c r="AP22">
        <f xml:space="preserve"> [1]Factors!B22</f>
        <v>0.31815972100000001</v>
      </c>
      <c r="AQ22">
        <f xml:space="preserve"> [1]Factors!C22</f>
        <v>3.6880539E-3</v>
      </c>
      <c r="AR22">
        <f xml:space="preserve"> [1]Factors!D22</f>
        <v>-0.18977259199999999</v>
      </c>
      <c r="AS22">
        <f xml:space="preserve"> [1]Factors!E22</f>
        <v>-8.3443426299999998E-2</v>
      </c>
      <c r="AT22">
        <f xml:space="preserve"> [1]Factors!F22</f>
        <v>-4.09251926E-2</v>
      </c>
    </row>
    <row r="23" spans="1:46" x14ac:dyDescent="0.25">
      <c r="A23">
        <f t="shared" si="3"/>
        <v>1960.7499999999984</v>
      </c>
      <c r="B23" s="1">
        <v>22190</v>
      </c>
      <c r="C23" s="7">
        <f t="shared" si="0"/>
        <v>1960</v>
      </c>
      <c r="D23" s="7">
        <f t="shared" si="1"/>
        <v>10</v>
      </c>
      <c r="E23" s="7">
        <f t="shared" si="2"/>
        <v>4</v>
      </c>
      <c r="F23">
        <f xml:space="preserve"> [1]Coibion_update!O29</f>
        <v>3.1632235703183236</v>
      </c>
      <c r="G23">
        <f xml:space="preserve"> [1]Coibion_update!P29</f>
        <v>6.1</v>
      </c>
      <c r="H23">
        <f xml:space="preserve"> [1]Coibion_update!Q29</f>
        <v>3.3928291319916388</v>
      </c>
      <c r="I23">
        <f xml:space="preserve"> [1]Coibion_update!W29</f>
        <v>2.4700000000000002</v>
      </c>
      <c r="J23">
        <f xml:space="preserve"> [1]Coibion_update!X29</f>
        <v>4.5885325448350684</v>
      </c>
      <c r="K23">
        <f xml:space="preserve"> [1]Coibion_update!Y29</f>
        <v>2.1315594959419428</v>
      </c>
      <c r="L23">
        <f xml:space="preserve"> [1]Coibion_update!Z29</f>
        <v>3.4035945062618769</v>
      </c>
      <c r="M23">
        <f xml:space="preserve"> [1]Coibion_update!AA29</f>
        <v>2.9197147871300753</v>
      </c>
      <c r="X23" s="5">
        <f xml:space="preserve"> [1]misc!N106</f>
        <v>3.04</v>
      </c>
      <c r="AK23">
        <v>2.75</v>
      </c>
      <c r="AL23">
        <f xml:space="preserve"> LN([1]misc!B42)</f>
        <v>4.9480504189046348</v>
      </c>
      <c r="AM23">
        <f xml:space="preserve"> LN([1]misc!D42)</f>
        <v>5.7349580921246508</v>
      </c>
      <c r="AN23">
        <f xml:space="preserve"> LN([1]misc!G147)</f>
        <v>2.8832352423268448</v>
      </c>
      <c r="AO23">
        <f xml:space="preserve"> LN([1]misc!J53 + [1]misc!L53)</f>
        <v>2.4023399261310381</v>
      </c>
      <c r="AP23">
        <f xml:space="preserve"> [1]Factors!B23</f>
        <v>0.49027323900000003</v>
      </c>
      <c r="AQ23">
        <f xml:space="preserve"> [1]Factors!C23</f>
        <v>-4.0630648999999998E-2</v>
      </c>
      <c r="AR23">
        <f xml:space="preserve"> [1]Factors!D23</f>
        <v>3.0609698599999999E-2</v>
      </c>
      <c r="AS23">
        <f xml:space="preserve"> [1]Factors!E23</f>
        <v>-0.25594228099999999</v>
      </c>
      <c r="AT23">
        <f xml:space="preserve"> [1]Factors!F23</f>
        <v>-4.8698714300000001E-2</v>
      </c>
    </row>
    <row r="24" spans="1:46" x14ac:dyDescent="0.25">
      <c r="A24">
        <f t="shared" si="3"/>
        <v>1960.8333333333317</v>
      </c>
      <c r="B24" s="1">
        <v>22221</v>
      </c>
      <c r="C24" s="7">
        <f t="shared" si="0"/>
        <v>1960</v>
      </c>
      <c r="D24" s="7">
        <f t="shared" si="1"/>
        <v>11</v>
      </c>
      <c r="E24" s="7">
        <f t="shared" si="2"/>
        <v>4</v>
      </c>
      <c r="F24">
        <f xml:space="preserve"> [1]Coibion_update!O30</f>
        <v>3.149006855433778</v>
      </c>
      <c r="G24">
        <f xml:space="preserve"> [1]Coibion_update!P30</f>
        <v>6.1</v>
      </c>
      <c r="H24">
        <f xml:space="preserve"> [1]Coibion_update!Q30</f>
        <v>3.3938370272558629</v>
      </c>
      <c r="I24">
        <f xml:space="preserve"> [1]Coibion_update!W30</f>
        <v>2.44</v>
      </c>
      <c r="J24">
        <f xml:space="preserve"> [1]Coibion_update!X30</f>
        <v>4.5804675733477191</v>
      </c>
      <c r="K24">
        <f xml:space="preserve"> [1]Coibion_update!Y30</f>
        <v>2.0897630907517075</v>
      </c>
      <c r="L24">
        <f xml:space="preserve"> [1]Coibion_update!Z30</f>
        <v>3.4038937432098981</v>
      </c>
      <c r="M24">
        <f xml:space="preserve"> [1]Coibion_update!AA30</f>
        <v>2.9242899760996255</v>
      </c>
      <c r="X24" s="5">
        <f xml:space="preserve"> [1]misc!N107</f>
        <v>3.08</v>
      </c>
      <c r="AK24">
        <v>0.25</v>
      </c>
      <c r="AL24">
        <f xml:space="preserve"> LN([1]misc!B43)</f>
        <v>4.9480504189046348</v>
      </c>
      <c r="AM24">
        <f xml:space="preserve"> LN([1]misc!D43)</f>
        <v>5.7394713170647078</v>
      </c>
      <c r="AN24">
        <f xml:space="preserve"> LN([1]misc!G148)</f>
        <v>2.8745246306183003</v>
      </c>
      <c r="AO24">
        <f xml:space="preserve"> LN([1]misc!J54 + [1]misc!L54)</f>
        <v>2.412873446888169</v>
      </c>
      <c r="AP24">
        <f xml:space="preserve"> [1]Factors!B24</f>
        <v>0.45489873199999997</v>
      </c>
      <c r="AQ24">
        <f xml:space="preserve"> [1]Factors!C24</f>
        <v>7.8783459799999997E-2</v>
      </c>
      <c r="AR24">
        <f xml:space="preserve"> [1]Factors!D24</f>
        <v>0.183956181</v>
      </c>
      <c r="AS24">
        <f xml:space="preserve"> [1]Factors!E24</f>
        <v>-8.1612920699999994E-2</v>
      </c>
      <c r="AT24">
        <f xml:space="preserve"> [1]Factors!F24</f>
        <v>-0.24523962199999999</v>
      </c>
    </row>
    <row r="25" spans="1:46" x14ac:dyDescent="0.25">
      <c r="A25">
        <f t="shared" si="3"/>
        <v>1960.9166666666649</v>
      </c>
      <c r="B25" s="1">
        <v>22251</v>
      </c>
      <c r="C25" s="7">
        <f t="shared" si="0"/>
        <v>1960</v>
      </c>
      <c r="D25" s="7">
        <f t="shared" si="1"/>
        <v>12</v>
      </c>
      <c r="E25" s="7">
        <f t="shared" si="2"/>
        <v>4</v>
      </c>
      <c r="F25">
        <f xml:space="preserve"> [1]Coibion_update!O31</f>
        <v>3.1297298075177564</v>
      </c>
      <c r="G25">
        <f xml:space="preserve"> [1]Coibion_update!P31</f>
        <v>6.6</v>
      </c>
      <c r="H25">
        <f xml:space="preserve"> [1]Coibion_update!Q31</f>
        <v>3.3948439076899799</v>
      </c>
      <c r="I25">
        <f xml:space="preserve"> [1]Coibion_update!W31</f>
        <v>1.98</v>
      </c>
      <c r="J25">
        <f xml:space="preserve"> [1]Coibion_update!X31</f>
        <v>4.5674683188040799</v>
      </c>
      <c r="K25">
        <f xml:space="preserve"> [1]Coibion_update!Y31</f>
        <v>2.034574920339729</v>
      </c>
      <c r="L25">
        <f xml:space="preserve"> [1]Coibion_update!Z31</f>
        <v>3.3905071104539646</v>
      </c>
      <c r="M25">
        <f xml:space="preserve"> [1]Coibion_update!AA31</f>
        <v>2.924665825120131</v>
      </c>
      <c r="X25" s="5">
        <f xml:space="preserve"> [1]misc!N108</f>
        <v>2.86</v>
      </c>
      <c r="AK25">
        <v>3</v>
      </c>
      <c r="AL25">
        <f xml:space="preserve"> LN([1]misc!B44)</f>
        <v>4.9466299641203433</v>
      </c>
      <c r="AM25">
        <f xml:space="preserve"> LN([1]misc!D44)</f>
        <v>5.744284417965531</v>
      </c>
      <c r="AN25">
        <f xml:space="preserve"> LN([1]misc!G149)</f>
        <v>2.8142103969306005</v>
      </c>
      <c r="AO25">
        <f xml:space="preserve"> LN([1]misc!J55 + [1]misc!L55)</f>
        <v>2.4134106480829303</v>
      </c>
      <c r="AP25">
        <f xml:space="preserve"> [1]Factors!B25</f>
        <v>0.77164906099999997</v>
      </c>
      <c r="AQ25">
        <f xml:space="preserve"> [1]Factors!C25</f>
        <v>0.16005293000000001</v>
      </c>
      <c r="AR25">
        <f xml:space="preserve"> [1]Factors!D25</f>
        <v>-2.5675423700000002E-2</v>
      </c>
      <c r="AS25">
        <f xml:space="preserve"> [1]Factors!E25</f>
        <v>-0.26410312699999999</v>
      </c>
      <c r="AT25">
        <f xml:space="preserve"> [1]Factors!F25</f>
        <v>0.128292296</v>
      </c>
    </row>
    <row r="26" spans="1:46" x14ac:dyDescent="0.25">
      <c r="A26">
        <f t="shared" si="3"/>
        <v>1960.9999999999982</v>
      </c>
      <c r="B26" s="1">
        <v>22282</v>
      </c>
      <c r="C26" s="7">
        <f t="shared" si="0"/>
        <v>1961</v>
      </c>
      <c r="D26" s="7">
        <f t="shared" si="1"/>
        <v>1</v>
      </c>
      <c r="E26" s="7">
        <f t="shared" si="2"/>
        <v>1</v>
      </c>
      <c r="F26">
        <f xml:space="preserve"> [1]Coibion_update!O32</f>
        <v>3.1309447523609983</v>
      </c>
      <c r="G26">
        <f xml:space="preserve"> [1]Coibion_update!P32</f>
        <v>6.6</v>
      </c>
      <c r="H26">
        <f xml:space="preserve"> [1]Coibion_update!Q32</f>
        <v>3.3958497753355603</v>
      </c>
      <c r="I26">
        <f xml:space="preserve"> [1]Coibion_update!W32</f>
        <v>1.45</v>
      </c>
      <c r="J26">
        <f xml:space="preserve"> [1]Coibion_update!X32</f>
        <v>4.5806725543876912</v>
      </c>
      <c r="K26">
        <f xml:space="preserve"> [1]Coibion_update!Y32</f>
        <v>2.0149030205422647</v>
      </c>
      <c r="L26">
        <f xml:space="preserve"> [1]Coibion_update!Z32</f>
        <v>3.3966872261842691</v>
      </c>
      <c r="M26">
        <f xml:space="preserve"> [1]Coibion_update!AA32</f>
        <v>2.9300731247477168</v>
      </c>
      <c r="X26" s="5">
        <f xml:space="preserve"> [1]misc!N109</f>
        <v>2.81</v>
      </c>
      <c r="AK26">
        <v>2.25</v>
      </c>
      <c r="AL26">
        <f xml:space="preserve"> LN([1]misc!B45)</f>
        <v>4.9494688588587685</v>
      </c>
      <c r="AM26">
        <f xml:space="preserve"> LN([1]misc!D45)</f>
        <v>5.7497114065446011</v>
      </c>
      <c r="AN26">
        <f xml:space="preserve"> LN([1]misc!G150)</f>
        <v>2.8164859832769644</v>
      </c>
      <c r="AO26">
        <f xml:space="preserve"> LN([1]misc!J56 + [1]misc!L56)</f>
        <v>2.4211678088209934</v>
      </c>
      <c r="AP26">
        <f xml:space="preserve"> [1]Factors!B26</f>
        <v>0.92274107299999997</v>
      </c>
      <c r="AQ26">
        <f xml:space="preserve"> [1]Factors!C26</f>
        <v>5.3295492999999999E-2</v>
      </c>
      <c r="AR26">
        <f xml:space="preserve"> [1]Factors!D26</f>
        <v>7.0659038899999999E-2</v>
      </c>
      <c r="AS26">
        <f xml:space="preserve"> [1]Factors!E26</f>
        <v>-0.209513598</v>
      </c>
      <c r="AT26">
        <f xml:space="preserve"> [1]Factors!F26</f>
        <v>8.5467889599999999E-2</v>
      </c>
    </row>
    <row r="27" spans="1:46" x14ac:dyDescent="0.25">
      <c r="A27">
        <f t="shared" si="3"/>
        <v>1961.0833333333314</v>
      </c>
      <c r="B27" s="1">
        <v>22313</v>
      </c>
      <c r="C27" s="7">
        <f t="shared" si="0"/>
        <v>1961</v>
      </c>
      <c r="D27" s="7">
        <f t="shared" si="1"/>
        <v>2</v>
      </c>
      <c r="E27" s="7">
        <f t="shared" si="2"/>
        <v>1</v>
      </c>
      <c r="F27">
        <f xml:space="preserve"> [1]Coibion_update!O33</f>
        <v>3.1297298075177564</v>
      </c>
      <c r="G27">
        <f xml:space="preserve"> [1]Coibion_update!P33</f>
        <v>6.9</v>
      </c>
      <c r="H27">
        <f xml:space="preserve"> [1]Coibion_update!Q33</f>
        <v>3.3958497753355603</v>
      </c>
      <c r="I27">
        <f xml:space="preserve"> [1]Coibion_update!W33</f>
        <v>2.54</v>
      </c>
      <c r="J27">
        <f xml:space="preserve"> [1]Coibion_update!X33</f>
        <v>4.6021656769677923</v>
      </c>
      <c r="K27">
        <f xml:space="preserve"> [1]Coibion_update!Y33</f>
        <v>2.0220772242902649</v>
      </c>
      <c r="L27">
        <f xml:space="preserve"> [1]Coibion_update!Z33</f>
        <v>3.4035612521840926</v>
      </c>
      <c r="M27">
        <f xml:space="preserve"> [1]Coibion_update!AA33</f>
        <v>2.9301799053137554</v>
      </c>
      <c r="X27" s="5">
        <f xml:space="preserve"> [1]misc!N110</f>
        <v>2.93</v>
      </c>
      <c r="AK27">
        <v>2</v>
      </c>
      <c r="AL27">
        <f xml:space="preserve"> LN([1]misc!B46)</f>
        <v>4.9530061812596191</v>
      </c>
      <c r="AM27">
        <f xml:space="preserve"> LN([1]misc!D46)</f>
        <v>5.7573232415842313</v>
      </c>
      <c r="AN27">
        <f xml:space="preserve"> LN([1]misc!G151)</f>
        <v>2.8047533496688537</v>
      </c>
      <c r="AO27">
        <f xml:space="preserve"> LN([1]misc!J57 + [1]misc!L57)</f>
        <v>2.4065846830125306</v>
      </c>
      <c r="AP27">
        <f xml:space="preserve"> [1]Factors!B27</f>
        <v>0.41468891200000002</v>
      </c>
      <c r="AQ27">
        <f xml:space="preserve"> [1]Factors!C27</f>
        <v>-0.24370192900000001</v>
      </c>
      <c r="AR27">
        <f xml:space="preserve"> [1]Factors!D27</f>
        <v>5.5167344600000001E-2</v>
      </c>
      <c r="AS27">
        <f xml:space="preserve"> [1]Factors!E27</f>
        <v>-8.5867159200000001E-2</v>
      </c>
      <c r="AT27">
        <f xml:space="preserve"> [1]Factors!F27</f>
        <v>-0.19077507199999999</v>
      </c>
    </row>
    <row r="28" spans="1:46" x14ac:dyDescent="0.25">
      <c r="A28">
        <f t="shared" si="3"/>
        <v>1961.1666666666647</v>
      </c>
      <c r="B28" s="1">
        <v>22341</v>
      </c>
      <c r="C28" s="7">
        <f t="shared" si="0"/>
        <v>1961</v>
      </c>
      <c r="D28" s="7">
        <f t="shared" si="1"/>
        <v>3</v>
      </c>
      <c r="E28" s="7">
        <f t="shared" si="2"/>
        <v>1</v>
      </c>
      <c r="F28">
        <f xml:space="preserve"> [1]Coibion_update!O34</f>
        <v>3.1357941709381478</v>
      </c>
      <c r="G28">
        <f xml:space="preserve"> [1]Coibion_update!P34</f>
        <v>6.9</v>
      </c>
      <c r="H28">
        <f xml:space="preserve"> [1]Coibion_update!Q34</f>
        <v>3.3958497753355603</v>
      </c>
      <c r="I28">
        <f xml:space="preserve"> [1]Coibion_update!W34</f>
        <v>2.02</v>
      </c>
      <c r="J28">
        <f xml:space="preserve"> [1]Coibion_update!X34</f>
        <v>4.6195660662718234</v>
      </c>
      <c r="K28">
        <f xml:space="preserve"> [1]Coibion_update!Y34</f>
        <v>2.0514277952246371</v>
      </c>
      <c r="L28">
        <f xml:space="preserve"> [1]Coibion_update!Z34</f>
        <v>3.4154618256758598</v>
      </c>
      <c r="M28">
        <f xml:space="preserve"> [1]Coibion_update!AA34</f>
        <v>2.9383679561644205</v>
      </c>
      <c r="X28" s="5">
        <f xml:space="preserve"> [1]misc!N111</f>
        <v>2.88</v>
      </c>
      <c r="AK28">
        <v>2</v>
      </c>
      <c r="AL28">
        <f xml:space="preserve"> LN([1]misc!B47)</f>
        <v>4.9551225841659967</v>
      </c>
      <c r="AM28">
        <f xml:space="preserve"> LN([1]misc!D47)</f>
        <v>5.762994334288047</v>
      </c>
      <c r="AN28">
        <f xml:space="preserve"> LN([1]misc!G152)</f>
        <v>2.8000214796410203</v>
      </c>
      <c r="AO28">
        <f xml:space="preserve"> LN([1]misc!J58 + [1]misc!L58)</f>
        <v>2.4013438650173096</v>
      </c>
      <c r="AP28">
        <f xml:space="preserve"> [1]Factors!B28</f>
        <v>0.51582518200000005</v>
      </c>
      <c r="AQ28">
        <f xml:space="preserve"> [1]Factors!C28</f>
        <v>-4.3915748900000004E-3</v>
      </c>
      <c r="AR28">
        <f xml:space="preserve"> [1]Factors!D28</f>
        <v>5.6228012899999999E-2</v>
      </c>
      <c r="AS28">
        <f xml:space="preserve"> [1]Factors!E28</f>
        <v>-8.3928695299999995E-2</v>
      </c>
      <c r="AT28">
        <f xml:space="preserve"> [1]Factors!F28</f>
        <v>-0.200630535</v>
      </c>
    </row>
    <row r="29" spans="1:46" x14ac:dyDescent="0.25">
      <c r="A29">
        <f t="shared" si="3"/>
        <v>1961.249999999998</v>
      </c>
      <c r="B29" s="1">
        <v>22372</v>
      </c>
      <c r="C29" s="7">
        <f t="shared" si="0"/>
        <v>1961</v>
      </c>
      <c r="D29" s="7">
        <f t="shared" si="1"/>
        <v>4</v>
      </c>
      <c r="E29" s="7">
        <f t="shared" si="2"/>
        <v>2</v>
      </c>
      <c r="F29">
        <f xml:space="preserve"> [1]Coibion_update!O35</f>
        <v>3.1561404770360544</v>
      </c>
      <c r="G29">
        <f xml:space="preserve"> [1]Coibion_update!P35</f>
        <v>7</v>
      </c>
      <c r="H29">
        <f xml:space="preserve"> [1]Coibion_update!Q35</f>
        <v>3.3948439076899799</v>
      </c>
      <c r="I29">
        <f xml:space="preserve"> [1]Coibion_update!W35</f>
        <v>1.49</v>
      </c>
      <c r="J29">
        <f xml:space="preserve"> [1]Coibion_update!X35</f>
        <v>4.6293748746849088</v>
      </c>
      <c r="K29">
        <f xml:space="preserve"> [1]Coibion_update!Y35</f>
        <v>2.0386195471595809</v>
      </c>
      <c r="L29">
        <f xml:space="preserve"> [1]Coibion_update!Z35</f>
        <v>3.4148043850683725</v>
      </c>
      <c r="M29">
        <f xml:space="preserve"> [1]Coibion_update!AA35</f>
        <v>2.9434384788328569</v>
      </c>
      <c r="X29" s="5">
        <f xml:space="preserve"> [1]misc!N112</f>
        <v>2.88</v>
      </c>
      <c r="AK29">
        <v>0.5</v>
      </c>
      <c r="AL29">
        <f xml:space="preserve"> LN([1]misc!B48)</f>
        <v>4.9565310351030547</v>
      </c>
      <c r="AM29">
        <f xml:space="preserve"> LN([1]misc!D48)</f>
        <v>5.7680084469554727</v>
      </c>
      <c r="AN29">
        <f xml:space="preserve"> LN([1]misc!G153)</f>
        <v>2.8009331952489238</v>
      </c>
      <c r="AO29">
        <f xml:space="preserve"> LN([1]misc!J59 + [1]misc!L59)</f>
        <v>2.4038773444759181</v>
      </c>
      <c r="AP29">
        <f xml:space="preserve"> [1]Factors!B29</f>
        <v>2.1426679399999999E-2</v>
      </c>
      <c r="AQ29">
        <f xml:space="preserve"> [1]Factors!C29</f>
        <v>-0.30174967000000003</v>
      </c>
      <c r="AR29">
        <f xml:space="preserve"> [1]Factors!D29</f>
        <v>-4.3770042199999998E-2</v>
      </c>
      <c r="AS29">
        <f xml:space="preserve"> [1]Factors!E29</f>
        <v>-2.11750362E-2</v>
      </c>
      <c r="AT29">
        <f xml:space="preserve"> [1]Factors!F29</f>
        <v>-0.16598147199999999</v>
      </c>
    </row>
    <row r="30" spans="1:46" x14ac:dyDescent="0.25">
      <c r="A30">
        <f t="shared" si="3"/>
        <v>1961.3333333333312</v>
      </c>
      <c r="B30" s="1">
        <v>22402</v>
      </c>
      <c r="C30" s="7">
        <f t="shared" si="0"/>
        <v>1961</v>
      </c>
      <c r="D30" s="7">
        <f t="shared" si="1"/>
        <v>5</v>
      </c>
      <c r="E30" s="7">
        <f t="shared" si="2"/>
        <v>2</v>
      </c>
      <c r="F30">
        <f xml:space="preserve"> [1]Coibion_update!O36</f>
        <v>3.1714277596808897</v>
      </c>
      <c r="G30">
        <f xml:space="preserve"> [1]Coibion_update!P36</f>
        <v>7.1</v>
      </c>
      <c r="H30">
        <f xml:space="preserve"> [1]Coibion_update!Q36</f>
        <v>3.3958497753355603</v>
      </c>
      <c r="I30">
        <f xml:space="preserve"> [1]Coibion_update!W36</f>
        <v>1.98</v>
      </c>
      <c r="J30">
        <f xml:space="preserve"> [1]Coibion_update!X36</f>
        <v>4.6234029542491513</v>
      </c>
      <c r="K30">
        <f xml:space="preserve"> [1]Coibion_update!Y36</f>
        <v>2.053097566340234</v>
      </c>
      <c r="L30">
        <f xml:space="preserve"> [1]Coibion_update!Z36</f>
        <v>3.4186770515428004</v>
      </c>
      <c r="M30">
        <f xml:space="preserve"> [1]Coibion_update!AA36</f>
        <v>2.9490598653555602</v>
      </c>
      <c r="X30" s="5">
        <f xml:space="preserve"> [1]misc!N113</f>
        <v>2.87</v>
      </c>
      <c r="AK30">
        <v>1</v>
      </c>
      <c r="AL30">
        <f xml:space="preserve"> LN([1]misc!B49)</f>
        <v>4.9607445244827906</v>
      </c>
      <c r="AM30">
        <f xml:space="preserve"> LN([1]misc!D49)</f>
        <v>5.7751724707428735</v>
      </c>
      <c r="AN30">
        <f xml:space="preserve"> LN([1]misc!G154)</f>
        <v>2.7984392008298906</v>
      </c>
      <c r="AO30">
        <f xml:space="preserve"> LN([1]misc!J60 + [1]misc!L60)</f>
        <v>2.3924257969938352</v>
      </c>
      <c r="AP30">
        <f xml:space="preserve"> [1]Factors!B30</f>
        <v>-7.28930307E-2</v>
      </c>
      <c r="AQ30">
        <f xml:space="preserve"> [1]Factors!C30</f>
        <v>-0.46397971199999999</v>
      </c>
      <c r="AR30">
        <f xml:space="preserve"> [1]Factors!D30</f>
        <v>0.18499149500000001</v>
      </c>
      <c r="AS30">
        <f xml:space="preserve"> [1]Factors!E30</f>
        <v>6.2957763E-2</v>
      </c>
      <c r="AT30">
        <f xml:space="preserve"> [1]Factors!F30</f>
        <v>-0.56351118899999997</v>
      </c>
    </row>
    <row r="31" spans="1:46" x14ac:dyDescent="0.25">
      <c r="A31">
        <f t="shared" si="3"/>
        <v>1961.4166666666645</v>
      </c>
      <c r="B31" s="1">
        <v>22433</v>
      </c>
      <c r="C31" s="7">
        <f t="shared" si="0"/>
        <v>1961</v>
      </c>
      <c r="D31" s="7">
        <f t="shared" si="1"/>
        <v>6</v>
      </c>
      <c r="E31" s="7">
        <f t="shared" si="2"/>
        <v>2</v>
      </c>
      <c r="F31">
        <f xml:space="preserve"> [1]Coibion_update!O37</f>
        <v>3.1853314507763213</v>
      </c>
      <c r="G31">
        <f xml:space="preserve"> [1]Coibion_update!P37</f>
        <v>6.9</v>
      </c>
      <c r="H31">
        <f xml:space="preserve"> [1]Coibion_update!Q37</f>
        <v>3.3958497753355603</v>
      </c>
      <c r="I31">
        <f xml:space="preserve"> [1]Coibion_update!W37</f>
        <v>1.73</v>
      </c>
      <c r="J31">
        <f xml:space="preserve"> [1]Coibion_update!X37</f>
        <v>4.5910712616085894</v>
      </c>
      <c r="K31">
        <f xml:space="preserve"> [1]Coibion_update!Y37</f>
        <v>2.0587285000822946</v>
      </c>
      <c r="L31">
        <f xml:space="preserve"> [1]Coibion_update!Z37</f>
        <v>3.4222084288516195</v>
      </c>
      <c r="M31">
        <f xml:space="preserve"> [1]Coibion_update!AA37</f>
        <v>2.9496883350525844</v>
      </c>
      <c r="X31" s="5">
        <f xml:space="preserve"> [1]misc!N114</f>
        <v>3.06</v>
      </c>
      <c r="AK31">
        <v>0.5</v>
      </c>
      <c r="AL31">
        <f xml:space="preserve"> LN([1]misc!B50)</f>
        <v>4.9621450849358215</v>
      </c>
      <c r="AM31">
        <f xml:space="preserve"> LN([1]misc!D50)</f>
        <v>5.7816690133132722</v>
      </c>
      <c r="AN31">
        <f xml:space="preserve"> LN([1]misc!G155)</f>
        <v>2.8064465229584035</v>
      </c>
      <c r="AO31">
        <f xml:space="preserve"> LN([1]misc!J61 + [1]misc!L61)</f>
        <v>2.4000747142713026</v>
      </c>
      <c r="AP31">
        <f xml:space="preserve"> [1]Factors!B31</f>
        <v>-0.30883735800000001</v>
      </c>
      <c r="AQ31">
        <f xml:space="preserve"> [1]Factors!C31</f>
        <v>-0.32657122100000002</v>
      </c>
      <c r="AR31">
        <f xml:space="preserve"> [1]Factors!D31</f>
        <v>-4.0252126499999999E-2</v>
      </c>
      <c r="AS31">
        <f xml:space="preserve"> [1]Factors!E31</f>
        <v>4.3905395999999999E-2</v>
      </c>
      <c r="AT31">
        <f xml:space="preserve"> [1]Factors!F31</f>
        <v>-0.266193293</v>
      </c>
    </row>
    <row r="32" spans="1:46" x14ac:dyDescent="0.25">
      <c r="A32">
        <f t="shared" si="3"/>
        <v>1961.4999999999977</v>
      </c>
      <c r="B32" s="1">
        <v>22463</v>
      </c>
      <c r="C32" s="7">
        <f t="shared" si="0"/>
        <v>1961</v>
      </c>
      <c r="D32" s="7">
        <f t="shared" si="1"/>
        <v>7</v>
      </c>
      <c r="E32" s="7">
        <f t="shared" si="2"/>
        <v>3</v>
      </c>
      <c r="F32">
        <f xml:space="preserve"> [1]Coibion_update!O38</f>
        <v>3.1967733549602535</v>
      </c>
      <c r="G32">
        <f xml:space="preserve"> [1]Coibion_update!P38</f>
        <v>7</v>
      </c>
      <c r="H32">
        <f xml:space="preserve"> [1]Coibion_update!Q38</f>
        <v>3.3985271531062766</v>
      </c>
      <c r="I32">
        <f xml:space="preserve"> [1]Coibion_update!W38</f>
        <v>1.17</v>
      </c>
      <c r="J32">
        <f xml:space="preserve"> [1]Coibion_update!X38</f>
        <v>4.5984476402272643</v>
      </c>
      <c r="K32">
        <f xml:space="preserve"> [1]Coibion_update!Y38</f>
        <v>2.0664829405154439</v>
      </c>
      <c r="L32">
        <f xml:space="preserve"> [1]Coibion_update!Z38</f>
        <v>3.4142123187396503</v>
      </c>
      <c r="M32">
        <f xml:space="preserve"> [1]Coibion_update!AA38</f>
        <v>2.9479066440713861</v>
      </c>
      <c r="X32" s="5">
        <f xml:space="preserve"> [1]misc!N115</f>
        <v>2.92</v>
      </c>
      <c r="AK32">
        <v>2.5</v>
      </c>
      <c r="AL32">
        <f xml:space="preserve"> LN([1]misc!B51)</f>
        <v>4.9621450849358215</v>
      </c>
      <c r="AM32">
        <f xml:space="preserve"> LN([1]misc!D51)</f>
        <v>5.7856696341283849</v>
      </c>
      <c r="AN32">
        <f xml:space="preserve"> LN([1]misc!G156)</f>
        <v>2.8068089731254737</v>
      </c>
      <c r="AO32">
        <f xml:space="preserve"> LN([1]misc!J62 + [1]misc!L62)</f>
        <v>2.4042387467205457</v>
      </c>
      <c r="AP32">
        <f xml:space="preserve"> [1]Factors!B32</f>
        <v>-0.39959702699999999</v>
      </c>
      <c r="AQ32">
        <f xml:space="preserve"> [1]Factors!C32</f>
        <v>-0.31612472400000002</v>
      </c>
      <c r="AR32">
        <f xml:space="preserve"> [1]Factors!D32</f>
        <v>3.58280791E-2</v>
      </c>
      <c r="AS32">
        <f xml:space="preserve"> [1]Factors!E32</f>
        <v>-4.9091890700000002E-2</v>
      </c>
      <c r="AT32">
        <f xml:space="preserve"> [1]Factors!F32</f>
        <v>-0.24141728000000001</v>
      </c>
    </row>
    <row r="33" spans="1:46" x14ac:dyDescent="0.25">
      <c r="A33">
        <f t="shared" si="3"/>
        <v>1961.583333333331</v>
      </c>
      <c r="B33" s="1">
        <v>22494</v>
      </c>
      <c r="C33" s="7">
        <f t="shared" si="0"/>
        <v>1961</v>
      </c>
      <c r="D33" s="7">
        <f t="shared" si="1"/>
        <v>8</v>
      </c>
      <c r="E33" s="7">
        <f t="shared" si="2"/>
        <v>3</v>
      </c>
      <c r="F33">
        <f xml:space="preserve"> [1]Coibion_update!O39</f>
        <v>3.2058351638598488</v>
      </c>
      <c r="G33">
        <f xml:space="preserve"> [1]Coibion_update!P39</f>
        <v>6.6</v>
      </c>
      <c r="H33">
        <f xml:space="preserve"> [1]Coibion_update!Q39</f>
        <v>3.3991953789914824</v>
      </c>
      <c r="I33">
        <f xml:space="preserve"> [1]Coibion_update!W39</f>
        <v>2</v>
      </c>
      <c r="J33">
        <f xml:space="preserve"> [1]Coibion_update!X39</f>
        <v>4.604169685654508</v>
      </c>
      <c r="K33">
        <f xml:space="preserve"> [1]Coibion_update!Y39</f>
        <v>2.0750569433620116</v>
      </c>
      <c r="L33">
        <f xml:space="preserve"> [1]Coibion_update!Z39</f>
        <v>3.4189718097613198</v>
      </c>
      <c r="M33">
        <f xml:space="preserve"> [1]Coibion_update!AA39</f>
        <v>2.9491646377376561</v>
      </c>
      <c r="X33" s="5">
        <f xml:space="preserve"> [1]misc!N116</f>
        <v>3.06</v>
      </c>
      <c r="AK33">
        <v>1.75</v>
      </c>
      <c r="AL33">
        <f xml:space="preserve"> LN([1]misc!B52)</f>
        <v>4.966335035199676</v>
      </c>
      <c r="AM33">
        <f xml:space="preserve"> LN([1]misc!D52)</f>
        <v>5.7917933519789147</v>
      </c>
      <c r="AN33">
        <f xml:space="preserve"> LN([1]misc!G157)</f>
        <v>2.8148097376737438</v>
      </c>
      <c r="AO33">
        <f xml:space="preserve"> LN([1]misc!J63 + [1]misc!L63)</f>
        <v>2.4131420835586894</v>
      </c>
      <c r="AP33">
        <f xml:space="preserve"> [1]Factors!B33</f>
        <v>-0.19016815000000001</v>
      </c>
      <c r="AQ33">
        <f xml:space="preserve"> [1]Factors!C33</f>
        <v>-0.233935685</v>
      </c>
      <c r="AR33">
        <f xml:space="preserve"> [1]Factors!D33</f>
        <v>0.14397384199999999</v>
      </c>
      <c r="AS33">
        <f xml:space="preserve"> [1]Factors!E33</f>
        <v>2.7489018399999999E-3</v>
      </c>
      <c r="AT33">
        <f xml:space="preserve"> [1]Factors!F33</f>
        <v>-0.12225094</v>
      </c>
    </row>
    <row r="34" spans="1:46" x14ac:dyDescent="0.25">
      <c r="A34">
        <f t="shared" si="3"/>
        <v>1961.6666666666642</v>
      </c>
      <c r="B34" s="1">
        <v>22525</v>
      </c>
      <c r="C34" s="7">
        <f t="shared" si="0"/>
        <v>1961</v>
      </c>
      <c r="D34" s="7">
        <f t="shared" si="1"/>
        <v>9</v>
      </c>
      <c r="E34" s="7">
        <f t="shared" si="2"/>
        <v>3</v>
      </c>
      <c r="F34">
        <f xml:space="preserve"> [1]Coibion_update!O40</f>
        <v>3.2047079325932271</v>
      </c>
      <c r="G34">
        <f xml:space="preserve"> [1]Coibion_update!P40</f>
        <v>6.7</v>
      </c>
      <c r="H34">
        <f xml:space="preserve"> [1]Coibion_update!Q40</f>
        <v>3.4005304926744517</v>
      </c>
      <c r="I34">
        <f xml:space="preserve"> [1]Coibion_update!W40</f>
        <v>1.88</v>
      </c>
      <c r="J34">
        <f xml:space="preserve"> [1]Coibion_update!X40</f>
        <v>4.6001576441645469</v>
      </c>
      <c r="K34">
        <f xml:space="preserve"> [1]Coibion_update!Y40</f>
        <v>2.0811900122139528</v>
      </c>
      <c r="L34">
        <f xml:space="preserve"> [1]Coibion_update!Z40</f>
        <v>3.424783691468297</v>
      </c>
      <c r="M34">
        <f xml:space="preserve"> [1]Coibion_update!AA40</f>
        <v>2.9543371981876052</v>
      </c>
      <c r="X34" s="5">
        <f xml:space="preserve"> [1]misc!N117</f>
        <v>3.06</v>
      </c>
      <c r="AK34">
        <v>1.5</v>
      </c>
      <c r="AL34">
        <f xml:space="preserve"> LN([1]misc!B53)</f>
        <v>4.9684234452869465</v>
      </c>
      <c r="AM34">
        <f xml:space="preserve"> LN([1]misc!D53)</f>
        <v>5.7975763539425618</v>
      </c>
      <c r="AN34">
        <f xml:space="preserve"> LN([1]misc!G158)</f>
        <v>2.8216169533071356</v>
      </c>
      <c r="AO34">
        <f xml:space="preserve"> LN([1]misc!J64 + [1]misc!L64)</f>
        <v>2.4204570135889347</v>
      </c>
      <c r="AP34">
        <f xml:space="preserve"> [1]Factors!B34</f>
        <v>-0.405302459</v>
      </c>
      <c r="AQ34">
        <f xml:space="preserve"> [1]Factors!C34</f>
        <v>-0.25439478799999998</v>
      </c>
      <c r="AR34">
        <f xml:space="preserve"> [1]Factors!D34</f>
        <v>-2.81038768E-3</v>
      </c>
      <c r="AS34">
        <f xml:space="preserve"> [1]Factors!E34</f>
        <v>-8.2897945399999992E-3</v>
      </c>
      <c r="AT34">
        <f xml:space="preserve"> [1]Factors!F34</f>
        <v>-3.25964979E-2</v>
      </c>
    </row>
    <row r="35" spans="1:46" x14ac:dyDescent="0.25">
      <c r="A35">
        <f t="shared" si="3"/>
        <v>1961.7499999999975</v>
      </c>
      <c r="B35" s="1">
        <v>22555</v>
      </c>
      <c r="C35" s="7">
        <f t="shared" si="0"/>
        <v>1961</v>
      </c>
      <c r="D35" s="7">
        <f t="shared" si="1"/>
        <v>10</v>
      </c>
      <c r="E35" s="7">
        <f t="shared" si="2"/>
        <v>4</v>
      </c>
      <c r="F35">
        <f xml:space="preserve"> [1]Coibion_update!O41</f>
        <v>3.2237121111596512</v>
      </c>
      <c r="G35">
        <f xml:space="preserve"> [1]Coibion_update!P41</f>
        <v>6.5</v>
      </c>
      <c r="H35">
        <f xml:space="preserve"> [1]Coibion_update!Q41</f>
        <v>3.4005304926744517</v>
      </c>
      <c r="I35">
        <f xml:space="preserve"> [1]Coibion_update!W41</f>
        <v>2.2599999999999998</v>
      </c>
      <c r="J35">
        <f xml:space="preserve"> [1]Coibion_update!X41</f>
        <v>4.5900565481780431</v>
      </c>
      <c r="K35">
        <f xml:space="preserve"> [1]Coibion_update!Y41</f>
        <v>2.095929859184638</v>
      </c>
      <c r="L35">
        <f xml:space="preserve"> [1]Coibion_update!Z41</f>
        <v>3.426182634356064</v>
      </c>
      <c r="M35">
        <f xml:space="preserve"> [1]Coibion_update!AA41</f>
        <v>2.9621754900251482</v>
      </c>
      <c r="X35" s="5">
        <f xml:space="preserve"> [1]misc!N118</f>
        <v>3.05</v>
      </c>
      <c r="AK35">
        <v>2</v>
      </c>
      <c r="AL35">
        <f xml:space="preserve"> LN([1]misc!B54)</f>
        <v>4.9705075030054759</v>
      </c>
      <c r="AM35">
        <f xml:space="preserve"> LN([1]misc!D54)</f>
        <v>5.8024204445532011</v>
      </c>
      <c r="AN35">
        <f xml:space="preserve"> LN([1]misc!G159)</f>
        <v>2.8386690229741309</v>
      </c>
      <c r="AO35">
        <f xml:space="preserve"> LN([1]misc!J65 + [1]misc!L65)</f>
        <v>2.4285126495918363</v>
      </c>
      <c r="AP35">
        <f xml:space="preserve"> [1]Factors!B35</f>
        <v>6.3359369700000001E-2</v>
      </c>
      <c r="AQ35">
        <f xml:space="preserve"> [1]Factors!C35</f>
        <v>-0.115431508</v>
      </c>
      <c r="AR35">
        <f xml:space="preserve"> [1]Factors!D35</f>
        <v>-3.5220883500000001E-2</v>
      </c>
      <c r="AS35">
        <f xml:space="preserve"> [1]Factors!E35</f>
        <v>-0.17171710300000001</v>
      </c>
      <c r="AT35">
        <f xml:space="preserve"> [1]Factors!F35</f>
        <v>0.30053709299999998</v>
      </c>
    </row>
    <row r="36" spans="1:46" x14ac:dyDescent="0.25">
      <c r="A36">
        <f t="shared" si="3"/>
        <v>1961.8333333333308</v>
      </c>
      <c r="B36" s="1">
        <v>22586</v>
      </c>
      <c r="C36" s="7">
        <f t="shared" si="0"/>
        <v>1961</v>
      </c>
      <c r="D36" s="7">
        <f t="shared" si="1"/>
        <v>11</v>
      </c>
      <c r="E36" s="7">
        <f t="shared" si="2"/>
        <v>4</v>
      </c>
      <c r="F36">
        <f xml:space="preserve"> [1]Coibion_update!O42</f>
        <v>3.2390979719967659</v>
      </c>
      <c r="G36">
        <f xml:space="preserve"> [1]Coibion_update!P42</f>
        <v>6.1</v>
      </c>
      <c r="H36">
        <f xml:space="preserve"> [1]Coibion_update!Q42</f>
        <v>3.4005304926744517</v>
      </c>
      <c r="I36">
        <f xml:space="preserve"> [1]Coibion_update!W42</f>
        <v>2.61</v>
      </c>
      <c r="J36">
        <f xml:space="preserve"> [1]Coibion_update!X42</f>
        <v>4.5793394259535702</v>
      </c>
      <c r="K36">
        <f xml:space="preserve"> [1]Coibion_update!Y42</f>
        <v>2.1239367815663872</v>
      </c>
      <c r="L36">
        <f xml:space="preserve"> [1]Coibion_update!Z42</f>
        <v>3.4335677616926059</v>
      </c>
      <c r="M36">
        <f xml:space="preserve"> [1]Coibion_update!AA42</f>
        <v>2.9685666054812212</v>
      </c>
      <c r="X36" s="5">
        <f xml:space="preserve"> [1]misc!N119</f>
        <v>3.07</v>
      </c>
      <c r="AK36">
        <v>1.75</v>
      </c>
      <c r="AL36">
        <f xml:space="preserve"> LN([1]misc!B55)</f>
        <v>4.9753534799516164</v>
      </c>
      <c r="AM36">
        <f xml:space="preserve"> LN([1]misc!D55)</f>
        <v>5.8093429703166937</v>
      </c>
      <c r="AN36">
        <f xml:space="preserve"> LN([1]misc!G160)</f>
        <v>2.8432801503623142</v>
      </c>
      <c r="AO36">
        <f xml:space="preserve"> LN([1]misc!J66 + [1]misc!L66)</f>
        <v>2.4322088607875512</v>
      </c>
      <c r="AP36">
        <f xml:space="preserve"> [1]Factors!B36</f>
        <v>-0.51254359599999999</v>
      </c>
      <c r="AQ36">
        <f xml:space="preserve"> [1]Factors!C36</f>
        <v>-0.39786554200000002</v>
      </c>
      <c r="AR36">
        <f xml:space="preserve"> [1]Factors!D36</f>
        <v>-7.6676223099999996E-2</v>
      </c>
      <c r="AS36">
        <f xml:space="preserve"> [1]Factors!E36</f>
        <v>7.0063366099999996E-2</v>
      </c>
      <c r="AT36">
        <f xml:space="preserve"> [1]Factors!F36</f>
        <v>-0.34055722900000002</v>
      </c>
    </row>
    <row r="37" spans="1:46" x14ac:dyDescent="0.25">
      <c r="A37">
        <f t="shared" si="3"/>
        <v>1961.916666666664</v>
      </c>
      <c r="B37" s="1">
        <v>22616</v>
      </c>
      <c r="C37" s="7">
        <f t="shared" si="0"/>
        <v>1961</v>
      </c>
      <c r="D37" s="7">
        <f t="shared" si="1"/>
        <v>12</v>
      </c>
      <c r="E37" s="7">
        <f t="shared" si="2"/>
        <v>4</v>
      </c>
      <c r="F37">
        <f xml:space="preserve"> [1]Coibion_update!O43</f>
        <v>3.2477819870020475</v>
      </c>
      <c r="G37">
        <f xml:space="preserve"> [1]Coibion_update!P43</f>
        <v>6</v>
      </c>
      <c r="H37">
        <f xml:space="preserve"> [1]Coibion_update!Q43</f>
        <v>3.4015306594522756</v>
      </c>
      <c r="I37">
        <f xml:space="preserve"> [1]Coibion_update!W43</f>
        <v>2.33</v>
      </c>
      <c r="J37">
        <f xml:space="preserve"> [1]Coibion_update!X43</f>
        <v>4.6011621645905523</v>
      </c>
      <c r="K37">
        <f xml:space="preserve"> [1]Coibion_update!Y43</f>
        <v>2.144292513999452</v>
      </c>
      <c r="L37">
        <f xml:space="preserve"> [1]Coibion_update!Z43</f>
        <v>3.4387179324093351</v>
      </c>
      <c r="M37">
        <f xml:space="preserve"> [1]Coibion_update!AA43</f>
        <v>2.9730775829891849</v>
      </c>
      <c r="X37" s="5">
        <f xml:space="preserve"> [1]misc!N120</f>
        <v>3.18</v>
      </c>
      <c r="AK37">
        <v>2.5</v>
      </c>
      <c r="AL37">
        <f xml:space="preserve"> LN([1]misc!B56)</f>
        <v>4.9781121023906953</v>
      </c>
      <c r="AM37">
        <f xml:space="preserve"> LN([1]misc!D56)</f>
        <v>5.8156219564117366</v>
      </c>
      <c r="AN37">
        <f xml:space="preserve"> LN([1]misc!G161)</f>
        <v>2.8487971654302933</v>
      </c>
      <c r="AO37">
        <f xml:space="preserve"> LN([1]misc!J67 + [1]misc!L67)</f>
        <v>2.4306264428749298</v>
      </c>
      <c r="AP37">
        <f xml:space="preserve"> [1]Factors!B37</f>
        <v>-0.52001134400000004</v>
      </c>
      <c r="AQ37">
        <f xml:space="preserve"> [1]Factors!C37</f>
        <v>-0.40558091899999998</v>
      </c>
      <c r="AR37">
        <f xml:space="preserve"> [1]Factors!D37</f>
        <v>-0.142718805</v>
      </c>
      <c r="AS37">
        <f xml:space="preserve"> [1]Factors!E37</f>
        <v>4.06419815E-2</v>
      </c>
      <c r="AT37">
        <f xml:space="preserve"> [1]Factors!F37</f>
        <v>-0.11085495200000001</v>
      </c>
    </row>
    <row r="38" spans="1:46" x14ac:dyDescent="0.25">
      <c r="A38">
        <f t="shared" si="3"/>
        <v>1961.9999999999973</v>
      </c>
      <c r="B38" s="1">
        <v>22647</v>
      </c>
      <c r="C38" s="7">
        <f t="shared" si="0"/>
        <v>1962</v>
      </c>
      <c r="D38" s="7">
        <f t="shared" si="1"/>
        <v>1</v>
      </c>
      <c r="E38" s="7">
        <f t="shared" si="2"/>
        <v>1</v>
      </c>
      <c r="F38">
        <f xml:space="preserve"> [1]Coibion_update!O44</f>
        <v>3.2390940520652864</v>
      </c>
      <c r="G38">
        <f xml:space="preserve"> [1]Coibion_update!P44</f>
        <v>5.8</v>
      </c>
      <c r="H38">
        <f xml:space="preserve"> [1]Coibion_update!Q44</f>
        <v>3.4025298268959339</v>
      </c>
      <c r="I38">
        <f xml:space="preserve"> [1]Coibion_update!W44</f>
        <v>2.15</v>
      </c>
      <c r="J38">
        <f xml:space="preserve"> [1]Coibion_update!X44</f>
        <v>4.6089629842267872</v>
      </c>
      <c r="K38">
        <f xml:space="preserve"> [1]Coibion_update!Y44</f>
        <v>2.1410068973379905</v>
      </c>
      <c r="L38">
        <f xml:space="preserve"> [1]Coibion_update!Z44</f>
        <v>3.439263582468612</v>
      </c>
      <c r="M38">
        <f xml:space="preserve"> [1]Coibion_update!AA44</f>
        <v>2.9742532418768666</v>
      </c>
      <c r="X38" s="5">
        <f xml:space="preserve"> [1]misc!N121</f>
        <v>3.28</v>
      </c>
      <c r="AK38">
        <v>1.5</v>
      </c>
      <c r="AL38">
        <f xml:space="preserve"> LN([1]misc!B57)</f>
        <v>4.9781121023906953</v>
      </c>
      <c r="AM38">
        <f xml:space="preserve"> LN([1]misc!D57)</f>
        <v>5.8215655103125847</v>
      </c>
      <c r="AN38">
        <f xml:space="preserve"> LN([1]misc!G162)</f>
        <v>2.8444441593402092</v>
      </c>
      <c r="AO38">
        <f xml:space="preserve"> LN([1]misc!J68 + [1]misc!L68)</f>
        <v>2.4338764786752214</v>
      </c>
      <c r="AP38">
        <f xml:space="preserve"> [1]Factors!B38</f>
        <v>-0.31469571400000002</v>
      </c>
      <c r="AQ38">
        <f xml:space="preserve"> [1]Factors!C38</f>
        <v>-0.271921725</v>
      </c>
      <c r="AR38">
        <f xml:space="preserve"> [1]Factors!D38</f>
        <v>1.6555272900000001E-2</v>
      </c>
      <c r="AS38">
        <f xml:space="preserve"> [1]Factors!E38</f>
        <v>-9.2840793099999999E-2</v>
      </c>
      <c r="AT38">
        <f xml:space="preserve"> [1]Factors!F38</f>
        <v>-1.6136878699999999E-2</v>
      </c>
    </row>
    <row r="39" spans="1:46" x14ac:dyDescent="0.25">
      <c r="A39">
        <f t="shared" si="3"/>
        <v>1962.0833333333305</v>
      </c>
      <c r="B39" s="1">
        <v>22678</v>
      </c>
      <c r="C39" s="7">
        <f t="shared" si="0"/>
        <v>1962</v>
      </c>
      <c r="D39" s="7">
        <f t="shared" si="1"/>
        <v>2</v>
      </c>
      <c r="E39" s="7">
        <f t="shared" si="2"/>
        <v>1</v>
      </c>
      <c r="F39">
        <f xml:space="preserve"> [1]Coibion_update!O45</f>
        <v>3.2553196089974983</v>
      </c>
      <c r="G39">
        <f xml:space="preserve"> [1]Coibion_update!P45</f>
        <v>5.5</v>
      </c>
      <c r="H39">
        <f xml:space="preserve"> [1]Coibion_update!Q45</f>
        <v>3.4048573424936426</v>
      </c>
      <c r="I39">
        <f xml:space="preserve"> [1]Coibion_update!W45</f>
        <v>2.37</v>
      </c>
      <c r="J39">
        <f xml:space="preserve"> [1]Coibion_update!X45</f>
        <v>4.5875152507493704</v>
      </c>
      <c r="K39">
        <f xml:space="preserve"> [1]Coibion_update!Y45</f>
        <v>2.136412437939462</v>
      </c>
      <c r="L39">
        <f xml:space="preserve"> [1]Coibion_update!Z45</f>
        <v>3.4365645254994468</v>
      </c>
      <c r="M39">
        <f xml:space="preserve"> [1]Coibion_update!AA45</f>
        <v>2.976804263668472</v>
      </c>
      <c r="X39" s="5">
        <f xml:space="preserve"> [1]misc!N122</f>
        <v>3.28</v>
      </c>
      <c r="AK39">
        <v>2.75</v>
      </c>
      <c r="AL39">
        <f xml:space="preserve"> LN([1]misc!B58)</f>
        <v>4.9815497132011588</v>
      </c>
      <c r="AM39">
        <f xml:space="preserve"> LN([1]misc!D58)</f>
        <v>5.8292396920131502</v>
      </c>
      <c r="AN39">
        <f xml:space="preserve"> LN([1]misc!G163)</f>
        <v>2.8283190334931549</v>
      </c>
      <c r="AO39">
        <f xml:space="preserve"> LN([1]misc!J69 + [1]misc!L69)</f>
        <v>2.4188558746594322</v>
      </c>
      <c r="AP39">
        <f xml:space="preserve"> [1]Factors!B39</f>
        <v>0.10035741300000001</v>
      </c>
      <c r="AQ39">
        <f xml:space="preserve"> [1]Factors!C39</f>
        <v>-7.6134829099999995E-2</v>
      </c>
      <c r="AR39">
        <f xml:space="preserve"> [1]Factors!D39</f>
        <v>-2.3309460600000002E-2</v>
      </c>
      <c r="AS39">
        <f xml:space="preserve"> [1]Factors!E39</f>
        <v>-0.26336114300000002</v>
      </c>
      <c r="AT39">
        <f xml:space="preserve"> [1]Factors!F39</f>
        <v>0.42667422399999999</v>
      </c>
    </row>
    <row r="40" spans="1:46" x14ac:dyDescent="0.25">
      <c r="A40">
        <f t="shared" si="3"/>
        <v>1962.1666666666638</v>
      </c>
      <c r="B40" s="1">
        <v>22706</v>
      </c>
      <c r="C40" s="7">
        <f t="shared" si="0"/>
        <v>1962</v>
      </c>
      <c r="D40" s="7">
        <f t="shared" si="1"/>
        <v>3</v>
      </c>
      <c r="E40" s="7">
        <f t="shared" si="2"/>
        <v>1</v>
      </c>
      <c r="F40">
        <f xml:space="preserve"> [1]Coibion_update!O46</f>
        <v>3.2606739827858986</v>
      </c>
      <c r="G40">
        <f xml:space="preserve"> [1]Coibion_update!P46</f>
        <v>5.6</v>
      </c>
      <c r="H40">
        <f xml:space="preserve"> [1]Coibion_update!Q46</f>
        <v>3.4068480531709699</v>
      </c>
      <c r="I40">
        <f xml:space="preserve"> [1]Coibion_update!W46</f>
        <v>2.85</v>
      </c>
      <c r="J40">
        <f xml:space="preserve"> [1]Coibion_update!X46</f>
        <v>4.5918822916611557</v>
      </c>
      <c r="K40">
        <f xml:space="preserve"> [1]Coibion_update!Y46</f>
        <v>2.1516459174287594</v>
      </c>
      <c r="L40">
        <f xml:space="preserve"> [1]Coibion_update!Z46</f>
        <v>3.4474128054591184</v>
      </c>
      <c r="M40">
        <f xml:space="preserve"> [1]Coibion_update!AA46</f>
        <v>2.9810753842103574</v>
      </c>
      <c r="X40" s="5">
        <f xml:space="preserve"> [1]misc!N123</f>
        <v>3.06</v>
      </c>
      <c r="AK40">
        <v>2.75</v>
      </c>
      <c r="AL40">
        <f xml:space="preserve"> LN([1]misc!B59)</f>
        <v>4.9836066217083363</v>
      </c>
      <c r="AM40">
        <f xml:space="preserve"> LN([1]misc!D59)</f>
        <v>5.8380219498644044</v>
      </c>
      <c r="AN40">
        <f xml:space="preserve"> LN([1]misc!G164)</f>
        <v>2.8303268291363493</v>
      </c>
      <c r="AO40">
        <f xml:space="preserve"> LN([1]misc!J70 + [1]misc!L70)</f>
        <v>2.4132316130811091</v>
      </c>
      <c r="AP40">
        <f xml:space="preserve"> [1]Factors!B40</f>
        <v>-0.55694423299999996</v>
      </c>
      <c r="AQ40">
        <f xml:space="preserve"> [1]Factors!C40</f>
        <v>-0.18414488100000001</v>
      </c>
      <c r="AR40">
        <f xml:space="preserve"> [1]Factors!D40</f>
        <v>-8.3829525500000002E-2</v>
      </c>
      <c r="AS40">
        <f xml:space="preserve"> [1]Factors!E40</f>
        <v>8.2014951599999997E-2</v>
      </c>
      <c r="AT40">
        <f xml:space="preserve"> [1]Factors!F40</f>
        <v>-4.5449070500000001E-2</v>
      </c>
    </row>
    <row r="41" spans="1:46" x14ac:dyDescent="0.25">
      <c r="A41">
        <f t="shared" si="3"/>
        <v>1962.249999999997</v>
      </c>
      <c r="B41" s="1">
        <v>22737</v>
      </c>
      <c r="C41" s="7">
        <f t="shared" si="0"/>
        <v>1962</v>
      </c>
      <c r="D41" s="7">
        <f t="shared" si="1"/>
        <v>4</v>
      </c>
      <c r="E41" s="7">
        <f t="shared" si="2"/>
        <v>2</v>
      </c>
      <c r="F41">
        <f xml:space="preserve"> [1]Coibion_update!O47</f>
        <v>3.2628046681318663</v>
      </c>
      <c r="G41">
        <f xml:space="preserve"> [1]Coibion_update!P47</f>
        <v>5.6</v>
      </c>
      <c r="H41">
        <f xml:space="preserve"> [1]Coibion_update!Q47</f>
        <v>3.4081729953985804</v>
      </c>
      <c r="I41">
        <f xml:space="preserve"> [1]Coibion_update!W47</f>
        <v>2.78</v>
      </c>
      <c r="J41">
        <f xml:space="preserve"> [1]Coibion_update!X47</f>
        <v>4.5788262106484892</v>
      </c>
      <c r="K41">
        <f xml:space="preserve"> [1]Coibion_update!Y47</f>
        <v>2.158021641802693</v>
      </c>
      <c r="L41">
        <f xml:space="preserve"> [1]Coibion_update!Z47</f>
        <v>3.4452461644968362</v>
      </c>
      <c r="M41">
        <f xml:space="preserve"> [1]Coibion_update!AA47</f>
        <v>2.9882040071331994</v>
      </c>
      <c r="X41" s="5">
        <f xml:space="preserve"> [1]misc!N124</f>
        <v>2.99</v>
      </c>
      <c r="AK41">
        <v>2.5</v>
      </c>
      <c r="AL41">
        <f xml:space="preserve"> LN([1]misc!B60)</f>
        <v>4.9863426015272116</v>
      </c>
      <c r="AM41">
        <f xml:space="preserve"> LN([1]misc!D60)</f>
        <v>5.8449926432077248</v>
      </c>
      <c r="AN41">
        <f xml:space="preserve"> LN([1]misc!G165)</f>
        <v>2.8365606766587357</v>
      </c>
      <c r="AO41">
        <f xml:space="preserve"> LN([1]misc!J71 + [1]misc!L71)</f>
        <v>2.4210789870418346</v>
      </c>
      <c r="AP41">
        <f xml:space="preserve"> [1]Factors!B41</f>
        <v>-0.19985382900000001</v>
      </c>
      <c r="AQ41">
        <f xml:space="preserve"> [1]Factors!C41</f>
        <v>-0.14230088099999999</v>
      </c>
      <c r="AR41">
        <f xml:space="preserve"> [1]Factors!D41</f>
        <v>-0.18683535900000001</v>
      </c>
      <c r="AS41">
        <f xml:space="preserve"> [1]Factors!E41</f>
        <v>-6.3100246600000007E-2</v>
      </c>
      <c r="AT41">
        <f xml:space="preserve"> [1]Factors!F41</f>
        <v>1.39046021E-2</v>
      </c>
    </row>
    <row r="42" spans="1:46" x14ac:dyDescent="0.25">
      <c r="A42">
        <f t="shared" si="3"/>
        <v>1962.3333333333303</v>
      </c>
      <c r="B42" s="1">
        <v>22767</v>
      </c>
      <c r="C42" s="7">
        <f t="shared" si="0"/>
        <v>1962</v>
      </c>
      <c r="D42" s="7">
        <f t="shared" si="1"/>
        <v>5</v>
      </c>
      <c r="E42" s="7">
        <f t="shared" si="2"/>
        <v>2</v>
      </c>
      <c r="F42">
        <f xml:space="preserve"> [1]Coibion_update!O48</f>
        <v>3.2617398929362804</v>
      </c>
      <c r="G42">
        <f xml:space="preserve"> [1]Coibion_update!P48</f>
        <v>5.5</v>
      </c>
      <c r="H42">
        <f xml:space="preserve"> [1]Coibion_update!Q48</f>
        <v>3.4091655513113324</v>
      </c>
      <c r="I42">
        <f xml:space="preserve"> [1]Coibion_update!W48</f>
        <v>2.36</v>
      </c>
      <c r="J42">
        <f xml:space="preserve"> [1]Coibion_update!X48</f>
        <v>4.5682987112121864</v>
      </c>
      <c r="K42">
        <f xml:space="preserve"> [1]Coibion_update!Y48</f>
        <v>2.180982271234797</v>
      </c>
      <c r="L42">
        <f xml:space="preserve"> [1]Coibion_update!Z48</f>
        <v>3.450019291359439</v>
      </c>
      <c r="M42">
        <f xml:space="preserve"> [1]Coibion_update!AA48</f>
        <v>2.9937302708833178</v>
      </c>
      <c r="X42" s="5">
        <f xml:space="preserve"> [1]misc!N125</f>
        <v>3.03</v>
      </c>
      <c r="AK42">
        <v>2.75</v>
      </c>
      <c r="AL42">
        <f xml:space="preserve"> LN([1]misc!B61)</f>
        <v>4.9890711161804155</v>
      </c>
      <c r="AM42">
        <f xml:space="preserve"> LN([1]misc!D61)</f>
        <v>5.8507646650048466</v>
      </c>
      <c r="AN42">
        <f xml:space="preserve"> LN([1]misc!G166)</f>
        <v>2.84193986287401</v>
      </c>
      <c r="AO42">
        <f xml:space="preserve"> LN([1]misc!J72 + [1]misc!L72)</f>
        <v>2.4268360553319024</v>
      </c>
      <c r="AP42">
        <f xml:space="preserve"> [1]Factors!B42</f>
        <v>-0.28598397399999997</v>
      </c>
      <c r="AQ42">
        <f xml:space="preserve"> [1]Factors!C42</f>
        <v>-0.16662783</v>
      </c>
      <c r="AR42">
        <f xml:space="preserve"> [1]Factors!D42</f>
        <v>-0.20257752300000001</v>
      </c>
      <c r="AS42">
        <f xml:space="preserve"> [1]Factors!E42</f>
        <v>-7.3301083700000005E-2</v>
      </c>
      <c r="AT42">
        <f xml:space="preserve"> [1]Factors!F42</f>
        <v>4.6631010899999999E-2</v>
      </c>
    </row>
    <row r="43" spans="1:46" x14ac:dyDescent="0.25">
      <c r="A43">
        <f t="shared" si="3"/>
        <v>1962.4166666666636</v>
      </c>
      <c r="B43" s="1">
        <v>22798</v>
      </c>
      <c r="C43" s="7">
        <f t="shared" si="0"/>
        <v>1962</v>
      </c>
      <c r="D43" s="7">
        <f t="shared" si="1"/>
        <v>6</v>
      </c>
      <c r="E43" s="7">
        <f t="shared" si="2"/>
        <v>2</v>
      </c>
      <c r="F43">
        <f xml:space="preserve"> [1]Coibion_update!O49</f>
        <v>3.2596030949022334</v>
      </c>
      <c r="G43">
        <f xml:space="preserve"> [1]Coibion_update!P49</f>
        <v>5.5</v>
      </c>
      <c r="H43">
        <f xml:space="preserve"> [1]Coibion_update!Q49</f>
        <v>3.4081729953985804</v>
      </c>
      <c r="I43">
        <f xml:space="preserve"> [1]Coibion_update!W49</f>
        <v>2.68</v>
      </c>
      <c r="J43">
        <f xml:space="preserve"> [1]Coibion_update!X49</f>
        <v>4.5533504372582954</v>
      </c>
      <c r="K43">
        <f xml:space="preserve"> [1]Coibion_update!Y49</f>
        <v>2.1692822456796255</v>
      </c>
      <c r="L43">
        <f xml:space="preserve"> [1]Coibion_update!Z49</f>
        <v>3.4399692761626937</v>
      </c>
      <c r="M43">
        <f xml:space="preserve"> [1]Coibion_update!AA49</f>
        <v>2.9946316681099581</v>
      </c>
      <c r="X43" s="5">
        <f xml:space="preserve"> [1]misc!N126</f>
        <v>3.03</v>
      </c>
      <c r="AK43">
        <v>2.75</v>
      </c>
      <c r="AL43">
        <f xml:space="preserve"> LN([1]misc!B62)</f>
        <v>4.9877077894525508</v>
      </c>
      <c r="AM43">
        <f xml:space="preserve"> LN([1]misc!D62)</f>
        <v>5.8559311518127863</v>
      </c>
      <c r="AN43">
        <f xml:space="preserve"> LN([1]misc!G167)</f>
        <v>2.84514191492149</v>
      </c>
      <c r="AO43">
        <f xml:space="preserve"> LN([1]misc!J73 + [1]misc!L73)</f>
        <v>2.4182325165200078</v>
      </c>
      <c r="AP43">
        <f xml:space="preserve"> [1]Factors!B43</f>
        <v>0.12564383500000001</v>
      </c>
      <c r="AQ43">
        <f xml:space="preserve"> [1]Factors!C43</f>
        <v>-9.9855799100000003E-2</v>
      </c>
      <c r="AR43">
        <f xml:space="preserve"> [1]Factors!D43</f>
        <v>-9.2857874699999995E-2</v>
      </c>
      <c r="AS43">
        <f xml:space="preserve"> [1]Factors!E43</f>
        <v>-0.24201476</v>
      </c>
      <c r="AT43">
        <f xml:space="preserve"> [1]Factors!F43</f>
        <v>-7.2426560299999998E-2</v>
      </c>
    </row>
    <row r="44" spans="1:46" x14ac:dyDescent="0.25">
      <c r="A44">
        <f t="shared" si="3"/>
        <v>1962.4999999999968</v>
      </c>
      <c r="B44" s="1">
        <v>22828</v>
      </c>
      <c r="C44" s="7">
        <f t="shared" si="0"/>
        <v>1962</v>
      </c>
      <c r="D44" s="7">
        <f t="shared" si="1"/>
        <v>7</v>
      </c>
      <c r="E44" s="7">
        <f t="shared" si="2"/>
        <v>3</v>
      </c>
      <c r="F44">
        <f xml:space="preserve"> [1]Coibion_update!O50</f>
        <v>3.2691734237154297</v>
      </c>
      <c r="G44">
        <f xml:space="preserve"> [1]Coibion_update!P50</f>
        <v>5.4</v>
      </c>
      <c r="H44">
        <f xml:space="preserve"> [1]Coibion_update!Q50</f>
        <v>3.4085039568445934</v>
      </c>
      <c r="I44">
        <f xml:space="preserve"> [1]Coibion_update!W50</f>
        <v>2.71</v>
      </c>
      <c r="J44">
        <f xml:space="preserve"> [1]Coibion_update!X50</f>
        <v>4.5466932562291156</v>
      </c>
      <c r="K44">
        <f xml:space="preserve"> [1]Coibion_update!Y50</f>
        <v>2.1689394081241273</v>
      </c>
      <c r="L44">
        <f xml:space="preserve"> [1]Coibion_update!Z50</f>
        <v>3.4457563848593193</v>
      </c>
      <c r="M44">
        <f xml:space="preserve"> [1]Coibion_update!AA50</f>
        <v>2.996931554129473</v>
      </c>
      <c r="X44" s="5">
        <f xml:space="preserve"> [1]misc!N127</f>
        <v>3.29</v>
      </c>
      <c r="AK44">
        <v>2.75</v>
      </c>
      <c r="AL44">
        <f xml:space="preserve"> LN([1]misc!B63)</f>
        <v>4.9870254284571223</v>
      </c>
      <c r="AM44">
        <f xml:space="preserve"> LN([1]misc!D63)</f>
        <v>5.8602162604980279</v>
      </c>
      <c r="AN44">
        <f xml:space="preserve"> LN([1]misc!G168)</f>
        <v>2.8482178582654418</v>
      </c>
      <c r="AO44">
        <f xml:space="preserve"> LN([1]misc!J74 + [1]misc!L74)</f>
        <v>2.4249797012076515</v>
      </c>
      <c r="AP44">
        <f xml:space="preserve"> [1]Factors!B44</f>
        <v>0.16723147899999999</v>
      </c>
      <c r="AQ44">
        <f xml:space="preserve"> [1]Factors!C44</f>
        <v>-0.120120955</v>
      </c>
      <c r="AR44">
        <f xml:space="preserve"> [1]Factors!D44</f>
        <v>-7.7980258499999996E-2</v>
      </c>
      <c r="AS44">
        <f xml:space="preserve"> [1]Factors!E44</f>
        <v>-0.34824217000000002</v>
      </c>
      <c r="AT44">
        <f xml:space="preserve"> [1]Factors!F44</f>
        <v>0.106892023</v>
      </c>
    </row>
    <row r="45" spans="1:46" x14ac:dyDescent="0.25">
      <c r="A45">
        <f t="shared" si="3"/>
        <v>1962.5833333333301</v>
      </c>
      <c r="B45" s="1">
        <v>22859</v>
      </c>
      <c r="C45" s="7">
        <f t="shared" si="0"/>
        <v>1962</v>
      </c>
      <c r="D45" s="7">
        <f t="shared" si="1"/>
        <v>8</v>
      </c>
      <c r="E45" s="7">
        <f t="shared" si="2"/>
        <v>3</v>
      </c>
      <c r="F45">
        <f xml:space="preserve"> [1]Coibion_update!O51</f>
        <v>3.2702303173831075</v>
      </c>
      <c r="G45">
        <f xml:space="preserve"> [1]Coibion_update!P51</f>
        <v>5.7</v>
      </c>
      <c r="H45">
        <f xml:space="preserve"> [1]Coibion_update!Q51</f>
        <v>3.4104874285692479</v>
      </c>
      <c r="I45">
        <f xml:space="preserve"> [1]Coibion_update!W51</f>
        <v>2.93</v>
      </c>
      <c r="J45">
        <f xml:space="preserve"> [1]Coibion_update!X51</f>
        <v>4.5485998344996972</v>
      </c>
      <c r="K45">
        <f xml:space="preserve"> [1]Coibion_update!Y51</f>
        <v>2.165504552445678</v>
      </c>
      <c r="L45">
        <f xml:space="preserve"> [1]Coibion_update!Z51</f>
        <v>3.4505588111998797</v>
      </c>
      <c r="M45">
        <f xml:space="preserve"> [1]Coibion_update!AA51</f>
        <v>2.9999234781724589</v>
      </c>
      <c r="X45" s="5">
        <f xml:space="preserve"> [1]misc!N128</f>
        <v>3.2</v>
      </c>
      <c r="AK45">
        <v>3</v>
      </c>
      <c r="AL45">
        <f xml:space="preserve"> LN([1]misc!B64)</f>
        <v>4.9877077894525508</v>
      </c>
      <c r="AM45">
        <f xml:space="preserve"> LN([1]misc!D64)</f>
        <v>5.8659013241326363</v>
      </c>
      <c r="AN45">
        <f xml:space="preserve"> LN([1]misc!G169)</f>
        <v>2.841298220246927</v>
      </c>
      <c r="AO45">
        <f xml:space="preserve"> LN([1]misc!J75 + [1]misc!L75)</f>
        <v>2.4186778119808992</v>
      </c>
      <c r="AP45">
        <f xml:space="preserve"> [1]Factors!B45</f>
        <v>-0.111753428</v>
      </c>
      <c r="AQ45">
        <f xml:space="preserve"> [1]Factors!C45</f>
        <v>-0.27787433</v>
      </c>
      <c r="AR45">
        <f xml:space="preserve"> [1]Factors!D45</f>
        <v>-4.58330084E-2</v>
      </c>
      <c r="AS45">
        <f xml:space="preserve"> [1]Factors!E45</f>
        <v>-0.112973634</v>
      </c>
      <c r="AT45">
        <f xml:space="preserve"> [1]Factors!F45</f>
        <v>-0.25029072099999999</v>
      </c>
    </row>
    <row r="46" spans="1:46" x14ac:dyDescent="0.25">
      <c r="A46">
        <f t="shared" si="3"/>
        <v>1962.6666666666633</v>
      </c>
      <c r="B46" s="1">
        <v>22890</v>
      </c>
      <c r="C46" s="7">
        <f t="shared" si="0"/>
        <v>1962</v>
      </c>
      <c r="D46" s="7">
        <f t="shared" si="1"/>
        <v>9</v>
      </c>
      <c r="E46" s="7">
        <f t="shared" si="2"/>
        <v>3</v>
      </c>
      <c r="F46">
        <f xml:space="preserve"> [1]Coibion_update!O52</f>
        <v>3.2765521045924619</v>
      </c>
      <c r="G46">
        <f xml:space="preserve"> [1]Coibion_update!P52</f>
        <v>5.6</v>
      </c>
      <c r="H46">
        <f xml:space="preserve"> [1]Coibion_update!Q52</f>
        <v>3.4151002868311466</v>
      </c>
      <c r="I46">
        <f xml:space="preserve"> [1]Coibion_update!W52</f>
        <v>2.9</v>
      </c>
      <c r="J46">
        <f xml:space="preserve"> [1]Coibion_update!X52</f>
        <v>4.5473291862982412</v>
      </c>
      <c r="K46">
        <f xml:space="preserve"> [1]Coibion_update!Y52</f>
        <v>2.1955565202355225</v>
      </c>
      <c r="L46">
        <f xml:space="preserve"> [1]Coibion_update!Z52</f>
        <v>3.4621043165656769</v>
      </c>
      <c r="M46">
        <f xml:space="preserve"> [1]Coibion_update!AA52</f>
        <v>3.0054350490153761</v>
      </c>
      <c r="X46" s="5">
        <f xml:space="preserve"> [1]misc!N129</f>
        <v>3.06</v>
      </c>
      <c r="AK46">
        <v>2.75</v>
      </c>
      <c r="AL46">
        <f xml:space="preserve"> LN([1]misc!B65)</f>
        <v>4.9856593080260785</v>
      </c>
      <c r="AM46">
        <f xml:space="preserve"> LN([1]misc!D65)</f>
        <v>5.871836059652451</v>
      </c>
      <c r="AN46">
        <f xml:space="preserve"> LN([1]misc!G170)</f>
        <v>2.8470002197535917</v>
      </c>
      <c r="AO46">
        <f xml:space="preserve"> LN([1]misc!J76 + [1]misc!L76)</f>
        <v>2.425068177208594</v>
      </c>
      <c r="AP46">
        <f xml:space="preserve"> [1]Factors!B46</f>
        <v>9.4135017099999996E-2</v>
      </c>
      <c r="AQ46">
        <f xml:space="preserve"> [1]Factors!C46</f>
        <v>-2.7165650499999999E-2</v>
      </c>
      <c r="AR46">
        <f xml:space="preserve"> [1]Factors!D46</f>
        <v>-0.13851783200000001</v>
      </c>
      <c r="AS46">
        <f xml:space="preserve"> [1]Factors!E46</f>
        <v>-5.7621518300000001E-2</v>
      </c>
      <c r="AT46">
        <f xml:space="preserve"> [1]Factors!F46</f>
        <v>7.9266698799999993E-2</v>
      </c>
    </row>
    <row r="47" spans="1:46" x14ac:dyDescent="0.25">
      <c r="A47">
        <f t="shared" si="3"/>
        <v>1962.7499999999966</v>
      </c>
      <c r="B47" s="1">
        <v>22920</v>
      </c>
      <c r="C47" s="7">
        <f t="shared" si="0"/>
        <v>1962</v>
      </c>
      <c r="D47" s="7">
        <f t="shared" si="1"/>
        <v>10</v>
      </c>
      <c r="E47" s="7">
        <f t="shared" si="2"/>
        <v>4</v>
      </c>
      <c r="F47">
        <f xml:space="preserve"> [1]Coibion_update!O53</f>
        <v>3.2776050044095251</v>
      </c>
      <c r="G47">
        <f xml:space="preserve"> [1]Coibion_update!P53</f>
        <v>5.4</v>
      </c>
      <c r="H47">
        <f xml:space="preserve"> [1]Coibion_update!Q53</f>
        <v>3.4137844971676268</v>
      </c>
      <c r="I47">
        <f xml:space="preserve"> [1]Coibion_update!W53</f>
        <v>2.9</v>
      </c>
      <c r="J47">
        <f xml:space="preserve"> [1]Coibion_update!X53</f>
        <v>4.5513473792905845</v>
      </c>
      <c r="K47">
        <f xml:space="preserve"> [1]Coibion_update!Y53</f>
        <v>2.1698533805400873</v>
      </c>
      <c r="L47">
        <f xml:space="preserve"> [1]Coibion_update!Z53</f>
        <v>3.4540428042086808</v>
      </c>
      <c r="M47">
        <f xml:space="preserve"> [1]Coibion_update!AA53</f>
        <v>3.0088952600802719</v>
      </c>
      <c r="X47" s="5">
        <f xml:space="preserve"> [1]misc!N130</f>
        <v>2.98</v>
      </c>
      <c r="AK47">
        <v>3</v>
      </c>
      <c r="AL47">
        <f xml:space="preserve"> LN([1]misc!B66)</f>
        <v>4.9883896851489355</v>
      </c>
      <c r="AM47">
        <f xml:space="preserve"> LN([1]misc!D66)</f>
        <v>5.8782958490023436</v>
      </c>
      <c r="AN47">
        <f xml:space="preserve"> LN([1]misc!G171)</f>
        <v>2.8548597146725756</v>
      </c>
      <c r="AO47">
        <f xml:space="preserve"> LN([1]misc!J77 + [1]misc!L77)</f>
        <v>2.432472353828468</v>
      </c>
      <c r="AP47">
        <f xml:space="preserve"> [1]Factors!B47</f>
        <v>-0.14772802600000001</v>
      </c>
      <c r="AQ47">
        <f xml:space="preserve"> [1]Factors!C47</f>
        <v>7.3820953699999997E-2</v>
      </c>
      <c r="AR47">
        <f xml:space="preserve"> [1]Factors!D47</f>
        <v>2.77935063E-2</v>
      </c>
      <c r="AS47">
        <f xml:space="preserve"> [1]Factors!E47</f>
        <v>8.0415911199999995E-2</v>
      </c>
      <c r="AT47">
        <f xml:space="preserve"> [1]Factors!F47</f>
        <v>-7.5747696000000003E-2</v>
      </c>
    </row>
    <row r="48" spans="1:46" x14ac:dyDescent="0.25">
      <c r="A48">
        <f t="shared" si="3"/>
        <v>1962.8333333333298</v>
      </c>
      <c r="B48" s="1">
        <v>22951</v>
      </c>
      <c r="C48" s="7">
        <f t="shared" si="0"/>
        <v>1962</v>
      </c>
      <c r="D48" s="7">
        <f t="shared" si="1"/>
        <v>11</v>
      </c>
      <c r="E48" s="7">
        <f t="shared" si="2"/>
        <v>4</v>
      </c>
      <c r="F48">
        <f xml:space="preserve"> [1]Coibion_update!O54</f>
        <v>3.2817905283271651</v>
      </c>
      <c r="G48">
        <f xml:space="preserve"> [1]Coibion_update!P54</f>
        <v>5.7</v>
      </c>
      <c r="H48">
        <f xml:space="preserve"> [1]Coibion_update!Q54</f>
        <v>3.4137844971676268</v>
      </c>
      <c r="I48">
        <f xml:space="preserve"> [1]Coibion_update!W54</f>
        <v>2.94</v>
      </c>
      <c r="J48">
        <f xml:space="preserve"> [1]Coibion_update!X54</f>
        <v>4.5544030689344384</v>
      </c>
      <c r="K48">
        <f xml:space="preserve"> [1]Coibion_update!Y54</f>
        <v>2.2300144001592104</v>
      </c>
      <c r="L48">
        <f xml:space="preserve"> [1]Coibion_update!Z54</f>
        <v>3.4591203179951071</v>
      </c>
      <c r="M48">
        <f xml:space="preserve"> [1]Coibion_update!AA54</f>
        <v>3.0149955397348371</v>
      </c>
      <c r="X48" s="5">
        <f xml:space="preserve"> [1]misc!N131</f>
        <v>3</v>
      </c>
      <c r="AK48">
        <v>2.88</v>
      </c>
      <c r="AL48">
        <f xml:space="preserve"> LN([1]misc!B67)</f>
        <v>4.9924713234685845</v>
      </c>
      <c r="AM48">
        <f xml:space="preserve"> LN([1]misc!D67)</f>
        <v>5.885548321516433</v>
      </c>
      <c r="AN48">
        <f xml:space="preserve"> LN([1]misc!G172)</f>
        <v>2.8155284727310379</v>
      </c>
      <c r="AO48">
        <f xml:space="preserve"> LN([1]misc!J78 + [1]misc!L78)</f>
        <v>2.4311541937887533</v>
      </c>
      <c r="AP48">
        <f xml:space="preserve"> [1]Factors!B48</f>
        <v>0.139915604</v>
      </c>
      <c r="AQ48">
        <f xml:space="preserve"> [1]Factors!C48</f>
        <v>-0.22938256800000001</v>
      </c>
      <c r="AR48">
        <f xml:space="preserve"> [1]Factors!D48</f>
        <v>-0.22216042799999999</v>
      </c>
      <c r="AS48">
        <f xml:space="preserve"> [1]Factors!E48</f>
        <v>-0.20597568899999999</v>
      </c>
      <c r="AT48">
        <f xml:space="preserve"> [1]Factors!F48</f>
        <v>1.6947661700000002E-2</v>
      </c>
    </row>
    <row r="49" spans="1:46" x14ac:dyDescent="0.25">
      <c r="A49">
        <f t="shared" si="3"/>
        <v>1962.9166666666631</v>
      </c>
      <c r="B49" s="1">
        <v>22981</v>
      </c>
      <c r="C49" s="7">
        <f t="shared" si="0"/>
        <v>1962</v>
      </c>
      <c r="D49" s="7">
        <f t="shared" si="1"/>
        <v>12</v>
      </c>
      <c r="E49" s="7">
        <f t="shared" si="2"/>
        <v>4</v>
      </c>
      <c r="F49">
        <f xml:space="preserve"> [1]Coibion_update!O55</f>
        <v>3.2817905283271651</v>
      </c>
      <c r="G49">
        <f xml:space="preserve"> [1]Coibion_update!P55</f>
        <v>5.5</v>
      </c>
      <c r="H49">
        <f xml:space="preserve"> [1]Coibion_update!Q55</f>
        <v>3.4137844971676268</v>
      </c>
      <c r="I49">
        <f xml:space="preserve"> [1]Coibion_update!W55</f>
        <v>2.93</v>
      </c>
      <c r="J49">
        <f xml:space="preserve"> [1]Coibion_update!X55</f>
        <v>4.5494460372157297</v>
      </c>
      <c r="K49">
        <f xml:space="preserve"> [1]Coibion_update!Y55</f>
        <v>2.25758772706331</v>
      </c>
      <c r="L49">
        <f xml:space="preserve"> [1]Coibion_update!Z55</f>
        <v>3.4621043165656769</v>
      </c>
      <c r="M49">
        <f xml:space="preserve"> [1]Coibion_update!AA55</f>
        <v>3.0159759800310333</v>
      </c>
      <c r="X49" s="5">
        <f xml:space="preserve"> [1]misc!N132</f>
        <v>3.01</v>
      </c>
      <c r="AK49">
        <v>3</v>
      </c>
      <c r="AL49">
        <f xml:space="preserve"> LN([1]misc!B68)</f>
        <v>4.9958600085141018</v>
      </c>
      <c r="AM49">
        <f xml:space="preserve"> LN([1]misc!D68)</f>
        <v>5.8935760462888567</v>
      </c>
      <c r="AN49">
        <f xml:space="preserve"> LN([1]misc!G173)</f>
        <v>2.8283190334931549</v>
      </c>
      <c r="AO49">
        <f xml:space="preserve"> LN([1]misc!J79 + [1]misc!L79)</f>
        <v>2.4286889697897718</v>
      </c>
      <c r="AP49">
        <f xml:space="preserve"> [1]Factors!B49</f>
        <v>8.1992870500000002E-3</v>
      </c>
      <c r="AQ49">
        <f xml:space="preserve"> [1]Factors!C49</f>
        <v>-0.16843914400000001</v>
      </c>
      <c r="AR49">
        <f xml:space="preserve"> [1]Factors!D49</f>
        <v>-0.15309678299999999</v>
      </c>
      <c r="AS49">
        <f xml:space="preserve"> [1]Factors!E49</f>
        <v>-7.8158220599999995E-2</v>
      </c>
      <c r="AT49">
        <f xml:space="preserve"> [1]Factors!F49</f>
        <v>-6.6626554000000004E-2</v>
      </c>
    </row>
    <row r="50" spans="1:46" x14ac:dyDescent="0.25">
      <c r="A50">
        <f t="shared" si="3"/>
        <v>1962.9999999999964</v>
      </c>
      <c r="B50" s="1">
        <v>23012</v>
      </c>
      <c r="C50" s="7">
        <f t="shared" si="0"/>
        <v>1963</v>
      </c>
      <c r="D50" s="7">
        <f t="shared" si="1"/>
        <v>1</v>
      </c>
      <c r="E50" s="7">
        <f t="shared" si="2"/>
        <v>1</v>
      </c>
      <c r="F50">
        <f xml:space="preserve"> [1]Coibion_update!O56</f>
        <v>3.289080761507321</v>
      </c>
      <c r="G50">
        <f xml:space="preserve"> [1]Coibion_update!P56</f>
        <v>5.7</v>
      </c>
      <c r="H50">
        <f xml:space="preserve"> [1]Coibion_update!Q56</f>
        <v>3.4157575329934851</v>
      </c>
      <c r="I50">
        <f xml:space="preserve"> [1]Coibion_update!W56</f>
        <v>2.92</v>
      </c>
      <c r="J50">
        <f xml:space="preserve"> [1]Coibion_update!X56</f>
        <v>4.5557698356929643</v>
      </c>
      <c r="K50">
        <f xml:space="preserve"> [1]Coibion_update!Y56</f>
        <v>2.2504493385735174</v>
      </c>
      <c r="L50">
        <f xml:space="preserve"> [1]Coibion_update!Z56</f>
        <v>3.465454613241528</v>
      </c>
      <c r="M50">
        <f xml:space="preserve"> [1]Coibion_update!AA56</f>
        <v>3.0144558875520935</v>
      </c>
      <c r="X50" s="5">
        <f xml:space="preserve"> [1]misc!N133</f>
        <v>3.04</v>
      </c>
      <c r="AK50">
        <v>3</v>
      </c>
      <c r="AL50">
        <f xml:space="preserve"> LN([1]misc!B69)</f>
        <v>4.9992372491438868</v>
      </c>
      <c r="AM50">
        <f xml:space="preserve"> LN([1]misc!D69)</f>
        <v>5.9004451487208129</v>
      </c>
      <c r="AN50">
        <f xml:space="preserve"> LN([1]misc!G174)</f>
        <v>2.8295005779089841</v>
      </c>
      <c r="AO50">
        <f xml:space="preserve"> LN([1]misc!J80 + [1]misc!L80)</f>
        <v>2.4354537660684699</v>
      </c>
      <c r="AP50">
        <f xml:space="preserve"> [1]Factors!B50</f>
        <v>9.1635926300000003E-2</v>
      </c>
      <c r="AQ50">
        <f xml:space="preserve"> [1]Factors!C50</f>
        <v>-0.195613326</v>
      </c>
      <c r="AR50">
        <f xml:space="preserve"> [1]Factors!D50</f>
        <v>-0.163217314</v>
      </c>
      <c r="AS50">
        <f xml:space="preserve"> [1]Factors!E50</f>
        <v>-0.17880436399999999</v>
      </c>
      <c r="AT50">
        <f xml:space="preserve"> [1]Factors!F50</f>
        <v>6.5733254099999998E-3</v>
      </c>
    </row>
    <row r="51" spans="1:46" x14ac:dyDescent="0.25">
      <c r="A51">
        <f t="shared" si="3"/>
        <v>1963.0833333333296</v>
      </c>
      <c r="B51" s="1">
        <v>23043</v>
      </c>
      <c r="C51" s="7">
        <f t="shared" si="0"/>
        <v>1963</v>
      </c>
      <c r="D51" s="7">
        <f t="shared" si="1"/>
        <v>2</v>
      </c>
      <c r="E51" s="7">
        <f t="shared" si="2"/>
        <v>1</v>
      </c>
      <c r="F51">
        <f xml:space="preserve"> [1]Coibion_update!O57</f>
        <v>3.3004263183381362</v>
      </c>
      <c r="G51">
        <f xml:space="preserve"> [1]Coibion_update!P57</f>
        <v>5.9</v>
      </c>
      <c r="H51">
        <f xml:space="preserve"> [1]Coibion_update!Q57</f>
        <v>3.4170707308184456</v>
      </c>
      <c r="I51">
        <f xml:space="preserve"> [1]Coibion_update!W57</f>
        <v>3</v>
      </c>
      <c r="J51">
        <f xml:space="preserve"> [1]Coibion_update!X57</f>
        <v>4.5559799417973199</v>
      </c>
      <c r="K51">
        <f xml:space="preserve"> [1]Coibion_update!Y57</f>
        <v>2.2358040593036943</v>
      </c>
      <c r="L51">
        <f xml:space="preserve"> [1]Coibion_update!Z57</f>
        <v>3.4583650547184965</v>
      </c>
      <c r="M51">
        <f xml:space="preserve"> [1]Coibion_update!AA57</f>
        <v>3.016563783133924</v>
      </c>
      <c r="X51" s="5">
        <f xml:space="preserve"> [1]misc!N134</f>
        <v>3.01</v>
      </c>
      <c r="AK51">
        <v>3</v>
      </c>
      <c r="AL51">
        <f xml:space="preserve"> LN([1]misc!B70)</f>
        <v>5.0032749396899634</v>
      </c>
      <c r="AM51">
        <f xml:space="preserve"> LN([1]misc!D70)</f>
        <v>5.907811162110729</v>
      </c>
      <c r="AN51">
        <f xml:space="preserve"> LN([1]misc!G175)</f>
        <v>2.8161270242542646</v>
      </c>
      <c r="AO51">
        <f xml:space="preserve"> LN([1]misc!J81 + [1]misc!L81)</f>
        <v>2.4239173781615704</v>
      </c>
      <c r="AP51">
        <f xml:space="preserve"> [1]Factors!B51</f>
        <v>-8.5442993999999994E-2</v>
      </c>
      <c r="AQ51">
        <f xml:space="preserve"> [1]Factors!C51</f>
        <v>-0.115257269</v>
      </c>
      <c r="AR51">
        <f xml:space="preserve"> [1]Factors!D51</f>
        <v>-0.100566667</v>
      </c>
      <c r="AS51">
        <f xml:space="preserve"> [1]Factors!E51</f>
        <v>-8.2514899899999994E-2</v>
      </c>
      <c r="AT51">
        <f xml:space="preserve"> [1]Factors!F51</f>
        <v>-0.157938576</v>
      </c>
    </row>
    <row r="52" spans="1:46" x14ac:dyDescent="0.25">
      <c r="A52">
        <f t="shared" si="3"/>
        <v>1963.1666666666629</v>
      </c>
      <c r="B52" s="1">
        <v>23071</v>
      </c>
      <c r="C52" s="7">
        <f t="shared" si="0"/>
        <v>1963</v>
      </c>
      <c r="D52" s="7">
        <f t="shared" si="1"/>
        <v>3</v>
      </c>
      <c r="E52" s="7">
        <f t="shared" si="2"/>
        <v>1</v>
      </c>
      <c r="F52">
        <f xml:space="preserve"> [1]Coibion_update!O58</f>
        <v>3.306560641712966</v>
      </c>
      <c r="G52">
        <f xml:space="preserve"> [1]Coibion_update!P58</f>
        <v>5.7</v>
      </c>
      <c r="H52">
        <f xml:space="preserve"> [1]Coibion_update!Q58</f>
        <v>3.4180544987285781</v>
      </c>
      <c r="I52">
        <f xml:space="preserve"> [1]Coibion_update!W58</f>
        <v>2.98</v>
      </c>
      <c r="J52">
        <f xml:space="preserve"> [1]Coibion_update!X58</f>
        <v>4.5443580465913342</v>
      </c>
      <c r="K52">
        <f xml:space="preserve"> [1]Coibion_update!Y58</f>
        <v>2.2323771979505489</v>
      </c>
      <c r="L52">
        <f xml:space="preserve"> [1]Coibion_update!Z58</f>
        <v>3.4677962787666456</v>
      </c>
      <c r="M52">
        <f xml:space="preserve"> [1]Coibion_update!AA58</f>
        <v>3.0207662912736328</v>
      </c>
      <c r="X52" s="5">
        <f xml:space="preserve"> [1]misc!N135</f>
        <v>3.03</v>
      </c>
      <c r="AK52">
        <v>3</v>
      </c>
      <c r="AL52">
        <f xml:space="preserve"> LN([1]misc!B71)</f>
        <v>5.0052876877696608</v>
      </c>
      <c r="AM52">
        <f xml:space="preserve"> LN([1]misc!D71)</f>
        <v>5.9153931101566863</v>
      </c>
      <c r="AN52">
        <f xml:space="preserve"> LN([1]misc!G176)</f>
        <v>2.8154685978694802</v>
      </c>
      <c r="AO52">
        <f xml:space="preserve"> LN([1]misc!J82 + [1]misc!L82)</f>
        <v>2.4208124743586956</v>
      </c>
      <c r="AP52">
        <f xml:space="preserve"> [1]Factors!B52</f>
        <v>-0.168140555</v>
      </c>
      <c r="AQ52">
        <f xml:space="preserve"> [1]Factors!C52</f>
        <v>-0.16743956700000001</v>
      </c>
      <c r="AR52">
        <f xml:space="preserve"> [1]Factors!D52</f>
        <v>-0.103055352</v>
      </c>
      <c r="AS52">
        <f xml:space="preserve"> [1]Factors!E52</f>
        <v>-8.2020458399999996E-2</v>
      </c>
      <c r="AT52">
        <f xml:space="preserve"> [1]Factors!F52</f>
        <v>-0.13187016500000001</v>
      </c>
    </row>
    <row r="53" spans="1:46" x14ac:dyDescent="0.25">
      <c r="A53">
        <f t="shared" si="3"/>
        <v>1963.2499999999961</v>
      </c>
      <c r="B53" s="1">
        <v>23102</v>
      </c>
      <c r="C53" s="7">
        <f t="shared" si="0"/>
        <v>1963</v>
      </c>
      <c r="D53" s="7">
        <f t="shared" si="1"/>
        <v>4</v>
      </c>
      <c r="E53" s="7">
        <f t="shared" si="2"/>
        <v>2</v>
      </c>
      <c r="F53">
        <f xml:space="preserve"> [1]Coibion_update!O59</f>
        <v>3.3156939580482141</v>
      </c>
      <c r="G53">
        <f xml:space="preserve"> [1]Coibion_update!P59</f>
        <v>5.7</v>
      </c>
      <c r="H53">
        <f xml:space="preserve"> [1]Coibion_update!Q59</f>
        <v>3.4170707308184456</v>
      </c>
      <c r="I53">
        <f xml:space="preserve"> [1]Coibion_update!W59</f>
        <v>2.9</v>
      </c>
      <c r="J53">
        <f xml:space="preserve"> [1]Coibion_update!X59</f>
        <v>4.554297855614335</v>
      </c>
      <c r="K53">
        <f xml:space="preserve"> [1]Coibion_update!Y59</f>
        <v>2.249606168203159</v>
      </c>
      <c r="L53">
        <f xml:space="preserve"> [1]Coibion_update!Z59</f>
        <v>3.4647979630717503</v>
      </c>
      <c r="M53">
        <f xml:space="preserve"> [1]Coibion_update!AA59</f>
        <v>3.0257278735893713</v>
      </c>
      <c r="X53" s="5">
        <f xml:space="preserve"> [1]misc!N136</f>
        <v>3.11</v>
      </c>
      <c r="AK53">
        <v>3</v>
      </c>
      <c r="AL53">
        <f xml:space="preserve"> LN([1]misc!B72)</f>
        <v>5.0086332914255829</v>
      </c>
      <c r="AM53">
        <f xml:space="preserve"> LN([1]misc!D72)</f>
        <v>5.922382385920538</v>
      </c>
      <c r="AN53">
        <f xml:space="preserve"> LN([1]misc!G177)</f>
        <v>2.8151691697748995</v>
      </c>
      <c r="AO53">
        <f xml:space="preserve"> LN([1]misc!J83 + [1]misc!L83)</f>
        <v>2.4264827296502833</v>
      </c>
      <c r="AP53">
        <f xml:space="preserve"> [1]Factors!B53</f>
        <v>-0.151292755</v>
      </c>
      <c r="AQ53">
        <f xml:space="preserve"> [1]Factors!C53</f>
        <v>-0.207252714</v>
      </c>
      <c r="AR53">
        <f xml:space="preserve"> [1]Factors!D53</f>
        <v>-0.170332182</v>
      </c>
      <c r="AS53">
        <f xml:space="preserve"> [1]Factors!E53</f>
        <v>-0.15038190000000001</v>
      </c>
      <c r="AT53">
        <f xml:space="preserve"> [1]Factors!F53</f>
        <v>-1.4176063799999999E-2</v>
      </c>
    </row>
    <row r="54" spans="1:46" x14ac:dyDescent="0.25">
      <c r="A54">
        <f t="shared" si="3"/>
        <v>1963.3333333333294</v>
      </c>
      <c r="B54" s="1">
        <v>23132</v>
      </c>
      <c r="C54" s="7">
        <f t="shared" si="0"/>
        <v>1963</v>
      </c>
      <c r="D54" s="7">
        <f t="shared" si="1"/>
        <v>5</v>
      </c>
      <c r="E54" s="7">
        <f t="shared" si="2"/>
        <v>2</v>
      </c>
      <c r="F54">
        <f xml:space="preserve"> [1]Coibion_update!O60</f>
        <v>3.327740992054208</v>
      </c>
      <c r="G54">
        <f xml:space="preserve"> [1]Coibion_update!P60</f>
        <v>5.9</v>
      </c>
      <c r="H54">
        <f xml:space="preserve"> [1]Coibion_update!Q60</f>
        <v>3.4180544987285781</v>
      </c>
      <c r="I54">
        <f xml:space="preserve"> [1]Coibion_update!W60</f>
        <v>3</v>
      </c>
      <c r="J54">
        <f xml:space="preserve"> [1]Coibion_update!X60</f>
        <v>4.576256175823449</v>
      </c>
      <c r="K54">
        <f xml:space="preserve"> [1]Coibion_update!Y60</f>
        <v>2.253394848803274</v>
      </c>
      <c r="L54">
        <f xml:space="preserve"> [1]Coibion_update!Z60</f>
        <v>3.4652045116364478</v>
      </c>
      <c r="M54">
        <f xml:space="preserve"> [1]Coibion_update!AA60</f>
        <v>3.0257763949023677</v>
      </c>
      <c r="X54" s="5">
        <f xml:space="preserve"> [1]misc!N137</f>
        <v>3.12</v>
      </c>
      <c r="AK54">
        <v>3</v>
      </c>
      <c r="AL54">
        <f xml:space="preserve"> LN([1]misc!B73)</f>
        <v>5.0132984115157395</v>
      </c>
      <c r="AM54">
        <f xml:space="preserve"> LN([1]misc!D73)</f>
        <v>5.9298550654762909</v>
      </c>
      <c r="AN54">
        <f xml:space="preserve"> LN([1]misc!G178)</f>
        <v>2.8189950950539369</v>
      </c>
      <c r="AO54">
        <f xml:space="preserve"> LN([1]misc!J84 + [1]misc!L84)</f>
        <v>2.4173413302922344</v>
      </c>
      <c r="AP54">
        <f xml:space="preserve"> [1]Factors!B54</f>
        <v>-0.372408564</v>
      </c>
      <c r="AQ54">
        <f xml:space="preserve"> [1]Factors!C54</f>
        <v>-0.20922264900000001</v>
      </c>
      <c r="AR54">
        <f xml:space="preserve"> [1]Factors!D54</f>
        <v>-0.24463067499999999</v>
      </c>
      <c r="AS54">
        <f xml:space="preserve"> [1]Factors!E54</f>
        <v>-8.3988538200000004E-2</v>
      </c>
      <c r="AT54">
        <f xml:space="preserve"> [1]Factors!F54</f>
        <v>3.4452121600000003E-2</v>
      </c>
    </row>
    <row r="55" spans="1:46" x14ac:dyDescent="0.25">
      <c r="A55">
        <f t="shared" si="3"/>
        <v>1963.4166666666626</v>
      </c>
      <c r="B55" s="1">
        <v>23163</v>
      </c>
      <c r="C55" s="7">
        <f t="shared" si="0"/>
        <v>1963</v>
      </c>
      <c r="D55" s="7">
        <f t="shared" si="1"/>
        <v>6</v>
      </c>
      <c r="E55" s="7">
        <f t="shared" si="2"/>
        <v>2</v>
      </c>
      <c r="F55">
        <f xml:space="preserve"> [1]Coibion_update!O61</f>
        <v>3.3307319979896506</v>
      </c>
      <c r="G55">
        <f xml:space="preserve"> [1]Coibion_update!P61</f>
        <v>5.6</v>
      </c>
      <c r="H55">
        <f xml:space="preserve"> [1]Coibion_update!Q61</f>
        <v>3.421326752957321</v>
      </c>
      <c r="I55">
        <f xml:space="preserve"> [1]Coibion_update!W61</f>
        <v>2.99</v>
      </c>
      <c r="J55">
        <f xml:space="preserve"> [1]Coibion_update!X61</f>
        <v>4.5586025501717566</v>
      </c>
      <c r="K55">
        <f xml:space="preserve"> [1]Coibion_update!Y61</f>
        <v>2.2792141066708056</v>
      </c>
      <c r="L55">
        <f xml:space="preserve"> [1]Coibion_update!Z61</f>
        <v>3.4718422212314874</v>
      </c>
      <c r="M55">
        <f xml:space="preserve"> [1]Coibion_update!AA61</f>
        <v>3.0329798875806575</v>
      </c>
      <c r="X55" s="5">
        <f xml:space="preserve"> [1]misc!N138</f>
        <v>3.2</v>
      </c>
      <c r="AK55">
        <v>3</v>
      </c>
      <c r="AL55">
        <f xml:space="preserve"> LN([1]misc!B74)</f>
        <v>5.0132984115157395</v>
      </c>
      <c r="AM55">
        <f xml:space="preserve"> LN([1]misc!D74)</f>
        <v>5.9359518371777229</v>
      </c>
      <c r="AN55">
        <f xml:space="preserve"> LN([1]misc!G179)</f>
        <v>2.8228658755307916</v>
      </c>
      <c r="AO55">
        <f xml:space="preserve"> LN([1]misc!J85 + [1]misc!L85)</f>
        <v>2.4104524638630527</v>
      </c>
      <c r="AP55">
        <f xml:space="preserve"> [1]Factors!B55</f>
        <v>-0.13440827</v>
      </c>
      <c r="AQ55">
        <f xml:space="preserve"> [1]Factors!C55</f>
        <v>-0.124120388</v>
      </c>
      <c r="AR55">
        <f xml:space="preserve"> [1]Factors!D55</f>
        <v>-5.7997910899999998E-2</v>
      </c>
      <c r="AS55">
        <f xml:space="preserve"> [1]Factors!E55</f>
        <v>-6.6093838700000004E-2</v>
      </c>
      <c r="AT55">
        <f xml:space="preserve"> [1]Factors!F55</f>
        <v>-5.9397428500000002E-2</v>
      </c>
    </row>
    <row r="56" spans="1:46" x14ac:dyDescent="0.25">
      <c r="A56">
        <f t="shared" si="3"/>
        <v>1963.4999999999959</v>
      </c>
      <c r="B56" s="1">
        <v>23193</v>
      </c>
      <c r="C56" s="7">
        <f t="shared" si="0"/>
        <v>1963</v>
      </c>
      <c r="D56" s="7">
        <f t="shared" si="1"/>
        <v>7</v>
      </c>
      <c r="E56" s="7">
        <f t="shared" si="2"/>
        <v>3</v>
      </c>
      <c r="F56">
        <f xml:space="preserve"> [1]Coibion_update!O62</f>
        <v>3.3267431957372078</v>
      </c>
      <c r="G56">
        <f xml:space="preserve"> [1]Coibion_update!P62</f>
        <v>5.6</v>
      </c>
      <c r="H56">
        <f xml:space="preserve"> [1]Coibion_update!Q62</f>
        <v>3.4239368686316447</v>
      </c>
      <c r="I56">
        <f xml:space="preserve"> [1]Coibion_update!W62</f>
        <v>3.02</v>
      </c>
      <c r="J56">
        <f xml:space="preserve"> [1]Coibion_update!X62</f>
        <v>4.561009290202322</v>
      </c>
      <c r="K56">
        <f xml:space="preserve"> [1]Coibion_update!Y62</f>
        <v>2.2886889878019345</v>
      </c>
      <c r="L56">
        <f xml:space="preserve"> [1]Coibion_update!Z62</f>
        <v>3.4733009654185296</v>
      </c>
      <c r="M56">
        <f xml:space="preserve"> [1]Coibion_update!AA62</f>
        <v>3.039749158970765</v>
      </c>
      <c r="X56" s="5">
        <f xml:space="preserve"> [1]misc!N139</f>
        <v>3.48</v>
      </c>
      <c r="AK56">
        <v>3.5</v>
      </c>
      <c r="AL56">
        <f xml:space="preserve"> LN([1]misc!B75)</f>
        <v>5.0192646207943099</v>
      </c>
      <c r="AM56">
        <f xml:space="preserve"> LN([1]misc!D75)</f>
        <v>5.9430618078798148</v>
      </c>
      <c r="AN56">
        <f xml:space="preserve"> LN([1]misc!G180)</f>
        <v>2.830385820965998</v>
      </c>
      <c r="AO56">
        <f xml:space="preserve"> LN([1]misc!J86 + [1]misc!L86)</f>
        <v>2.4187668472834551</v>
      </c>
      <c r="AP56">
        <f xml:space="preserve"> [1]Factors!B56</f>
        <v>-0.12919407099999999</v>
      </c>
      <c r="AQ56">
        <f xml:space="preserve"> [1]Factors!C56</f>
        <v>7.6317945099999996E-3</v>
      </c>
      <c r="AR56">
        <f xml:space="preserve"> [1]Factors!D56</f>
        <v>-2.5181087599999999E-2</v>
      </c>
      <c r="AS56">
        <f xml:space="preserve"> [1]Factors!E56</f>
        <v>-0.108035044</v>
      </c>
      <c r="AT56">
        <f xml:space="preserve"> [1]Factors!F56</f>
        <v>3.7488424899999997E-2</v>
      </c>
    </row>
    <row r="57" spans="1:46" x14ac:dyDescent="0.25">
      <c r="A57">
        <f t="shared" si="3"/>
        <v>1963.5833333333292</v>
      </c>
      <c r="B57" s="1">
        <v>23224</v>
      </c>
      <c r="C57" s="7">
        <f t="shared" si="0"/>
        <v>1963</v>
      </c>
      <c r="D57" s="7">
        <f t="shared" si="1"/>
        <v>8</v>
      </c>
      <c r="E57" s="7">
        <f t="shared" si="2"/>
        <v>3</v>
      </c>
      <c r="F57">
        <f xml:space="preserve"> [1]Coibion_update!O63</f>
        <v>3.3287377937660487</v>
      </c>
      <c r="G57">
        <f xml:space="preserve"> [1]Coibion_update!P63</f>
        <v>5.4</v>
      </c>
      <c r="H57">
        <f xml:space="preserve"> [1]Coibion_update!Q63</f>
        <v>3.4258899942525267</v>
      </c>
      <c r="I57">
        <f xml:space="preserve"> [1]Coibion_update!W63</f>
        <v>3.49</v>
      </c>
      <c r="J57">
        <f xml:space="preserve"> [1]Coibion_update!X63</f>
        <v>4.5480705939475188</v>
      </c>
      <c r="K57">
        <f xml:space="preserve"> [1]Coibion_update!Y63</f>
        <v>2.2636363428554711</v>
      </c>
      <c r="L57">
        <f xml:space="preserve"> [1]Coibion_update!Z63</f>
        <v>3.48317667448207</v>
      </c>
      <c r="M57">
        <f xml:space="preserve"> [1]Coibion_update!AA63</f>
        <v>3.0467580321570349</v>
      </c>
      <c r="X57" s="5">
        <f xml:space="preserve"> [1]misc!N140</f>
        <v>3.53</v>
      </c>
      <c r="AK57">
        <v>3.5</v>
      </c>
      <c r="AL57">
        <f xml:space="preserve"> LN([1]misc!B76)</f>
        <v>5.0225638649615298</v>
      </c>
      <c r="AM57">
        <f xml:space="preserve"> LN([1]misc!D76)</f>
        <v>5.9496003430092834</v>
      </c>
      <c r="AN57">
        <f xml:space="preserve"> LN([1]misc!G181)</f>
        <v>2.8172035149987327</v>
      </c>
      <c r="AO57">
        <f xml:space="preserve"> LN([1]misc!J87 + [1]misc!L87)</f>
        <v>2.4118878278844957</v>
      </c>
      <c r="AP57">
        <f xml:space="preserve"> [1]Factors!B57</f>
        <v>-5.0746164400000002E-2</v>
      </c>
      <c r="AQ57">
        <f xml:space="preserve"> [1]Factors!C57</f>
        <v>-3.5613034799999999E-2</v>
      </c>
      <c r="AR57">
        <f xml:space="preserve"> [1]Factors!D57</f>
        <v>-8.3910594899999996E-2</v>
      </c>
      <c r="AS57">
        <f xml:space="preserve"> [1]Factors!E57</f>
        <v>-0.17462098100000001</v>
      </c>
      <c r="AT57">
        <f xml:space="preserve"> [1]Factors!F57</f>
        <v>0.15782080800000001</v>
      </c>
    </row>
    <row r="58" spans="1:46" x14ac:dyDescent="0.25">
      <c r="A58">
        <f t="shared" si="3"/>
        <v>1963.6666666666624</v>
      </c>
      <c r="B58" s="1">
        <v>23255</v>
      </c>
      <c r="C58" s="7">
        <f t="shared" si="0"/>
        <v>1963</v>
      </c>
      <c r="D58" s="7">
        <f t="shared" si="1"/>
        <v>9</v>
      </c>
      <c r="E58" s="7">
        <f t="shared" si="2"/>
        <v>3</v>
      </c>
      <c r="F58">
        <f xml:space="preserve"> [1]Coibion_update!O64</f>
        <v>3.3386586374150027</v>
      </c>
      <c r="G58">
        <f xml:space="preserve"> [1]Coibion_update!P64</f>
        <v>5.5</v>
      </c>
      <c r="H58">
        <f xml:space="preserve"> [1]Coibion_update!Q64</f>
        <v>3.4249139082794713</v>
      </c>
      <c r="I58">
        <f xml:space="preserve"> [1]Coibion_update!W64</f>
        <v>3.48</v>
      </c>
      <c r="J58">
        <f xml:space="preserve"> [1]Coibion_update!X64</f>
        <v>4.5517694092609764</v>
      </c>
      <c r="K58">
        <f xml:space="preserve"> [1]Coibion_update!Y64</f>
        <v>2.2668542830382465</v>
      </c>
      <c r="L58">
        <f xml:space="preserve"> [1]Coibion_update!Z64</f>
        <v>3.4726494490687947</v>
      </c>
      <c r="M58">
        <f xml:space="preserve"> [1]Coibion_update!AA64</f>
        <v>3.0501731092322375</v>
      </c>
      <c r="X58" s="5">
        <f xml:space="preserve"> [1]misc!N141</f>
        <v>3.57</v>
      </c>
      <c r="AK58">
        <v>3.5</v>
      </c>
      <c r="AL58">
        <f xml:space="preserve"> LN([1]misc!B77)</f>
        <v>5.0238805208462765</v>
      </c>
      <c r="AM58">
        <f xml:space="preserve"> LN([1]misc!D77)</f>
        <v>5.955837369464831</v>
      </c>
      <c r="AN58">
        <f xml:space="preserve"> LN([1]misc!G182)</f>
        <v>2.8265440951499992</v>
      </c>
      <c r="AO58">
        <f xml:space="preserve"> LN([1]misc!J88 + [1]misc!L88)</f>
        <v>2.4144841854914545</v>
      </c>
      <c r="AP58">
        <f xml:space="preserve"> [1]Factors!B58</f>
        <v>-0.12450952899999999</v>
      </c>
      <c r="AQ58">
        <f xml:space="preserve"> [1]Factors!C58</f>
        <v>-7.1031196599999999E-2</v>
      </c>
      <c r="AR58">
        <f xml:space="preserve"> [1]Factors!D58</f>
        <v>-0.151808358</v>
      </c>
      <c r="AS58">
        <f xml:space="preserve"> [1]Factors!E58</f>
        <v>-0.15343306800000001</v>
      </c>
      <c r="AT58">
        <f xml:space="preserve"> [1]Factors!F58</f>
        <v>-4.0134833100000003E-2</v>
      </c>
    </row>
    <row r="59" spans="1:46" x14ac:dyDescent="0.25">
      <c r="A59">
        <f t="shared" si="3"/>
        <v>1963.7499999999957</v>
      </c>
      <c r="B59" s="1">
        <v>23285</v>
      </c>
      <c r="C59" s="7">
        <f t="shared" si="0"/>
        <v>1963</v>
      </c>
      <c r="D59" s="7">
        <f t="shared" si="1"/>
        <v>10</v>
      </c>
      <c r="E59" s="7">
        <f t="shared" si="2"/>
        <v>4</v>
      </c>
      <c r="F59">
        <f xml:space="preserve"> [1]Coibion_update!O65</f>
        <v>3.3455472415699883</v>
      </c>
      <c r="G59">
        <f xml:space="preserve"> [1]Coibion_update!P65</f>
        <v>5.5</v>
      </c>
      <c r="H59">
        <f xml:space="preserve"> [1]Coibion_update!Q65</f>
        <v>3.4258899942525267</v>
      </c>
      <c r="I59">
        <f xml:space="preserve"> [1]Coibion_update!W65</f>
        <v>3.5</v>
      </c>
      <c r="J59">
        <f xml:space="preserve"> [1]Coibion_update!X65</f>
        <v>4.5827200571504996</v>
      </c>
      <c r="K59">
        <f xml:space="preserve"> [1]Coibion_update!Y65</f>
        <v>2.2592599682556722</v>
      </c>
      <c r="L59">
        <f xml:space="preserve"> [1]Coibion_update!Z65</f>
        <v>3.4683574635046783</v>
      </c>
      <c r="M59">
        <f xml:space="preserve"> [1]Coibion_update!AA65</f>
        <v>3.0545199150370794</v>
      </c>
      <c r="X59" s="5">
        <f xml:space="preserve"> [1]misc!N142</f>
        <v>3.64</v>
      </c>
      <c r="AK59">
        <v>3.5</v>
      </c>
      <c r="AL59">
        <f xml:space="preserve"> LN([1]misc!B78)</f>
        <v>5.0278201188503564</v>
      </c>
      <c r="AM59">
        <f xml:space="preserve"> LN([1]misc!D78)</f>
        <v>5.9617782367376213</v>
      </c>
      <c r="AN59">
        <f xml:space="preserve"> LN([1]misc!G183)</f>
        <v>2.8290871961450441</v>
      </c>
      <c r="AO59">
        <f xml:space="preserve"> LN([1]misc!J89 + [1]misc!L89)</f>
        <v>2.4102728984109634</v>
      </c>
      <c r="AP59">
        <f xml:space="preserve"> [1]Factors!B59</f>
        <v>-0.25410075700000001</v>
      </c>
      <c r="AQ59">
        <f xml:space="preserve"> [1]Factors!C59</f>
        <v>-0.23242047800000001</v>
      </c>
      <c r="AR59">
        <f xml:space="preserve"> [1]Factors!D59</f>
        <v>-0.180866482</v>
      </c>
      <c r="AS59">
        <f xml:space="preserve"> [1]Factors!E59</f>
        <v>-0.14785606400000001</v>
      </c>
      <c r="AT59">
        <f xml:space="preserve"> [1]Factors!F59</f>
        <v>-6.1914282799999998E-2</v>
      </c>
    </row>
    <row r="60" spans="1:46" x14ac:dyDescent="0.25">
      <c r="A60">
        <f t="shared" si="3"/>
        <v>1963.8333333333289</v>
      </c>
      <c r="B60" s="1">
        <v>23316</v>
      </c>
      <c r="C60" s="7">
        <f t="shared" si="0"/>
        <v>1963</v>
      </c>
      <c r="D60" s="7">
        <f t="shared" si="1"/>
        <v>11</v>
      </c>
      <c r="E60" s="7">
        <f t="shared" si="2"/>
        <v>4</v>
      </c>
      <c r="F60">
        <f xml:space="preserve"> [1]Coibion_update!O66</f>
        <v>3.3504372784362637</v>
      </c>
      <c r="G60">
        <f xml:space="preserve"> [1]Coibion_update!P66</f>
        <v>5.7</v>
      </c>
      <c r="H60">
        <f xml:space="preserve"> [1]Coibion_update!Q66</f>
        <v>3.426865128410733</v>
      </c>
      <c r="I60">
        <f xml:space="preserve"> [1]Coibion_update!W66</f>
        <v>3.48</v>
      </c>
      <c r="J60">
        <f xml:space="preserve"> [1]Coibion_update!X66</f>
        <v>4.5834356938420848</v>
      </c>
      <c r="K60">
        <f xml:space="preserve"> [1]Coibion_update!Y66</f>
        <v>2.2870652813360088</v>
      </c>
      <c r="L60">
        <f xml:space="preserve"> [1]Coibion_update!Z66</f>
        <v>3.4731148611996305</v>
      </c>
      <c r="M60">
        <f xml:space="preserve"> [1]Coibion_update!AA66</f>
        <v>3.0580495796188525</v>
      </c>
      <c r="X60" s="5">
        <f xml:space="preserve"> [1]misc!N143</f>
        <v>3.74</v>
      </c>
      <c r="AK60">
        <v>3.5</v>
      </c>
      <c r="AL60">
        <f xml:space="preserve"> LN([1]misc!B79)</f>
        <v>5.0343518207135718</v>
      </c>
      <c r="AM60">
        <f xml:space="preserve"> LN([1]misc!D79)</f>
        <v>5.9699855154308574</v>
      </c>
      <c r="AN60">
        <f xml:space="preserve"> LN([1]misc!G184)</f>
        <v>2.835387449563405</v>
      </c>
      <c r="AO60">
        <f xml:space="preserve"> LN([1]misc!J90 + [1]misc!L90)</f>
        <v>2.4157351909267017</v>
      </c>
      <c r="AP60">
        <f xml:space="preserve"> [1]Factors!B60</f>
        <v>-0.35216022299999999</v>
      </c>
      <c r="AQ60">
        <f xml:space="preserve"> [1]Factors!C60</f>
        <v>-6.4173758999999997E-2</v>
      </c>
      <c r="AR60">
        <f xml:space="preserve"> [1]Factors!D60</f>
        <v>-0.17040883300000001</v>
      </c>
      <c r="AS60">
        <f xml:space="preserve"> [1]Factors!E60</f>
        <v>-8.3106418500000001E-2</v>
      </c>
      <c r="AT60">
        <f xml:space="preserve"> [1]Factors!F60</f>
        <v>1.50622254E-2</v>
      </c>
    </row>
    <row r="61" spans="1:46" x14ac:dyDescent="0.25">
      <c r="A61">
        <f t="shared" si="3"/>
        <v>1963.9166666666622</v>
      </c>
      <c r="B61" s="1">
        <v>23346</v>
      </c>
      <c r="C61" s="7">
        <f t="shared" si="0"/>
        <v>1963</v>
      </c>
      <c r="D61" s="7">
        <f t="shared" si="1"/>
        <v>12</v>
      </c>
      <c r="E61" s="7">
        <f t="shared" si="2"/>
        <v>4</v>
      </c>
      <c r="F61">
        <f xml:space="preserve"> [1]Coibion_update!O67</f>
        <v>3.3484820239901607</v>
      </c>
      <c r="G61">
        <f xml:space="preserve"> [1]Coibion_update!P67</f>
        <v>5.5</v>
      </c>
      <c r="H61">
        <f xml:space="preserve"> [1]Coibion_update!Q67</f>
        <v>3.4301087251565754</v>
      </c>
      <c r="I61">
        <f xml:space="preserve"> [1]Coibion_update!W67</f>
        <v>3.38</v>
      </c>
      <c r="J61">
        <f xml:space="preserve"> [1]Coibion_update!X67</f>
        <v>4.5738858959483251</v>
      </c>
      <c r="K61">
        <f xml:space="preserve"> [1]Coibion_update!Y67</f>
        <v>2.3191471812930238</v>
      </c>
      <c r="L61">
        <f xml:space="preserve"> [1]Coibion_update!Z67</f>
        <v>3.4838520597843439</v>
      </c>
      <c r="M61">
        <f xml:space="preserve"> [1]Coibion_update!AA67</f>
        <v>3.0647451448409448</v>
      </c>
      <c r="X61" s="5">
        <f xml:space="preserve"> [1]misc!N144</f>
        <v>3.81</v>
      </c>
      <c r="AK61">
        <v>3.25</v>
      </c>
      <c r="AL61">
        <f xml:space="preserve"> LN([1]misc!B80)</f>
        <v>5.0323967858777685</v>
      </c>
      <c r="AM61">
        <f xml:space="preserve"> LN([1]misc!D80)</f>
        <v>5.9743183882730113</v>
      </c>
      <c r="AN61">
        <f xml:space="preserve"> LN([1]misc!G185)</f>
        <v>2.8478701128116071</v>
      </c>
      <c r="AO61">
        <f xml:space="preserve"> LN([1]misc!J91 + [1]misc!L91)</f>
        <v>2.4333501628735981</v>
      </c>
      <c r="AP61">
        <f xml:space="preserve"> [1]Factors!B61</f>
        <v>-1.9972943199999999E-2</v>
      </c>
      <c r="AQ61">
        <f xml:space="preserve"> [1]Factors!C61</f>
        <v>-8.8121608599999998E-2</v>
      </c>
      <c r="AR61">
        <f xml:space="preserve"> [1]Factors!D61</f>
        <v>-9.5836289300000002E-2</v>
      </c>
      <c r="AS61">
        <f xml:space="preserve"> [1]Factors!E61</f>
        <v>-0.15160616900000001</v>
      </c>
      <c r="AT61">
        <f xml:space="preserve"> [1]Factors!F61</f>
        <v>2.7289482300000001E-3</v>
      </c>
    </row>
    <row r="62" spans="1:46" x14ac:dyDescent="0.25">
      <c r="A62">
        <f t="shared" si="3"/>
        <v>1963.9999999999955</v>
      </c>
      <c r="B62" s="1">
        <v>23377</v>
      </c>
      <c r="C62" s="7">
        <f t="shared" si="0"/>
        <v>1964</v>
      </c>
      <c r="D62" s="7">
        <f t="shared" si="1"/>
        <v>1</v>
      </c>
      <c r="E62" s="7">
        <f t="shared" si="2"/>
        <v>1</v>
      </c>
      <c r="F62">
        <f xml:space="preserve"> [1]Coibion_update!O68</f>
        <v>3.357242011019975</v>
      </c>
      <c r="G62">
        <f xml:space="preserve"> [1]Coibion_update!P68</f>
        <v>5.6</v>
      </c>
      <c r="H62">
        <f xml:space="preserve"> [1]Coibion_update!Q68</f>
        <v>3.43204984514492</v>
      </c>
      <c r="I62">
        <f xml:space="preserve"> [1]Coibion_update!W68</f>
        <v>3.48</v>
      </c>
      <c r="J62">
        <f xml:space="preserve"> [1]Coibion_update!X68</f>
        <v>4.580877493419047</v>
      </c>
      <c r="K62">
        <f xml:space="preserve"> [1]Coibion_update!Y68</f>
        <v>2.3268873855170105</v>
      </c>
      <c r="L62">
        <f xml:space="preserve"> [1]Coibion_update!Z68</f>
        <v>3.4823779033182478</v>
      </c>
      <c r="M62">
        <f xml:space="preserve"> [1]Coibion_update!AA68</f>
        <v>3.070375816549757</v>
      </c>
      <c r="X62" s="5">
        <f xml:space="preserve"> [1]misc!N145</f>
        <v>3.79</v>
      </c>
      <c r="AK62">
        <v>3.5</v>
      </c>
      <c r="AL62">
        <f xml:space="preserve"> LN([1]misc!B81)</f>
        <v>5.0350026505445502</v>
      </c>
      <c r="AM62">
        <f xml:space="preserve"> LN([1]misc!D81)</f>
        <v>5.9793919658737131</v>
      </c>
      <c r="AN62">
        <f xml:space="preserve"> LN([1]misc!G186)</f>
        <v>2.8498390733735879</v>
      </c>
      <c r="AO62">
        <f xml:space="preserve"> LN([1]misc!J92 + [1]misc!L92)</f>
        <v>2.4308903531469697</v>
      </c>
      <c r="AP62">
        <f xml:space="preserve"> [1]Factors!B62</f>
        <v>-5.9274667900000001E-2</v>
      </c>
      <c r="AQ62">
        <f xml:space="preserve"> [1]Factors!C62</f>
        <v>-5.3904592799999998E-2</v>
      </c>
      <c r="AR62">
        <f xml:space="preserve"> [1]Factors!D62</f>
        <v>-7.3220011400000007E-2</v>
      </c>
      <c r="AS62">
        <f xml:space="preserve"> [1]Factors!E62</f>
        <v>-0.13029742599999999</v>
      </c>
      <c r="AT62">
        <f xml:space="preserve"> [1]Factors!F62</f>
        <v>4.56506572E-2</v>
      </c>
    </row>
    <row r="63" spans="1:46" x14ac:dyDescent="0.25">
      <c r="A63">
        <f t="shared" si="3"/>
        <v>1964.0833333333287</v>
      </c>
      <c r="B63" s="1">
        <v>23408</v>
      </c>
      <c r="C63" s="7">
        <f t="shared" si="0"/>
        <v>1964</v>
      </c>
      <c r="D63" s="7">
        <f t="shared" si="1"/>
        <v>2</v>
      </c>
      <c r="E63" s="7">
        <f t="shared" si="2"/>
        <v>1</v>
      </c>
      <c r="F63">
        <f xml:space="preserve"> [1]Coibion_update!O69</f>
        <v>3.3640042116533864</v>
      </c>
      <c r="G63">
        <f xml:space="preserve"> [1]Coibion_update!P69</f>
        <v>5.4</v>
      </c>
      <c r="H63">
        <f xml:space="preserve"> [1]Coibion_update!Q69</f>
        <v>3.4310797561440252</v>
      </c>
      <c r="I63">
        <f xml:space="preserve"> [1]Coibion_update!W69</f>
        <v>3.48</v>
      </c>
      <c r="J63">
        <f xml:space="preserve"> [1]Coibion_update!X69</f>
        <v>4.5682987112121864</v>
      </c>
      <c r="K63">
        <f xml:space="preserve"> [1]Coibion_update!Y69</f>
        <v>2.3335021956287672</v>
      </c>
      <c r="L63">
        <f xml:space="preserve"> [1]Coibion_update!Z69</f>
        <v>3.4938980991731912</v>
      </c>
      <c r="M63">
        <f xml:space="preserve"> [1]Coibion_update!AA69</f>
        <v>3.0741274709813644</v>
      </c>
      <c r="X63" s="5">
        <f xml:space="preserve"> [1]misc!N146</f>
        <v>3.78</v>
      </c>
      <c r="AK63">
        <v>3.5</v>
      </c>
      <c r="AL63">
        <f xml:space="preserve"> LN([1]misc!B82)</f>
        <v>5.0388987593691148</v>
      </c>
      <c r="AM63">
        <f xml:space="preserve"> LN([1]misc!D82)</f>
        <v>5.9854464747824192</v>
      </c>
      <c r="AN63">
        <f xml:space="preserve"> LN([1]misc!G187)</f>
        <v>2.8337426157319547</v>
      </c>
      <c r="AO63">
        <f xml:space="preserve"> LN([1]misc!J93 + [1]misc!L93)</f>
        <v>2.4213454287148886</v>
      </c>
      <c r="AP63">
        <f xml:space="preserve"> [1]Factors!B63</f>
        <v>-0.28329028699999997</v>
      </c>
      <c r="AQ63">
        <f xml:space="preserve"> [1]Factors!C63</f>
        <v>-9.6449880399999993E-2</v>
      </c>
      <c r="AR63">
        <f xml:space="preserve"> [1]Factors!D63</f>
        <v>-0.14782447100000001</v>
      </c>
      <c r="AS63">
        <f xml:space="preserve"> [1]Factors!E63</f>
        <v>-3.6566721500000003E-2</v>
      </c>
      <c r="AT63">
        <f xml:space="preserve"> [1]Factors!F63</f>
        <v>-0.101423889</v>
      </c>
    </row>
    <row r="64" spans="1:46" x14ac:dyDescent="0.25">
      <c r="A64">
        <f t="shared" si="3"/>
        <v>1964.166666666662</v>
      </c>
      <c r="B64" s="1">
        <v>23437</v>
      </c>
      <c r="C64" s="7">
        <f t="shared" si="0"/>
        <v>1964</v>
      </c>
      <c r="D64" s="7">
        <f t="shared" si="1"/>
        <v>3</v>
      </c>
      <c r="E64" s="7">
        <f t="shared" si="2"/>
        <v>1</v>
      </c>
      <c r="F64">
        <f xml:space="preserve"> [1]Coibion_update!O70</f>
        <v>3.3640042116533864</v>
      </c>
      <c r="G64">
        <f xml:space="preserve"> [1]Coibion_update!P70</f>
        <v>5.4</v>
      </c>
      <c r="H64">
        <f xml:space="preserve"> [1]Coibion_update!Q70</f>
        <v>3.43204984514492</v>
      </c>
      <c r="I64">
        <f xml:space="preserve"> [1]Coibion_update!W70</f>
        <v>3.43</v>
      </c>
      <c r="J64">
        <f xml:space="preserve"> [1]Coibion_update!X70</f>
        <v>4.5674683188040799</v>
      </c>
      <c r="K64">
        <f xml:space="preserve"> [1]Coibion_update!Y70</f>
        <v>2.3205232381250585</v>
      </c>
      <c r="L64">
        <f xml:space="preserve"> [1]Coibion_update!Z70</f>
        <v>3.4999561536854191</v>
      </c>
      <c r="M64">
        <f xml:space="preserve"> [1]Coibion_update!AA70</f>
        <v>3.0805788089641095</v>
      </c>
      <c r="X64" s="5">
        <f xml:space="preserve"> [1]misc!N147</f>
        <v>3.91</v>
      </c>
      <c r="AK64">
        <v>3.5</v>
      </c>
      <c r="AL64">
        <f xml:space="preserve"> LN([1]misc!B83)</f>
        <v>5.0401940963378005</v>
      </c>
      <c r="AM64">
        <f xml:space="preserve"> LN([1]misc!D83)</f>
        <v>5.9909644220663001</v>
      </c>
      <c r="AN64">
        <f xml:space="preserve"> LN([1]misc!G188)</f>
        <v>2.8420564809499438</v>
      </c>
      <c r="AO64">
        <f xml:space="preserve"> LN([1]misc!J94 + [1]misc!L94)</f>
        <v>2.4234744102694989</v>
      </c>
      <c r="AP64">
        <f xml:space="preserve"> [1]Factors!B64</f>
        <v>-0.29918623900000002</v>
      </c>
      <c r="AQ64">
        <f xml:space="preserve"> [1]Factors!C64</f>
        <v>-0.24631581999999999</v>
      </c>
      <c r="AR64">
        <f xml:space="preserve"> [1]Factors!D64</f>
        <v>-0.28100008100000001</v>
      </c>
      <c r="AS64">
        <f xml:space="preserve"> [1]Factors!E64</f>
        <v>-0.13395283999999999</v>
      </c>
      <c r="AT64">
        <f xml:space="preserve"> [1]Factors!F64</f>
        <v>7.8643152800000005E-2</v>
      </c>
    </row>
    <row r="65" spans="1:46" x14ac:dyDescent="0.25">
      <c r="A65">
        <f t="shared" si="3"/>
        <v>1964.2499999999952</v>
      </c>
      <c r="B65" s="1">
        <v>23468</v>
      </c>
      <c r="C65" s="7">
        <f t="shared" si="0"/>
        <v>1964</v>
      </c>
      <c r="D65" s="7">
        <f t="shared" si="1"/>
        <v>4</v>
      </c>
      <c r="E65" s="7">
        <f t="shared" si="2"/>
        <v>2</v>
      </c>
      <c r="F65">
        <f xml:space="preserve"> [1]Coibion_update!O71</f>
        <v>3.3802324791857856</v>
      </c>
      <c r="G65">
        <f xml:space="preserve"> [1]Coibion_update!P71</f>
        <v>5.3</v>
      </c>
      <c r="H65">
        <f xml:space="preserve"> [1]Coibion_update!Q71</f>
        <v>3.4323729991306049</v>
      </c>
      <c r="I65">
        <f xml:space="preserve"> [1]Coibion_update!W71</f>
        <v>3.47</v>
      </c>
      <c r="J65">
        <f xml:space="preserve"> [1]Coibion_update!X71</f>
        <v>4.5885325448350684</v>
      </c>
      <c r="K65">
        <f xml:space="preserve"> [1]Coibion_update!Y71</f>
        <v>2.3294217469476055</v>
      </c>
      <c r="L65">
        <f xml:space="preserve"> [1]Coibion_update!Z71</f>
        <v>3.4970528673056767</v>
      </c>
      <c r="M65">
        <f xml:space="preserve"> [1]Coibion_update!AA71</f>
        <v>3.0836515715918744</v>
      </c>
      <c r="X65" s="5">
        <f xml:space="preserve"> [1]misc!N148</f>
        <v>3.91</v>
      </c>
      <c r="AK65">
        <v>3.5</v>
      </c>
      <c r="AL65">
        <f xml:space="preserve"> LN([1]misc!B84)</f>
        <v>5.0421339611556268</v>
      </c>
      <c r="AM65">
        <f xml:space="preserve"> LN([1]misc!D84)</f>
        <v>5.9957055413652363</v>
      </c>
      <c r="AN65">
        <f xml:space="preserve"> LN([1]misc!G189)</f>
        <v>2.8386105177817784</v>
      </c>
      <c r="AO65">
        <f xml:space="preserve"> LN([1]misc!J95 + [1]misc!L95)</f>
        <v>2.4271009676916133</v>
      </c>
      <c r="AP65">
        <f xml:space="preserve"> [1]Factors!B65</f>
        <v>-0.147301455</v>
      </c>
      <c r="AQ65">
        <f xml:space="preserve"> [1]Factors!C65</f>
        <v>-0.119182342</v>
      </c>
      <c r="AR65">
        <f xml:space="preserve"> [1]Factors!D65</f>
        <v>-0.13752479300000001</v>
      </c>
      <c r="AS65">
        <f xml:space="preserve"> [1]Factors!E65</f>
        <v>-0.19529104799999999</v>
      </c>
      <c r="AT65">
        <f xml:space="preserve"> [1]Factors!F65</f>
        <v>0.23991980700000001</v>
      </c>
    </row>
    <row r="66" spans="1:46" x14ac:dyDescent="0.25">
      <c r="A66">
        <f t="shared" si="3"/>
        <v>1964.3333333333285</v>
      </c>
      <c r="B66" s="1">
        <v>23498</v>
      </c>
      <c r="C66" s="7">
        <f t="shared" si="0"/>
        <v>1964</v>
      </c>
      <c r="D66" s="7">
        <f t="shared" si="1"/>
        <v>5</v>
      </c>
      <c r="E66" s="7">
        <f t="shared" si="2"/>
        <v>2</v>
      </c>
      <c r="F66">
        <f xml:space="preserve"> [1]Coibion_update!O72</f>
        <v>3.3858976013171547</v>
      </c>
      <c r="G66">
        <f xml:space="preserve"> [1]Coibion_update!P72</f>
        <v>5.0999999999999996</v>
      </c>
      <c r="H66">
        <f xml:space="preserve"> [1]Coibion_update!Q72</f>
        <v>3.4333418349887226</v>
      </c>
      <c r="I66">
        <f xml:space="preserve"> [1]Coibion_update!W72</f>
        <v>3.5</v>
      </c>
      <c r="J66">
        <f xml:space="preserve"> [1]Coibion_update!X72</f>
        <v>4.577284982498556</v>
      </c>
      <c r="K66">
        <f xml:space="preserve"> [1]Coibion_update!Y72</f>
        <v>2.356220642159955</v>
      </c>
      <c r="L66">
        <f xml:space="preserve"> [1]Coibion_update!Z72</f>
        <v>3.5176758630538285</v>
      </c>
      <c r="M66">
        <f xml:space="preserve"> [1]Coibion_update!AA72</f>
        <v>3.0880835346181774</v>
      </c>
      <c r="X66" s="5">
        <f xml:space="preserve"> [1]misc!N149</f>
        <v>3.84</v>
      </c>
      <c r="AK66">
        <v>3.5</v>
      </c>
      <c r="AL66">
        <f xml:space="preserve"> LN([1]misc!B85)</f>
        <v>5.0453587301546419</v>
      </c>
      <c r="AM66">
        <f xml:space="preserve"> LN([1]misc!D85)</f>
        <v>6.0019098049695208</v>
      </c>
      <c r="AN66">
        <f xml:space="preserve"> LN([1]misc!G190)</f>
        <v>2.8388445180168467</v>
      </c>
      <c r="AO66">
        <f xml:space="preserve"> LN([1]misc!J96 + [1]misc!L96)</f>
        <v>2.4215230170655593</v>
      </c>
      <c r="AP66">
        <f xml:space="preserve"> [1]Factors!B66</f>
        <v>-0.381443421</v>
      </c>
      <c r="AQ66">
        <f xml:space="preserve"> [1]Factors!C66</f>
        <v>-0.27014950399999998</v>
      </c>
      <c r="AR66">
        <f xml:space="preserve"> [1]Factors!D66</f>
        <v>-8.42357366E-2</v>
      </c>
      <c r="AS66">
        <f xml:space="preserve"> [1]Factors!E66</f>
        <v>-1.94276433E-3</v>
      </c>
      <c r="AT66">
        <f xml:space="preserve"> [1]Factors!F66</f>
        <v>-0.292724384</v>
      </c>
    </row>
    <row r="67" spans="1:46" x14ac:dyDescent="0.25">
      <c r="A67">
        <f t="shared" si="3"/>
        <v>1964.4166666666617</v>
      </c>
      <c r="B67" s="1">
        <v>23529</v>
      </c>
      <c r="C67" s="7">
        <f t="shared" ref="C67:C130" si="4">YEAR(B67)</f>
        <v>1964</v>
      </c>
      <c r="D67" s="7">
        <f t="shared" ref="D67:D130" si="5">MONTH(B67)</f>
        <v>6</v>
      </c>
      <c r="E67" s="7">
        <f t="shared" ref="E67:E130" si="6">ROUNDUP(D67/3,0)</f>
        <v>2</v>
      </c>
      <c r="F67">
        <f xml:space="preserve"> [1]Coibion_update!O73</f>
        <v>3.3887198601510429</v>
      </c>
      <c r="G67">
        <f xml:space="preserve"> [1]Coibion_update!P73</f>
        <v>5.2</v>
      </c>
      <c r="H67">
        <f xml:space="preserve"> [1]Coibion_update!Q73</f>
        <v>3.4343097331123578</v>
      </c>
      <c r="I67">
        <f xml:space="preserve"> [1]Coibion_update!W73</f>
        <v>3.5</v>
      </c>
      <c r="J67">
        <f xml:space="preserve"> [1]Coibion_update!X73</f>
        <v>4.5759473273111881</v>
      </c>
      <c r="K67">
        <f xml:space="preserve"> [1]Coibion_update!Y73</f>
        <v>2.372111155642656</v>
      </c>
      <c r="L67">
        <f xml:space="preserve"> [1]Coibion_update!Z73</f>
        <v>3.5181207886844343</v>
      </c>
      <c r="M67">
        <f xml:space="preserve"> [1]Coibion_update!AA73</f>
        <v>3.0947627970169451</v>
      </c>
      <c r="X67" s="5">
        <f xml:space="preserve"> [1]misc!N150</f>
        <v>3.83</v>
      </c>
      <c r="AK67">
        <v>3.5</v>
      </c>
      <c r="AL67">
        <f xml:space="preserve"> LN([1]misc!B86)</f>
        <v>5.0472886117442908</v>
      </c>
      <c r="AM67">
        <f xml:space="preserve"> LN([1]misc!D86)</f>
        <v>6.0090588555089335</v>
      </c>
      <c r="AN67">
        <f xml:space="preserve"> LN([1]misc!G191)</f>
        <v>2.8527852642340576</v>
      </c>
      <c r="AO67">
        <f xml:space="preserve"> LN([1]misc!J97 + [1]misc!L97)</f>
        <v>2.4271009676916133</v>
      </c>
      <c r="AP67">
        <f xml:space="preserve"> [1]Factors!B67</f>
        <v>-0.26603988099999998</v>
      </c>
      <c r="AQ67">
        <f xml:space="preserve"> [1]Factors!C67</f>
        <v>-0.22643000299999999</v>
      </c>
      <c r="AR67">
        <f xml:space="preserve"> [1]Factors!D67</f>
        <v>-0.222864168</v>
      </c>
      <c r="AS67">
        <f xml:space="preserve"> [1]Factors!E67</f>
        <v>-0.11041630199999999</v>
      </c>
      <c r="AT67">
        <f xml:space="preserve"> [1]Factors!F67</f>
        <v>6.1864429899999997E-2</v>
      </c>
    </row>
    <row r="68" spans="1:46" x14ac:dyDescent="0.25">
      <c r="A68">
        <f t="shared" ref="A68:A73" si="7" xml:space="preserve"> A67 + 1/12</f>
        <v>1964.499999999995</v>
      </c>
      <c r="B68" s="1">
        <v>23559</v>
      </c>
      <c r="C68" s="7">
        <f t="shared" si="4"/>
        <v>1964</v>
      </c>
      <c r="D68" s="7">
        <f t="shared" si="5"/>
        <v>7</v>
      </c>
      <c r="E68" s="7">
        <f t="shared" si="6"/>
        <v>3</v>
      </c>
      <c r="F68">
        <f xml:space="preserve"> [1]Coibion_update!O74</f>
        <v>3.3952698484973562</v>
      </c>
      <c r="G68">
        <f xml:space="preserve"> [1]Coibion_update!P74</f>
        <v>4.9000000000000004</v>
      </c>
      <c r="H68">
        <f xml:space="preserve"> [1]Coibion_update!Q74</f>
        <v>3.4346321577483927</v>
      </c>
      <c r="I68">
        <f xml:space="preserve"> [1]Coibion_update!W74</f>
        <v>3.42</v>
      </c>
      <c r="J68">
        <f xml:space="preserve"> [1]Coibion_update!X74</f>
        <v>4.5829245770407718</v>
      </c>
      <c r="K68">
        <f xml:space="preserve"> [1]Coibion_update!Y74</f>
        <v>2.3883957494071568</v>
      </c>
      <c r="L68">
        <f xml:space="preserve"> [1]Coibion_update!Z74</f>
        <v>3.5272424885128144</v>
      </c>
      <c r="M68">
        <f xml:space="preserve"> [1]Coibion_update!AA74</f>
        <v>3.0979277858686607</v>
      </c>
      <c r="X68" s="5">
        <f xml:space="preserve"> [1]misc!N151</f>
        <v>3.72</v>
      </c>
      <c r="AK68">
        <v>3.5</v>
      </c>
      <c r="AL68">
        <f xml:space="preserve"> LN([1]misc!B87)</f>
        <v>5.0549711079163071</v>
      </c>
      <c r="AM68">
        <f xml:space="preserve"> LN([1]misc!D87)</f>
        <v>6.0164010323980133</v>
      </c>
      <c r="AN68">
        <f xml:space="preserve"> LN([1]misc!G192)</f>
        <v>2.8574467407496478</v>
      </c>
      <c r="AO68">
        <f xml:space="preserve"> LN([1]misc!J98 + [1]misc!L98)</f>
        <v>2.432472353828468</v>
      </c>
      <c r="AP68">
        <f xml:space="preserve"> [1]Factors!B68</f>
        <v>-0.12508450700000001</v>
      </c>
      <c r="AQ68">
        <f xml:space="preserve"> [1]Factors!C68</f>
        <v>-8.42955705E-2</v>
      </c>
      <c r="AR68">
        <f xml:space="preserve"> [1]Factors!D68</f>
        <v>-0.118976227</v>
      </c>
      <c r="AS68">
        <f xml:space="preserve"> [1]Factors!E68</f>
        <v>-0.14324310200000001</v>
      </c>
      <c r="AT68">
        <f xml:space="preserve"> [1]Factors!F68</f>
        <v>0.103463611</v>
      </c>
    </row>
    <row r="69" spans="1:46" x14ac:dyDescent="0.25">
      <c r="A69">
        <f t="shared" si="7"/>
        <v>1964.5833333333283</v>
      </c>
      <c r="B69" s="1">
        <v>23590</v>
      </c>
      <c r="C69" s="7">
        <f t="shared" si="4"/>
        <v>1964</v>
      </c>
      <c r="D69" s="7">
        <f t="shared" si="5"/>
        <v>8</v>
      </c>
      <c r="E69" s="7">
        <f t="shared" si="6"/>
        <v>3</v>
      </c>
      <c r="F69">
        <f xml:space="preserve"> [1]Coibion_update!O75</f>
        <v>3.4017772135271644</v>
      </c>
      <c r="G69">
        <f xml:space="preserve"> [1]Coibion_update!P75</f>
        <v>5</v>
      </c>
      <c r="H69">
        <f xml:space="preserve"> [1]Coibion_update!Q75</f>
        <v>3.4355988083794879</v>
      </c>
      <c r="I69">
        <f xml:space="preserve"> [1]Coibion_update!W75</f>
        <v>3.5</v>
      </c>
      <c r="J69">
        <f xml:space="preserve"> [1]Coibion_update!X75</f>
        <v>4.6029677624328915</v>
      </c>
      <c r="K69">
        <f xml:space="preserve"> [1]Coibion_update!Y75</f>
        <v>2.3978952727983707</v>
      </c>
      <c r="L69">
        <f xml:space="preserve"> [1]Coibion_update!Z75</f>
        <v>3.5358448179448745</v>
      </c>
      <c r="M69">
        <f xml:space="preserve"> [1]Coibion_update!AA75</f>
        <v>3.1007677363878718</v>
      </c>
      <c r="X69" s="5">
        <f xml:space="preserve"> [1]misc!N152</f>
        <v>3.74</v>
      </c>
      <c r="AK69">
        <v>3.5</v>
      </c>
      <c r="AL69">
        <f xml:space="preserve"> LN([1]misc!B88)</f>
        <v>5.0613284084117742</v>
      </c>
      <c r="AM69">
        <f xml:space="preserve"> LN([1]misc!D88)</f>
        <v>6.0244156472476682</v>
      </c>
      <c r="AN69">
        <f xml:space="preserve"> LN([1]misc!G193)</f>
        <v>2.8518619031342891</v>
      </c>
      <c r="AO69">
        <f xml:space="preserve"> LN([1]misc!J99 + [1]misc!L99)</f>
        <v>2.4406063908914204</v>
      </c>
      <c r="AP69">
        <f xml:space="preserve"> [1]Factors!B69</f>
        <v>-0.42280940900000002</v>
      </c>
      <c r="AQ69">
        <f xml:space="preserve"> [1]Factors!C69</f>
        <v>-0.20450015699999999</v>
      </c>
      <c r="AR69">
        <f xml:space="preserve"> [1]Factors!D69</f>
        <v>-0.17416914</v>
      </c>
      <c r="AS69">
        <f xml:space="preserve"> [1]Factors!E69</f>
        <v>-3.7098866799999998E-2</v>
      </c>
      <c r="AT69">
        <f xml:space="preserve"> [1]Factors!F69</f>
        <v>7.6179438599999996E-2</v>
      </c>
    </row>
    <row r="70" spans="1:46" x14ac:dyDescent="0.25">
      <c r="A70">
        <f t="shared" si="7"/>
        <v>1964.6666666666615</v>
      </c>
      <c r="B70" s="1">
        <v>23621</v>
      </c>
      <c r="C70" s="7">
        <f t="shared" si="4"/>
        <v>1964</v>
      </c>
      <c r="D70" s="7">
        <f t="shared" si="5"/>
        <v>9</v>
      </c>
      <c r="E70" s="7">
        <f t="shared" si="6"/>
        <v>3</v>
      </c>
      <c r="F70">
        <f xml:space="preserve"> [1]Coibion_update!O76</f>
        <v>3.4054782058456303</v>
      </c>
      <c r="G70">
        <f xml:space="preserve"> [1]Coibion_update!P76</f>
        <v>5.0999999999999996</v>
      </c>
      <c r="H70">
        <f xml:space="preserve"> [1]Coibion_update!Q76</f>
        <v>3.4365645254994468</v>
      </c>
      <c r="I70">
        <f xml:space="preserve"> [1]Coibion_update!W76</f>
        <v>3.45</v>
      </c>
      <c r="J70">
        <f xml:space="preserve"> [1]Coibion_update!X76</f>
        <v>4.6243844049118961</v>
      </c>
      <c r="K70">
        <f xml:space="preserve"> [1]Coibion_update!Y76</f>
        <v>2.3693087250369538</v>
      </c>
      <c r="L70">
        <f xml:space="preserve"> [1]Coibion_update!Z76</f>
        <v>3.5279474999984521</v>
      </c>
      <c r="M70">
        <f xml:space="preserve"> [1]Coibion_update!AA76</f>
        <v>3.1068263210595779</v>
      </c>
      <c r="X70" s="5">
        <f xml:space="preserve"> [1]misc!N153</f>
        <v>3.84</v>
      </c>
      <c r="AK70">
        <v>2.75</v>
      </c>
      <c r="AL70">
        <f xml:space="preserve"> LN([1]misc!B89)</f>
        <v>5.0670156275323635</v>
      </c>
      <c r="AM70">
        <f xml:space="preserve"> LN([1]misc!D89)</f>
        <v>6.0328463848867511</v>
      </c>
      <c r="AN70">
        <f xml:space="preserve"> LN([1]misc!G194)</f>
        <v>2.8675010956569089</v>
      </c>
      <c r="AO70">
        <f xml:space="preserve"> LN([1]misc!J100 + [1]misc!L100)</f>
        <v>2.4439110290844805</v>
      </c>
      <c r="AP70">
        <f xml:space="preserve"> [1]Factors!B70</f>
        <v>-0.33817787799999999</v>
      </c>
      <c r="AQ70">
        <f xml:space="preserve"> [1]Factors!C70</f>
        <v>-0.19505172500000001</v>
      </c>
      <c r="AR70">
        <f xml:space="preserve"> [1]Factors!D70</f>
        <v>-0.19607372200000001</v>
      </c>
      <c r="AS70">
        <f xml:space="preserve"> [1]Factors!E70</f>
        <v>-0.13880782899999999</v>
      </c>
      <c r="AT70">
        <f xml:space="preserve"> [1]Factors!F70</f>
        <v>0.164373766</v>
      </c>
    </row>
    <row r="71" spans="1:46" x14ac:dyDescent="0.25">
      <c r="A71">
        <f t="shared" si="7"/>
        <v>1964.7499999999948</v>
      </c>
      <c r="B71" s="1">
        <v>23651</v>
      </c>
      <c r="C71" s="7">
        <f t="shared" si="4"/>
        <v>1964</v>
      </c>
      <c r="D71" s="7">
        <f t="shared" si="5"/>
        <v>10</v>
      </c>
      <c r="E71" s="7">
        <f t="shared" si="6"/>
        <v>4</v>
      </c>
      <c r="F71">
        <f xml:space="preserve"> [1]Coibion_update!O77</f>
        <v>3.391530810545385</v>
      </c>
      <c r="G71">
        <f xml:space="preserve"> [1]Coibion_update!P77</f>
        <v>5.0999999999999996</v>
      </c>
      <c r="H71">
        <f xml:space="preserve"> [1]Coibion_update!Q77</f>
        <v>3.4378506993101907</v>
      </c>
      <c r="I71">
        <f xml:space="preserve"> [1]Coibion_update!W77</f>
        <v>3.36</v>
      </c>
      <c r="J71">
        <f xml:space="preserve"> [1]Coibion_update!X77</f>
        <v>4.6482296754485386</v>
      </c>
      <c r="K71">
        <f xml:space="preserve"> [1]Coibion_update!Y77</f>
        <v>2.386466576974748</v>
      </c>
      <c r="L71">
        <f xml:space="preserve"> [1]Coibion_update!Z77</f>
        <v>3.5341536089107808</v>
      </c>
      <c r="M71">
        <f xml:space="preserve"> [1]Coibion_update!AA77</f>
        <v>3.1103547643906886</v>
      </c>
      <c r="X71" s="5">
        <f xml:space="preserve"> [1]misc!N154</f>
        <v>3.86</v>
      </c>
      <c r="AK71">
        <v>3.5</v>
      </c>
      <c r="AL71">
        <f xml:space="preserve"> LN([1]misc!B90)</f>
        <v>5.0701612734102826</v>
      </c>
      <c r="AM71">
        <f xml:space="preserve"> LN([1]misc!D90)</f>
        <v>6.038109554931026</v>
      </c>
      <c r="AN71">
        <f xml:space="preserve"> LN([1]misc!G195)</f>
        <v>2.8749760724181912</v>
      </c>
      <c r="AO71">
        <f xml:space="preserve"> LN([1]misc!J101 + [1]misc!L101)</f>
        <v>2.4481562163132646</v>
      </c>
      <c r="AP71">
        <f xml:space="preserve"> [1]Factors!B71</f>
        <v>-0.35145701400000001</v>
      </c>
      <c r="AQ71">
        <f xml:space="preserve"> [1]Factors!C71</f>
        <v>-0.13625050799999999</v>
      </c>
      <c r="AR71">
        <f xml:space="preserve"> [1]Factors!D71</f>
        <v>-0.169449238</v>
      </c>
      <c r="AS71">
        <f xml:space="preserve"> [1]Factors!E71</f>
        <v>-0.14172776000000001</v>
      </c>
      <c r="AT71">
        <f xml:space="preserve"> [1]Factors!F71</f>
        <v>0.32946006999999999</v>
      </c>
    </row>
    <row r="72" spans="1:46" x14ac:dyDescent="0.25">
      <c r="A72">
        <f t="shared" si="7"/>
        <v>1964.833333333328</v>
      </c>
      <c r="B72" s="1">
        <v>23682</v>
      </c>
      <c r="C72" s="7">
        <f t="shared" si="4"/>
        <v>1964</v>
      </c>
      <c r="D72" s="7">
        <f t="shared" si="5"/>
        <v>11</v>
      </c>
      <c r="E72" s="7">
        <f t="shared" si="6"/>
        <v>4</v>
      </c>
      <c r="F72">
        <f xml:space="preserve"> [1]Coibion_update!O78</f>
        <v>3.421963596845957</v>
      </c>
      <c r="G72">
        <f xml:space="preserve"> [1]Coibion_update!P78</f>
        <v>4.8</v>
      </c>
      <c r="H72">
        <f xml:space="preserve"> [1]Coibion_update!Q78</f>
        <v>3.440738556282688</v>
      </c>
      <c r="I72">
        <f xml:space="preserve"> [1]Coibion_update!W78</f>
        <v>3.52</v>
      </c>
      <c r="J72">
        <f xml:space="preserve"> [1]Coibion_update!X78</f>
        <v>4.6501435516308227</v>
      </c>
      <c r="K72">
        <f xml:space="preserve"> [1]Coibion_update!Y78</f>
        <v>2.3458361349883607</v>
      </c>
      <c r="L72">
        <f xml:space="preserve"> [1]Coibion_update!Z78</f>
        <v>3.5181207886844343</v>
      </c>
      <c r="M72">
        <f xml:space="preserve"> [1]Coibion_update!AA78</f>
        <v>3.1157350659486873</v>
      </c>
      <c r="X72" s="5">
        <f xml:space="preserve"> [1]misc!N155</f>
        <v>3.91</v>
      </c>
      <c r="AK72">
        <v>4</v>
      </c>
      <c r="AL72">
        <f xml:space="preserve"> LN([1]misc!B91)</f>
        <v>5.0751738152338266</v>
      </c>
      <c r="AM72">
        <f xml:space="preserve"> LN([1]misc!D91)</f>
        <v>6.045005314036012</v>
      </c>
      <c r="AN72">
        <f xml:space="preserve"> LN([1]misc!G196)</f>
        <v>2.8792546354952959</v>
      </c>
      <c r="AO72">
        <f xml:space="preserve"> LN([1]misc!J102 + [1]misc!L102)</f>
        <v>2.450832669454249</v>
      </c>
      <c r="AP72">
        <f xml:space="preserve"> [1]Factors!B72</f>
        <v>0.35702036799999998</v>
      </c>
      <c r="AQ72">
        <f xml:space="preserve"> [1]Factors!C72</f>
        <v>7.4199453999999998E-2</v>
      </c>
      <c r="AR72">
        <f xml:space="preserve"> [1]Factors!D72</f>
        <v>-0.181928222</v>
      </c>
      <c r="AS72">
        <f xml:space="preserve"> [1]Factors!E72</f>
        <v>-0.43809748700000001</v>
      </c>
      <c r="AT72">
        <f xml:space="preserve"> [1]Factors!F72</f>
        <v>0.65834450600000005</v>
      </c>
    </row>
    <row r="73" spans="1:46" x14ac:dyDescent="0.25">
      <c r="A73">
        <f t="shared" si="7"/>
        <v>1964.9166666666613</v>
      </c>
      <c r="B73" s="1">
        <v>23712</v>
      </c>
      <c r="C73" s="7">
        <f t="shared" si="4"/>
        <v>1964</v>
      </c>
      <c r="D73" s="7">
        <f t="shared" si="5"/>
        <v>12</v>
      </c>
      <c r="E73" s="7">
        <f t="shared" si="6"/>
        <v>4</v>
      </c>
      <c r="F73">
        <f xml:space="preserve"> [1]Coibion_update!O79</f>
        <v>3.433700066490784</v>
      </c>
      <c r="G73">
        <f xml:space="preserve"> [1]Coibion_update!P79</f>
        <v>5</v>
      </c>
      <c r="H73">
        <f xml:space="preserve"> [1]Coibion_update!Q79</f>
        <v>3.4420193761824107</v>
      </c>
      <c r="I73">
        <f xml:space="preserve"> [1]Coibion_update!W79</f>
        <v>3.85</v>
      </c>
      <c r="J73">
        <f xml:space="preserve"> [1]Coibion_update!X79</f>
        <v>4.6566234675770071</v>
      </c>
      <c r="K73">
        <f xml:space="preserve"> [1]Coibion_update!Y79</f>
        <v>2.329032263008894</v>
      </c>
      <c r="L73">
        <f xml:space="preserve"> [1]Coibion_update!Z79</f>
        <v>3.5443448908806401</v>
      </c>
      <c r="M73">
        <f xml:space="preserve"> [1]Coibion_update!AA79</f>
        <v>3.1203364367785218</v>
      </c>
      <c r="X73" s="5">
        <f xml:space="preserve"> [1]misc!N156</f>
        <v>4.0199999999999996</v>
      </c>
      <c r="AK73">
        <v>4</v>
      </c>
      <c r="AL73">
        <f xml:space="preserve"> LN([1]misc!B92)</f>
        <v>5.0770470596155075</v>
      </c>
      <c r="AM73">
        <f xml:space="preserve"> LN([1]misc!D92)</f>
        <v>6.0513830373192254</v>
      </c>
      <c r="AN73">
        <f xml:space="preserve"> LN([1]misc!G197)</f>
        <v>2.8892044101441576</v>
      </c>
      <c r="AO73">
        <f xml:space="preserve"> LN([1]misc!J103 + [1]misc!L103)</f>
        <v>2.4635978888417491</v>
      </c>
      <c r="AP73">
        <f xml:space="preserve"> [1]Factors!B73</f>
        <v>-0.96394417399999999</v>
      </c>
      <c r="AQ73">
        <f xml:space="preserve"> [1]Factors!C73</f>
        <v>-0.313730603</v>
      </c>
      <c r="AR73">
        <f xml:space="preserve"> [1]Factors!D73</f>
        <v>-0.12109663</v>
      </c>
      <c r="AS73">
        <f xml:space="preserve"> [1]Factors!E73</f>
        <v>0.17594624</v>
      </c>
      <c r="AT73">
        <f xml:space="preserve"> [1]Factors!F73</f>
        <v>-0.43025390899999999</v>
      </c>
    </row>
    <row r="74" spans="1:46" x14ac:dyDescent="0.25">
      <c r="A74">
        <v>1965</v>
      </c>
      <c r="B74" s="1">
        <v>23743</v>
      </c>
      <c r="C74" s="7">
        <f t="shared" si="4"/>
        <v>1965</v>
      </c>
      <c r="D74" s="7">
        <f t="shared" si="5"/>
        <v>1</v>
      </c>
      <c r="E74" s="7">
        <f t="shared" si="6"/>
        <v>1</v>
      </c>
      <c r="F74">
        <f xml:space="preserve"> [1]Coibion_update!O80</f>
        <v>3.4444165007821321</v>
      </c>
      <c r="G74">
        <f xml:space="preserve"> [1]Coibion_update!P80</f>
        <v>4.9000000000000004</v>
      </c>
      <c r="H74">
        <f xml:space="preserve"> [1]Coibion_update!Q80</f>
        <v>3.4429789156771102</v>
      </c>
      <c r="I74">
        <f xml:space="preserve"> [1]Coibion_update!W80</f>
        <v>3.9</v>
      </c>
      <c r="J74">
        <f xml:space="preserve"> [1]Coibion_update!X80</f>
        <v>4.6487084880025744</v>
      </c>
      <c r="K74">
        <f xml:space="preserve"> [1]Coibion_update!Y80</f>
        <v>2.3805641343106343</v>
      </c>
      <c r="L74">
        <f xml:space="preserve"> [1]Coibion_update!Z80</f>
        <v>3.5391896431333314</v>
      </c>
      <c r="M74">
        <f xml:space="preserve"> [1]Coibion_update!AA80</f>
        <v>3.1238616012645188</v>
      </c>
      <c r="X74" s="5">
        <f xml:space="preserve"> [1]misc!N157</f>
        <v>3.94</v>
      </c>
      <c r="Z74">
        <f xml:space="preserve"> [1]Sims_Zha!B77</f>
        <v>-0.42952000000000001</v>
      </c>
      <c r="AK74">
        <v>4</v>
      </c>
      <c r="AL74">
        <f xml:space="preserve"> LN([1]misc!B93)</f>
        <v>5.0795392727434665</v>
      </c>
      <c r="AM74">
        <f xml:space="preserve"> LN([1]misc!D93)</f>
        <v>6.0579542883768145</v>
      </c>
      <c r="AN74">
        <f xml:space="preserve"> LN([1]misc!G198)</f>
        <v>2.8907605711873683</v>
      </c>
      <c r="AO74">
        <f xml:space="preserve"> LN([1]misc!J104 + [1]misc!L104)</f>
        <v>2.4555636575911262</v>
      </c>
      <c r="AP74">
        <f xml:space="preserve"> [1]Factors!B74</f>
        <v>-0.62820960800000003</v>
      </c>
      <c r="AQ74">
        <f xml:space="preserve"> [1]Factors!C74</f>
        <v>-0.22863786799999999</v>
      </c>
      <c r="AR74">
        <f xml:space="preserve"> [1]Factors!D74</f>
        <v>-0.107603537</v>
      </c>
      <c r="AS74">
        <f xml:space="preserve"> [1]Factors!E74</f>
        <v>-3.0309030399999999E-2</v>
      </c>
      <c r="AT74">
        <f xml:space="preserve"> [1]Factors!F74</f>
        <v>-8.5771646199999996E-2</v>
      </c>
    </row>
    <row r="75" spans="1:46" x14ac:dyDescent="0.25">
      <c r="A75">
        <f xml:space="preserve"> A74 + 1/12</f>
        <v>1965.0833333333333</v>
      </c>
      <c r="B75" s="1">
        <v>23774</v>
      </c>
      <c r="C75" s="7">
        <f t="shared" si="4"/>
        <v>1965</v>
      </c>
      <c r="D75" s="7">
        <f t="shared" si="5"/>
        <v>2</v>
      </c>
      <c r="E75" s="7">
        <f t="shared" si="6"/>
        <v>1</v>
      </c>
      <c r="F75">
        <f xml:space="preserve"> [1]Coibion_update!O81</f>
        <v>3.4506127471778867</v>
      </c>
      <c r="G75">
        <f xml:space="preserve"> [1]Coibion_update!P81</f>
        <v>5.0999999999999996</v>
      </c>
      <c r="H75">
        <f xml:space="preserve"> [1]Coibion_update!Q81</f>
        <v>3.4429789156771102</v>
      </c>
      <c r="I75">
        <f xml:space="preserve"> [1]Coibion_update!W81</f>
        <v>3.98</v>
      </c>
      <c r="J75">
        <f xml:space="preserve"> [1]Coibion_update!X81</f>
        <v>4.6485169904914576</v>
      </c>
      <c r="K75">
        <f xml:space="preserve"> [1]Coibion_update!Y81</f>
        <v>2.4501426573516603</v>
      </c>
      <c r="L75">
        <f xml:space="preserve"> [1]Coibion_update!Z81</f>
        <v>3.5503068042499963</v>
      </c>
      <c r="M75">
        <f xml:space="preserve"> [1]Coibion_update!AA81</f>
        <v>3.1268921062520132</v>
      </c>
      <c r="X75" s="5">
        <f xml:space="preserve"> [1]misc!N158</f>
        <v>4.03</v>
      </c>
      <c r="Z75">
        <f xml:space="preserve"> [1]Sims_Zha!B78</f>
        <v>-0.20263999999999999</v>
      </c>
      <c r="AK75">
        <v>4</v>
      </c>
      <c r="AL75">
        <f xml:space="preserve"> LN([1]misc!B94)</f>
        <v>5.0807830539983376</v>
      </c>
      <c r="AM75">
        <f xml:space="preserve"> LN([1]misc!D94)</f>
        <v>6.0647150088475748</v>
      </c>
      <c r="AN75">
        <f xml:space="preserve"> LN([1]misc!G199)</f>
        <v>2.878805121524699</v>
      </c>
      <c r="AO75">
        <f xml:space="preserve"> LN([1]misc!J105 + [1]misc!L105)</f>
        <v>2.4405192790833596</v>
      </c>
      <c r="AP75">
        <f xml:space="preserve"> [1]Factors!B75</f>
        <v>-0.45569259000000001</v>
      </c>
      <c r="AQ75">
        <f xml:space="preserve"> [1]Factors!C75</f>
        <v>-0.15830588800000001</v>
      </c>
      <c r="AR75">
        <f xml:space="preserve"> [1]Factors!D75</f>
        <v>-0.16751568</v>
      </c>
      <c r="AS75">
        <f xml:space="preserve"> [1]Factors!E75</f>
        <v>-3.9121560999999999E-2</v>
      </c>
      <c r="AT75">
        <f xml:space="preserve"> [1]Factors!F75</f>
        <v>3.8218009300000001E-2</v>
      </c>
    </row>
    <row r="76" spans="1:46" x14ac:dyDescent="0.25">
      <c r="A76">
        <f t="shared" ref="A76:A139" si="8" xml:space="preserve"> A75 + 1/12</f>
        <v>1965.1666666666665</v>
      </c>
      <c r="B76" s="1">
        <v>23802</v>
      </c>
      <c r="C76" s="7">
        <f t="shared" si="4"/>
        <v>1965</v>
      </c>
      <c r="D76" s="7">
        <f t="shared" si="5"/>
        <v>3</v>
      </c>
      <c r="E76" s="7">
        <f t="shared" si="6"/>
        <v>1</v>
      </c>
      <c r="F76">
        <f xml:space="preserve"> [1]Coibion_update!O82</f>
        <v>3.4637652122640739</v>
      </c>
      <c r="G76">
        <f xml:space="preserve"> [1]Coibion_update!P82</f>
        <v>4.7</v>
      </c>
      <c r="H76">
        <f xml:space="preserve"> [1]Coibion_update!Q82</f>
        <v>3.4439375353383141</v>
      </c>
      <c r="I76">
        <f xml:space="preserve"> [1]Coibion_update!W82</f>
        <v>4.04</v>
      </c>
      <c r="J76">
        <f xml:space="preserve"> [1]Coibion_update!X82</f>
        <v>4.655673168161198</v>
      </c>
      <c r="K76">
        <f xml:space="preserve"> [1]Coibion_update!Y82</f>
        <v>2.4950219835290932</v>
      </c>
      <c r="L76">
        <f xml:space="preserve"> [1]Coibion_update!Z82</f>
        <v>3.5358156833869163</v>
      </c>
      <c r="M76">
        <f xml:space="preserve"> [1]Coibion_update!AA82</f>
        <v>3.1299571756452225</v>
      </c>
      <c r="X76" s="5">
        <f xml:space="preserve"> [1]misc!N159</f>
        <v>4.0599999999999996</v>
      </c>
      <c r="Z76">
        <f xml:space="preserve"> [1]Sims_Zha!B79</f>
        <v>-0.34037000000000001</v>
      </c>
      <c r="AK76">
        <v>4</v>
      </c>
      <c r="AL76">
        <f xml:space="preserve"> LN([1]misc!B95)</f>
        <v>5.084505142662711</v>
      </c>
      <c r="AM76">
        <f xml:space="preserve"> LN([1]misc!D95)</f>
        <v>6.0711995151268354</v>
      </c>
      <c r="AN76">
        <f xml:space="preserve"> LN([1]misc!G200)</f>
        <v>2.8818914571302314</v>
      </c>
      <c r="AO76">
        <f xml:space="preserve"> LN([1]misc!J106 + [1]misc!L106)</f>
        <v>2.4399092838572645</v>
      </c>
      <c r="AP76">
        <f xml:space="preserve"> [1]Factors!B76</f>
        <v>-0.26760564599999997</v>
      </c>
      <c r="AQ76">
        <f xml:space="preserve"> [1]Factors!C76</f>
        <v>-0.152018704</v>
      </c>
      <c r="AR76">
        <f xml:space="preserve"> [1]Factors!D76</f>
        <v>-0.21975393300000001</v>
      </c>
      <c r="AS76">
        <f xml:space="preserve"> [1]Factors!E76</f>
        <v>-0.19924233299999999</v>
      </c>
      <c r="AT76">
        <f xml:space="preserve"> [1]Factors!F76</f>
        <v>0.12000646299999999</v>
      </c>
    </row>
    <row r="77" spans="1:46" x14ac:dyDescent="0.25">
      <c r="A77">
        <f t="shared" si="8"/>
        <v>1965.2499999999998</v>
      </c>
      <c r="B77" s="1">
        <v>23833</v>
      </c>
      <c r="C77" s="7">
        <f t="shared" si="4"/>
        <v>1965</v>
      </c>
      <c r="D77" s="7">
        <f t="shared" si="5"/>
        <v>4</v>
      </c>
      <c r="E77" s="7">
        <f t="shared" si="6"/>
        <v>2</v>
      </c>
      <c r="F77">
        <f xml:space="preserve"> [1]Coibion_update!O83</f>
        <v>3.4681112045356328</v>
      </c>
      <c r="G77">
        <f xml:space="preserve"> [1]Coibion_update!P83</f>
        <v>4.8</v>
      </c>
      <c r="H77">
        <f xml:space="preserve"> [1]Coibion_update!Q83</f>
        <v>3.4461707473048864</v>
      </c>
      <c r="I77">
        <f xml:space="preserve"> [1]Coibion_update!W83</f>
        <v>4.09</v>
      </c>
      <c r="J77">
        <f xml:space="preserve"> [1]Coibion_update!X83</f>
        <v>4.6777698784024349</v>
      </c>
      <c r="K77">
        <f xml:space="preserve"> [1]Coibion_update!Y83</f>
        <v>2.480814956884744</v>
      </c>
      <c r="L77">
        <f xml:space="preserve"> [1]Coibion_update!Z83</f>
        <v>3.5519135990407791</v>
      </c>
      <c r="M77">
        <f xml:space="preserve"> [1]Coibion_update!AA83</f>
        <v>3.137188432107985</v>
      </c>
      <c r="X77" s="5">
        <f xml:space="preserve"> [1]misc!N160</f>
        <v>4.04</v>
      </c>
      <c r="Z77">
        <f xml:space="preserve"> [1]Sims_Zha!B80</f>
        <v>-0.5655</v>
      </c>
      <c r="AK77">
        <v>4.13</v>
      </c>
      <c r="AL77">
        <f xml:space="preserve"> LN([1]misc!B96)</f>
        <v>5.0875963352323836</v>
      </c>
      <c r="AM77">
        <f xml:space="preserve"> LN([1]misc!D96)</f>
        <v>6.0762651488004469</v>
      </c>
      <c r="AN77">
        <f xml:space="preserve"> LN([1]misc!G201)</f>
        <v>2.89408706979179</v>
      </c>
      <c r="AO77">
        <f xml:space="preserve"> LN([1]misc!J107 + [1]misc!L107)</f>
        <v>2.4485019678942006</v>
      </c>
      <c r="AP77">
        <f xml:space="preserve"> [1]Factors!B77</f>
        <v>-0.54202249800000002</v>
      </c>
      <c r="AQ77">
        <f xml:space="preserve"> [1]Factors!C77</f>
        <v>-0.21628710700000001</v>
      </c>
      <c r="AR77">
        <f xml:space="preserve"> [1]Factors!D77</f>
        <v>-0.183458437</v>
      </c>
      <c r="AS77">
        <f xml:space="preserve"> [1]Factors!E77</f>
        <v>-8.0805370099999996E-2</v>
      </c>
      <c r="AT77">
        <f xml:space="preserve"> [1]Factors!F77</f>
        <v>0.120310583</v>
      </c>
    </row>
    <row r="78" spans="1:46" x14ac:dyDescent="0.25">
      <c r="A78">
        <f t="shared" si="8"/>
        <v>1965.333333333333</v>
      </c>
      <c r="B78" s="1">
        <v>23863</v>
      </c>
      <c r="C78" s="7">
        <f t="shared" si="4"/>
        <v>1965</v>
      </c>
      <c r="D78" s="7">
        <f t="shared" si="5"/>
        <v>5</v>
      </c>
      <c r="E78" s="7">
        <f t="shared" si="6"/>
        <v>2</v>
      </c>
      <c r="F78">
        <f xml:space="preserve"> [1]Coibion_update!O84</f>
        <v>3.4758873272935995</v>
      </c>
      <c r="G78">
        <f xml:space="preserve"> [1]Coibion_update!P84</f>
        <v>4.5999999999999996</v>
      </c>
      <c r="H78">
        <f xml:space="preserve"> [1]Coibion_update!Q84</f>
        <v>3.4493524235492026</v>
      </c>
      <c r="I78">
        <f xml:space="preserve"> [1]Coibion_update!W84</f>
        <v>4.0999999999999996</v>
      </c>
      <c r="J78">
        <f xml:space="preserve"> [1]Coibion_update!X84</f>
        <v>4.6760945243247898</v>
      </c>
      <c r="K78">
        <f xml:space="preserve"> [1]Coibion_update!Y84</f>
        <v>2.4468585821504703</v>
      </c>
      <c r="L78">
        <f xml:space="preserve"> [1]Coibion_update!Z84</f>
        <v>3.5569467828531107</v>
      </c>
      <c r="M78">
        <f xml:space="preserve"> [1]Coibion_update!AA84</f>
        <v>3.1421243617690613</v>
      </c>
      <c r="X78" s="5">
        <f xml:space="preserve"> [1]misc!N161</f>
        <v>4.03</v>
      </c>
      <c r="Z78">
        <f xml:space="preserve"> [1]Sims_Zha!B81</f>
        <v>-0.42538999999999999</v>
      </c>
      <c r="AK78">
        <v>4.13</v>
      </c>
      <c r="AL78">
        <f xml:space="preserve"> LN([1]misc!B97)</f>
        <v>5.0857427665830608</v>
      </c>
      <c r="AM78">
        <f xml:space="preserve"> LN([1]misc!D97)</f>
        <v>6.0801620018692688</v>
      </c>
      <c r="AN78">
        <f xml:space="preserve"> LN([1]misc!G202)</f>
        <v>2.8927577979261612</v>
      </c>
      <c r="AO78">
        <f xml:space="preserve"> LN([1]misc!J108 + [1]misc!L108)</f>
        <v>2.4351034726941903</v>
      </c>
      <c r="AP78">
        <f xml:space="preserve"> [1]Factors!B78</f>
        <v>-0.38122423999999999</v>
      </c>
      <c r="AQ78">
        <f xml:space="preserve"> [1]Factors!C78</f>
        <v>1.4364120899999999E-2</v>
      </c>
      <c r="AR78">
        <f xml:space="preserve"> [1]Factors!D78</f>
        <v>-0.21145991</v>
      </c>
      <c r="AS78">
        <f xml:space="preserve"> [1]Factors!E78</f>
        <v>-0.11674282800000001</v>
      </c>
      <c r="AT78">
        <f xml:space="preserve"> [1]Factors!F78</f>
        <v>0.281188981</v>
      </c>
    </row>
    <row r="79" spans="1:46" x14ac:dyDescent="0.25">
      <c r="A79">
        <f t="shared" si="8"/>
        <v>1965.4166666666663</v>
      </c>
      <c r="B79" s="1">
        <v>23894</v>
      </c>
      <c r="C79" s="7">
        <f t="shared" si="4"/>
        <v>1965</v>
      </c>
      <c r="D79" s="7">
        <f t="shared" si="5"/>
        <v>6</v>
      </c>
      <c r="E79" s="7">
        <f t="shared" si="6"/>
        <v>2</v>
      </c>
      <c r="F79">
        <f xml:space="preserve"> [1]Coibion_update!O85</f>
        <v>3.4836034482477949</v>
      </c>
      <c r="G79">
        <f xml:space="preserve"> [1]Coibion_update!P85</f>
        <v>4.5999999999999996</v>
      </c>
      <c r="H79">
        <f xml:space="preserve"> [1]Coibion_update!Q85</f>
        <v>3.4534735262275262</v>
      </c>
      <c r="I79">
        <f xml:space="preserve"> [1]Coibion_update!W85</f>
        <v>4.04</v>
      </c>
      <c r="J79">
        <f xml:space="preserve"> [1]Coibion_update!X85</f>
        <v>4.6662652853479019</v>
      </c>
      <c r="K79">
        <f xml:space="preserve"> [1]Coibion_update!Y85</f>
        <v>2.4047806053087153</v>
      </c>
      <c r="L79">
        <f xml:space="preserve"> [1]Coibion_update!Z85</f>
        <v>3.544980214917258</v>
      </c>
      <c r="M79">
        <f xml:space="preserve"> [1]Coibion_update!AA85</f>
        <v>3.1466491588708516</v>
      </c>
      <c r="X79" s="5">
        <f xml:space="preserve"> [1]misc!N162</f>
        <v>3.99</v>
      </c>
      <c r="Z79">
        <f xml:space="preserve"> [1]Sims_Zha!B82</f>
        <v>-1.6228</v>
      </c>
      <c r="AK79">
        <v>4.13</v>
      </c>
      <c r="AL79">
        <f xml:space="preserve"> LN([1]misc!B98)</f>
        <v>5.0888301416813126</v>
      </c>
      <c r="AM79">
        <f xml:space="preserve"> LN([1]misc!D98)</f>
        <v>6.0870019738170456</v>
      </c>
      <c r="AN79">
        <f xml:space="preserve"> LN([1]misc!G203)</f>
        <v>2.9012567453311058</v>
      </c>
      <c r="AO79">
        <f xml:space="preserve"> LN([1]misc!J109 + [1]misc!L109)</f>
        <v>2.4394733450561672</v>
      </c>
      <c r="AP79">
        <f xml:space="preserve"> [1]Factors!B79</f>
        <v>-0.46264633799999999</v>
      </c>
      <c r="AQ79">
        <f xml:space="preserve"> [1]Factors!C79</f>
        <v>-8.0269953699999994E-2</v>
      </c>
      <c r="AR79">
        <f xml:space="preserve"> [1]Factors!D79</f>
        <v>-0.176209266</v>
      </c>
      <c r="AS79">
        <f xml:space="preserve"> [1]Factors!E79</f>
        <v>-5.6702622100000002E-2</v>
      </c>
      <c r="AT79">
        <f xml:space="preserve"> [1]Factors!F79</f>
        <v>0.124536902</v>
      </c>
    </row>
    <row r="80" spans="1:46" x14ac:dyDescent="0.25">
      <c r="A80">
        <f t="shared" si="8"/>
        <v>1965.4999999999995</v>
      </c>
      <c r="B80" s="1">
        <v>23924</v>
      </c>
      <c r="C80" s="7">
        <f t="shared" si="4"/>
        <v>1965</v>
      </c>
      <c r="D80" s="7">
        <f t="shared" si="5"/>
        <v>7</v>
      </c>
      <c r="E80" s="7">
        <f t="shared" si="6"/>
        <v>3</v>
      </c>
      <c r="F80">
        <f xml:space="preserve"> [1]Coibion_update!O86</f>
        <v>3.4929527658120127</v>
      </c>
      <c r="G80">
        <f xml:space="preserve"> [1]Coibion_update!P86</f>
        <v>4.4000000000000004</v>
      </c>
      <c r="H80">
        <f xml:space="preserve"> [1]Coibion_update!Q86</f>
        <v>3.452524008827496</v>
      </c>
      <c r="I80">
        <f xml:space="preserve"> [1]Coibion_update!W86</f>
        <v>4.09</v>
      </c>
      <c r="J80">
        <f xml:space="preserve"> [1]Coibion_update!X86</f>
        <v>4.6572881402501976</v>
      </c>
      <c r="K80">
        <f xml:space="preserve"> [1]Coibion_update!Y86</f>
        <v>2.4296581755575217</v>
      </c>
      <c r="L80">
        <f xml:space="preserve"> [1]Coibion_update!Z86</f>
        <v>3.5623804192535453</v>
      </c>
      <c r="M80">
        <f xml:space="preserve"> [1]Coibion_update!AA86</f>
        <v>3.1516242935109653</v>
      </c>
      <c r="X80" s="5">
        <f xml:space="preserve"> [1]misc!N163</f>
        <v>3.98</v>
      </c>
      <c r="Z80">
        <f xml:space="preserve"> [1]Sims_Zha!B83</f>
        <v>0.10836</v>
      </c>
      <c r="AK80">
        <v>4.13</v>
      </c>
      <c r="AL80">
        <f xml:space="preserve"> LN([1]misc!B99)</f>
        <v>5.0937502008067623</v>
      </c>
      <c r="AM80">
        <f xml:space="preserve"> LN([1]misc!D99)</f>
        <v>6.0933440109291528</v>
      </c>
      <c r="AN80">
        <f xml:space="preserve"> LN([1]misc!G204)</f>
        <v>2.908484504989711</v>
      </c>
      <c r="AO80">
        <f xml:space="preserve"> LN([1]misc!J110 + [1]misc!L110)</f>
        <v>2.4461658214715696</v>
      </c>
      <c r="AP80">
        <f xml:space="preserve"> [1]Factors!B80</f>
        <v>-0.292372144</v>
      </c>
      <c r="AQ80">
        <f xml:space="preserve"> [1]Factors!C80</f>
        <v>1.52740272E-2</v>
      </c>
      <c r="AR80">
        <f xml:space="preserve"> [1]Factors!D80</f>
        <v>-0.10862021600000001</v>
      </c>
      <c r="AS80">
        <f xml:space="preserve"> [1]Factors!E80</f>
        <v>-8.7785197499999995E-2</v>
      </c>
      <c r="AT80">
        <f xml:space="preserve"> [1]Factors!F80</f>
        <v>0.20157612599999999</v>
      </c>
    </row>
    <row r="81" spans="1:46" x14ac:dyDescent="0.25">
      <c r="A81">
        <f t="shared" si="8"/>
        <v>1965.5833333333328</v>
      </c>
      <c r="B81" s="1">
        <v>23955</v>
      </c>
      <c r="C81" s="7">
        <f t="shared" si="4"/>
        <v>1965</v>
      </c>
      <c r="D81" s="7">
        <f t="shared" si="5"/>
        <v>8</v>
      </c>
      <c r="E81" s="7">
        <f t="shared" si="6"/>
        <v>3</v>
      </c>
      <c r="F81">
        <f xml:space="preserve"> [1]Coibion_update!O87</f>
        <v>3.4971740060096406</v>
      </c>
      <c r="G81">
        <f xml:space="preserve"> [1]Coibion_update!P87</f>
        <v>4.4000000000000004</v>
      </c>
      <c r="H81">
        <f xml:space="preserve"> [1]Coibion_update!Q87</f>
        <v>3.4515735889872223</v>
      </c>
      <c r="I81">
        <f xml:space="preserve"> [1]Coibion_update!W87</f>
        <v>4.12</v>
      </c>
      <c r="J81">
        <f xml:space="preserve"> [1]Coibion_update!X87</f>
        <v>4.6702085821673132</v>
      </c>
      <c r="K81">
        <f xml:space="preserve"> [1]Coibion_update!Y87</f>
        <v>2.4673365285945361</v>
      </c>
      <c r="L81">
        <f xml:space="preserve"> [1]Coibion_update!Z87</f>
        <v>3.5624087900599872</v>
      </c>
      <c r="M81">
        <f xml:space="preserve"> [1]Coibion_update!AA87</f>
        <v>3.1553820910835286</v>
      </c>
      <c r="X81" s="5">
        <f xml:space="preserve"> [1]misc!N164</f>
        <v>4.07</v>
      </c>
      <c r="Z81">
        <f xml:space="preserve"> [1]Sims_Zha!B84</f>
        <v>-0.37853999999999999</v>
      </c>
      <c r="AK81">
        <v>4</v>
      </c>
      <c r="AL81">
        <f xml:space="preserve"> LN([1]misc!B100)</f>
        <v>5.098035484377089</v>
      </c>
      <c r="AM81">
        <f xml:space="preserve"> LN([1]misc!D100)</f>
        <v>6.0998704209517687</v>
      </c>
      <c r="AN81">
        <f xml:space="preserve"> LN([1]misc!G205)</f>
        <v>2.8912047442000568</v>
      </c>
      <c r="AO81">
        <f xml:space="preserve"> LN([1]misc!J111 + [1]misc!L111)</f>
        <v>2.4450390607889791</v>
      </c>
      <c r="AP81">
        <f xml:space="preserve"> [1]Factors!B81</f>
        <v>-0.47335638499999999</v>
      </c>
      <c r="AQ81">
        <f xml:space="preserve"> [1]Factors!C81</f>
        <v>-0.21302674699999999</v>
      </c>
      <c r="AR81">
        <f xml:space="preserve"> [1]Factors!D81</f>
        <v>-0.328397459</v>
      </c>
      <c r="AS81">
        <f xml:space="preserve"> [1]Factors!E81</f>
        <v>-0.14013887</v>
      </c>
      <c r="AT81">
        <f xml:space="preserve"> [1]Factors!F81</f>
        <v>5.2736934200000002E-2</v>
      </c>
    </row>
    <row r="82" spans="1:46" x14ac:dyDescent="0.25">
      <c r="A82">
        <f t="shared" si="8"/>
        <v>1965.6666666666661</v>
      </c>
      <c r="B82" s="1">
        <v>23986</v>
      </c>
      <c r="C82" s="7">
        <f t="shared" si="4"/>
        <v>1965</v>
      </c>
      <c r="D82" s="7">
        <f t="shared" si="5"/>
        <v>9</v>
      </c>
      <c r="E82" s="7">
        <f t="shared" si="6"/>
        <v>3</v>
      </c>
      <c r="F82">
        <f xml:space="preserve"> [1]Coibion_update!O88</f>
        <v>3.4996964110707669</v>
      </c>
      <c r="G82">
        <f xml:space="preserve"> [1]Coibion_update!P88</f>
        <v>4.3</v>
      </c>
      <c r="H82">
        <f xml:space="preserve"> [1]Coibion_update!Q88</f>
        <v>3.453789831781326</v>
      </c>
      <c r="I82">
        <f xml:space="preserve"> [1]Coibion_update!W88</f>
        <v>4.01</v>
      </c>
      <c r="J82">
        <f xml:space="preserve"> [1]Coibion_update!X88</f>
        <v>4.678420647727684</v>
      </c>
      <c r="K82">
        <f xml:space="preserve"> [1]Coibion_update!Y88</f>
        <v>2.5348073082414597</v>
      </c>
      <c r="L82">
        <f xml:space="preserve"> [1]Coibion_update!Z88</f>
        <v>3.5736369386016595</v>
      </c>
      <c r="M82">
        <f xml:space="preserve"> [1]Coibion_update!AA88</f>
        <v>3.1599322892342507</v>
      </c>
      <c r="X82" s="5">
        <f xml:space="preserve"> [1]misc!N165</f>
        <v>4.2</v>
      </c>
      <c r="Z82">
        <f xml:space="preserve"> [1]Sims_Zha!B85</f>
        <v>-1.4395</v>
      </c>
      <c r="AK82">
        <v>4.13</v>
      </c>
      <c r="AL82">
        <f xml:space="preserve"> LN([1]misc!B101)</f>
        <v>5.1047326174753715</v>
      </c>
      <c r="AM82">
        <f xml:space="preserve"> LN([1]misc!D101)</f>
        <v>6.1081358539116746</v>
      </c>
      <c r="AN82">
        <f xml:space="preserve"> LN([1]misc!G206)</f>
        <v>2.8992213731731473</v>
      </c>
      <c r="AO82">
        <f xml:space="preserve"> LN([1]misc!J112 + [1]misc!L112)</f>
        <v>2.4438242046867704</v>
      </c>
      <c r="AP82">
        <f xml:space="preserve"> [1]Factors!B82</f>
        <v>-0.161928032</v>
      </c>
      <c r="AQ82">
        <f xml:space="preserve"> [1]Factors!C82</f>
        <v>-0.175382128</v>
      </c>
      <c r="AR82">
        <f xml:space="preserve"> [1]Factors!D82</f>
        <v>-0.238981268</v>
      </c>
      <c r="AS82">
        <f xml:space="preserve"> [1]Factors!E82</f>
        <v>-0.22483609700000001</v>
      </c>
      <c r="AT82">
        <f xml:space="preserve"> [1]Factors!F82</f>
        <v>0.18534532100000001</v>
      </c>
    </row>
    <row r="83" spans="1:46" x14ac:dyDescent="0.25">
      <c r="A83">
        <f t="shared" si="8"/>
        <v>1965.7499999999993</v>
      </c>
      <c r="B83" s="1">
        <v>24016</v>
      </c>
      <c r="C83" s="7">
        <f t="shared" si="4"/>
        <v>1965</v>
      </c>
      <c r="D83" s="7">
        <f t="shared" si="5"/>
        <v>10</v>
      </c>
      <c r="E83" s="7">
        <f t="shared" si="6"/>
        <v>4</v>
      </c>
      <c r="F83">
        <f xml:space="preserve"> [1]Coibion_update!O89</f>
        <v>3.5097318549830483</v>
      </c>
      <c r="G83">
        <f xml:space="preserve"> [1]Coibion_update!P89</f>
        <v>4.2</v>
      </c>
      <c r="H83">
        <f xml:space="preserve"> [1]Coibion_update!Q89</f>
        <v>3.4547381485901854</v>
      </c>
      <c r="I83">
        <f xml:space="preserve"> [1]Coibion_update!W89</f>
        <v>4.08</v>
      </c>
      <c r="J83">
        <f xml:space="preserve"> [1]Coibion_update!X89</f>
        <v>4.6805559128939809</v>
      </c>
      <c r="K83">
        <f xml:space="preserve"> [1]Coibion_update!Y89</f>
        <v>2.5269279248837377</v>
      </c>
      <c r="L83">
        <f xml:space="preserve"> [1]Coibion_update!Z89</f>
        <v>3.6054434958719019</v>
      </c>
      <c r="M83">
        <f xml:space="preserve"> [1]Coibion_update!AA89</f>
        <v>3.1670350121988147</v>
      </c>
      <c r="X83" s="5">
        <f xml:space="preserve"> [1]misc!N166</f>
        <v>4.3</v>
      </c>
      <c r="Z83">
        <f xml:space="preserve"> [1]Sims_Zha!B86</f>
        <v>-3.8635999999999997E-2</v>
      </c>
      <c r="AK83">
        <v>4.13</v>
      </c>
      <c r="AL83">
        <f xml:space="preserve"> LN([1]misc!B102)</f>
        <v>5.1119877883565437</v>
      </c>
      <c r="AM83">
        <f xml:space="preserve"> LN([1]misc!D102)</f>
        <v>6.1150087331994367</v>
      </c>
      <c r="AN83">
        <f xml:space="preserve"> LN([1]misc!G207)</f>
        <v>2.9086481666468775</v>
      </c>
      <c r="AO83">
        <f xml:space="preserve"> LN([1]misc!J113 + [1]misc!L113)</f>
        <v>2.4535879665305731</v>
      </c>
      <c r="AP83">
        <f xml:space="preserve"> [1]Factors!B83</f>
        <v>-0.40674244100000001</v>
      </c>
      <c r="AQ83">
        <f xml:space="preserve"> [1]Factors!C83</f>
        <v>-0.154763287</v>
      </c>
      <c r="AR83">
        <f xml:space="preserve"> [1]Factors!D83</f>
        <v>-0.23657488900000001</v>
      </c>
      <c r="AS83">
        <f xml:space="preserve"> [1]Factors!E83</f>
        <v>-0.12451878299999999</v>
      </c>
      <c r="AT83">
        <f xml:space="preserve"> [1]Factors!F83</f>
        <v>4.9585670499999998E-2</v>
      </c>
    </row>
    <row r="84" spans="1:46" x14ac:dyDescent="0.25">
      <c r="A84">
        <f t="shared" si="8"/>
        <v>1965.8333333333326</v>
      </c>
      <c r="B84" s="1">
        <v>24047</v>
      </c>
      <c r="C84" s="7">
        <f t="shared" si="4"/>
        <v>1965</v>
      </c>
      <c r="D84" s="7">
        <f t="shared" si="5"/>
        <v>11</v>
      </c>
      <c r="E84" s="7">
        <f t="shared" si="6"/>
        <v>4</v>
      </c>
      <c r="F84">
        <f xml:space="preserve"> [1]Coibion_update!O90</f>
        <v>3.513883003105049</v>
      </c>
      <c r="G84">
        <f xml:space="preserve"> [1]Coibion_update!P90</f>
        <v>4.0999999999999996</v>
      </c>
      <c r="H84">
        <f xml:space="preserve"> [1]Coibion_update!Q90</f>
        <v>3.4578927253387008</v>
      </c>
      <c r="I84">
        <f xml:space="preserve"> [1]Coibion_update!W90</f>
        <v>4.0999999999999996</v>
      </c>
      <c r="J84">
        <f xml:space="preserve"> [1]Coibion_update!X90</f>
        <v>4.6854590172168944</v>
      </c>
      <c r="K84">
        <f xml:space="preserve"> [1]Coibion_update!Y90</f>
        <v>2.5209974699323539</v>
      </c>
      <c r="L84">
        <f xml:space="preserve"> [1]Coibion_update!Z90</f>
        <v>3.5990914987229146</v>
      </c>
      <c r="M84">
        <f xml:space="preserve"> [1]Coibion_update!AA90</f>
        <v>3.1730412885244013</v>
      </c>
      <c r="X84" s="5">
        <f xml:space="preserve"> [1]misc!N167</f>
        <v>4.37</v>
      </c>
      <c r="Z84">
        <f xml:space="preserve"> [1]Sims_Zha!B87</f>
        <v>-0.55488999999999999</v>
      </c>
      <c r="AK84">
        <v>4.13</v>
      </c>
      <c r="AL84">
        <f xml:space="preserve"> LN([1]misc!B103)</f>
        <v>5.1161957897567483</v>
      </c>
      <c r="AM84">
        <f xml:space="preserve"> LN([1]misc!D103)</f>
        <v>6.1218346982698364</v>
      </c>
      <c r="AN84">
        <f xml:space="preserve"> LN([1]misc!G208)</f>
        <v>2.9014765376282705</v>
      </c>
      <c r="AO84">
        <f xml:space="preserve"> LN([1]misc!J114 + [1]misc!L114)</f>
        <v>2.4557352724877206</v>
      </c>
      <c r="AP84">
        <f xml:space="preserve"> [1]Factors!B84</f>
        <v>-0.46500048100000002</v>
      </c>
      <c r="AQ84">
        <f xml:space="preserve"> [1]Factors!C84</f>
        <v>-0.12526949100000001</v>
      </c>
      <c r="AR84">
        <f xml:space="preserve"> [1]Factors!D84</f>
        <v>-0.15596394099999999</v>
      </c>
      <c r="AS84">
        <f xml:space="preserve"> [1]Factors!E84</f>
        <v>-5.8581642900000001E-2</v>
      </c>
      <c r="AT84">
        <f xml:space="preserve"> [1]Factors!F84</f>
        <v>4.7426850200000002E-2</v>
      </c>
    </row>
    <row r="85" spans="1:46" x14ac:dyDescent="0.25">
      <c r="A85">
        <f t="shared" si="8"/>
        <v>1965.9166666666658</v>
      </c>
      <c r="B85" s="1">
        <v>24077</v>
      </c>
      <c r="C85" s="7">
        <f t="shared" si="4"/>
        <v>1965</v>
      </c>
      <c r="D85" s="7">
        <f t="shared" si="5"/>
        <v>12</v>
      </c>
      <c r="E85" s="7">
        <f t="shared" si="6"/>
        <v>4</v>
      </c>
      <c r="F85">
        <f xml:space="preserve"> [1]Coibion_update!O91</f>
        <v>3.5262340460298467</v>
      </c>
      <c r="G85">
        <f xml:space="preserve"> [1]Coibion_update!P91</f>
        <v>4</v>
      </c>
      <c r="H85">
        <f xml:space="preserve"> [1]Coibion_update!Q91</f>
        <v>3.4610373820181723</v>
      </c>
      <c r="I85">
        <f xml:space="preserve"> [1]Coibion_update!W91</f>
        <v>4.32</v>
      </c>
      <c r="J85">
        <f xml:space="preserve"> [1]Coibion_update!X91</f>
        <v>4.7122292582814991</v>
      </c>
      <c r="K85">
        <f xml:space="preserve"> [1]Coibion_update!Y91</f>
        <v>2.5105743965365779</v>
      </c>
      <c r="L85">
        <f xml:space="preserve"> [1]Coibion_update!Z91</f>
        <v>3.6031853909035738</v>
      </c>
      <c r="M85">
        <f xml:space="preserve"> [1]Coibion_update!AA91</f>
        <v>3.177386941360242</v>
      </c>
      <c r="X85" s="5">
        <f xml:space="preserve"> [1]misc!N168</f>
        <v>4.72</v>
      </c>
      <c r="Z85">
        <f xml:space="preserve"> [1]Sims_Zha!B88</f>
        <v>0.38046000000000002</v>
      </c>
      <c r="AK85">
        <v>4.63</v>
      </c>
      <c r="AL85">
        <f xml:space="preserve"> LN([1]misc!B104)</f>
        <v>5.1227727940331063</v>
      </c>
      <c r="AM85">
        <f xml:space="preserve"> LN([1]misc!D104)</f>
        <v>6.1294858450053562</v>
      </c>
      <c r="AN85">
        <f xml:space="preserve"> LN([1]misc!G209)</f>
        <v>2.9315670160782044</v>
      </c>
      <c r="AO85">
        <f xml:space="preserve"> LN([1]misc!J115 + [1]misc!L115)</f>
        <v>2.4741826864250247</v>
      </c>
      <c r="AP85">
        <f xml:space="preserve"> [1]Factors!B85</f>
        <v>-0.37576367900000002</v>
      </c>
      <c r="AQ85">
        <f xml:space="preserve"> [1]Factors!C85</f>
        <v>-5.4106632000000002E-2</v>
      </c>
      <c r="AR85">
        <f xml:space="preserve"> [1]Factors!D85</f>
        <v>-0.16985734599999999</v>
      </c>
      <c r="AS85">
        <f xml:space="preserve"> [1]Factors!E85</f>
        <v>-0.11566705100000001</v>
      </c>
      <c r="AT85">
        <f xml:space="preserve"> [1]Factors!F85</f>
        <v>0.128128505</v>
      </c>
    </row>
    <row r="86" spans="1:46" x14ac:dyDescent="0.25">
      <c r="A86">
        <f t="shared" si="8"/>
        <v>1965.9999999999991</v>
      </c>
      <c r="B86" s="1">
        <v>24108</v>
      </c>
      <c r="C86" s="7">
        <f t="shared" si="4"/>
        <v>1966</v>
      </c>
      <c r="D86" s="7">
        <f t="shared" si="5"/>
        <v>1</v>
      </c>
      <c r="E86" s="7">
        <f t="shared" si="6"/>
        <v>1</v>
      </c>
      <c r="F86">
        <f xml:space="preserve"> [1]Coibion_update!O92</f>
        <v>3.5360050428427097</v>
      </c>
      <c r="G86">
        <f xml:space="preserve"> [1]Coibion_update!P92</f>
        <v>4</v>
      </c>
      <c r="H86">
        <f xml:space="preserve"> [1]Coibion_update!Q92</f>
        <v>3.4619788539220142</v>
      </c>
      <c r="I86">
        <f xml:space="preserve"> [1]Coibion_update!W92</f>
        <v>4.42</v>
      </c>
      <c r="J86">
        <f xml:space="preserve"> [1]Coibion_update!X92</f>
        <v>4.7377761505361136</v>
      </c>
      <c r="K86">
        <f xml:space="preserve"> [1]Coibion_update!Y92</f>
        <v>2.5388422834536386</v>
      </c>
      <c r="L86">
        <f xml:space="preserve"> [1]Coibion_update!Z92</f>
        <v>3.6069912946412521</v>
      </c>
      <c r="M86">
        <f xml:space="preserve"> [1]Coibion_update!AA92</f>
        <v>3.1788451838118474</v>
      </c>
      <c r="X86" s="5">
        <f xml:space="preserve"> [1]misc!N169</f>
        <v>4.88</v>
      </c>
      <c r="Z86">
        <f xml:space="preserve"> [1]Sims_Zha!B89</f>
        <v>-0.70904</v>
      </c>
      <c r="AK86">
        <v>4.5</v>
      </c>
      <c r="AL86">
        <f xml:space="preserve"> LN([1]misc!B105)</f>
        <v>5.1304902559045349</v>
      </c>
      <c r="AM86">
        <f xml:space="preserve"> LN([1]misc!D105)</f>
        <v>6.1355648910817386</v>
      </c>
      <c r="AN86">
        <f xml:space="preserve"> LN([1]misc!G210)</f>
        <v>2.9345481202289934</v>
      </c>
      <c r="AO86">
        <f xml:space="preserve"> LN([1]misc!J116 + [1]misc!L116)</f>
        <v>2.474435349920705</v>
      </c>
      <c r="AP86">
        <f xml:space="preserve"> [1]Factors!B86</f>
        <v>-0.64762088699999998</v>
      </c>
      <c r="AQ86">
        <f xml:space="preserve"> [1]Factors!C86</f>
        <v>-6.0389158300000002E-2</v>
      </c>
      <c r="AR86">
        <f xml:space="preserve"> [1]Factors!D86</f>
        <v>-6.7913393000000002E-2</v>
      </c>
      <c r="AS86">
        <f xml:space="preserve"> [1]Factors!E86</f>
        <v>-0.11828217100000001</v>
      </c>
      <c r="AT86">
        <f xml:space="preserve"> [1]Factors!F86</f>
        <v>3.9907796799999999E-2</v>
      </c>
    </row>
    <row r="87" spans="1:46" x14ac:dyDescent="0.25">
      <c r="A87">
        <f t="shared" si="8"/>
        <v>1966.0833333333323</v>
      </c>
      <c r="B87" s="1">
        <v>24139</v>
      </c>
      <c r="C87" s="7">
        <f t="shared" si="4"/>
        <v>1966</v>
      </c>
      <c r="D87" s="7">
        <f t="shared" si="5"/>
        <v>2</v>
      </c>
      <c r="E87" s="7">
        <f t="shared" si="6"/>
        <v>1</v>
      </c>
      <c r="F87">
        <f xml:space="preserve"> [1]Coibion_update!O93</f>
        <v>3.5424683298426816</v>
      </c>
      <c r="G87">
        <f xml:space="preserve"> [1]Coibion_update!P93</f>
        <v>3.8</v>
      </c>
      <c r="H87">
        <f xml:space="preserve"> [1]Coibion_update!Q93</f>
        <v>3.4682327829983137</v>
      </c>
      <c r="I87">
        <f xml:space="preserve"> [1]Coibion_update!W93</f>
        <v>4.5999999999999996</v>
      </c>
      <c r="J87">
        <f xml:space="preserve"> [1]Coibion_update!X93</f>
        <v>4.7529865606823103</v>
      </c>
      <c r="K87">
        <f xml:space="preserve"> [1]Coibion_update!Y93</f>
        <v>2.5644107509005996</v>
      </c>
      <c r="L87">
        <f xml:space="preserve"> [1]Coibion_update!Z93</f>
        <v>3.6105124250398308</v>
      </c>
      <c r="M87">
        <f xml:space="preserve"> [1]Coibion_update!AA93</f>
        <v>3.181921341874435</v>
      </c>
      <c r="X87" s="5">
        <f xml:space="preserve"> [1]misc!N170</f>
        <v>4.9400000000000004</v>
      </c>
      <c r="Z87">
        <f xml:space="preserve"> [1]Sims_Zha!B90</f>
        <v>-0.40379999999999999</v>
      </c>
      <c r="AK87">
        <v>4.63</v>
      </c>
      <c r="AL87">
        <f xml:space="preserve"> LN([1]misc!B106)</f>
        <v>5.1334427233578026</v>
      </c>
      <c r="AM87">
        <f xml:space="preserve"> LN([1]misc!D106)</f>
        <v>6.1411768203363089</v>
      </c>
      <c r="AN87">
        <f xml:space="preserve"> LN([1]misc!G211)</f>
        <v>2.9152811491563639</v>
      </c>
      <c r="AO87">
        <f xml:space="preserve"> LN([1]misc!J117 + [1]misc!L117)</f>
        <v>2.4605285710600002</v>
      </c>
      <c r="AP87">
        <f xml:space="preserve"> [1]Factors!B87</f>
        <v>-0.50121780000000005</v>
      </c>
      <c r="AQ87">
        <f xml:space="preserve"> [1]Factors!C87</f>
        <v>-0.200365869</v>
      </c>
      <c r="AR87">
        <f xml:space="preserve"> [1]Factors!D87</f>
        <v>-0.11196560799999999</v>
      </c>
      <c r="AS87">
        <f xml:space="preserve"> [1]Factors!E87</f>
        <v>-0.12997901100000001</v>
      </c>
      <c r="AT87">
        <f xml:space="preserve"> [1]Factors!F87</f>
        <v>0.195090562</v>
      </c>
    </row>
    <row r="88" spans="1:46" x14ac:dyDescent="0.25">
      <c r="A88">
        <f t="shared" si="8"/>
        <v>1966.1666666666656</v>
      </c>
      <c r="B88" s="1">
        <v>24167</v>
      </c>
      <c r="C88" s="7">
        <f t="shared" si="4"/>
        <v>1966</v>
      </c>
      <c r="D88" s="7">
        <f t="shared" si="5"/>
        <v>3</v>
      </c>
      <c r="E88" s="7">
        <f t="shared" si="6"/>
        <v>1</v>
      </c>
      <c r="F88">
        <f xml:space="preserve"> [1]Coibion_update!O94</f>
        <v>3.5560620922230708</v>
      </c>
      <c r="G88">
        <f xml:space="preserve"> [1]Coibion_update!P94</f>
        <v>3.8</v>
      </c>
      <c r="H88">
        <f xml:space="preserve"> [1]Coibion_update!Q94</f>
        <v>3.4713451415642371</v>
      </c>
      <c r="I88">
        <f xml:space="preserve"> [1]Coibion_update!W94</f>
        <v>4.6500000000000004</v>
      </c>
      <c r="J88">
        <f xml:space="preserve"> [1]Coibion_update!X94</f>
        <v>4.7544518887038461</v>
      </c>
      <c r="K88">
        <f xml:space="preserve"> [1]Coibion_update!Y94</f>
        <v>2.5939852448142373</v>
      </c>
      <c r="L88">
        <f xml:space="preserve"> [1]Coibion_update!Z94</f>
        <v>3.6119714115733577</v>
      </c>
      <c r="M88">
        <f xml:space="preserve"> [1]Coibion_update!AA94</f>
        <v>3.1874264365946106</v>
      </c>
      <c r="X88" s="5">
        <f xml:space="preserve"> [1]misc!N171</f>
        <v>4.97</v>
      </c>
      <c r="Z88">
        <f xml:space="preserve"> [1]Sims_Zha!B91</f>
        <v>-1.8258000000000001</v>
      </c>
      <c r="AK88">
        <v>4.75</v>
      </c>
      <c r="AL88">
        <f xml:space="preserve"> LN([1]misc!B107)</f>
        <v>5.1387352967235715</v>
      </c>
      <c r="AM88">
        <f xml:space="preserve"> LN([1]misc!D107)</f>
        <v>6.1467574315140174</v>
      </c>
      <c r="AN88">
        <f xml:space="preserve"> LN([1]misc!G212)</f>
        <v>2.9160395046447425</v>
      </c>
      <c r="AO88">
        <f xml:space="preserve"> LN([1]misc!J118 + [1]misc!L118)</f>
        <v>2.4513498662591573</v>
      </c>
      <c r="AP88">
        <f xml:space="preserve"> [1]Factors!B88</f>
        <v>-0.48700579700000002</v>
      </c>
      <c r="AQ88">
        <f xml:space="preserve"> [1]Factors!C88</f>
        <v>3.8251541E-2</v>
      </c>
      <c r="AR88">
        <f xml:space="preserve"> [1]Factors!D88</f>
        <v>3.1492732300000001E-3</v>
      </c>
      <c r="AS88">
        <f xml:space="preserve"> [1]Factors!E88</f>
        <v>-9.3710939699999996E-2</v>
      </c>
      <c r="AT88">
        <f xml:space="preserve"> [1]Factors!F88</f>
        <v>0.28562955299999998</v>
      </c>
    </row>
    <row r="89" spans="1:46" x14ac:dyDescent="0.25">
      <c r="A89">
        <f t="shared" si="8"/>
        <v>1966.2499999999989</v>
      </c>
      <c r="B89" s="1">
        <v>24198</v>
      </c>
      <c r="C89" s="7">
        <f t="shared" si="4"/>
        <v>1966</v>
      </c>
      <c r="D89" s="7">
        <f t="shared" si="5"/>
        <v>4</v>
      </c>
      <c r="E89" s="7">
        <f t="shared" si="6"/>
        <v>2</v>
      </c>
      <c r="F89">
        <f xml:space="preserve"> [1]Coibion_update!O95</f>
        <v>3.5576482711205424</v>
      </c>
      <c r="G89">
        <f xml:space="preserve"> [1]Coibion_update!P95</f>
        <v>3.8</v>
      </c>
      <c r="H89">
        <f xml:space="preserve"> [1]Coibion_update!Q95</f>
        <v>3.4744478434017481</v>
      </c>
      <c r="I89">
        <f xml:space="preserve"> [1]Coibion_update!W95</f>
        <v>4.67</v>
      </c>
      <c r="J89">
        <f xml:space="preserve"> [1]Coibion_update!X95</f>
        <v>4.7438881052999138</v>
      </c>
      <c r="K89">
        <f xml:space="preserve"> [1]Coibion_update!Y95</f>
        <v>2.5643337834193223</v>
      </c>
      <c r="L89">
        <f xml:space="preserve"> [1]Coibion_update!Z95</f>
        <v>3.6215637468290693</v>
      </c>
      <c r="M89">
        <f xml:space="preserve"> [1]Coibion_update!AA95</f>
        <v>3.1906820904974187</v>
      </c>
      <c r="X89" s="5">
        <f xml:space="preserve"> [1]misc!N172</f>
        <v>4.9000000000000004</v>
      </c>
      <c r="Z89">
        <f xml:space="preserve"> [1]Sims_Zha!B92</f>
        <v>-1.5076000000000001</v>
      </c>
      <c r="AK89">
        <v>4.63</v>
      </c>
      <c r="AL89">
        <f xml:space="preserve"> LN([1]misc!B108)</f>
        <v>5.1463310095501553</v>
      </c>
      <c r="AM89">
        <f xml:space="preserve"> LN([1]misc!D108)</f>
        <v>6.1512422228003718</v>
      </c>
      <c r="AN89">
        <f xml:space="preserve"> LN([1]misc!G213)</f>
        <v>2.9319934325869843</v>
      </c>
      <c r="AO89">
        <f xml:space="preserve"> LN([1]misc!J119 + [1]misc!L119)</f>
        <v>2.4528138062407367</v>
      </c>
      <c r="AP89">
        <f xml:space="preserve"> [1]Factors!B89</f>
        <v>-0.70168284199999997</v>
      </c>
      <c r="AQ89">
        <f xml:space="preserve"> [1]Factors!C89</f>
        <v>-7.9886041699999993E-2</v>
      </c>
      <c r="AR89">
        <f xml:space="preserve"> [1]Factors!D89</f>
        <v>-0.18326198099999999</v>
      </c>
      <c r="AS89">
        <f xml:space="preserve"> [1]Factors!E89</f>
        <v>-0.11449711899999999</v>
      </c>
      <c r="AT89">
        <f xml:space="preserve"> [1]Factors!F89</f>
        <v>8.5446346899999998E-2</v>
      </c>
    </row>
    <row r="90" spans="1:46" x14ac:dyDescent="0.25">
      <c r="A90">
        <f t="shared" si="8"/>
        <v>1966.3333333333321</v>
      </c>
      <c r="B90" s="1">
        <v>24228</v>
      </c>
      <c r="C90" s="7">
        <f t="shared" si="4"/>
        <v>1966</v>
      </c>
      <c r="D90" s="7">
        <f t="shared" si="5"/>
        <v>5</v>
      </c>
      <c r="E90" s="7">
        <f t="shared" si="6"/>
        <v>2</v>
      </c>
      <c r="F90">
        <f xml:space="preserve"> [1]Coibion_update!O96</f>
        <v>3.5671213407944715</v>
      </c>
      <c r="G90">
        <f xml:space="preserve"> [1]Coibion_update!P96</f>
        <v>3.9</v>
      </c>
      <c r="H90">
        <f xml:space="preserve"> [1]Coibion_update!Q96</f>
        <v>3.4766140209469096</v>
      </c>
      <c r="I90">
        <f xml:space="preserve"> [1]Coibion_update!W96</f>
        <v>4.9000000000000004</v>
      </c>
      <c r="J90">
        <f xml:space="preserve"> [1]Coibion_update!X96</f>
        <v>4.7272108118971161</v>
      </c>
      <c r="K90">
        <f xml:space="preserve"> [1]Coibion_update!Y96</f>
        <v>2.5105743965365779</v>
      </c>
      <c r="L90">
        <f xml:space="preserve"> [1]Coibion_update!Z96</f>
        <v>3.6138864750725062</v>
      </c>
      <c r="M90">
        <f xml:space="preserve"> [1]Coibion_update!AA96</f>
        <v>3.1937631240531252</v>
      </c>
      <c r="X90" s="5">
        <f xml:space="preserve"> [1]misc!N173</f>
        <v>4.93</v>
      </c>
      <c r="Z90">
        <f xml:space="preserve"> [1]Sims_Zha!B93</f>
        <v>1.2148000000000001</v>
      </c>
      <c r="AK90">
        <v>4.75</v>
      </c>
      <c r="AL90">
        <f xml:space="preserve"> LN([1]misc!B109)</f>
        <v>5.1434164053300746</v>
      </c>
      <c r="AM90">
        <f xml:space="preserve"> LN([1]misc!D109)</f>
        <v>6.152945438030085</v>
      </c>
      <c r="AN90">
        <f xml:space="preserve"> LN([1]misc!G214)</f>
        <v>2.9289512398636397</v>
      </c>
      <c r="AO90">
        <f xml:space="preserve"> LN([1]misc!J120 + [1]misc!L120)</f>
        <v>2.4488475999722978</v>
      </c>
      <c r="AP90">
        <f xml:space="preserve"> [1]Factors!B90</f>
        <v>-0.42886544599999998</v>
      </c>
      <c r="AQ90">
        <f xml:space="preserve"> [1]Factors!C90</f>
        <v>7.2029978199999997E-2</v>
      </c>
      <c r="AR90">
        <f xml:space="preserve"> [1]Factors!D90</f>
        <v>-0.1188859</v>
      </c>
      <c r="AS90">
        <f xml:space="preserve"> [1]Factors!E90</f>
        <v>-7.1956660199999994E-2</v>
      </c>
      <c r="AT90">
        <f xml:space="preserve"> [1]Factors!F90</f>
        <v>0.19536161099999999</v>
      </c>
    </row>
    <row r="91" spans="1:46" x14ac:dyDescent="0.25">
      <c r="A91">
        <f t="shared" si="8"/>
        <v>1966.4166666666654</v>
      </c>
      <c r="B91" s="1">
        <v>24259</v>
      </c>
      <c r="C91" s="7">
        <f t="shared" si="4"/>
        <v>1966</v>
      </c>
      <c r="D91" s="7">
        <f t="shared" si="5"/>
        <v>6</v>
      </c>
      <c r="E91" s="7">
        <f t="shared" si="6"/>
        <v>2</v>
      </c>
      <c r="F91">
        <f xml:space="preserve"> [1]Coibion_update!O97</f>
        <v>3.5718230294118647</v>
      </c>
      <c r="G91">
        <f xml:space="preserve"> [1]Coibion_update!P97</f>
        <v>3.8</v>
      </c>
      <c r="H91">
        <f xml:space="preserve"> [1]Coibion_update!Q97</f>
        <v>3.477540948249489</v>
      </c>
      <c r="I91">
        <f xml:space="preserve"> [1]Coibion_update!W97</f>
        <v>5.17</v>
      </c>
      <c r="J91">
        <f xml:space="preserve"> [1]Coibion_update!X97</f>
        <v>4.7325074344492863</v>
      </c>
      <c r="K91">
        <f xml:space="preserve"> [1]Coibion_update!Y97</f>
        <v>2.4996310451863826</v>
      </c>
      <c r="L91">
        <f xml:space="preserve"> [1]Coibion_update!Z97</f>
        <v>3.622312209841823</v>
      </c>
      <c r="M91">
        <f xml:space="preserve"> [1]Coibion_update!AA97</f>
        <v>3.1959756049818679</v>
      </c>
      <c r="X91" s="5">
        <f xml:space="preserve"> [1]misc!N174</f>
        <v>4.97</v>
      </c>
      <c r="Z91">
        <f xml:space="preserve"> [1]Sims_Zha!B94</f>
        <v>1.1049</v>
      </c>
      <c r="AK91">
        <v>5.5</v>
      </c>
      <c r="AL91">
        <f xml:space="preserve"> LN([1]misc!B110)</f>
        <v>5.1451661870538619</v>
      </c>
      <c r="AM91">
        <f xml:space="preserve"> LN([1]misc!D110)</f>
        <v>6.1552826323373768</v>
      </c>
      <c r="AN91">
        <f xml:space="preserve"> LN([1]misc!G215)</f>
        <v>2.9309270501878752</v>
      </c>
      <c r="AO91">
        <f xml:space="preserve"> LN([1]misc!J121 + [1]misc!L121)</f>
        <v>2.4465988531329503</v>
      </c>
      <c r="AP91">
        <f xml:space="preserve"> [1]Factors!B91</f>
        <v>-0.294192974</v>
      </c>
      <c r="AQ91">
        <f xml:space="preserve"> [1]Factors!C91</f>
        <v>-1.44836992E-2</v>
      </c>
      <c r="AR91">
        <f xml:space="preserve"> [1]Factors!D91</f>
        <v>-0.19069749499999999</v>
      </c>
      <c r="AS91">
        <f xml:space="preserve"> [1]Factors!E91</f>
        <v>-0.260670344</v>
      </c>
      <c r="AT91">
        <f xml:space="preserve"> [1]Factors!F91</f>
        <v>0.15913648599999999</v>
      </c>
    </row>
    <row r="92" spans="1:46" x14ac:dyDescent="0.25">
      <c r="A92">
        <f t="shared" si="8"/>
        <v>1966.4999999999986</v>
      </c>
      <c r="B92" s="1">
        <v>24289</v>
      </c>
      <c r="C92" s="7">
        <f t="shared" si="4"/>
        <v>1966</v>
      </c>
      <c r="D92" s="7">
        <f t="shared" si="5"/>
        <v>7</v>
      </c>
      <c r="E92" s="7">
        <f t="shared" si="6"/>
        <v>3</v>
      </c>
      <c r="F92">
        <f xml:space="preserve"> [1]Coibion_update!O98</f>
        <v>3.5772800726986738</v>
      </c>
      <c r="G92">
        <f xml:space="preserve"> [1]Coibion_update!P98</f>
        <v>3.8</v>
      </c>
      <c r="H92">
        <f xml:space="preserve"> [1]Coibion_update!Q98</f>
        <v>3.4797004431500991</v>
      </c>
      <c r="I92">
        <f xml:space="preserve"> [1]Coibion_update!W98</f>
        <v>5.3</v>
      </c>
      <c r="J92">
        <f xml:space="preserve"> [1]Coibion_update!X98</f>
        <v>4.7486642856268206</v>
      </c>
      <c r="K92">
        <f xml:space="preserve"> [1]Coibion_update!Y98</f>
        <v>2.5193885885620566</v>
      </c>
      <c r="L92">
        <f xml:space="preserve"> [1]Coibion_update!Z98</f>
        <v>3.6318857325938159</v>
      </c>
      <c r="M92">
        <f xml:space="preserve"> [1]Coibion_update!AA98</f>
        <v>3.2004674251848457</v>
      </c>
      <c r="X92" s="5">
        <f xml:space="preserve"> [1]misc!N175</f>
        <v>5.17</v>
      </c>
      <c r="Z92">
        <f xml:space="preserve"> [1]Sims_Zha!B95</f>
        <v>1.5273000000000001</v>
      </c>
      <c r="AK92">
        <v>5.75</v>
      </c>
      <c r="AL92">
        <f xml:space="preserve"> LN([1]misc!B111)</f>
        <v>5.1375615876686425</v>
      </c>
      <c r="AM92">
        <f xml:space="preserve"> LN([1]misc!D111)</f>
        <v>6.1546457572495088</v>
      </c>
      <c r="AN92">
        <f xml:space="preserve"> LN([1]misc!G216)</f>
        <v>2.9533465570575532</v>
      </c>
      <c r="AO92">
        <f xml:space="preserve"> LN([1]misc!J122 + [1]misc!L122)</f>
        <v>2.4535019783109062</v>
      </c>
      <c r="AP92">
        <f xml:space="preserve"> [1]Factors!B92</f>
        <v>-0.48605058200000001</v>
      </c>
      <c r="AQ92">
        <f xml:space="preserve"> [1]Factors!C92</f>
        <v>-5.4446922000000002E-2</v>
      </c>
      <c r="AR92">
        <f xml:space="preserve"> [1]Factors!D92</f>
        <v>-0.30199944699999998</v>
      </c>
      <c r="AS92">
        <f xml:space="preserve"> [1]Factors!E92</f>
        <v>-0.15505071500000001</v>
      </c>
      <c r="AT92">
        <f xml:space="preserve"> [1]Factors!F92</f>
        <v>0.17366667499999999</v>
      </c>
    </row>
    <row r="93" spans="1:46" x14ac:dyDescent="0.25">
      <c r="A93">
        <f t="shared" si="8"/>
        <v>1966.5833333333319</v>
      </c>
      <c r="B93" s="1">
        <v>24320</v>
      </c>
      <c r="C93" s="7">
        <f t="shared" si="4"/>
        <v>1966</v>
      </c>
      <c r="D93" s="7">
        <f t="shared" si="5"/>
        <v>8</v>
      </c>
      <c r="E93" s="7">
        <f t="shared" si="6"/>
        <v>3</v>
      </c>
      <c r="F93">
        <f xml:space="preserve"> [1]Coibion_update!O99</f>
        <v>3.5780568260207679</v>
      </c>
      <c r="G93">
        <f xml:space="preserve"> [1]Coibion_update!P99</f>
        <v>3.8</v>
      </c>
      <c r="H93">
        <f xml:space="preserve"> [1]Coibion_update!Q99</f>
        <v>3.4858448557224402</v>
      </c>
      <c r="I93">
        <f xml:space="preserve"> [1]Coibion_update!W99</f>
        <v>5.53</v>
      </c>
      <c r="J93">
        <f xml:space="preserve"> [1]Coibion_update!X99</f>
        <v>4.7252616662459115</v>
      </c>
      <c r="K93">
        <f xml:space="preserve"> [1]Coibion_update!Y99</f>
        <v>2.5566845284287005</v>
      </c>
      <c r="L93">
        <f xml:space="preserve"> [1]Coibion_update!Z99</f>
        <v>3.6214567777965021</v>
      </c>
      <c r="M93">
        <f xml:space="preserve"> [1]Coibion_update!AA99</f>
        <v>3.2003451882487659</v>
      </c>
      <c r="X93" s="5">
        <f xml:space="preserve"> [1]misc!N176</f>
        <v>5.54</v>
      </c>
      <c r="Z93">
        <f xml:space="preserve"> [1]Sims_Zha!B96</f>
        <v>0.78415000000000001</v>
      </c>
      <c r="AK93">
        <v>4.5</v>
      </c>
      <c r="AL93">
        <f xml:space="preserve"> LN([1]misc!B112)</f>
        <v>5.1404932813544697</v>
      </c>
      <c r="AM93">
        <f xml:space="preserve"> LN([1]misc!D112)</f>
        <v>6.1582493647528072</v>
      </c>
      <c r="AN93">
        <f xml:space="preserve"> LN([1]misc!G217)</f>
        <v>2.9327392242260695</v>
      </c>
      <c r="AO93">
        <f xml:space="preserve"> LN([1]misc!J123 + [1]misc!L123)</f>
        <v>2.4362414778067194</v>
      </c>
      <c r="AP93">
        <f xml:space="preserve"> [1]Factors!B93</f>
        <v>-0.33826088599999998</v>
      </c>
      <c r="AQ93">
        <f xml:space="preserve"> [1]Factors!C93</f>
        <v>0.17276972099999999</v>
      </c>
      <c r="AR93">
        <f xml:space="preserve"> [1]Factors!D93</f>
        <v>-8.8138979100000001E-2</v>
      </c>
      <c r="AS93">
        <f xml:space="preserve"> [1]Factors!E93</f>
        <v>-0.209353966</v>
      </c>
      <c r="AT93">
        <f xml:space="preserve"> [1]Factors!F93</f>
        <v>0.171859926</v>
      </c>
    </row>
    <row r="94" spans="1:46" x14ac:dyDescent="0.25">
      <c r="A94">
        <f t="shared" si="8"/>
        <v>1966.6666666666652</v>
      </c>
      <c r="B94" s="1">
        <v>24351</v>
      </c>
      <c r="C94" s="7">
        <f t="shared" si="4"/>
        <v>1966</v>
      </c>
      <c r="D94" s="7">
        <f t="shared" si="5"/>
        <v>9</v>
      </c>
      <c r="E94" s="7">
        <f t="shared" si="6"/>
        <v>3</v>
      </c>
      <c r="F94">
        <f xml:space="preserve"> [1]Coibion_update!O100</f>
        <v>3.5873394089337411</v>
      </c>
      <c r="G94">
        <f xml:space="preserve"> [1]Coibion_update!P100</f>
        <v>3.7</v>
      </c>
      <c r="H94">
        <f xml:space="preserve"> [1]Coibion_update!Q100</f>
        <v>3.4889029620812608</v>
      </c>
      <c r="I94">
        <f xml:space="preserve"> [1]Coibion_update!W100</f>
        <v>5.4</v>
      </c>
      <c r="J94">
        <f xml:space="preserve"> [1]Coibion_update!X100</f>
        <v>4.6963810660414751</v>
      </c>
      <c r="K94">
        <f xml:space="preserve"> [1]Coibion_update!Y100</f>
        <v>2.5950308012948486</v>
      </c>
      <c r="L94">
        <f xml:space="preserve"> [1]Coibion_update!Z100</f>
        <v>3.6259130299174775</v>
      </c>
      <c r="M94">
        <f xml:space="preserve"> [1]Coibion_update!AA100</f>
        <v>3.2039246104149885</v>
      </c>
      <c r="X94" s="5">
        <f xml:space="preserve"> [1]misc!N177</f>
        <v>5.82</v>
      </c>
      <c r="Z94">
        <f xml:space="preserve"> [1]Sims_Zha!B97</f>
        <v>-0.40264</v>
      </c>
      <c r="AK94">
        <v>5.75</v>
      </c>
      <c r="AL94">
        <f xml:space="preserve"> LN([1]misc!B113)</f>
        <v>5.1474944768134527</v>
      </c>
      <c r="AM94">
        <f xml:space="preserve"> LN([1]misc!D113)</f>
        <v>6.1641565549260937</v>
      </c>
      <c r="AN94">
        <f xml:space="preserve"> LN([1]misc!G218)</f>
        <v>2.9593794440881926</v>
      </c>
      <c r="AO94">
        <f xml:space="preserve"> LN([1]misc!J124 + [1]misc!L124)</f>
        <v>2.4388627112865935</v>
      </c>
      <c r="AP94">
        <f xml:space="preserve"> [1]Factors!B94</f>
        <v>-0.23229698200000001</v>
      </c>
      <c r="AQ94">
        <f xml:space="preserve"> [1]Factors!C94</f>
        <v>0.14304531500000001</v>
      </c>
      <c r="AR94">
        <f xml:space="preserve"> [1]Factors!D94</f>
        <v>4.6389110900000002E-2</v>
      </c>
      <c r="AS94">
        <f xml:space="preserve"> [1]Factors!E94</f>
        <v>-0.21238700799999999</v>
      </c>
      <c r="AT94">
        <f xml:space="preserve"> [1]Factors!F94</f>
        <v>0.21903676699999999</v>
      </c>
    </row>
    <row r="95" spans="1:46" x14ac:dyDescent="0.25">
      <c r="A95">
        <f t="shared" si="8"/>
        <v>1966.7499999999984</v>
      </c>
      <c r="B95" s="1">
        <v>24381</v>
      </c>
      <c r="C95" s="7">
        <f t="shared" si="4"/>
        <v>1966</v>
      </c>
      <c r="D95" s="7">
        <f t="shared" si="5"/>
        <v>10</v>
      </c>
      <c r="E95" s="7">
        <f t="shared" si="6"/>
        <v>4</v>
      </c>
      <c r="F95">
        <f xml:space="preserve"> [1]Coibion_update!O101</f>
        <v>3.5942417981147727</v>
      </c>
      <c r="G95">
        <f xml:space="preserve"> [1]Coibion_update!P101</f>
        <v>3.7</v>
      </c>
      <c r="H95">
        <f xml:space="preserve"> [1]Coibion_update!Q101</f>
        <v>3.4919517449306197</v>
      </c>
      <c r="I95">
        <f xml:space="preserve"> [1]Coibion_update!W101</f>
        <v>5.53</v>
      </c>
      <c r="J95">
        <f xml:space="preserve"> [1]Coibion_update!X101</f>
        <v>4.6667355416462462</v>
      </c>
      <c r="K95">
        <f xml:space="preserve"> [1]Coibion_update!Y101</f>
        <v>2.5697072514804655</v>
      </c>
      <c r="L95">
        <f xml:space="preserve"> [1]Coibion_update!Z101</f>
        <v>3.6216974420309476</v>
      </c>
      <c r="M95">
        <f xml:space="preserve"> [1]Coibion_update!AA101</f>
        <v>3.2059121584763419</v>
      </c>
      <c r="X95" s="5">
        <f xml:space="preserve"> [1]misc!N178</f>
        <v>5.58</v>
      </c>
      <c r="Z95">
        <f xml:space="preserve"> [1]Sims_Zha!B98</f>
        <v>2.3191999999999999</v>
      </c>
      <c r="AK95">
        <v>5.75</v>
      </c>
      <c r="AL95">
        <f xml:space="preserve"> LN([1]misc!B114)</f>
        <v>5.1428324637076415</v>
      </c>
      <c r="AM95">
        <f xml:space="preserve"> LN([1]misc!D114)</f>
        <v>6.1647874034382362</v>
      </c>
      <c r="AN95">
        <f xml:space="preserve"> LN([1]misc!G219)</f>
        <v>2.9657368760185898</v>
      </c>
      <c r="AO95">
        <f xml:space="preserve"> LN([1]misc!J125 + [1]misc!L125)</f>
        <v>2.4392989163098679</v>
      </c>
      <c r="AP95">
        <f xml:space="preserve"> [1]Factors!B95</f>
        <v>-0.220106674</v>
      </c>
      <c r="AQ95">
        <f xml:space="preserve"> [1]Factors!C95</f>
        <v>3.2851015400000003E-2</v>
      </c>
      <c r="AR95">
        <f xml:space="preserve"> [1]Factors!D95</f>
        <v>2.46003204E-2</v>
      </c>
      <c r="AS95">
        <f xml:space="preserve"> [1]Factors!E95</f>
        <v>-0.17929752400000001</v>
      </c>
      <c r="AT95">
        <f xml:space="preserve"> [1]Factors!F95</f>
        <v>-2.85152446E-2</v>
      </c>
    </row>
    <row r="96" spans="1:46" x14ac:dyDescent="0.25">
      <c r="A96">
        <f t="shared" si="8"/>
        <v>1966.8333333333317</v>
      </c>
      <c r="B96" s="1">
        <v>24412</v>
      </c>
      <c r="C96" s="7">
        <f t="shared" si="4"/>
        <v>1966</v>
      </c>
      <c r="D96" s="7">
        <f t="shared" si="5"/>
        <v>11</v>
      </c>
      <c r="E96" s="7">
        <f t="shared" si="6"/>
        <v>4</v>
      </c>
      <c r="F96">
        <f xml:space="preserve"> [1]Coibion_update!O102</f>
        <v>3.5873394089337411</v>
      </c>
      <c r="G96">
        <f xml:space="preserve"> [1]Coibion_update!P102</f>
        <v>3.6</v>
      </c>
      <c r="H96">
        <f xml:space="preserve"> [1]Coibion_update!Q102</f>
        <v>3.492864570187979</v>
      </c>
      <c r="I96">
        <f xml:space="preserve"> [1]Coibion_update!W102</f>
        <v>5.76</v>
      </c>
      <c r="J96">
        <f xml:space="preserve"> [1]Coibion_update!X102</f>
        <v>4.6505258877088886</v>
      </c>
      <c r="K96">
        <f xml:space="preserve"> [1]Coibion_update!Y102</f>
        <v>2.5534216293250043</v>
      </c>
      <c r="L96">
        <f xml:space="preserve"> [1]Coibion_update!Z102</f>
        <v>3.6254070311583626</v>
      </c>
      <c r="M96">
        <f xml:space="preserve"> [1]Coibion_update!AA102</f>
        <v>3.2124552570652778</v>
      </c>
      <c r="X96" s="5">
        <f xml:space="preserve"> [1]misc!N179</f>
        <v>5.54</v>
      </c>
      <c r="Z96">
        <f xml:space="preserve"> [1]Sims_Zha!B99</f>
        <v>1.4463999999999999</v>
      </c>
      <c r="AK96">
        <v>5.75</v>
      </c>
      <c r="AL96">
        <f xml:space="preserve"> LN([1]misc!B115)</f>
        <v>5.1440000061636795</v>
      </c>
      <c r="AM96">
        <f xml:space="preserve"> LN([1]misc!D115)</f>
        <v>6.1681452240118508</v>
      </c>
      <c r="AN96">
        <f xml:space="preserve"> LN([1]misc!G220)</f>
        <v>2.955274795922715</v>
      </c>
      <c r="AO96">
        <f xml:space="preserve"> LN([1]misc!J126 + [1]misc!L126)</f>
        <v>2.450832669454249</v>
      </c>
      <c r="AP96">
        <f xml:space="preserve"> [1]Factors!B96</f>
        <v>-0.21987472199999999</v>
      </c>
      <c r="AQ96">
        <f xml:space="preserve"> [1]Factors!C96</f>
        <v>-2.2403951700000001E-2</v>
      </c>
      <c r="AR96">
        <f xml:space="preserve"> [1]Factors!D96</f>
        <v>-6.6055026399999994E-2</v>
      </c>
      <c r="AS96">
        <f xml:space="preserve"> [1]Factors!E96</f>
        <v>-4.4272089799999997E-2</v>
      </c>
      <c r="AT96">
        <f xml:space="preserve"> [1]Factors!F96</f>
        <v>-8.6253164899999998E-2</v>
      </c>
    </row>
    <row r="97" spans="1:46" x14ac:dyDescent="0.25">
      <c r="A97">
        <f t="shared" si="8"/>
        <v>1966.9166666666649</v>
      </c>
      <c r="B97" s="1">
        <v>24442</v>
      </c>
      <c r="C97" s="7">
        <f t="shared" si="4"/>
        <v>1966</v>
      </c>
      <c r="D97" s="7">
        <f t="shared" si="5"/>
        <v>12</v>
      </c>
      <c r="E97" s="7">
        <f t="shared" si="6"/>
        <v>4</v>
      </c>
      <c r="F97">
        <f xml:space="preserve"> [1]Coibion_update!O103</f>
        <v>3.5896445827733765</v>
      </c>
      <c r="G97">
        <f xml:space="preserve"> [1]Coibion_update!P103</f>
        <v>3.8</v>
      </c>
      <c r="H97">
        <f xml:space="preserve"> [1]Coibion_update!Q103</f>
        <v>3.4940803758088692</v>
      </c>
      <c r="I97">
        <f xml:space="preserve"> [1]Coibion_update!W103</f>
        <v>5.4</v>
      </c>
      <c r="J97">
        <f xml:space="preserve"> [1]Coibion_update!X103</f>
        <v>4.6539603501575231</v>
      </c>
      <c r="K97">
        <f xml:space="preserve"> [1]Coibion_update!Y103</f>
        <v>2.5481161631858846</v>
      </c>
      <c r="L97">
        <f xml:space="preserve"> [1]Coibion_update!Z103</f>
        <v>3.6238074573702215</v>
      </c>
      <c r="M97">
        <f xml:space="preserve"> [1]Coibion_update!AA103</f>
        <v>3.2186357960635918</v>
      </c>
      <c r="X97" s="5">
        <f xml:space="preserve"> [1]misc!N180</f>
        <v>5.2</v>
      </c>
      <c r="Z97">
        <f xml:space="preserve"> [1]Sims_Zha!B100</f>
        <v>-2.4786999999999999</v>
      </c>
      <c r="AK97">
        <v>5</v>
      </c>
      <c r="AL97">
        <f xml:space="preserve"> LN([1]misc!B116)</f>
        <v>5.1474944768134527</v>
      </c>
      <c r="AM97">
        <f xml:space="preserve"> LN([1]misc!D116)</f>
        <v>6.1742026837871524</v>
      </c>
      <c r="AN97">
        <f xml:space="preserve"> LN([1]misc!G221)</f>
        <v>2.972975286431375</v>
      </c>
      <c r="AO97">
        <f xml:space="preserve"> LN([1]misc!J127 + [1]misc!L127)</f>
        <v>2.4587337754839771</v>
      </c>
      <c r="AP97">
        <f xml:space="preserve"> [1]Factors!B97</f>
        <v>0.10301723</v>
      </c>
      <c r="AQ97">
        <f xml:space="preserve"> [1]Factors!C97</f>
        <v>7.0557766300000005E-2</v>
      </c>
      <c r="AR97">
        <f xml:space="preserve"> [1]Factors!D97</f>
        <v>-0.23589458299999999</v>
      </c>
      <c r="AS97">
        <f xml:space="preserve"> [1]Factors!E97</f>
        <v>-0.21661507599999999</v>
      </c>
      <c r="AT97">
        <f xml:space="preserve"> [1]Factors!F97</f>
        <v>0.29514624</v>
      </c>
    </row>
    <row r="98" spans="1:46" x14ac:dyDescent="0.25">
      <c r="A98">
        <f t="shared" si="8"/>
        <v>1966.9999999999982</v>
      </c>
      <c r="B98" s="1">
        <v>24473</v>
      </c>
      <c r="C98" s="7">
        <f t="shared" si="4"/>
        <v>1967</v>
      </c>
      <c r="D98" s="7">
        <f t="shared" si="5"/>
        <v>1</v>
      </c>
      <c r="E98" s="7">
        <f t="shared" si="6"/>
        <v>1</v>
      </c>
      <c r="F98">
        <f xml:space="preserve"> [1]Coibion_update!O104</f>
        <v>3.5943517181205995</v>
      </c>
      <c r="G98">
        <f xml:space="preserve"> [1]Coibion_update!P104</f>
        <v>3.9</v>
      </c>
      <c r="H98">
        <f xml:space="preserve"> [1]Coibion_update!Q104</f>
        <v>3.493472657771326</v>
      </c>
      <c r="I98">
        <f xml:space="preserve"> [1]Coibion_update!W104</f>
        <v>4.9400000000000004</v>
      </c>
      <c r="J98">
        <f xml:space="preserve"> [1]Coibion_update!X104</f>
        <v>4.6526261271443863</v>
      </c>
      <c r="K98">
        <f xml:space="preserve"> [1]Coibion_update!Y104</f>
        <v>2.5560638441043282</v>
      </c>
      <c r="L98">
        <f xml:space="preserve"> [1]Coibion_update!Z104</f>
        <v>3.6300048626008037</v>
      </c>
      <c r="M98">
        <f xml:space="preserve"> [1]Coibion_update!AA104</f>
        <v>3.221272949467922</v>
      </c>
      <c r="X98" s="5">
        <f xml:space="preserve"> [1]misc!N181</f>
        <v>4.75</v>
      </c>
      <c r="Z98">
        <f xml:space="preserve"> [1]Sims_Zha!B101</f>
        <v>-2.0192999999999999</v>
      </c>
      <c r="AK98">
        <v>4</v>
      </c>
      <c r="AL98">
        <f xml:space="preserve"> LN([1]misc!B117)</f>
        <v>5.146912912388804</v>
      </c>
      <c r="AM98">
        <f xml:space="preserve"> LN([1]misc!D117)</f>
        <v>6.1771138939946111</v>
      </c>
      <c r="AN98">
        <f xml:space="preserve"> LN([1]misc!G222)</f>
        <v>2.9837609017727709</v>
      </c>
      <c r="AO98">
        <f xml:space="preserve"> LN([1]misc!J128 + [1]misc!L128)</f>
        <v>2.4785531758158248</v>
      </c>
      <c r="AP98">
        <f xml:space="preserve"> [1]Factors!B98</f>
        <v>7.0848035399999995E-2</v>
      </c>
      <c r="AQ98">
        <f xml:space="preserve"> [1]Factors!C98</f>
        <v>-8.5330858800000006E-2</v>
      </c>
      <c r="AR98">
        <f xml:space="preserve"> [1]Factors!D98</f>
        <v>-0.27630672499999998</v>
      </c>
      <c r="AS98">
        <f xml:space="preserve"> [1]Factors!E98</f>
        <v>-0.102717367</v>
      </c>
      <c r="AT98">
        <f xml:space="preserve"> [1]Factors!F98</f>
        <v>8.9911863800000005E-2</v>
      </c>
    </row>
    <row r="99" spans="1:46" x14ac:dyDescent="0.25">
      <c r="A99">
        <f t="shared" si="8"/>
        <v>1967.0833333333314</v>
      </c>
      <c r="B99" s="1">
        <v>24504</v>
      </c>
      <c r="C99" s="7">
        <f t="shared" si="4"/>
        <v>1967</v>
      </c>
      <c r="D99" s="7">
        <f t="shared" si="5"/>
        <v>2</v>
      </c>
      <c r="E99" s="7">
        <f t="shared" si="6"/>
        <v>1</v>
      </c>
      <c r="F99">
        <f xml:space="preserve"> [1]Coibion_update!O105</f>
        <v>3.5829465524522695</v>
      </c>
      <c r="G99">
        <f xml:space="preserve"> [1]Coibion_update!P105</f>
        <v>3.8</v>
      </c>
      <c r="H99">
        <f xml:space="preserve"> [1]Coibion_update!Q105</f>
        <v>3.4965075614664802</v>
      </c>
      <c r="I99">
        <f xml:space="preserve"> [1]Coibion_update!W105</f>
        <v>5</v>
      </c>
      <c r="J99">
        <f xml:space="preserve"> [1]Coibion_update!X105</f>
        <v>4.6439100143040219</v>
      </c>
      <c r="K99">
        <f xml:space="preserve"> [1]Coibion_update!Y105</f>
        <v>2.5209974699323539</v>
      </c>
      <c r="L99">
        <f xml:space="preserve"> [1]Coibion_update!Z105</f>
        <v>3.6361904493335144</v>
      </c>
      <c r="M99">
        <f xml:space="preserve"> [1]Coibion_update!AA105</f>
        <v>3.2194356681267147</v>
      </c>
      <c r="X99" s="5">
        <f xml:space="preserve"> [1]misc!N182</f>
        <v>4.71</v>
      </c>
      <c r="Z99">
        <f xml:space="preserve"> [1]Sims_Zha!B102</f>
        <v>0.56449000000000005</v>
      </c>
      <c r="AK99">
        <v>4.75</v>
      </c>
      <c r="AL99">
        <f xml:space="preserve"> LN([1]misc!B118)</f>
        <v>5.1532915944977793</v>
      </c>
      <c r="AM99">
        <f xml:space="preserve"> LN([1]misc!D118)</f>
        <v>6.1843550552511708</v>
      </c>
      <c r="AN99">
        <f xml:space="preserve"> LN([1]misc!G223)</f>
        <v>2.9799077232070195</v>
      </c>
      <c r="AO99">
        <f xml:space="preserve"> LN([1]misc!J129 + [1]misc!L129)</f>
        <v>2.477882034851036</v>
      </c>
      <c r="AP99">
        <f xml:space="preserve"> [1]Factors!B99</f>
        <v>5.3701187999999997E-2</v>
      </c>
      <c r="AQ99">
        <f xml:space="preserve"> [1]Factors!C99</f>
        <v>-0.18014840300000001</v>
      </c>
      <c r="AR99">
        <f xml:space="preserve"> [1]Factors!D99</f>
        <v>-0.27599547800000002</v>
      </c>
      <c r="AS99">
        <f xml:space="preserve"> [1]Factors!E99</f>
        <v>-4.00612713E-2</v>
      </c>
      <c r="AT99">
        <f xml:space="preserve"> [1]Factors!F99</f>
        <v>-1.6712444399999998E-2</v>
      </c>
    </row>
    <row r="100" spans="1:46" x14ac:dyDescent="0.25">
      <c r="A100">
        <f t="shared" si="8"/>
        <v>1967.1666666666647</v>
      </c>
      <c r="B100" s="1">
        <v>24532</v>
      </c>
      <c r="C100" s="7">
        <f t="shared" si="4"/>
        <v>1967</v>
      </c>
      <c r="D100" s="7">
        <f t="shared" si="5"/>
        <v>3</v>
      </c>
      <c r="E100" s="7">
        <f t="shared" si="6"/>
        <v>1</v>
      </c>
      <c r="F100">
        <f xml:space="preserve"> [1]Coibion_update!O106</f>
        <v>3.5772912532847041</v>
      </c>
      <c r="G100">
        <f xml:space="preserve"> [1]Coibion_update!P106</f>
        <v>3.8</v>
      </c>
      <c r="H100">
        <f xml:space="preserve"> [1]Coibion_update!Q106</f>
        <v>3.4965075614664802</v>
      </c>
      <c r="I100">
        <f xml:space="preserve"> [1]Coibion_update!W106</f>
        <v>4.53</v>
      </c>
      <c r="J100">
        <f xml:space="preserve"> [1]Coibion_update!X106</f>
        <v>4.6242863031803214</v>
      </c>
      <c r="K100">
        <f xml:space="preserve"> [1]Coibion_update!Y106</f>
        <v>2.5367872716649891</v>
      </c>
      <c r="L100">
        <f xml:space="preserve"> [1]Coibion_update!Z106</f>
        <v>3.6382438381453563</v>
      </c>
      <c r="M100">
        <f xml:space="preserve"> [1]Coibion_update!AA106</f>
        <v>3.223942965201219</v>
      </c>
      <c r="X100" s="5">
        <f xml:space="preserve"> [1]misc!N183</f>
        <v>4.3499999999999996</v>
      </c>
      <c r="Z100">
        <f xml:space="preserve"> [1]Sims_Zha!B103</f>
        <v>-2.5449000000000002</v>
      </c>
      <c r="AK100">
        <v>4.5</v>
      </c>
      <c r="AL100">
        <f xml:space="preserve"> LN([1]misc!B119)</f>
        <v>5.1636424632214348</v>
      </c>
      <c r="AM100">
        <f xml:space="preserve"> LN([1]misc!D119)</f>
        <v>6.1937929587082721</v>
      </c>
      <c r="AN100">
        <f xml:space="preserve"> LN([1]misc!G224)</f>
        <v>2.9662519682314827</v>
      </c>
      <c r="AO100">
        <f xml:space="preserve"> LN([1]misc!J130 + [1]misc!L130)</f>
        <v>2.5044641490035313</v>
      </c>
      <c r="AP100">
        <f xml:space="preserve"> [1]Factors!B100</f>
        <v>0.45875886799999999</v>
      </c>
      <c r="AQ100">
        <f xml:space="preserve"> [1]Factors!C100</f>
        <v>8.7891242999999994E-2</v>
      </c>
      <c r="AR100">
        <f xml:space="preserve"> [1]Factors!D100</f>
        <v>-0.22176325899999999</v>
      </c>
      <c r="AS100">
        <f xml:space="preserve"> [1]Factors!E100</f>
        <v>-0.18187789700000001</v>
      </c>
      <c r="AT100">
        <f xml:space="preserve"> [1]Factors!F100</f>
        <v>0.21901748700000001</v>
      </c>
    </row>
    <row r="101" spans="1:46" x14ac:dyDescent="0.25">
      <c r="A101">
        <f t="shared" si="8"/>
        <v>1967.249999999998</v>
      </c>
      <c r="B101" s="1">
        <v>24563</v>
      </c>
      <c r="C101" s="7">
        <f t="shared" si="4"/>
        <v>1967</v>
      </c>
      <c r="D101" s="7">
        <f t="shared" si="5"/>
        <v>4</v>
      </c>
      <c r="E101" s="7">
        <f t="shared" si="6"/>
        <v>2</v>
      </c>
      <c r="F101">
        <f xml:space="preserve"> [1]Coibion_update!O107</f>
        <v>3.5866778327806066</v>
      </c>
      <c r="G101">
        <f xml:space="preserve"> [1]Coibion_update!P107</f>
        <v>3.8</v>
      </c>
      <c r="H101">
        <f xml:space="preserve"> [1]Coibion_update!Q107</f>
        <v>3.4995332823830174</v>
      </c>
      <c r="I101">
        <f xml:space="preserve"> [1]Coibion_update!W107</f>
        <v>4.05</v>
      </c>
      <c r="J101">
        <f xml:space="preserve"> [1]Coibion_update!X107</f>
        <v>4.6056700610297421</v>
      </c>
      <c r="K101">
        <f xml:space="preserve"> [1]Coibion_update!Y107</f>
        <v>2.5798379699552876</v>
      </c>
      <c r="L101">
        <f xml:space="preserve"> [1]Coibion_update!Z107</f>
        <v>3.6422070459155056</v>
      </c>
      <c r="M101">
        <f xml:space="preserve"> [1]Coibion_update!AA107</f>
        <v>3.2273993958090776</v>
      </c>
      <c r="X101" s="5">
        <f xml:space="preserve"> [1]misc!N184</f>
        <v>4.1100000000000003</v>
      </c>
      <c r="Z101">
        <f xml:space="preserve"> [1]Sims_Zha!B104</f>
        <v>-1.3508</v>
      </c>
      <c r="AK101">
        <v>4</v>
      </c>
      <c r="AL101">
        <f xml:space="preserve"> LN([1]misc!B120)</f>
        <v>5.1602040644184024</v>
      </c>
      <c r="AM101">
        <f xml:space="preserve"> LN([1]misc!D120)</f>
        <v>6.1986819478719326</v>
      </c>
      <c r="AN101">
        <f xml:space="preserve"> LN([1]misc!G225)</f>
        <v>2.9644479835142246</v>
      </c>
      <c r="AO101">
        <f xml:space="preserve"> LN([1]misc!J131 + [1]misc!L131)</f>
        <v>2.5130080798988752</v>
      </c>
      <c r="AP101">
        <f xml:space="preserve"> [1]Factors!B101</f>
        <v>0.28018349399999998</v>
      </c>
      <c r="AQ101">
        <f xml:space="preserve"> [1]Factors!C101</f>
        <v>-7.0303375900000006E-2</v>
      </c>
      <c r="AR101">
        <f xml:space="preserve"> [1]Factors!D101</f>
        <v>-0.26685281700000002</v>
      </c>
      <c r="AS101">
        <f xml:space="preserve"> [1]Factors!E101</f>
        <v>-0.140551228</v>
      </c>
      <c r="AT101">
        <f xml:space="preserve"> [1]Factors!F101</f>
        <v>6.5631130600000004E-2</v>
      </c>
    </row>
    <row r="102" spans="1:46" x14ac:dyDescent="0.25">
      <c r="A102">
        <f t="shared" si="8"/>
        <v>1967.3333333333312</v>
      </c>
      <c r="B102" s="1">
        <v>24593</v>
      </c>
      <c r="C102" s="7">
        <f t="shared" si="4"/>
        <v>1967</v>
      </c>
      <c r="D102" s="7">
        <f t="shared" si="5"/>
        <v>5</v>
      </c>
      <c r="E102" s="7">
        <f t="shared" si="6"/>
        <v>2</v>
      </c>
      <c r="F102">
        <f xml:space="preserve"> [1]Coibion_update!O108</f>
        <v>3.5779171666776102</v>
      </c>
      <c r="G102">
        <f xml:space="preserve"> [1]Coibion_update!P108</f>
        <v>3.8</v>
      </c>
      <c r="H102">
        <f xml:space="preserve"> [1]Coibion_update!Q108</f>
        <v>3.4995332823830174</v>
      </c>
      <c r="I102">
        <f xml:space="preserve"> [1]Coibion_update!W108</f>
        <v>3.94</v>
      </c>
      <c r="J102">
        <f xml:space="preserve"> [1]Coibion_update!X108</f>
        <v>4.6159122825199939</v>
      </c>
      <c r="K102">
        <f xml:space="preserve"> [1]Coibion_update!Y108</f>
        <v>2.5727648903096845</v>
      </c>
      <c r="L102">
        <f xml:space="preserve"> [1]Coibion_update!Z108</f>
        <v>3.6405029543735754</v>
      </c>
      <c r="M102">
        <f xml:space="preserve"> [1]Coibion_update!AA108</f>
        <v>3.2306462804671163</v>
      </c>
      <c r="X102" s="5">
        <f xml:space="preserve"> [1]misc!N185</f>
        <v>4.1500000000000004</v>
      </c>
      <c r="Z102">
        <f xml:space="preserve"> [1]Sims_Zha!B105</f>
        <v>-0.30721999999999999</v>
      </c>
      <c r="AK102">
        <v>4.13</v>
      </c>
      <c r="AL102">
        <f xml:space="preserve"> LN([1]misc!B121)</f>
        <v>5.168777995193051</v>
      </c>
      <c r="AM102">
        <f xml:space="preserve"> LN([1]misc!D121)</f>
        <v>6.2089923596365564</v>
      </c>
      <c r="AN102">
        <f xml:space="preserve"> LN([1]misc!G226)</f>
        <v>2.9573032469342091</v>
      </c>
      <c r="AO102">
        <f xml:space="preserve"> LN([1]misc!J132 + [1]misc!L132)</f>
        <v>2.5119542108864157</v>
      </c>
      <c r="AP102">
        <f xml:space="preserve"> [1]Factors!B102</f>
        <v>0.17280056899999999</v>
      </c>
      <c r="AQ102">
        <f xml:space="preserve"> [1]Factors!C102</f>
        <v>-1.5031945499999999E-2</v>
      </c>
      <c r="AR102">
        <f xml:space="preserve"> [1]Factors!D102</f>
        <v>-3.6300148400000003E-2</v>
      </c>
      <c r="AS102">
        <f xml:space="preserve"> [1]Factors!E102</f>
        <v>3.6903315299999999E-3</v>
      </c>
      <c r="AT102">
        <f xml:space="preserve"> [1]Factors!F102</f>
        <v>-0.39228285200000002</v>
      </c>
    </row>
    <row r="103" spans="1:46" x14ac:dyDescent="0.25">
      <c r="A103">
        <f t="shared" si="8"/>
        <v>1967.4166666666645</v>
      </c>
      <c r="B103" s="1">
        <v>24624</v>
      </c>
      <c r="C103" s="7">
        <f t="shared" si="4"/>
        <v>1967</v>
      </c>
      <c r="D103" s="7">
        <f t="shared" si="5"/>
        <v>6</v>
      </c>
      <c r="E103" s="7">
        <f t="shared" si="6"/>
        <v>2</v>
      </c>
      <c r="F103">
        <f xml:space="preserve"> [1]Coibion_update!O109</f>
        <v>3.5777914565900484</v>
      </c>
      <c r="G103">
        <f xml:space="preserve"> [1]Coibion_update!P109</f>
        <v>3.9</v>
      </c>
      <c r="H103">
        <f xml:space="preserve"> [1]Coibion_update!Q109</f>
        <v>3.505557396986398</v>
      </c>
      <c r="I103">
        <f xml:space="preserve"> [1]Coibion_update!W109</f>
        <v>3.98</v>
      </c>
      <c r="J103">
        <f xml:space="preserve"> [1]Coibion_update!X109</f>
        <v>4.6151205168412597</v>
      </c>
      <c r="K103">
        <f xml:space="preserve"> [1]Coibion_update!Y109</f>
        <v>2.587688844431026</v>
      </c>
      <c r="L103">
        <f xml:space="preserve"> [1]Coibion_update!Z109</f>
        <v>3.6439866852231995</v>
      </c>
      <c r="M103">
        <f xml:space="preserve"> [1]Coibion_update!AA109</f>
        <v>3.2354969258844366</v>
      </c>
      <c r="X103" s="5">
        <f xml:space="preserve"> [1]misc!N186</f>
        <v>4.4800000000000004</v>
      </c>
      <c r="Z103">
        <f xml:space="preserve"> [1]Sims_Zha!B106</f>
        <v>1.2647999999999999</v>
      </c>
      <c r="AK103">
        <v>3.5</v>
      </c>
      <c r="AL103">
        <f xml:space="preserve"> LN([1]misc!B122)</f>
        <v>5.1761497325738288</v>
      </c>
      <c r="AM103">
        <f xml:space="preserve"> LN([1]misc!D122)</f>
        <v>6.2186001196917289</v>
      </c>
      <c r="AN103">
        <f xml:space="preserve"> LN([1]misc!G227)</f>
        <v>2.9636222196357571</v>
      </c>
      <c r="AO103">
        <f xml:space="preserve"> LN([1]misc!J133 + [1]misc!L133)</f>
        <v>2.5137370314558773</v>
      </c>
      <c r="AP103">
        <f xml:space="preserve"> [1]Factors!B103</f>
        <v>0.22824570199999999</v>
      </c>
      <c r="AQ103">
        <f xml:space="preserve"> [1]Factors!C103</f>
        <v>6.7353734200000001E-2</v>
      </c>
      <c r="AR103">
        <f xml:space="preserve"> [1]Factors!D103</f>
        <v>-0.14985960500000001</v>
      </c>
      <c r="AS103">
        <f xml:space="preserve"> [1]Factors!E103</f>
        <v>-0.18829506500000001</v>
      </c>
      <c r="AT103">
        <f xml:space="preserve"> [1]Factors!F103</f>
        <v>0.15892452900000001</v>
      </c>
    </row>
    <row r="104" spans="1:46" x14ac:dyDescent="0.25">
      <c r="A104">
        <f t="shared" si="8"/>
        <v>1967.4999999999977</v>
      </c>
      <c r="B104" s="1">
        <v>24654</v>
      </c>
      <c r="C104" s="7">
        <f t="shared" si="4"/>
        <v>1967</v>
      </c>
      <c r="D104" s="7">
        <f t="shared" si="5"/>
        <v>7</v>
      </c>
      <c r="E104" s="7">
        <f t="shared" si="6"/>
        <v>3</v>
      </c>
      <c r="F104">
        <f xml:space="preserve"> [1]Coibion_update!O110</f>
        <v>3.5755119680541938</v>
      </c>
      <c r="G104">
        <f xml:space="preserve"> [1]Coibion_update!P110</f>
        <v>3.8</v>
      </c>
      <c r="H104">
        <f xml:space="preserve"> [1]Coibion_update!Q110</f>
        <v>3.5085558999826545</v>
      </c>
      <c r="I104">
        <f xml:space="preserve"> [1]Coibion_update!W110</f>
        <v>3.79</v>
      </c>
      <c r="J104">
        <f xml:space="preserve"> [1]Coibion_update!X110</f>
        <v>4.5969363810609876</v>
      </c>
      <c r="K104">
        <f xml:space="preserve"> [1]Coibion_update!Y110</f>
        <v>2.5721541100188996</v>
      </c>
      <c r="L104">
        <f xml:space="preserve"> [1]Coibion_update!Z110</f>
        <v>3.6333138886642278</v>
      </c>
      <c r="M104">
        <f xml:space="preserve"> [1]Coibion_update!AA110</f>
        <v>3.240832992220243</v>
      </c>
      <c r="X104" s="5">
        <f xml:space="preserve"> [1]misc!N187</f>
        <v>5.01</v>
      </c>
      <c r="Z104">
        <f xml:space="preserve"> [1]Sims_Zha!B107</f>
        <v>-0.80345999999999995</v>
      </c>
      <c r="AK104">
        <v>3.75</v>
      </c>
      <c r="AL104">
        <f xml:space="preserve"> LN([1]misc!B123)</f>
        <v>5.1823451902956164</v>
      </c>
      <c r="AM104">
        <f xml:space="preserve"> LN([1]misc!D123)</f>
        <v>6.2271293789758637</v>
      </c>
      <c r="AN104">
        <f xml:space="preserve"> LN([1]misc!G228)</f>
        <v>2.982900294738613</v>
      </c>
      <c r="AO104">
        <f xml:space="preserve"> LN([1]misc!J134 + [1]misc!L134)</f>
        <v>2.5342522152491322</v>
      </c>
      <c r="AP104">
        <f xml:space="preserve"> [1]Factors!B104</f>
        <v>-4.0114455000000004E-3</v>
      </c>
      <c r="AQ104">
        <f xml:space="preserve"> [1]Factors!C104</f>
        <v>0.17747994</v>
      </c>
      <c r="AR104">
        <f xml:space="preserve"> [1]Factors!D104</f>
        <v>-8.13895972E-3</v>
      </c>
      <c r="AS104">
        <f xml:space="preserve"> [1]Factors!E104</f>
        <v>-0.139048116</v>
      </c>
      <c r="AT104">
        <f xml:space="preserve"> [1]Factors!F104</f>
        <v>-0.11251209099999999</v>
      </c>
    </row>
    <row r="105" spans="1:46" x14ac:dyDescent="0.25">
      <c r="A105">
        <f t="shared" si="8"/>
        <v>1967.583333333331</v>
      </c>
      <c r="B105" s="1">
        <v>24685</v>
      </c>
      <c r="C105" s="7">
        <f t="shared" si="4"/>
        <v>1967</v>
      </c>
      <c r="D105" s="7">
        <f t="shared" si="5"/>
        <v>8</v>
      </c>
      <c r="E105" s="7">
        <f t="shared" si="6"/>
        <v>3</v>
      </c>
      <c r="F105">
        <f xml:space="preserve"> [1]Coibion_update!O111</f>
        <v>3.5944891011391755</v>
      </c>
      <c r="G105">
        <f xml:space="preserve"> [1]Coibion_update!P111</f>
        <v>3.8</v>
      </c>
      <c r="H105">
        <f xml:space="preserve"> [1]Coibion_update!Q111</f>
        <v>3.5115454388310208</v>
      </c>
      <c r="I105">
        <f xml:space="preserve"> [1]Coibion_update!W111</f>
        <v>3.9</v>
      </c>
      <c r="J105">
        <f xml:space="preserve"> [1]Coibion_update!X111</f>
        <v>4.5918822916611557</v>
      </c>
      <c r="K105">
        <f xml:space="preserve"> [1]Coibion_update!Y111</f>
        <v>2.5577697998530509</v>
      </c>
      <c r="L105">
        <f xml:space="preserve"> [1]Coibion_update!Z111</f>
        <v>3.6407915433068814</v>
      </c>
      <c r="M105">
        <f xml:space="preserve"> [1]Coibion_update!AA111</f>
        <v>3.2456735372535785</v>
      </c>
      <c r="X105" s="5">
        <f xml:space="preserve"> [1]misc!N188</f>
        <v>5.13</v>
      </c>
      <c r="Z105">
        <f xml:space="preserve"> [1]Sims_Zha!B108</f>
        <v>0.65952</v>
      </c>
      <c r="AK105">
        <v>4</v>
      </c>
      <c r="AL105">
        <f xml:space="preserve"> LN([1]misc!B124)</f>
        <v>5.1912887937895134</v>
      </c>
      <c r="AM105">
        <f xml:space="preserve"> LN([1]misc!D124)</f>
        <v>6.2359781241583843</v>
      </c>
      <c r="AN105">
        <f xml:space="preserve"> LN([1]misc!G229)</f>
        <v>2.97598864451738</v>
      </c>
      <c r="AO105">
        <f xml:space="preserve"> LN([1]misc!J135 + [1]misc!L135)</f>
        <v>2.5335380711997373</v>
      </c>
      <c r="AP105">
        <f xml:space="preserve"> [1]Factors!B105</f>
        <v>3.9481001399999998E-3</v>
      </c>
      <c r="AQ105">
        <f xml:space="preserve"> [1]Factors!C105</f>
        <v>1.6064541200000001E-2</v>
      </c>
      <c r="AR105">
        <f xml:space="preserve"> [1]Factors!D105</f>
        <v>0.12106974700000001</v>
      </c>
      <c r="AS105">
        <f xml:space="preserve"> [1]Factors!E105</f>
        <v>-0.25824469799999999</v>
      </c>
      <c r="AT105">
        <f xml:space="preserve"> [1]Factors!F105</f>
        <v>7.8738743999999999E-2</v>
      </c>
    </row>
    <row r="106" spans="1:46" x14ac:dyDescent="0.25">
      <c r="A106">
        <f t="shared" si="8"/>
        <v>1967.6666666666642</v>
      </c>
      <c r="B106" s="1">
        <v>24716</v>
      </c>
      <c r="C106" s="7">
        <f t="shared" si="4"/>
        <v>1967</v>
      </c>
      <c r="D106" s="7">
        <f t="shared" si="5"/>
        <v>9</v>
      </c>
      <c r="E106" s="7">
        <f t="shared" si="6"/>
        <v>3</v>
      </c>
      <c r="F106">
        <f xml:space="preserve"> [1]Coibion_update!O112</f>
        <v>3.5928640256802487</v>
      </c>
      <c r="G106">
        <f xml:space="preserve"> [1]Coibion_update!P112</f>
        <v>3.8</v>
      </c>
      <c r="H106">
        <f xml:space="preserve"> [1]Coibion_update!Q112</f>
        <v>3.5145260669691587</v>
      </c>
      <c r="I106">
        <f xml:space="preserve"> [1]Coibion_update!W112</f>
        <v>3.99</v>
      </c>
      <c r="J106">
        <f xml:space="preserve"> [1]Coibion_update!X112</f>
        <v>4.5847633762104287</v>
      </c>
      <c r="K106">
        <f xml:space="preserve"> [1]Coibion_update!Y112</f>
        <v>2.5861838400081902</v>
      </c>
      <c r="L106">
        <f xml:space="preserve"> [1]Coibion_update!Z112</f>
        <v>3.6497227389127422</v>
      </c>
      <c r="M106">
        <f xml:space="preserve"> [1]Coibion_update!AA112</f>
        <v>3.2475410240819653</v>
      </c>
      <c r="X106" s="5">
        <f xml:space="preserve"> [1]misc!N189</f>
        <v>5.24</v>
      </c>
      <c r="Z106">
        <f xml:space="preserve"> [1]Sims_Zha!B109</f>
        <v>0.27062999999999998</v>
      </c>
      <c r="AK106">
        <v>3.75</v>
      </c>
      <c r="AL106">
        <f xml:space="preserve"> LN([1]misc!B125)</f>
        <v>5.1968381975981828</v>
      </c>
      <c r="AM106">
        <f xml:space="preserve"> LN([1]misc!D125)</f>
        <v>6.2435842066587091</v>
      </c>
      <c r="AN106">
        <f xml:space="preserve"> LN([1]misc!G230)</f>
        <v>2.9935799589858485</v>
      </c>
      <c r="AO106">
        <f xml:space="preserve"> LN([1]misc!J136 + [1]misc!L136)</f>
        <v>2.5461585258197634</v>
      </c>
      <c r="AP106">
        <f xml:space="preserve"> [1]Factors!B106</f>
        <v>-0.44098938199999999</v>
      </c>
      <c r="AQ106">
        <f xml:space="preserve"> [1]Factors!C106</f>
        <v>-0.13001674699999999</v>
      </c>
      <c r="AR106">
        <f xml:space="preserve"> [1]Factors!D106</f>
        <v>3.6747404999999997E-2</v>
      </c>
      <c r="AS106">
        <f xml:space="preserve"> [1]Factors!E106</f>
        <v>6.5916072199999995E-2</v>
      </c>
      <c r="AT106">
        <f xml:space="preserve"> [1]Factors!F106</f>
        <v>-0.31750610800000001</v>
      </c>
    </row>
    <row r="107" spans="1:46" x14ac:dyDescent="0.25">
      <c r="A107">
        <f t="shared" si="8"/>
        <v>1967.7499999999975</v>
      </c>
      <c r="B107" s="1">
        <v>24746</v>
      </c>
      <c r="C107" s="7">
        <f t="shared" si="4"/>
        <v>1967</v>
      </c>
      <c r="D107" s="7">
        <f t="shared" si="5"/>
        <v>10</v>
      </c>
      <c r="E107" s="7">
        <f t="shared" si="6"/>
        <v>4</v>
      </c>
      <c r="F107">
        <f xml:space="preserve"> [1]Coibion_update!O113</f>
        <v>3.6009767709380252</v>
      </c>
      <c r="G107">
        <f xml:space="preserve"> [1]Coibion_update!P113</f>
        <v>4</v>
      </c>
      <c r="H107">
        <f xml:space="preserve"> [1]Coibion_update!Q113</f>
        <v>3.5174978373583161</v>
      </c>
      <c r="I107">
        <f xml:space="preserve"> [1]Coibion_update!W113</f>
        <v>3.88</v>
      </c>
      <c r="J107">
        <f xml:space="preserve"> [1]Coibion_update!X113</f>
        <v>4.5730601320698581</v>
      </c>
      <c r="K107">
        <f xml:space="preserve"> [1]Coibion_update!Y113</f>
        <v>2.5555204291159916</v>
      </c>
      <c r="L107">
        <f xml:space="preserve"> [1]Coibion_update!Z113</f>
        <v>3.6340007926039468</v>
      </c>
      <c r="M107">
        <f xml:space="preserve"> [1]Coibion_update!AA113</f>
        <v>3.2490946034521975</v>
      </c>
      <c r="X107" s="5">
        <f xml:space="preserve"> [1]misc!N190</f>
        <v>5.37</v>
      </c>
      <c r="Z107">
        <f xml:space="preserve"> [1]Sims_Zha!B110</f>
        <v>-1.3816999999999999</v>
      </c>
      <c r="AK107">
        <v>4.13</v>
      </c>
      <c r="AL107">
        <f xml:space="preserve"> LN([1]misc!B126)</f>
        <v>5.2018064661671932</v>
      </c>
      <c r="AM107">
        <f xml:space="preserve"> LN([1]misc!D126)</f>
        <v>6.2503612681280094</v>
      </c>
      <c r="AN107">
        <f xml:space="preserve"> LN([1]misc!G231)</f>
        <v>3.0169554600055162</v>
      </c>
      <c r="AO107">
        <f xml:space="preserve"> LN([1]misc!J137 + [1]misc!L137)</f>
        <v>2.5617905274532773</v>
      </c>
      <c r="AP107">
        <f xml:space="preserve"> [1]Factors!B107</f>
        <v>3.8870083800000002E-3</v>
      </c>
      <c r="AQ107">
        <f xml:space="preserve"> [1]Factors!C107</f>
        <v>2.1261631E-2</v>
      </c>
      <c r="AR107">
        <f xml:space="preserve"> [1]Factors!D107</f>
        <v>5.1710717899999998E-4</v>
      </c>
      <c r="AS107">
        <f xml:space="preserve"> [1]Factors!E107</f>
        <v>-0.135284392</v>
      </c>
      <c r="AT107">
        <f xml:space="preserve"> [1]Factors!F107</f>
        <v>8.3843838800000001E-2</v>
      </c>
    </row>
    <row r="108" spans="1:46" x14ac:dyDescent="0.25">
      <c r="A108">
        <f t="shared" si="8"/>
        <v>1967.8333333333308</v>
      </c>
      <c r="B108" s="1">
        <v>24777</v>
      </c>
      <c r="C108" s="7">
        <f t="shared" si="4"/>
        <v>1967</v>
      </c>
      <c r="D108" s="7">
        <f t="shared" si="5"/>
        <v>11</v>
      </c>
      <c r="E108" s="7">
        <f t="shared" si="6"/>
        <v>4</v>
      </c>
      <c r="F108">
        <f xml:space="preserve"> [1]Coibion_update!O114</f>
        <v>3.615176399969851</v>
      </c>
      <c r="G108">
        <f xml:space="preserve"> [1]Coibion_update!P114</f>
        <v>3.9</v>
      </c>
      <c r="H108">
        <f xml:space="preserve"> [1]Coibion_update!Q114</f>
        <v>3.5234150143864045</v>
      </c>
      <c r="I108">
        <f xml:space="preserve"> [1]Coibion_update!W114</f>
        <v>4.13</v>
      </c>
      <c r="J108">
        <f xml:space="preserve"> [1]Coibion_update!X114</f>
        <v>4.5741953816886607</v>
      </c>
      <c r="K108">
        <f xml:space="preserve"> [1]Coibion_update!Y114</f>
        <v>2.5661025384465286</v>
      </c>
      <c r="L108">
        <f xml:space="preserve"> [1]Coibion_update!Z114</f>
        <v>3.6442481299683425</v>
      </c>
      <c r="M108">
        <f xml:space="preserve"> [1]Coibion_update!AA114</f>
        <v>3.2522332285221971</v>
      </c>
      <c r="X108" s="5">
        <f xml:space="preserve"> [1]misc!N191</f>
        <v>5.61</v>
      </c>
      <c r="Z108">
        <f xml:space="preserve"> [1]Sims_Zha!B111</f>
        <v>1.3353999999999999</v>
      </c>
      <c r="AK108">
        <v>4.5</v>
      </c>
      <c r="AL108">
        <f xml:space="preserve"> LN([1]misc!B127)</f>
        <v>5.2062020776402314</v>
      </c>
      <c r="AM108">
        <f xml:space="preserve"> LN([1]misc!D127)</f>
        <v>6.2561338452506901</v>
      </c>
      <c r="AN108">
        <f xml:space="preserve"> LN([1]misc!G232)</f>
        <v>3.0177383538166058</v>
      </c>
      <c r="AO108">
        <f xml:space="preserve"> LN([1]misc!J138 + [1]misc!L138)</f>
        <v>2.5648724314258819</v>
      </c>
      <c r="AP108">
        <f xml:space="preserve"> [1]Factors!B108</f>
        <v>-0.14453211899999999</v>
      </c>
      <c r="AQ108">
        <f xml:space="preserve"> [1]Factors!C108</f>
        <v>-8.78111195E-3</v>
      </c>
      <c r="AR108">
        <f xml:space="preserve"> [1]Factors!D108</f>
        <v>9.7885678599999998E-2</v>
      </c>
      <c r="AS108">
        <f xml:space="preserve"> [1]Factors!E108</f>
        <v>-0.13128872599999999</v>
      </c>
      <c r="AT108">
        <f xml:space="preserve"> [1]Factors!F108</f>
        <v>-0.176940457</v>
      </c>
    </row>
    <row r="109" spans="1:46" x14ac:dyDescent="0.25">
      <c r="A109">
        <f t="shared" si="8"/>
        <v>1967.916666666664</v>
      </c>
      <c r="B109" s="1">
        <v>24807</v>
      </c>
      <c r="C109" s="7">
        <f t="shared" si="4"/>
        <v>1967</v>
      </c>
      <c r="D109" s="7">
        <f t="shared" si="5"/>
        <v>12</v>
      </c>
      <c r="E109" s="7">
        <f t="shared" si="6"/>
        <v>4</v>
      </c>
      <c r="F109">
        <f xml:space="preserve"> [1]Coibion_update!O115</f>
        <v>3.6258890673310615</v>
      </c>
      <c r="G109">
        <f xml:space="preserve"> [1]Coibion_update!P115</f>
        <v>3.8</v>
      </c>
      <c r="H109">
        <f xml:space="preserve"> [1]Coibion_update!Q115</f>
        <v>3.5263605246161616</v>
      </c>
      <c r="I109">
        <f xml:space="preserve"> [1]Coibion_update!W115</f>
        <v>4.51</v>
      </c>
      <c r="J109">
        <f xml:space="preserve"> [1]Coibion_update!X115</f>
        <v>4.5868025286299066</v>
      </c>
      <c r="K109">
        <f xml:space="preserve"> [1]Coibion_update!Y115</f>
        <v>2.6016521103123904</v>
      </c>
      <c r="L109">
        <f xml:space="preserve"> [1]Coibion_update!Z115</f>
        <v>3.6590643690347506</v>
      </c>
      <c r="M109">
        <f xml:space="preserve"> [1]Coibion_update!AA115</f>
        <v>3.2575579314605445</v>
      </c>
      <c r="X109" s="5">
        <f xml:space="preserve"> [1]misc!N192</f>
        <v>5.71</v>
      </c>
      <c r="Z109">
        <f xml:space="preserve"> [1]Sims_Zha!B112</f>
        <v>1.5344</v>
      </c>
      <c r="AK109">
        <v>4.5</v>
      </c>
      <c r="AL109">
        <f xml:space="preserve"> LN([1]misc!B128)</f>
        <v>5.2111241548456597</v>
      </c>
      <c r="AM109">
        <f xml:space="preserve"> LN([1]misc!D128)</f>
        <v>6.2630172376298789</v>
      </c>
      <c r="AN109">
        <f xml:space="preserve"> LN([1]misc!G233)</f>
        <v>3.0335096378880211</v>
      </c>
      <c r="AO109">
        <f xml:space="preserve"> LN([1]misc!J139 + [1]misc!L139)</f>
        <v>2.5612502163753339</v>
      </c>
      <c r="AP109">
        <f xml:space="preserve"> [1]Factors!B109</f>
        <v>-0.71972044800000001</v>
      </c>
      <c r="AQ109">
        <f xml:space="preserve"> [1]Factors!C109</f>
        <v>-0.16738882999999999</v>
      </c>
      <c r="AR109">
        <f xml:space="preserve"> [1]Factors!D109</f>
        <v>7.0448172099999998E-2</v>
      </c>
      <c r="AS109">
        <f xml:space="preserve"> [1]Factors!E109</f>
        <v>-3.4213358300000003E-2</v>
      </c>
      <c r="AT109">
        <f xml:space="preserve"> [1]Factors!F109</f>
        <v>-0.25005816800000003</v>
      </c>
    </row>
    <row r="110" spans="1:46" x14ac:dyDescent="0.25">
      <c r="A110">
        <f t="shared" si="8"/>
        <v>1967.9999999999973</v>
      </c>
      <c r="B110" s="1">
        <v>24838</v>
      </c>
      <c r="C110" s="7">
        <f t="shared" si="4"/>
        <v>1968</v>
      </c>
      <c r="D110" s="7">
        <f t="shared" si="5"/>
        <v>1</v>
      </c>
      <c r="E110" s="7">
        <f t="shared" si="6"/>
        <v>1</v>
      </c>
      <c r="F110">
        <f xml:space="preserve"> [1]Coibion_update!O116</f>
        <v>3.624812821619404</v>
      </c>
      <c r="G110">
        <f xml:space="preserve"> [1]Coibion_update!P116</f>
        <v>3.7</v>
      </c>
      <c r="H110">
        <f xml:space="preserve"> [1]Coibion_update!Q116</f>
        <v>3.529297384289471</v>
      </c>
      <c r="I110">
        <f xml:space="preserve"> [1]Coibion_update!W116</f>
        <v>4.5999999999999996</v>
      </c>
      <c r="J110">
        <f xml:space="preserve"> [1]Coibion_update!X116</f>
        <v>4.5876170267405021</v>
      </c>
      <c r="K110">
        <f xml:space="preserve"> [1]Coibion_update!Y116</f>
        <v>2.6230731171710042</v>
      </c>
      <c r="L110">
        <f xml:space="preserve"> [1]Coibion_update!Z116</f>
        <v>3.6570275246647541</v>
      </c>
      <c r="M110">
        <f xml:space="preserve"> [1]Coibion_update!AA116</f>
        <v>3.265301290578845</v>
      </c>
      <c r="X110" s="5">
        <f xml:space="preserve"> [1]misc!N193</f>
        <v>5.43</v>
      </c>
      <c r="Z110">
        <f xml:space="preserve"> [1]Sims_Zha!B113</f>
        <v>-0.17294000000000001</v>
      </c>
      <c r="AK110">
        <v>4.75</v>
      </c>
      <c r="AL110">
        <f xml:space="preserve"> LN([1]misc!B129)</f>
        <v>5.2165648646757781</v>
      </c>
      <c r="AM110">
        <f xml:space="preserve"> LN([1]misc!D129)</f>
        <v>6.2679592739191863</v>
      </c>
      <c r="AN110">
        <f xml:space="preserve"> LN([1]misc!G234)</f>
        <v>3.0529156870814447</v>
      </c>
      <c r="AO110">
        <f xml:space="preserve"> LN([1]misc!J140 + [1]misc!L140)</f>
        <v>2.5644107509005996</v>
      </c>
      <c r="AP110">
        <f xml:space="preserve"> [1]Factors!B110</f>
        <v>-0.43547712999999999</v>
      </c>
      <c r="AQ110">
        <f xml:space="preserve"> [1]Factors!C110</f>
        <v>-0.14516826099999999</v>
      </c>
      <c r="AR110">
        <f xml:space="preserve"> [1]Factors!D110</f>
        <v>1.7529334899999999E-2</v>
      </c>
      <c r="AS110">
        <f xml:space="preserve"> [1]Factors!E110</f>
        <v>-6.0259500200000003E-2</v>
      </c>
      <c r="AT110">
        <f xml:space="preserve"> [1]Factors!F110</f>
        <v>-0.237336984</v>
      </c>
    </row>
    <row r="111" spans="1:46" x14ac:dyDescent="0.25">
      <c r="A111">
        <f t="shared" si="8"/>
        <v>1968.0833333333305</v>
      </c>
      <c r="B111" s="1">
        <v>24869</v>
      </c>
      <c r="C111" s="7">
        <f t="shared" si="4"/>
        <v>1968</v>
      </c>
      <c r="D111" s="7">
        <f t="shared" si="5"/>
        <v>2</v>
      </c>
      <c r="E111" s="7">
        <f t="shared" si="6"/>
        <v>1</v>
      </c>
      <c r="F111">
        <f xml:space="preserve"> [1]Coibion_update!O117</f>
        <v>3.6283887295828596</v>
      </c>
      <c r="G111">
        <f xml:space="preserve"> [1]Coibion_update!P117</f>
        <v>3.8</v>
      </c>
      <c r="H111">
        <f xml:space="preserve"> [1]Coibion_update!Q117</f>
        <v>3.5322256440685598</v>
      </c>
      <c r="I111">
        <f xml:space="preserve"> [1]Coibion_update!W117</f>
        <v>4.71</v>
      </c>
      <c r="J111">
        <f xml:space="preserve"> [1]Coibion_update!X117</f>
        <v>4.5890408040582074</v>
      </c>
      <c r="K111">
        <f xml:space="preserve"> [1]Coibion_update!Y117</f>
        <v>2.6177607297547492</v>
      </c>
      <c r="L111">
        <f xml:space="preserve"> [1]Coibion_update!Z117</f>
        <v>3.6617137860411666</v>
      </c>
      <c r="M111">
        <f xml:space="preserve"> [1]Coibion_update!AA117</f>
        <v>3.2654540206287792</v>
      </c>
      <c r="X111" s="5">
        <f xml:space="preserve"> [1]misc!N194</f>
        <v>5.41</v>
      </c>
      <c r="Z111">
        <f xml:space="preserve"> [1]Sims_Zha!B114</f>
        <v>-0.82164999999999999</v>
      </c>
      <c r="AK111">
        <v>4.75</v>
      </c>
      <c r="AL111">
        <f xml:space="preserve"> LN([1]misc!B130)</f>
        <v>5.2187328872051939</v>
      </c>
      <c r="AM111">
        <f xml:space="preserve"> LN([1]misc!D130)</f>
        <v>6.2736314388716528</v>
      </c>
      <c r="AN111">
        <f xml:space="preserve"> LN([1]misc!G235)</f>
        <v>3.0579086319806668</v>
      </c>
      <c r="AO111">
        <f xml:space="preserve"> LN([1]misc!J141 + [1]misc!L141)</f>
        <v>2.5506163598160345</v>
      </c>
      <c r="AP111">
        <f xml:space="preserve"> [1]Factors!B111</f>
        <v>0.29056114500000002</v>
      </c>
      <c r="AQ111">
        <f xml:space="preserve"> [1]Factors!C111</f>
        <v>7.2587274500000007E-2</v>
      </c>
      <c r="AR111">
        <f xml:space="preserve"> [1]Factors!D111</f>
        <v>7.1352444200000004E-2</v>
      </c>
      <c r="AS111">
        <f xml:space="preserve"> [1]Factors!E111</f>
        <v>-0.107171936</v>
      </c>
      <c r="AT111">
        <f xml:space="preserve"> [1]Factors!F111</f>
        <v>0.15028314200000001</v>
      </c>
    </row>
    <row r="112" spans="1:46" x14ac:dyDescent="0.25">
      <c r="A112">
        <f t="shared" si="8"/>
        <v>1968.1666666666638</v>
      </c>
      <c r="B112" s="1">
        <v>24898</v>
      </c>
      <c r="C112" s="7">
        <f t="shared" si="4"/>
        <v>1968</v>
      </c>
      <c r="D112" s="7">
        <f t="shared" si="5"/>
        <v>3</v>
      </c>
      <c r="E112" s="7">
        <f t="shared" si="6"/>
        <v>1</v>
      </c>
      <c r="F112">
        <f xml:space="preserve"> [1]Coibion_update!O118</f>
        <v>3.6315045462526125</v>
      </c>
      <c r="G112">
        <f xml:space="preserve"> [1]Coibion_update!P118</f>
        <v>3.7</v>
      </c>
      <c r="H112">
        <f xml:space="preserve"> [1]Coibion_update!Q118</f>
        <v>3.535145354171894</v>
      </c>
      <c r="I112">
        <f xml:space="preserve"> [1]Coibion_update!W118</f>
        <v>5.05</v>
      </c>
      <c r="J112">
        <f xml:space="preserve"> [1]Coibion_update!X118</f>
        <v>4.594614672048575</v>
      </c>
      <c r="K112">
        <f xml:space="preserve"> [1]Coibion_update!Y118</f>
        <v>2.6632620183120759</v>
      </c>
      <c r="L112">
        <f xml:space="preserve"> [1]Coibion_update!Z118</f>
        <v>3.6770345797460129</v>
      </c>
      <c r="M112">
        <f xml:space="preserve"> [1]Coibion_update!AA118</f>
        <v>3.2740834482642951</v>
      </c>
      <c r="X112" s="5">
        <f xml:space="preserve"> [1]misc!N195</f>
        <v>5.58</v>
      </c>
      <c r="Z112">
        <f xml:space="preserve"> [1]Sims_Zha!B115</f>
        <v>1.1100000000000001</v>
      </c>
      <c r="AK112">
        <v>5.25</v>
      </c>
      <c r="AL112">
        <f xml:space="preserve"> LN([1]misc!B131)</f>
        <v>5.2230548820474896</v>
      </c>
      <c r="AM112">
        <f xml:space="preserve"> LN([1]misc!D131)</f>
        <v>6.278896588304554</v>
      </c>
      <c r="AN112">
        <f xml:space="preserve"> LN([1]misc!G236)</f>
        <v>3.0594110502171739</v>
      </c>
      <c r="AO112">
        <f xml:space="preserve"> LN([1]misc!J142 + [1]misc!L142)</f>
        <v>2.5278863148620547</v>
      </c>
      <c r="AP112">
        <f xml:space="preserve"> [1]Factors!B112</f>
        <v>-0.466154923</v>
      </c>
      <c r="AQ112">
        <f xml:space="preserve"> [1]Factors!C112</f>
        <v>-7.8750029600000004E-3</v>
      </c>
      <c r="AR112">
        <f xml:space="preserve"> [1]Factors!D112</f>
        <v>-0.23422646499999999</v>
      </c>
      <c r="AS112">
        <f xml:space="preserve"> [1]Factors!E112</f>
        <v>-3.4444361499999999E-2</v>
      </c>
      <c r="AT112">
        <f xml:space="preserve"> [1]Factors!F112</f>
        <v>0.142485525</v>
      </c>
    </row>
    <row r="113" spans="1:46" x14ac:dyDescent="0.25">
      <c r="A113">
        <f t="shared" si="8"/>
        <v>1968.249999999997</v>
      </c>
      <c r="B113" s="1">
        <v>24929</v>
      </c>
      <c r="C113" s="7">
        <f t="shared" si="4"/>
        <v>1968</v>
      </c>
      <c r="D113" s="7">
        <f t="shared" si="5"/>
        <v>4</v>
      </c>
      <c r="E113" s="7">
        <f t="shared" si="6"/>
        <v>2</v>
      </c>
      <c r="F113">
        <f xml:space="preserve"> [1]Coibion_update!O119</f>
        <v>3.6329517532242601</v>
      </c>
      <c r="G113">
        <f xml:space="preserve"> [1]Coibion_update!P119</f>
        <v>3.5</v>
      </c>
      <c r="H113">
        <f xml:space="preserve"> [1]Coibion_update!Q119</f>
        <v>3.5380565643793527</v>
      </c>
      <c r="I113">
        <f xml:space="preserve"> [1]Coibion_update!W119</f>
        <v>5.76</v>
      </c>
      <c r="J113">
        <f xml:space="preserve"> [1]Coibion_update!X119</f>
        <v>4.5849674786705723</v>
      </c>
      <c r="K113">
        <f xml:space="preserve"> [1]Coibion_update!Y119</f>
        <v>2.6379138189131797</v>
      </c>
      <c r="L113">
        <f xml:space="preserve"> [1]Coibion_update!Z119</f>
        <v>3.6708173112955276</v>
      </c>
      <c r="M113">
        <f xml:space="preserve"> [1]Coibion_update!AA119</f>
        <v>3.279029747687948</v>
      </c>
      <c r="X113" s="5">
        <f xml:space="preserve"> [1]misc!N196</f>
        <v>5.71</v>
      </c>
      <c r="Z113">
        <f xml:space="preserve"> [1]Sims_Zha!B116</f>
        <v>3.1331000000000002</v>
      </c>
      <c r="AK113">
        <v>6.25</v>
      </c>
      <c r="AL113">
        <f xml:space="preserve"> LN([1]misc!B132)</f>
        <v>5.2289672884132434</v>
      </c>
      <c r="AM113">
        <f xml:space="preserve"> LN([1]misc!D132)</f>
        <v>6.2835743028869144</v>
      </c>
      <c r="AN113">
        <f xml:space="preserve"> LN([1]misc!G237)</f>
        <v>3.0560274293377465</v>
      </c>
      <c r="AO113">
        <f xml:space="preserve"> LN([1]misc!J143 + [1]misc!L143)</f>
        <v>2.5202737936252917</v>
      </c>
      <c r="AP113">
        <f xml:space="preserve"> [1]Factors!B113</f>
        <v>-0.20780469300000001</v>
      </c>
      <c r="AQ113">
        <f xml:space="preserve"> [1]Factors!C113</f>
        <v>4.4333333699999998E-2</v>
      </c>
      <c r="AR113">
        <f xml:space="preserve"> [1]Factors!D113</f>
        <v>-1.87496708E-2</v>
      </c>
      <c r="AS113">
        <f xml:space="preserve"> [1]Factors!E113</f>
        <v>-0.102074993</v>
      </c>
      <c r="AT113">
        <f xml:space="preserve"> [1]Factors!F113</f>
        <v>-4.3586975899999998E-2</v>
      </c>
    </row>
    <row r="114" spans="1:46" x14ac:dyDescent="0.25">
      <c r="A114">
        <f t="shared" si="8"/>
        <v>1968.3333333333303</v>
      </c>
      <c r="B114" s="1">
        <v>24959</v>
      </c>
      <c r="C114" s="7">
        <f t="shared" si="4"/>
        <v>1968</v>
      </c>
      <c r="D114" s="7">
        <f t="shared" si="5"/>
        <v>5</v>
      </c>
      <c r="E114" s="7">
        <f t="shared" si="6"/>
        <v>2</v>
      </c>
      <c r="F114">
        <f xml:space="preserve"> [1]Coibion_update!O120</f>
        <v>3.6441069582955112</v>
      </c>
      <c r="G114">
        <f xml:space="preserve"> [1]Coibion_update!P120</f>
        <v>3.5</v>
      </c>
      <c r="H114">
        <f xml:space="preserve"> [1]Coibion_update!Q120</f>
        <v>3.5409593240373143</v>
      </c>
      <c r="I114">
        <f xml:space="preserve"> [1]Coibion_update!W120</f>
        <v>6.11</v>
      </c>
      <c r="J114">
        <f xml:space="preserve"> [1]Coibion_update!X120</f>
        <v>4.5714065558352823</v>
      </c>
      <c r="K114">
        <f xml:space="preserve"> [1]Coibion_update!Y120</f>
        <v>2.6670893080471112</v>
      </c>
      <c r="L114">
        <f xml:space="preserve"> [1]Coibion_update!Z120</f>
        <v>3.6743747679110546</v>
      </c>
      <c r="M114">
        <f xml:space="preserve"> [1]Coibion_update!AA120</f>
        <v>3.2814373931215508</v>
      </c>
      <c r="X114" s="5">
        <f xml:space="preserve"> [1]misc!N197</f>
        <v>6.14</v>
      </c>
      <c r="Z114">
        <f xml:space="preserve"> [1]Sims_Zha!B117</f>
        <v>0.42370000000000002</v>
      </c>
      <c r="AK114">
        <v>6.13</v>
      </c>
      <c r="AL114">
        <f xml:space="preserve"> LN([1]misc!B133)</f>
        <v>5.2364419628299492</v>
      </c>
      <c r="AM114">
        <f xml:space="preserve"> LN([1]misc!D133)</f>
        <v>6.2895300249394506</v>
      </c>
      <c r="AN114">
        <f xml:space="preserve"> LN([1]misc!G238)</f>
        <v>3.0515453383732036</v>
      </c>
      <c r="AO114">
        <f xml:space="preserve"> LN([1]misc!J144 + [1]misc!L144)</f>
        <v>2.5168089821336017</v>
      </c>
      <c r="AP114">
        <f xml:space="preserve"> [1]Factors!B114</f>
        <v>-0.26609233100000002</v>
      </c>
      <c r="AQ114">
        <f xml:space="preserve"> [1]Factors!C114</f>
        <v>5.7577247499999998E-2</v>
      </c>
      <c r="AR114">
        <f xml:space="preserve"> [1]Factors!D114</f>
        <v>-0.18603176499999999</v>
      </c>
      <c r="AS114">
        <f xml:space="preserve"> [1]Factors!E114</f>
        <v>-0.125380449</v>
      </c>
      <c r="AT114">
        <f xml:space="preserve"> [1]Factors!F114</f>
        <v>0.208715031</v>
      </c>
    </row>
    <row r="115" spans="1:46" x14ac:dyDescent="0.25">
      <c r="A115">
        <f t="shared" si="8"/>
        <v>1968.4166666666636</v>
      </c>
      <c r="B115" s="1">
        <v>24990</v>
      </c>
      <c r="C115" s="7">
        <f t="shared" si="4"/>
        <v>1968</v>
      </c>
      <c r="D115" s="7">
        <f t="shared" si="5"/>
        <v>6</v>
      </c>
      <c r="E115" s="7">
        <f t="shared" si="6"/>
        <v>2</v>
      </c>
      <c r="F115">
        <f xml:space="preserve"> [1]Coibion_update!O121</f>
        <v>3.6477735651327952</v>
      </c>
      <c r="G115">
        <f xml:space="preserve"> [1]Coibion_update!P121</f>
        <v>3.7</v>
      </c>
      <c r="H115">
        <f xml:space="preserve"> [1]Coibion_update!Q121</f>
        <v>3.5467396869528134</v>
      </c>
      <c r="I115">
        <f xml:space="preserve"> [1]Coibion_update!W121</f>
        <v>6.07</v>
      </c>
      <c r="J115">
        <f xml:space="preserve"> [1]Coibion_update!X121</f>
        <v>4.566221435849517</v>
      </c>
      <c r="K115">
        <f xml:space="preserve"> [1]Coibion_update!Y121</f>
        <v>2.6628436082641307</v>
      </c>
      <c r="L115">
        <f xml:space="preserve"> [1]Coibion_update!Z121</f>
        <v>3.687303212497568</v>
      </c>
      <c r="M115">
        <f xml:space="preserve"> [1]Coibion_update!AA121</f>
        <v>3.290749875103919</v>
      </c>
      <c r="X115" s="5">
        <f xml:space="preserve"> [1]misc!N198</f>
        <v>5.98</v>
      </c>
      <c r="Z115">
        <f xml:space="preserve"> [1]Sims_Zha!B118</f>
        <v>-1.4754</v>
      </c>
      <c r="AK115">
        <v>5.5</v>
      </c>
      <c r="AL115">
        <f xml:space="preserve"> LN([1]misc!B134)</f>
        <v>5.2438611807519777</v>
      </c>
      <c r="AM115">
        <f xml:space="preserve"> LN([1]misc!D134)</f>
        <v>6.2963724002248318</v>
      </c>
      <c r="AN115">
        <f xml:space="preserve"> LN([1]misc!G239)</f>
        <v>3.058800965020974</v>
      </c>
      <c r="AO115">
        <f xml:space="preserve"> LN([1]misc!J145 + [1]misc!L145)</f>
        <v>2.530278279006827</v>
      </c>
      <c r="AP115">
        <f xml:space="preserve"> [1]Factors!B115</f>
        <v>-0.35214300700000001</v>
      </c>
      <c r="AQ115">
        <f xml:space="preserve"> [1]Factors!C115</f>
        <v>-8.7794866099999994E-2</v>
      </c>
      <c r="AR115">
        <f xml:space="preserve"> [1]Factors!D115</f>
        <v>-1.7476428299999999E-2</v>
      </c>
      <c r="AS115">
        <f xml:space="preserve"> [1]Factors!E115</f>
        <v>-0.137397189</v>
      </c>
      <c r="AT115">
        <f xml:space="preserve"> [1]Factors!F115</f>
        <v>-0.185956336</v>
      </c>
    </row>
    <row r="116" spans="1:46" x14ac:dyDescent="0.25">
      <c r="A116">
        <f t="shared" si="8"/>
        <v>1968.4999999999968</v>
      </c>
      <c r="B116" s="1">
        <v>25020</v>
      </c>
      <c r="C116" s="7">
        <f t="shared" si="4"/>
        <v>1968</v>
      </c>
      <c r="D116" s="7">
        <f t="shared" si="5"/>
        <v>7</v>
      </c>
      <c r="E116" s="7">
        <f t="shared" si="6"/>
        <v>3</v>
      </c>
      <c r="F116">
        <f xml:space="preserve"> [1]Coibion_update!O122</f>
        <v>3.6462380972238808</v>
      </c>
      <c r="G116">
        <f xml:space="preserve"> [1]Coibion_update!P122</f>
        <v>3.7</v>
      </c>
      <c r="H116">
        <f xml:space="preserve"> [1]Coibion_update!Q122</f>
        <v>3.5524868292083815</v>
      </c>
      <c r="I116">
        <f xml:space="preserve"> [1]Coibion_update!W122</f>
        <v>6.02</v>
      </c>
      <c r="J116">
        <f xml:space="preserve"> [1]Coibion_update!X122</f>
        <v>4.5587073115777503</v>
      </c>
      <c r="K116">
        <f xml:space="preserve"> [1]Coibion_update!Y122</f>
        <v>2.6965172852884858</v>
      </c>
      <c r="L116">
        <f xml:space="preserve"> [1]Coibion_update!Z122</f>
        <v>3.6958550678503617</v>
      </c>
      <c r="M116">
        <f xml:space="preserve"> [1]Coibion_update!AA122</f>
        <v>3.2929066511891163</v>
      </c>
      <c r="X116" s="5">
        <f xml:space="preserve"> [1]misc!N199</f>
        <v>5.65</v>
      </c>
      <c r="Z116">
        <f xml:space="preserve"> [1]Sims_Zha!B119</f>
        <v>-0.22449</v>
      </c>
      <c r="AK116">
        <v>6</v>
      </c>
      <c r="AL116">
        <f xml:space="preserve"> LN([1]misc!B135)</f>
        <v>5.2496521945667558</v>
      </c>
      <c r="AM116">
        <f xml:space="preserve"> LN([1]misc!D135)</f>
        <v>6.3018861065292526</v>
      </c>
      <c r="AN116">
        <f xml:space="preserve"> LN([1]misc!G240)</f>
        <v>3.0706542000712505</v>
      </c>
      <c r="AO116">
        <f xml:space="preserve"> LN([1]misc!J146 + [1]misc!L146)</f>
        <v>2.5593955017787398</v>
      </c>
      <c r="AP116">
        <f xml:space="preserve"> [1]Factors!B116</f>
        <v>-0.177158489</v>
      </c>
      <c r="AQ116">
        <f xml:space="preserve"> [1]Factors!C116</f>
        <v>0.192821348</v>
      </c>
      <c r="AR116">
        <f xml:space="preserve"> [1]Factors!D116</f>
        <v>-0.18815409699999999</v>
      </c>
      <c r="AS116">
        <f xml:space="preserve"> [1]Factors!E116</f>
        <v>1.9863035599999999E-2</v>
      </c>
      <c r="AT116">
        <f xml:space="preserve"> [1]Factors!F116</f>
        <v>-2.0924306699999999E-2</v>
      </c>
    </row>
    <row r="117" spans="1:46" x14ac:dyDescent="0.25">
      <c r="A117">
        <f t="shared" si="8"/>
        <v>1968.5833333333301</v>
      </c>
      <c r="B117" s="1">
        <v>25051</v>
      </c>
      <c r="C117" s="7">
        <f t="shared" si="4"/>
        <v>1968</v>
      </c>
      <c r="D117" s="7">
        <f t="shared" si="5"/>
        <v>8</v>
      </c>
      <c r="E117" s="7">
        <f t="shared" si="6"/>
        <v>3</v>
      </c>
      <c r="F117">
        <f xml:space="preserve"> [1]Coibion_update!O123</f>
        <v>3.6490257406582294</v>
      </c>
      <c r="G117">
        <f xml:space="preserve"> [1]Coibion_update!P123</f>
        <v>3.5</v>
      </c>
      <c r="H117">
        <f xml:space="preserve"> [1]Coibion_update!Q123</f>
        <v>3.5553480614894135</v>
      </c>
      <c r="I117">
        <f xml:space="preserve"> [1]Coibion_update!W123</f>
        <v>6.03</v>
      </c>
      <c r="J117">
        <f xml:space="preserve"> [1]Coibion_update!X123</f>
        <v>4.5596496706862819</v>
      </c>
      <c r="K117">
        <f xml:space="preserve"> [1]Coibion_update!Y123</f>
        <v>2.7013612129514133</v>
      </c>
      <c r="L117">
        <f xml:space="preserve"> [1]Coibion_update!Z123</f>
        <v>3.6970460167803298</v>
      </c>
      <c r="M117">
        <f xml:space="preserve"> [1]Coibion_update!AA123</f>
        <v>3.2961331184135467</v>
      </c>
      <c r="X117" s="5">
        <f xml:space="preserve"> [1]misc!N200</f>
        <v>5.43</v>
      </c>
      <c r="Z117">
        <f xml:space="preserve"> [1]Sims_Zha!B120</f>
        <v>6.9836999999999996E-2</v>
      </c>
      <c r="AK117">
        <v>5.75</v>
      </c>
      <c r="AL117">
        <f xml:space="preserve"> LN([1]misc!B136)</f>
        <v>5.256453162449338</v>
      </c>
      <c r="AM117">
        <f xml:space="preserve"> LN([1]misc!D136)</f>
        <v>6.3088267736611732</v>
      </c>
      <c r="AN117">
        <f xml:space="preserve"> LN([1]misc!G241)</f>
        <v>3.0739425340905511</v>
      </c>
      <c r="AO117">
        <f xml:space="preserve"> LN([1]misc!J147 + [1]misc!L147)</f>
        <v>2.5552874465497997</v>
      </c>
      <c r="AP117">
        <f xml:space="preserve"> [1]Factors!B117</f>
        <v>-4.5279658600000001E-2</v>
      </c>
      <c r="AQ117">
        <f xml:space="preserve"> [1]Factors!C117</f>
        <v>0.189159139</v>
      </c>
      <c r="AR117">
        <f xml:space="preserve"> [1]Factors!D117</f>
        <v>-0.25153407300000002</v>
      </c>
      <c r="AS117">
        <f xml:space="preserve"> [1]Factors!E117</f>
        <v>-4.2337910300000003E-2</v>
      </c>
      <c r="AT117">
        <f xml:space="preserve"> [1]Factors!F117</f>
        <v>6.7849510099999996E-2</v>
      </c>
    </row>
    <row r="118" spans="1:46" x14ac:dyDescent="0.25">
      <c r="A118">
        <f t="shared" si="8"/>
        <v>1968.6666666666633</v>
      </c>
      <c r="B118" s="1">
        <v>25082</v>
      </c>
      <c r="C118" s="7">
        <f t="shared" si="4"/>
        <v>1968</v>
      </c>
      <c r="D118" s="7">
        <f t="shared" si="5"/>
        <v>9</v>
      </c>
      <c r="E118" s="7">
        <f t="shared" si="6"/>
        <v>3</v>
      </c>
      <c r="F118">
        <f xml:space="preserve"> [1]Coibion_update!O124</f>
        <v>3.652806581308528</v>
      </c>
      <c r="G118">
        <f xml:space="preserve"> [1]Coibion_update!P124</f>
        <v>3.4</v>
      </c>
      <c r="H118">
        <f xml:space="preserve"> [1]Coibion_update!Q124</f>
        <v>3.55820113047182</v>
      </c>
      <c r="I118">
        <f xml:space="preserve"> [1]Coibion_update!W124</f>
        <v>5.78</v>
      </c>
      <c r="J118">
        <f xml:space="preserve"> [1]Coibion_update!X124</f>
        <v>4.5682987112121864</v>
      </c>
      <c r="K118">
        <f xml:space="preserve"> [1]Coibion_update!Y124</f>
        <v>2.7022333157806453</v>
      </c>
      <c r="L118">
        <f xml:space="preserve"> [1]Coibion_update!Z124</f>
        <v>3.6870277407504619</v>
      </c>
      <c r="M118">
        <f xml:space="preserve"> [1]Coibion_update!AA124</f>
        <v>3.3003452066657535</v>
      </c>
      <c r="X118" s="5">
        <f xml:space="preserve"> [1]misc!N201</f>
        <v>5.45</v>
      </c>
      <c r="Z118">
        <f xml:space="preserve"> [1]Sims_Zha!B121</f>
        <v>-1.7028000000000001</v>
      </c>
      <c r="AK118">
        <v>5.5</v>
      </c>
      <c r="AL118">
        <f xml:space="preserve"> LN([1]misc!B137)</f>
        <v>5.2611345754203205</v>
      </c>
      <c r="AM118">
        <f xml:space="preserve"> LN([1]misc!D137)</f>
        <v>6.3164424043034595</v>
      </c>
      <c r="AN118">
        <f xml:space="preserve"> LN([1]misc!G242)</f>
        <v>3.0681459540630365</v>
      </c>
      <c r="AO118">
        <f xml:space="preserve"> LN([1]misc!J148 + [1]misc!L148)</f>
        <v>2.5596275293137145</v>
      </c>
      <c r="AP118">
        <f xml:space="preserve"> [1]Factors!B118</f>
        <v>-0.20376633999999999</v>
      </c>
      <c r="AQ118">
        <f xml:space="preserve"> [1]Factors!C118</f>
        <v>0.14341408</v>
      </c>
      <c r="AR118">
        <f xml:space="preserve"> [1]Factors!D118</f>
        <v>-0.34695517199999998</v>
      </c>
      <c r="AS118">
        <f xml:space="preserve"> [1]Factors!E118</f>
        <v>1.2968713099999999E-2</v>
      </c>
      <c r="AT118">
        <f xml:space="preserve"> [1]Factors!F118</f>
        <v>-1.5586458799999999E-2</v>
      </c>
    </row>
    <row r="119" spans="1:46" x14ac:dyDescent="0.25">
      <c r="A119">
        <f t="shared" si="8"/>
        <v>1968.7499999999966</v>
      </c>
      <c r="B119" s="1">
        <v>25112</v>
      </c>
      <c r="C119" s="7">
        <f t="shared" si="4"/>
        <v>1968</v>
      </c>
      <c r="D119" s="7">
        <f t="shared" si="5"/>
        <v>10</v>
      </c>
      <c r="E119" s="7">
        <f t="shared" si="6"/>
        <v>4</v>
      </c>
      <c r="F119">
        <f xml:space="preserve"> [1]Coibion_update!O125</f>
        <v>3.6547899537425224</v>
      </c>
      <c r="G119">
        <f xml:space="preserve"> [1]Coibion_update!P125</f>
        <v>3.4</v>
      </c>
      <c r="H119">
        <f xml:space="preserve"> [1]Coibion_update!Q125</f>
        <v>3.5638829639392511</v>
      </c>
      <c r="I119">
        <f xml:space="preserve"> [1]Coibion_update!W125</f>
        <v>5.91</v>
      </c>
      <c r="J119">
        <f xml:space="preserve"> [1]Coibion_update!X125</f>
        <v>4.5767707114663931</v>
      </c>
      <c r="K119">
        <f xml:space="preserve"> [1]Coibion_update!Y125</f>
        <v>2.6994130077065464</v>
      </c>
      <c r="L119">
        <f xml:space="preserve"> [1]Coibion_update!Z125</f>
        <v>3.6885293928496408</v>
      </c>
      <c r="M119">
        <f xml:space="preserve"> [1]Coibion_update!AA125</f>
        <v>3.3035478009253993</v>
      </c>
      <c r="X119" s="5">
        <f xml:space="preserve"> [1]misc!N202</f>
        <v>5.57</v>
      </c>
      <c r="Z119">
        <f xml:space="preserve"> [1]Sims_Zha!B122</f>
        <v>0.90922999999999998</v>
      </c>
      <c r="AK119">
        <v>6</v>
      </c>
      <c r="AL119">
        <f xml:space="preserve"> LN([1]misc!B138)</f>
        <v>5.2678581590633282</v>
      </c>
      <c r="AM119">
        <f xml:space="preserve"> LN([1]misc!D138)</f>
        <v>6.3236418594463144</v>
      </c>
      <c r="AN119">
        <f xml:space="preserve"> LN([1]misc!G243)</f>
        <v>3.0967081908939931</v>
      </c>
      <c r="AO119">
        <f xml:space="preserve"> LN([1]misc!J149 + [1]misc!L149)</f>
        <v>2.5715429564475469</v>
      </c>
      <c r="AP119">
        <f xml:space="preserve"> [1]Factors!B119</f>
        <v>-0.19150044199999999</v>
      </c>
      <c r="AQ119">
        <f xml:space="preserve"> [1]Factors!C119</f>
        <v>7.0641818999999995E-2</v>
      </c>
      <c r="AR119">
        <f xml:space="preserve"> [1]Factors!D119</f>
        <v>-0.15733778800000001</v>
      </c>
      <c r="AS119">
        <f xml:space="preserve"> [1]Factors!E119</f>
        <v>-4.2351929000000003E-2</v>
      </c>
      <c r="AT119">
        <f xml:space="preserve"> [1]Factors!F119</f>
        <v>-5.7573617100000002E-2</v>
      </c>
    </row>
    <row r="120" spans="1:46" x14ac:dyDescent="0.25">
      <c r="A120">
        <f t="shared" si="8"/>
        <v>1968.8333333333298</v>
      </c>
      <c r="B120" s="1">
        <v>25143</v>
      </c>
      <c r="C120" s="7">
        <f t="shared" si="4"/>
        <v>1968</v>
      </c>
      <c r="D120" s="7">
        <f t="shared" si="5"/>
        <v>11</v>
      </c>
      <c r="E120" s="7">
        <f t="shared" si="6"/>
        <v>4</v>
      </c>
      <c r="F120">
        <f xml:space="preserve"> [1]Coibion_update!O126</f>
        <v>3.6676404957880355</v>
      </c>
      <c r="G120">
        <f xml:space="preserve"> [1]Coibion_update!P126</f>
        <v>3.4</v>
      </c>
      <c r="H120">
        <f xml:space="preserve"> [1]Coibion_update!Q126</f>
        <v>3.5667118201397288</v>
      </c>
      <c r="I120">
        <f xml:space="preserve"> [1]Coibion_update!W126</f>
        <v>5.82</v>
      </c>
      <c r="J120">
        <f xml:space="preserve"> [1]Coibion_update!X126</f>
        <v>4.6051701859880918</v>
      </c>
      <c r="K120">
        <f xml:space="preserve"> [1]Coibion_update!Y126</f>
        <v>2.687983538951896</v>
      </c>
      <c r="L120">
        <f xml:space="preserve"> [1]Coibion_update!Z126</f>
        <v>3.7027330484024721</v>
      </c>
      <c r="M120">
        <f xml:space="preserve"> [1]Coibion_update!AA126</f>
        <v>3.3080215890986131</v>
      </c>
      <c r="X120" s="5">
        <f xml:space="preserve"> [1]misc!N203</f>
        <v>5.75</v>
      </c>
      <c r="Z120">
        <f xml:space="preserve"> [1]Sims_Zha!B123</f>
        <v>-1.2438</v>
      </c>
      <c r="AK120">
        <v>6</v>
      </c>
      <c r="AL120">
        <f xml:space="preserve"> LN([1]misc!B139)</f>
        <v>5.2781146592305168</v>
      </c>
      <c r="AM120">
        <f xml:space="preserve"> LN([1]misc!D139)</f>
        <v>6.3322133404964553</v>
      </c>
      <c r="AN120">
        <f xml:space="preserve"> LN([1]misc!G244)</f>
        <v>3.1021622171698375</v>
      </c>
      <c r="AO120">
        <f xml:space="preserve"> LN([1]misc!J150 + [1]misc!L150)</f>
        <v>2.5729175271107136</v>
      </c>
      <c r="AP120">
        <f xml:space="preserve"> [1]Factors!B120</f>
        <v>-0.297189017</v>
      </c>
      <c r="AQ120">
        <f xml:space="preserve"> [1]Factors!C120</f>
        <v>0.202781616</v>
      </c>
      <c r="AR120">
        <f xml:space="preserve"> [1]Factors!D120</f>
        <v>-0.120148175</v>
      </c>
      <c r="AS120">
        <f xml:space="preserve"> [1]Factors!E120</f>
        <v>-7.3857471699999996E-2</v>
      </c>
      <c r="AT120">
        <f xml:space="preserve"> [1]Factors!F120</f>
        <v>-5.7222348800000003E-2</v>
      </c>
    </row>
    <row r="121" spans="1:46" x14ac:dyDescent="0.25">
      <c r="A121">
        <f t="shared" si="8"/>
        <v>1968.9166666666631</v>
      </c>
      <c r="B121" s="1">
        <v>25173</v>
      </c>
      <c r="C121" s="7">
        <f t="shared" si="4"/>
        <v>1968</v>
      </c>
      <c r="D121" s="7">
        <f t="shared" si="5"/>
        <v>12</v>
      </c>
      <c r="E121" s="7">
        <f t="shared" si="6"/>
        <v>4</v>
      </c>
      <c r="F121">
        <f xml:space="preserve"> [1]Coibion_update!O127</f>
        <v>3.6707944009424653</v>
      </c>
      <c r="G121">
        <f xml:space="preserve"> [1]Coibion_update!P127</f>
        <v>3.4</v>
      </c>
      <c r="H121">
        <f xml:space="preserve"> [1]Coibion_update!Q127</f>
        <v>3.572345637857985</v>
      </c>
      <c r="I121">
        <f xml:space="preserve"> [1]Coibion_update!W127</f>
        <v>6.02</v>
      </c>
      <c r="J121">
        <f xml:space="preserve"> [1]Coibion_update!X127</f>
        <v>4.6125429403175042</v>
      </c>
      <c r="K121">
        <f xml:space="preserve"> [1]Coibion_update!Y127</f>
        <v>2.6948974145239095</v>
      </c>
      <c r="L121">
        <f xml:space="preserve"> [1]Coibion_update!Z127</f>
        <v>3.6893043638270169</v>
      </c>
      <c r="M121">
        <f xml:space="preserve"> [1]Coibion_update!AA127</f>
        <v>3.31072547849808</v>
      </c>
      <c r="X121" s="5">
        <f xml:space="preserve"> [1]misc!N204</f>
        <v>6.19</v>
      </c>
      <c r="Z121">
        <f xml:space="preserve"> [1]Sims_Zha!B124</f>
        <v>0.66884999999999994</v>
      </c>
      <c r="AK121">
        <v>4</v>
      </c>
      <c r="AL121">
        <f xml:space="preserve"> LN([1]misc!B140)</f>
        <v>5.2852321269993814</v>
      </c>
      <c r="AM121">
        <f xml:space="preserve"> LN([1]misc!D140)</f>
        <v>6.3400065078165255</v>
      </c>
      <c r="AN121">
        <f xml:space="preserve"> LN([1]misc!G245)</f>
        <v>3.1115133065397012</v>
      </c>
      <c r="AO121">
        <f xml:space="preserve"> LN([1]misc!J151 + [1]misc!L151)</f>
        <v>2.5665634387465914</v>
      </c>
      <c r="AP121">
        <f xml:space="preserve"> [1]Factors!B121</f>
        <v>-0.48423531600000003</v>
      </c>
      <c r="AQ121">
        <f xml:space="preserve"> [1]Factors!C121</f>
        <v>4.6261248499999998E-2</v>
      </c>
      <c r="AR121">
        <f xml:space="preserve"> [1]Factors!D121</f>
        <v>-0.11421939</v>
      </c>
      <c r="AS121">
        <f xml:space="preserve"> [1]Factors!E121</f>
        <v>-2.71886925E-2</v>
      </c>
      <c r="AT121">
        <f xml:space="preserve"> [1]Factors!F121</f>
        <v>-0.13794841299999999</v>
      </c>
    </row>
    <row r="122" spans="1:46" x14ac:dyDescent="0.25">
      <c r="A122">
        <f t="shared" si="8"/>
        <v>1968.9999999999964</v>
      </c>
      <c r="B122" s="1">
        <v>25204</v>
      </c>
      <c r="C122" s="7">
        <f t="shared" si="4"/>
        <v>1969</v>
      </c>
      <c r="D122" s="7">
        <f t="shared" si="5"/>
        <v>1</v>
      </c>
      <c r="E122" s="7">
        <f t="shared" si="6"/>
        <v>1</v>
      </c>
      <c r="F122">
        <f xml:space="preserve"> [1]Coibion_update!O128</f>
        <v>3.6768271155897616</v>
      </c>
      <c r="G122">
        <f xml:space="preserve"> [1]Coibion_update!P128</f>
        <v>3.4</v>
      </c>
      <c r="H122">
        <f xml:space="preserve"> [1]Coibion_update!Q128</f>
        <v>3.5751506887855933</v>
      </c>
      <c r="I122">
        <f xml:space="preserve"> [1]Coibion_update!W128</f>
        <v>6.3</v>
      </c>
      <c r="J122">
        <f xml:space="preserve"> [1]Coibion_update!X128</f>
        <v>4.6335632604893089</v>
      </c>
      <c r="K122">
        <f xml:space="preserve"> [1]Coibion_update!Y128</f>
        <v>2.7182645235091818</v>
      </c>
      <c r="L122">
        <f xml:space="preserve"> [1]Coibion_update!Z128</f>
        <v>3.6990277851657516</v>
      </c>
      <c r="M122">
        <f xml:space="preserve"> [1]Coibion_update!AA128</f>
        <v>3.3129124667945837</v>
      </c>
      <c r="X122" s="5">
        <f xml:space="preserve"> [1]misc!N205</f>
        <v>6.34</v>
      </c>
      <c r="Z122">
        <f xml:space="preserve"> [1]Sims_Zha!B125</f>
        <v>1.2287999999999999</v>
      </c>
      <c r="AK122">
        <v>6.38</v>
      </c>
      <c r="AL122">
        <f xml:space="preserve"> LN([1]misc!B141)</f>
        <v>5.2917961495577712</v>
      </c>
      <c r="AM122">
        <f xml:space="preserve"> LN([1]misc!D141)</f>
        <v>6.3444075359570364</v>
      </c>
      <c r="AN122">
        <f xml:space="preserve"> LN([1]misc!G246)</f>
        <v>3.1354942159291497</v>
      </c>
      <c r="AO122">
        <f xml:space="preserve"> LN([1]misc!J152 + [1]misc!L152)</f>
        <v>2.5566845284287005</v>
      </c>
      <c r="AP122">
        <f xml:space="preserve"> [1]Factors!B122</f>
        <v>-0.23060640199999999</v>
      </c>
      <c r="AQ122">
        <f xml:space="preserve"> [1]Factors!C122</f>
        <v>6.2794051099999998E-2</v>
      </c>
      <c r="AR122">
        <f xml:space="preserve"> [1]Factors!D122</f>
        <v>-1.9620150499999999E-2</v>
      </c>
      <c r="AS122">
        <f xml:space="preserve"> [1]Factors!E122</f>
        <v>-0.30609928400000003</v>
      </c>
      <c r="AT122">
        <f xml:space="preserve"> [1]Factors!F122</f>
        <v>9.9231532999999997E-2</v>
      </c>
    </row>
    <row r="123" spans="1:46" x14ac:dyDescent="0.25">
      <c r="A123">
        <f t="shared" si="8"/>
        <v>1969.0833333333296</v>
      </c>
      <c r="B123" s="1">
        <v>25235</v>
      </c>
      <c r="C123" s="7">
        <f t="shared" si="4"/>
        <v>1969</v>
      </c>
      <c r="D123" s="7">
        <f t="shared" si="5"/>
        <v>2</v>
      </c>
      <c r="E123" s="7">
        <f t="shared" si="6"/>
        <v>1</v>
      </c>
      <c r="F123">
        <f xml:space="preserve"> [1]Coibion_update!O129</f>
        <v>3.6832058898430846</v>
      </c>
      <c r="G123">
        <f xml:space="preserve"> [1]Coibion_update!P129</f>
        <v>3.4</v>
      </c>
      <c r="H123">
        <f xml:space="preserve"> [1]Coibion_update!Q129</f>
        <v>3.5779478934066544</v>
      </c>
      <c r="I123">
        <f xml:space="preserve"> [1]Coibion_update!W129</f>
        <v>6.61</v>
      </c>
      <c r="J123">
        <f xml:space="preserve"> [1]Coibion_update!X129</f>
        <v>4.6553879021487088</v>
      </c>
      <c r="K123">
        <f xml:space="preserve"> [1]Coibion_update!Y129</f>
        <v>2.7214269981438486</v>
      </c>
      <c r="L123">
        <f xml:space="preserve"> [1]Coibion_update!Z129</f>
        <v>3.7079219886912522</v>
      </c>
      <c r="M123">
        <f xml:space="preserve"> [1]Coibion_update!AA129</f>
        <v>3.3184677340631592</v>
      </c>
      <c r="X123" s="5">
        <f xml:space="preserve"> [1]misc!N206</f>
        <v>6.41</v>
      </c>
      <c r="Z123">
        <f xml:space="preserve"> [1]Sims_Zha!B126</f>
        <v>0.51398999999999995</v>
      </c>
      <c r="AK123">
        <v>7</v>
      </c>
      <c r="AL123">
        <f xml:space="preserve"> LN([1]misc!B142)</f>
        <v>5.2948112272187489</v>
      </c>
      <c r="AM123">
        <f xml:space="preserve"> LN([1]misc!D142)</f>
        <v>6.3489641509212706</v>
      </c>
      <c r="AN123">
        <f xml:space="preserve"> LN([1]misc!G247)</f>
        <v>3.1209983523863882</v>
      </c>
      <c r="AO123">
        <f xml:space="preserve"> LN([1]misc!J153 + [1]misc!L153)</f>
        <v>2.5555980779105334</v>
      </c>
      <c r="AP123">
        <f xml:space="preserve"> [1]Factors!B123</f>
        <v>-0.30606521199999998</v>
      </c>
      <c r="AQ123">
        <f xml:space="preserve"> [1]Factors!C123</f>
        <v>0.107530347</v>
      </c>
      <c r="AR123">
        <f xml:space="preserve"> [1]Factors!D123</f>
        <v>-6.2725683000000004E-2</v>
      </c>
      <c r="AS123">
        <f xml:space="preserve"> [1]Factors!E123</f>
        <v>-0.175135659</v>
      </c>
      <c r="AT123">
        <f xml:space="preserve"> [1]Factors!F123</f>
        <v>3.7585873299999998E-3</v>
      </c>
    </row>
    <row r="124" spans="1:46" x14ac:dyDescent="0.25">
      <c r="A124">
        <f t="shared" si="8"/>
        <v>1969.1666666666629</v>
      </c>
      <c r="B124" s="1">
        <v>25263</v>
      </c>
      <c r="C124" s="7">
        <f t="shared" si="4"/>
        <v>1969</v>
      </c>
      <c r="D124" s="7">
        <f t="shared" si="5"/>
        <v>3</v>
      </c>
      <c r="E124" s="7">
        <f t="shared" si="6"/>
        <v>1</v>
      </c>
      <c r="F124">
        <f xml:space="preserve"> [1]Coibion_update!O130</f>
        <v>3.6910171675754833</v>
      </c>
      <c r="G124">
        <f xml:space="preserve"> [1]Coibion_update!P130</f>
        <v>3.4</v>
      </c>
      <c r="H124">
        <f xml:space="preserve"> [1]Coibion_update!Q130</f>
        <v>3.5862928653388351</v>
      </c>
      <c r="I124">
        <f xml:space="preserve"> [1]Coibion_update!W130</f>
        <v>6.79</v>
      </c>
      <c r="J124">
        <f xml:space="preserve"> [1]Coibion_update!X130</f>
        <v>4.6656065547919221</v>
      </c>
      <c r="K124">
        <f xml:space="preserve"> [1]Coibion_update!Y130</f>
        <v>2.6984711346552159</v>
      </c>
      <c r="L124">
        <f xml:space="preserve"> [1]Coibion_update!Z130</f>
        <v>3.706793043398815</v>
      </c>
      <c r="M124">
        <f xml:space="preserve"> [1]Coibion_update!AA130</f>
        <v>3.3175258756345398</v>
      </c>
      <c r="N124">
        <f xml:space="preserve"> [1]Coibion_update!AB130</f>
        <v>-0.23169790000000001</v>
      </c>
      <c r="O124">
        <f xml:space="preserve"> [1]Coibion_update!AC130</f>
        <v>-0.23169790000000001</v>
      </c>
      <c r="P124">
        <f xml:space="preserve"> [1]Coibion_update!AD130</f>
        <v>-0.2459423</v>
      </c>
      <c r="X124" s="5">
        <f xml:space="preserve"> [1]misc!N207</f>
        <v>6.34</v>
      </c>
      <c r="Z124">
        <f xml:space="preserve"> [1]Sims_Zha!B127</f>
        <v>-0.36130000000000001</v>
      </c>
      <c r="AK124">
        <v>6.25</v>
      </c>
      <c r="AL124">
        <f xml:space="preserve"> LN([1]misc!B143)</f>
        <v>5.2983173665480363</v>
      </c>
      <c r="AM124">
        <f xml:space="preserve"> LN([1]misc!D143)</f>
        <v>6.3533260177340143</v>
      </c>
      <c r="AN124">
        <f xml:space="preserve"> LN([1]misc!G248)</f>
        <v>3.1021622171698375</v>
      </c>
      <c r="AO124">
        <f xml:space="preserve"> LN([1]misc!J154 + [1]misc!L154)</f>
        <v>2.5456096999014046</v>
      </c>
      <c r="AP124">
        <f xml:space="preserve"> [1]Factors!B124</f>
        <v>-0.35955409700000002</v>
      </c>
      <c r="AQ124">
        <f xml:space="preserve"> [1]Factors!C124</f>
        <v>0.105086819</v>
      </c>
      <c r="AR124">
        <f xml:space="preserve"> [1]Factors!D124</f>
        <v>-0.184716304</v>
      </c>
      <c r="AS124">
        <f xml:space="preserve"> [1]Factors!E124</f>
        <v>-0.10481915999999999</v>
      </c>
      <c r="AT124">
        <f xml:space="preserve"> [1]Factors!F124</f>
        <v>-9.6860992100000001E-2</v>
      </c>
    </row>
    <row r="125" spans="1:46" x14ac:dyDescent="0.25">
      <c r="A125">
        <f t="shared" si="8"/>
        <v>1969.2499999999961</v>
      </c>
      <c r="B125" s="1">
        <v>25294</v>
      </c>
      <c r="C125" s="7">
        <f t="shared" si="4"/>
        <v>1969</v>
      </c>
      <c r="D125" s="7">
        <f t="shared" si="5"/>
        <v>4</v>
      </c>
      <c r="E125" s="7">
        <f t="shared" si="6"/>
        <v>2</v>
      </c>
      <c r="F125">
        <f xml:space="preserve"> [1]Coibion_update!O131</f>
        <v>3.6873282516211998</v>
      </c>
      <c r="G125">
        <f xml:space="preserve"> [1]Coibion_update!P131</f>
        <v>3.4</v>
      </c>
      <c r="H125">
        <f xml:space="preserve"> [1]Coibion_update!Q131</f>
        <v>3.591817741270805</v>
      </c>
      <c r="I125">
        <f xml:space="preserve"> [1]Coibion_update!W131</f>
        <v>7.41</v>
      </c>
      <c r="J125">
        <f xml:space="preserve"> [1]Coibion_update!X131</f>
        <v>4.680092112505351</v>
      </c>
      <c r="K125">
        <f xml:space="preserve"> [1]Coibion_update!Y131</f>
        <v>2.7107133185216936</v>
      </c>
      <c r="L125">
        <f xml:space="preserve"> [1]Coibion_update!Z131</f>
        <v>3.7052448082002005</v>
      </c>
      <c r="M125">
        <f xml:space="preserve"> [1]Coibion_update!AA131</f>
        <v>3.3230196005981312</v>
      </c>
      <c r="N125">
        <f xml:space="preserve"> [1]Coibion_update!AB131</f>
        <v>0.45687309999999998</v>
      </c>
      <c r="O125">
        <f xml:space="preserve"> [1]Coibion_update!AC131</f>
        <v>0.22517519999999996</v>
      </c>
      <c r="P125">
        <f xml:space="preserve"> [1]Coibion_update!AD131</f>
        <v>0.15895670000000001</v>
      </c>
      <c r="X125" s="5">
        <f xml:space="preserve"> [1]misc!N208</f>
        <v>6.26</v>
      </c>
      <c r="Z125">
        <f xml:space="preserve"> [1]Sims_Zha!B128</f>
        <v>3.0304000000000002</v>
      </c>
      <c r="AK125">
        <v>8</v>
      </c>
      <c r="AL125">
        <f xml:space="preserve"> LN([1]misc!B144)</f>
        <v>5.3018112558022921</v>
      </c>
      <c r="AM125">
        <f xml:space="preserve"> LN([1]misc!D144)</f>
        <v>6.355586691681764</v>
      </c>
      <c r="AN125">
        <f xml:space="preserve"> LN([1]misc!G249)</f>
        <v>3.1175515968750851</v>
      </c>
      <c r="AO125">
        <f xml:space="preserve"> LN([1]misc!J155 + [1]misc!L155)</f>
        <v>2.5231653619050904</v>
      </c>
      <c r="AP125">
        <f xml:space="preserve"> [1]Factors!B125</f>
        <v>-0.36820162400000001</v>
      </c>
      <c r="AQ125">
        <f xml:space="preserve"> [1]Factors!C125</f>
        <v>0.37935147000000002</v>
      </c>
      <c r="AR125">
        <f xml:space="preserve"> [1]Factors!D125</f>
        <v>-2.29670472E-2</v>
      </c>
      <c r="AS125">
        <f xml:space="preserve"> [1]Factors!E125</f>
        <v>2.2943733000000001E-2</v>
      </c>
      <c r="AT125">
        <f xml:space="preserve"> [1]Factors!F125</f>
        <v>-8.7839002299999996E-2</v>
      </c>
    </row>
    <row r="126" spans="1:46" x14ac:dyDescent="0.25">
      <c r="A126">
        <f t="shared" si="8"/>
        <v>1969.3333333333294</v>
      </c>
      <c r="B126" s="1">
        <v>25324</v>
      </c>
      <c r="C126" s="7">
        <f t="shared" si="4"/>
        <v>1969</v>
      </c>
      <c r="D126" s="7">
        <f t="shared" si="5"/>
        <v>5</v>
      </c>
      <c r="E126" s="7">
        <f t="shared" si="6"/>
        <v>2</v>
      </c>
      <c r="F126">
        <f xml:space="preserve"> [1]Coibion_update!O132</f>
        <v>3.6835427391489417</v>
      </c>
      <c r="G126">
        <f xml:space="preserve"> [1]Coibion_update!P132</f>
        <v>3.4</v>
      </c>
      <c r="H126">
        <f xml:space="preserve"> [1]Coibion_update!Q132</f>
        <v>3.5945687746426951</v>
      </c>
      <c r="I126">
        <f xml:space="preserve"> [1]Coibion_update!W132</f>
        <v>8.67</v>
      </c>
      <c r="J126">
        <f xml:space="preserve"> [1]Coibion_update!X132</f>
        <v>4.69866052907543</v>
      </c>
      <c r="K126">
        <f xml:space="preserve"> [1]Coibion_update!Y132</f>
        <v>2.7109127667156865</v>
      </c>
      <c r="L126">
        <f xml:space="preserve"> [1]Coibion_update!Z132</f>
        <v>3.7143035064540948</v>
      </c>
      <c r="M126">
        <f xml:space="preserve"> [1]Coibion_update!AA132</f>
        <v>3.3299161796571917</v>
      </c>
      <c r="N126">
        <f xml:space="preserve"> [1]Coibion_update!AB132</f>
        <v>0.21062710000000001</v>
      </c>
      <c r="O126">
        <f xml:space="preserve"> [1]Coibion_update!AC132</f>
        <v>0.43580229999999998</v>
      </c>
      <c r="P126">
        <f xml:space="preserve"> [1]Coibion_update!AD132</f>
        <v>0.36210810000000004</v>
      </c>
      <c r="X126" s="5">
        <f xml:space="preserve"> [1]misc!N209</f>
        <v>6.42</v>
      </c>
      <c r="Z126">
        <f xml:space="preserve"> [1]Sims_Zha!B129</f>
        <v>7.0494000000000003</v>
      </c>
      <c r="AK126">
        <v>9.3800000000000008</v>
      </c>
      <c r="AL126">
        <f xml:space="preserve"> LN([1]misc!B145)</f>
        <v>5.3023093878175738</v>
      </c>
      <c r="AM126">
        <f xml:space="preserve"> LN([1]misc!D145)</f>
        <v>6.3569753397091135</v>
      </c>
      <c r="AN126">
        <f xml:space="preserve"> LN([1]misc!G250)</f>
        <v>3.1495257467334077</v>
      </c>
      <c r="AO126">
        <f xml:space="preserve"> LN([1]misc!J156 + [1]misc!L156)</f>
        <v>2.5233257596919452</v>
      </c>
      <c r="AP126">
        <f xml:space="preserve"> [1]Factors!B126</f>
        <v>-7.04639086E-2</v>
      </c>
      <c r="AQ126">
        <f xml:space="preserve"> [1]Factors!C126</f>
        <v>0.34066760499999998</v>
      </c>
      <c r="AR126">
        <f xml:space="preserve"> [1]Factors!D126</f>
        <v>-0.20198729100000001</v>
      </c>
      <c r="AS126">
        <f xml:space="preserve"> [1]Factors!E126</f>
        <v>-0.134001339</v>
      </c>
      <c r="AT126">
        <f xml:space="preserve"> [1]Factors!F126</f>
        <v>0.15750461499999999</v>
      </c>
    </row>
    <row r="127" spans="1:46" x14ac:dyDescent="0.25">
      <c r="A127">
        <f t="shared" si="8"/>
        <v>1969.4166666666626</v>
      </c>
      <c r="B127" s="1">
        <v>25355</v>
      </c>
      <c r="C127" s="7">
        <f t="shared" si="4"/>
        <v>1969</v>
      </c>
      <c r="D127" s="7">
        <f t="shared" si="5"/>
        <v>6</v>
      </c>
      <c r="E127" s="7">
        <f t="shared" si="6"/>
        <v>2</v>
      </c>
      <c r="F127">
        <f xml:space="preserve"> [1]Coibion_update!O133</f>
        <v>3.6932648243064627</v>
      </c>
      <c r="G127">
        <f xml:space="preserve"> [1]Coibion_update!P133</f>
        <v>3.5</v>
      </c>
      <c r="H127">
        <f xml:space="preserve"> [1]Coibion_update!Q133</f>
        <v>3.6000482404073204</v>
      </c>
      <c r="I127">
        <f xml:space="preserve"> [1]Coibion_update!W133</f>
        <v>8.9</v>
      </c>
      <c r="J127">
        <f xml:space="preserve"> [1]Coibion_update!X133</f>
        <v>4.71240893665769</v>
      </c>
      <c r="K127">
        <f xml:space="preserve"> [1]Coibion_update!Y133</f>
        <v>2.7085833922638689</v>
      </c>
      <c r="L127">
        <f xml:space="preserve"> [1]Coibion_update!Z133</f>
        <v>3.7007586166440141</v>
      </c>
      <c r="M127">
        <f xml:space="preserve"> [1]Coibion_update!AA133</f>
        <v>3.3325615892720171</v>
      </c>
      <c r="N127">
        <f xml:space="preserve"> [1]Coibion_update!AB133</f>
        <v>1.0019E-3</v>
      </c>
      <c r="O127">
        <f xml:space="preserve"> [1]Coibion_update!AC133</f>
        <v>0.43680419999999998</v>
      </c>
      <c r="P127">
        <f xml:space="preserve"> [1]Coibion_update!AD133</f>
        <v>0.34161340000000007</v>
      </c>
      <c r="X127" s="5">
        <f xml:space="preserve"> [1]misc!N210</f>
        <v>7.04</v>
      </c>
      <c r="Z127">
        <f xml:space="preserve"> [1]Sims_Zha!B130</f>
        <v>-0.5504</v>
      </c>
      <c r="AK127">
        <v>7.5</v>
      </c>
      <c r="AL127">
        <f xml:space="preserve"> LN([1]misc!B146)</f>
        <v>5.3047963326457461</v>
      </c>
      <c r="AM127">
        <f xml:space="preserve"> LN([1]misc!D146)</f>
        <v>6.3604385466337314</v>
      </c>
      <c r="AN127">
        <f xml:space="preserve"> LN([1]misc!G251)</f>
        <v>3.1233776273896607</v>
      </c>
      <c r="AO127">
        <f xml:space="preserve"> LN([1]misc!J157 + [1]misc!L157)</f>
        <v>2.5185025992165158</v>
      </c>
      <c r="AP127">
        <f xml:space="preserve"> [1]Factors!B127</f>
        <v>-0.143575591</v>
      </c>
      <c r="AQ127">
        <f xml:space="preserve"> [1]Factors!C127</f>
        <v>0.35279700899999999</v>
      </c>
      <c r="AR127">
        <f xml:space="preserve"> [1]Factors!D127</f>
        <v>-0.33590910099999999</v>
      </c>
      <c r="AS127">
        <f xml:space="preserve"> [1]Factors!E127</f>
        <v>-0.202539622</v>
      </c>
      <c r="AT127">
        <f xml:space="preserve"> [1]Factors!F127</f>
        <v>0.18484583800000001</v>
      </c>
    </row>
    <row r="128" spans="1:46" x14ac:dyDescent="0.25">
      <c r="A128">
        <f t="shared" si="8"/>
        <v>1969.4999999999959</v>
      </c>
      <c r="B128" s="1">
        <v>25385</v>
      </c>
      <c r="C128" s="7">
        <f t="shared" si="4"/>
        <v>1969</v>
      </c>
      <c r="D128" s="7">
        <f t="shared" si="5"/>
        <v>7</v>
      </c>
      <c r="E128" s="7">
        <f t="shared" si="6"/>
        <v>3</v>
      </c>
      <c r="F128">
        <f xml:space="preserve"> [1]Coibion_update!O134</f>
        <v>3.6985302351560443</v>
      </c>
      <c r="G128">
        <f xml:space="preserve"> [1]Coibion_update!P134</f>
        <v>3.5</v>
      </c>
      <c r="H128">
        <f xml:space="preserve"> [1]Coibion_update!Q134</f>
        <v>3.6054978451748854</v>
      </c>
      <c r="I128">
        <f xml:space="preserve"> [1]Coibion_update!W134</f>
        <v>8.61</v>
      </c>
      <c r="J128">
        <f xml:space="preserve"> [1]Coibion_update!X134</f>
        <v>4.71240893665769</v>
      </c>
      <c r="K128">
        <f xml:space="preserve"> [1]Coibion_update!Y134</f>
        <v>2.686349774122871</v>
      </c>
      <c r="L128">
        <f xml:space="preserve"> [1]Coibion_update!Z134</f>
        <v>3.7071367703847673</v>
      </c>
      <c r="M128">
        <f xml:space="preserve"> [1]Coibion_update!AA134</f>
        <v>3.3319544789199944</v>
      </c>
      <c r="N128">
        <f xml:space="preserve"> [1]Coibion_update!AB134</f>
        <v>0.1707941</v>
      </c>
      <c r="O128">
        <f xml:space="preserve"> [1]Coibion_update!AC134</f>
        <v>0.60759830000000004</v>
      </c>
      <c r="P128">
        <f xml:space="preserve"> [1]Coibion_update!AD134</f>
        <v>0.52178270000000004</v>
      </c>
      <c r="X128" s="5">
        <f xml:space="preserve"> [1]misc!N211</f>
        <v>7.6</v>
      </c>
      <c r="Z128">
        <f xml:space="preserve"> [1]Sims_Zha!B131</f>
        <v>-2.4577</v>
      </c>
      <c r="AK128">
        <v>8.75</v>
      </c>
      <c r="AL128">
        <f xml:space="preserve"> LN([1]misc!B147)</f>
        <v>5.3067814449601665</v>
      </c>
      <c r="AM128">
        <f xml:space="preserve"> LN([1]misc!D147)</f>
        <v>6.3621656627798062</v>
      </c>
      <c r="AN128">
        <f xml:space="preserve"> LN([1]misc!G252)</f>
        <v>3.1095072878128356</v>
      </c>
      <c r="AO128">
        <f xml:space="preserve"> LN([1]misc!J158 + [1]misc!L158)</f>
        <v>2.5046275744002013</v>
      </c>
      <c r="AP128">
        <f xml:space="preserve"> [1]Factors!B128</f>
        <v>-0.447413212</v>
      </c>
      <c r="AQ128">
        <f xml:space="preserve"> [1]Factors!C128</f>
        <v>0.38726747</v>
      </c>
      <c r="AR128">
        <f xml:space="preserve"> [1]Factors!D128</f>
        <v>-0.148819015</v>
      </c>
      <c r="AS128">
        <f xml:space="preserve"> [1]Factors!E128</f>
        <v>-0.25488112699999999</v>
      </c>
      <c r="AT128">
        <f xml:space="preserve"> [1]Factors!F128</f>
        <v>-4.2213105299999998E-2</v>
      </c>
    </row>
    <row r="129" spans="1:46" x14ac:dyDescent="0.25">
      <c r="A129">
        <f t="shared" si="8"/>
        <v>1969.5833333333292</v>
      </c>
      <c r="B129" s="1">
        <v>25416</v>
      </c>
      <c r="C129" s="7">
        <f t="shared" si="4"/>
        <v>1969</v>
      </c>
      <c r="D129" s="7">
        <f t="shared" si="5"/>
        <v>8</v>
      </c>
      <c r="E129" s="7">
        <f t="shared" si="6"/>
        <v>3</v>
      </c>
      <c r="F129">
        <f xml:space="preserve"> [1]Coibion_update!O135</f>
        <v>3.7008253173198153</v>
      </c>
      <c r="G129">
        <f xml:space="preserve"> [1]Coibion_update!P135</f>
        <v>3.5</v>
      </c>
      <c r="H129">
        <f xml:space="preserve"> [1]Coibion_update!Q135</f>
        <v>3.6082115510464816</v>
      </c>
      <c r="I129">
        <f xml:space="preserve"> [1]Coibion_update!W135</f>
        <v>9.19</v>
      </c>
      <c r="J129">
        <f xml:space="preserve"> [1]Coibion_update!X135</f>
        <v>4.7294211483259483</v>
      </c>
      <c r="K129">
        <f xml:space="preserve"> [1]Coibion_update!Y135</f>
        <v>2.7070497007686263</v>
      </c>
      <c r="L129">
        <f xml:space="preserve"> [1]Coibion_update!Z135</f>
        <v>3.7176369645331322</v>
      </c>
      <c r="M129">
        <f xml:space="preserve"> [1]Coibion_update!AA135</f>
        <v>3.336694415448056</v>
      </c>
      <c r="N129">
        <f xml:space="preserve"> [1]Coibion_update!AB135</f>
        <v>0.2883907</v>
      </c>
      <c r="O129">
        <f xml:space="preserve"> [1]Coibion_update!AC135</f>
        <v>0.89598900000000004</v>
      </c>
      <c r="P129">
        <f xml:space="preserve"> [1]Coibion_update!AD135</f>
        <v>0.8302737</v>
      </c>
      <c r="X129" s="5">
        <f xml:space="preserve"> [1]misc!N212</f>
        <v>7.54</v>
      </c>
      <c r="Z129">
        <f xml:space="preserve"> [1]Sims_Zha!B132</f>
        <v>4.1787999999999998</v>
      </c>
      <c r="AK129">
        <v>9.75</v>
      </c>
      <c r="AL129">
        <f xml:space="preserve"> LN([1]misc!B148)</f>
        <v>5.3067814449601665</v>
      </c>
      <c r="AM129">
        <f xml:space="preserve"> LN([1]misc!D148)</f>
        <v>6.3632005024720186</v>
      </c>
      <c r="AN129">
        <f xml:space="preserve"> LN([1]misc!G253)</f>
        <v>3.1073183700060087</v>
      </c>
      <c r="AO129">
        <f xml:space="preserve"> LN([1]misc!J159 + [1]misc!L159)</f>
        <v>2.5309151709955553</v>
      </c>
      <c r="AP129">
        <f xml:space="preserve"> [1]Factors!B129</f>
        <v>-0.213002997</v>
      </c>
      <c r="AQ129">
        <f xml:space="preserve"> [1]Factors!C129</f>
        <v>0.21578694500000001</v>
      </c>
      <c r="AR129">
        <f xml:space="preserve"> [1]Factors!D129</f>
        <v>-2.2200920099999999E-3</v>
      </c>
      <c r="AS129">
        <f xml:space="preserve"> [1]Factors!E129</f>
        <v>-0.25641850999999999</v>
      </c>
      <c r="AT129">
        <f xml:space="preserve"> [1]Factors!F129</f>
        <v>-0.27602113700000003</v>
      </c>
    </row>
    <row r="130" spans="1:46" x14ac:dyDescent="0.25">
      <c r="A130">
        <f t="shared" si="8"/>
        <v>1969.6666666666624</v>
      </c>
      <c r="B130" s="1">
        <v>25447</v>
      </c>
      <c r="C130" s="7">
        <f t="shared" si="4"/>
        <v>1969</v>
      </c>
      <c r="D130" s="7">
        <f t="shared" si="5"/>
        <v>9</v>
      </c>
      <c r="E130" s="7">
        <f t="shared" si="6"/>
        <v>3</v>
      </c>
      <c r="F130">
        <f xml:space="preserve"> [1]Coibion_update!O136</f>
        <v>3.7006004935646328</v>
      </c>
      <c r="G130">
        <f xml:space="preserve"> [1]Coibion_update!P136</f>
        <v>3.7</v>
      </c>
      <c r="H130">
        <f xml:space="preserve"> [1]Coibion_update!Q136</f>
        <v>3.6136169696133895</v>
      </c>
      <c r="I130">
        <f xml:space="preserve"> [1]Coibion_update!W136</f>
        <v>9.15</v>
      </c>
      <c r="J130">
        <f xml:space="preserve"> [1]Coibion_update!X136</f>
        <v>4.7351452624098371</v>
      </c>
      <c r="K130">
        <f xml:space="preserve"> [1]Coibion_update!Y136</f>
        <v>2.7277874667852418</v>
      </c>
      <c r="L130">
        <f xml:space="preserve"> [1]Coibion_update!Z136</f>
        <v>3.7067439298975033</v>
      </c>
      <c r="M130">
        <f xml:space="preserve"> [1]Coibion_update!AA136</f>
        <v>3.3407040012331928</v>
      </c>
      <c r="N130">
        <f xml:space="preserve"> [1]Coibion_update!AB136</f>
        <v>6.3639999999999999E-3</v>
      </c>
      <c r="O130">
        <f xml:space="preserve"> [1]Coibion_update!AC136</f>
        <v>0.90235300000000007</v>
      </c>
      <c r="P130">
        <f xml:space="preserve"> [1]Coibion_update!AD136</f>
        <v>0.85838210000000004</v>
      </c>
      <c r="X130" s="5">
        <f xml:space="preserve"> [1]misc!N213</f>
        <v>7.82</v>
      </c>
      <c r="Z130">
        <f xml:space="preserve"> [1]Sims_Zha!B133</f>
        <v>-0.91652999999999996</v>
      </c>
      <c r="AK130">
        <v>8.5</v>
      </c>
      <c r="AL130">
        <f xml:space="preserve"> LN([1]misc!B149)</f>
        <v>5.3087626244095754</v>
      </c>
      <c r="AM130">
        <f xml:space="preserve"> LN([1]misc!D149)</f>
        <v>6.3666422542776901</v>
      </c>
      <c r="AN130">
        <f xml:space="preserve"> LN([1]misc!G254)</f>
        <v>3.1031506703212615</v>
      </c>
      <c r="AO130">
        <f xml:space="preserve"> LN([1]misc!J160 + [1]misc!L160)</f>
        <v>2.5449821012301421</v>
      </c>
      <c r="AP130">
        <f xml:space="preserve"> [1]Factors!B130</f>
        <v>-0.21675161600000001</v>
      </c>
      <c r="AQ130">
        <f xml:space="preserve"> [1]Factors!C130</f>
        <v>0.25420186299999997</v>
      </c>
      <c r="AR130">
        <f xml:space="preserve"> [1]Factors!D130</f>
        <v>-0.31126936900000002</v>
      </c>
      <c r="AS130">
        <f xml:space="preserve"> [1]Factors!E130</f>
        <v>-8.5645457300000005E-2</v>
      </c>
      <c r="AT130">
        <f xml:space="preserve"> [1]Factors!F130</f>
        <v>0.104808685</v>
      </c>
    </row>
    <row r="131" spans="1:46" x14ac:dyDescent="0.25">
      <c r="A131">
        <f t="shared" si="8"/>
        <v>1969.7499999999957</v>
      </c>
      <c r="B131" s="1">
        <v>25477</v>
      </c>
      <c r="C131" s="7">
        <f t="shared" ref="C131:C194" si="9">YEAR(B131)</f>
        <v>1969</v>
      </c>
      <c r="D131" s="7">
        <f t="shared" ref="D131:D194" si="10">MONTH(B131)</f>
        <v>10</v>
      </c>
      <c r="E131" s="7">
        <f t="shared" ref="E131:E194" si="11">ROUNDUP(D131/3,0)</f>
        <v>4</v>
      </c>
      <c r="F131">
        <f xml:space="preserve"> [1]Coibion_update!O137</f>
        <v>3.7008944836921409</v>
      </c>
      <c r="G131">
        <f xml:space="preserve"> [1]Coibion_update!P137</f>
        <v>3.7</v>
      </c>
      <c r="H131">
        <f xml:space="preserve"> [1]Coibion_update!Q137</f>
        <v>3.6189933266497696</v>
      </c>
      <c r="I131">
        <f xml:space="preserve"> [1]Coibion_update!W137</f>
        <v>9</v>
      </c>
      <c r="J131">
        <f xml:space="preserve"> [1]Coibion_update!X137</f>
        <v>4.7328595471289807</v>
      </c>
      <c r="K131">
        <f xml:space="preserve"> [1]Coibion_update!Y137</f>
        <v>2.7109792406080899</v>
      </c>
      <c r="L131">
        <f xml:space="preserve"> [1]Coibion_update!Z137</f>
        <v>3.7204265696120657</v>
      </c>
      <c r="M131">
        <f xml:space="preserve"> [1]Coibion_update!AA137</f>
        <v>3.3464243558148636</v>
      </c>
      <c r="N131">
        <f xml:space="preserve"> [1]Coibion_update!AB137</f>
        <v>9.5922300000000002E-2</v>
      </c>
      <c r="O131">
        <f xml:space="preserve"> [1]Coibion_update!AC137</f>
        <v>0.99827530000000009</v>
      </c>
      <c r="P131">
        <f xml:space="preserve"> [1]Coibion_update!AD137</f>
        <v>0.94596049999999998</v>
      </c>
      <c r="X131" s="5">
        <f xml:space="preserve"> [1]misc!N214</f>
        <v>7.64</v>
      </c>
      <c r="Z131">
        <f xml:space="preserve"> [1]Sims_Zha!B134</f>
        <v>-0.45100000000000001</v>
      </c>
      <c r="AK131">
        <v>9</v>
      </c>
      <c r="AL131">
        <f xml:space="preserve"> LN([1]misc!B150)</f>
        <v>5.3127132468317688</v>
      </c>
      <c r="AM131">
        <f xml:space="preserve"> LN([1]misc!D150)</f>
        <v>6.3688730574336212</v>
      </c>
      <c r="AN131">
        <f xml:space="preserve"> LN([1]misc!G255)</f>
        <v>3.1211747892445056</v>
      </c>
      <c r="AO131">
        <f xml:space="preserve"> LN([1]misc!J161 + [1]misc!L161)</f>
        <v>2.5458449478930798</v>
      </c>
      <c r="AP131">
        <f xml:space="preserve"> [1]Factors!B131</f>
        <v>7.9399894200000001E-2</v>
      </c>
      <c r="AQ131">
        <f xml:space="preserve"> [1]Factors!C131</f>
        <v>0.40472298299999998</v>
      </c>
      <c r="AR131">
        <f xml:space="preserve"> [1]Factors!D131</f>
        <v>-2.38720311E-2</v>
      </c>
      <c r="AS131">
        <f xml:space="preserve"> [1]Factors!E131</f>
        <v>-0.224503811</v>
      </c>
      <c r="AT131">
        <f xml:space="preserve"> [1]Factors!F131</f>
        <v>-2.3308065199999999E-2</v>
      </c>
    </row>
    <row r="132" spans="1:46" x14ac:dyDescent="0.25">
      <c r="A132">
        <f t="shared" si="8"/>
        <v>1969.8333333333289</v>
      </c>
      <c r="B132" s="1">
        <v>25508</v>
      </c>
      <c r="C132" s="7">
        <f t="shared" si="9"/>
        <v>1969</v>
      </c>
      <c r="D132" s="7">
        <f t="shared" si="10"/>
        <v>11</v>
      </c>
      <c r="E132" s="7">
        <f t="shared" si="11"/>
        <v>4</v>
      </c>
      <c r="F132">
        <f xml:space="preserve"> [1]Coibion_update!O138</f>
        <v>3.6914237147361884</v>
      </c>
      <c r="G132">
        <f xml:space="preserve"> [1]Coibion_update!P138</f>
        <v>3.5</v>
      </c>
      <c r="H132">
        <f xml:space="preserve"> [1]Coibion_update!Q138</f>
        <v>3.6243409329763652</v>
      </c>
      <c r="I132">
        <f xml:space="preserve"> [1]Coibion_update!W138</f>
        <v>8.85</v>
      </c>
      <c r="J132">
        <f xml:space="preserve"> [1]Coibion_update!X138</f>
        <v>4.7382139597458561</v>
      </c>
      <c r="K132">
        <f xml:space="preserve"> [1]Coibion_update!Y138</f>
        <v>2.7006898466959175</v>
      </c>
      <c r="L132">
        <f xml:space="preserve"> [1]Coibion_update!Z138</f>
        <v>3.7153753179179012</v>
      </c>
      <c r="M132">
        <f xml:space="preserve"> [1]Coibion_update!AA138</f>
        <v>3.3507458381660573</v>
      </c>
      <c r="N132">
        <f xml:space="preserve"> [1]Coibion_update!AB138</f>
        <v>9.4979999999999999E-4</v>
      </c>
      <c r="O132">
        <f xml:space="preserve"> [1]Coibion_update!AC138</f>
        <v>0.99922510000000009</v>
      </c>
      <c r="P132">
        <f xml:space="preserve"> [1]Coibion_update!AD138</f>
        <v>0.94148520000000002</v>
      </c>
      <c r="X132" s="5">
        <f xml:space="preserve"> [1]misc!N215</f>
        <v>7.89</v>
      </c>
      <c r="Z132">
        <f xml:space="preserve"> [1]Sims_Zha!B135</f>
        <v>-0.57699999999999996</v>
      </c>
      <c r="AK132">
        <v>9.25</v>
      </c>
      <c r="AL132">
        <f xml:space="preserve"> LN([1]misc!B151)</f>
        <v>5.3161572846763674</v>
      </c>
      <c r="AM132">
        <f xml:space="preserve"> LN([1]misc!D151)</f>
        <v>6.372295374257785</v>
      </c>
      <c r="AN132">
        <f xml:space="preserve"> LN([1]misc!G256)</f>
        <v>3.1362330733415571</v>
      </c>
      <c r="AO132">
        <f xml:space="preserve"> LN([1]misc!J162 + [1]misc!L162)</f>
        <v>2.5625618943536042</v>
      </c>
      <c r="AP132">
        <f xml:space="preserve"> [1]Factors!B132</f>
        <v>-0.15525561099999999</v>
      </c>
      <c r="AQ132">
        <f xml:space="preserve"> [1]Factors!C132</f>
        <v>0.30167862000000001</v>
      </c>
      <c r="AR132">
        <f xml:space="preserve"> [1]Factors!D132</f>
        <v>-0.18121285500000001</v>
      </c>
      <c r="AS132">
        <f xml:space="preserve"> [1]Factors!E132</f>
        <v>-9.7354004399999999E-2</v>
      </c>
      <c r="AT132">
        <f xml:space="preserve"> [1]Factors!F132</f>
        <v>0.147600025</v>
      </c>
    </row>
    <row r="133" spans="1:46" x14ac:dyDescent="0.25">
      <c r="A133">
        <f t="shared" si="8"/>
        <v>1969.9166666666622</v>
      </c>
      <c r="B133" s="1">
        <v>25538</v>
      </c>
      <c r="C133" s="7">
        <f t="shared" si="9"/>
        <v>1969</v>
      </c>
      <c r="D133" s="7">
        <f t="shared" si="10"/>
        <v>12</v>
      </c>
      <c r="E133" s="7">
        <f t="shared" si="11"/>
        <v>4</v>
      </c>
      <c r="F133">
        <f xml:space="preserve"> [1]Coibion_update!O139</f>
        <v>3.6887344436004201</v>
      </c>
      <c r="G133">
        <f xml:space="preserve"> [1]Coibion_update!P139</f>
        <v>3.5</v>
      </c>
      <c r="H133">
        <f xml:space="preserve"> [1]Coibion_update!Q139</f>
        <v>3.629660094453965</v>
      </c>
      <c r="I133">
        <f xml:space="preserve"> [1]Coibion_update!W139</f>
        <v>8.9700000000000006</v>
      </c>
      <c r="J133">
        <f xml:space="preserve"> [1]Coibion_update!X139</f>
        <v>4.7412732689804313</v>
      </c>
      <c r="K133">
        <f xml:space="preserve"> [1]Coibion_update!Y139</f>
        <v>2.6983365089145708</v>
      </c>
      <c r="L133">
        <f xml:space="preserve"> [1]Coibion_update!Z139</f>
        <v>3.7157647828953184</v>
      </c>
      <c r="M133">
        <f xml:space="preserve"> [1]Coibion_update!AA139</f>
        <v>3.3493425261198784</v>
      </c>
      <c r="N133">
        <f xml:space="preserve"> [1]Coibion_update!AB139</f>
        <v>6.1897899999999999E-2</v>
      </c>
      <c r="O133">
        <f xml:space="preserve"> [1]Coibion_update!AC139</f>
        <v>1.061123</v>
      </c>
      <c r="P133">
        <f xml:space="preserve"> [1]Coibion_update!AD139</f>
        <v>1.0063683999999999</v>
      </c>
      <c r="X133" s="5">
        <f xml:space="preserve"> [1]misc!N216</f>
        <v>8.17</v>
      </c>
      <c r="Z133">
        <f xml:space="preserve"> [1]Sims_Zha!B136</f>
        <v>1.6813</v>
      </c>
      <c r="AK133">
        <v>5</v>
      </c>
      <c r="AL133">
        <f xml:space="preserve"> LN([1]misc!B152)</f>
        <v>5.3176296775804097</v>
      </c>
      <c r="AM133">
        <f xml:space="preserve"> LN([1]misc!D152)</f>
        <v>6.376556865408209</v>
      </c>
      <c r="AN133">
        <f xml:space="preserve"> LN([1]misc!G257)</f>
        <v>3.1395728435296641</v>
      </c>
      <c r="AO133">
        <f xml:space="preserve"> LN([1]misc!J163 + [1]misc!L163)</f>
        <v>2.5687115024801099</v>
      </c>
      <c r="AP133">
        <f xml:space="preserve"> [1]Factors!B133</f>
        <v>0.245888369</v>
      </c>
      <c r="AQ133">
        <f xml:space="preserve"> [1]Factors!C133</f>
        <v>0.44588243500000002</v>
      </c>
      <c r="AR133">
        <f xml:space="preserve"> [1]Factors!D133</f>
        <v>-3.1448244700000003E-2</v>
      </c>
      <c r="AS133">
        <f xml:space="preserve"> [1]Factors!E133</f>
        <v>-0.192567925</v>
      </c>
      <c r="AT133">
        <f xml:space="preserve"> [1]Factors!F133</f>
        <v>0.235099908</v>
      </c>
    </row>
    <row r="134" spans="1:46" x14ac:dyDescent="0.25">
      <c r="A134">
        <f t="shared" si="8"/>
        <v>1969.9999999999955</v>
      </c>
      <c r="B134" s="1">
        <v>25569</v>
      </c>
      <c r="C134" s="7">
        <f t="shared" si="9"/>
        <v>1970</v>
      </c>
      <c r="D134" s="7">
        <f t="shared" si="10"/>
        <v>1</v>
      </c>
      <c r="E134" s="7">
        <f t="shared" si="11"/>
        <v>1</v>
      </c>
      <c r="F134">
        <f xml:space="preserve"> [1]Coibion_update!O140</f>
        <v>3.6700431597676415</v>
      </c>
      <c r="G134">
        <f xml:space="preserve"> [1]Coibion_update!P140</f>
        <v>3.9</v>
      </c>
      <c r="H134">
        <f xml:space="preserve"> [1]Coibion_update!Q140</f>
        <v>3.6349511120883808</v>
      </c>
      <c r="I134">
        <f xml:space="preserve"> [1]Coibion_update!W140</f>
        <v>8.98</v>
      </c>
      <c r="J134">
        <f xml:space="preserve"> [1]Coibion_update!X140</f>
        <v>4.7542796085759322</v>
      </c>
      <c r="K134">
        <f xml:space="preserve"> [1]Coibion_update!Y140</f>
        <v>2.685940915514109</v>
      </c>
      <c r="L134">
        <f xml:space="preserve"> [1]Coibion_update!Z140</f>
        <v>3.7285327659905878</v>
      </c>
      <c r="M134">
        <f xml:space="preserve"> [1]Coibion_update!AA140</f>
        <v>3.3556419800026527</v>
      </c>
      <c r="N134">
        <f xml:space="preserve"> [1]Coibion_update!AB140</f>
        <v>-0.13148779999999999</v>
      </c>
      <c r="O134">
        <f xml:space="preserve"> [1]Coibion_update!AC140</f>
        <v>0.92963520000000011</v>
      </c>
      <c r="P134">
        <f xml:space="preserve"> [1]Coibion_update!AD140</f>
        <v>0.84663999999999995</v>
      </c>
      <c r="X134" s="5">
        <f xml:space="preserve"> [1]misc!N217</f>
        <v>8.1</v>
      </c>
      <c r="Z134">
        <f xml:space="preserve"> [1]Sims_Zha!B137</f>
        <v>0.55237000000000003</v>
      </c>
      <c r="AK134">
        <v>9.3800000000000008</v>
      </c>
      <c r="AL134">
        <f xml:space="preserve"> LN([1]misc!B153)</f>
        <v>5.3288465715828597</v>
      </c>
      <c r="AM134">
        <f xml:space="preserve"> LN([1]misc!D153)</f>
        <v>6.3794443408751267</v>
      </c>
      <c r="AN134">
        <f xml:space="preserve"> LN([1]misc!G258)</f>
        <v>3.1602716605521475</v>
      </c>
      <c r="AO134">
        <f xml:space="preserve"> LN([1]misc!J164 + [1]misc!L164)</f>
        <v>2.5747473537877896</v>
      </c>
      <c r="AP134">
        <f xml:space="preserve"> [1]Factors!B134</f>
        <v>-6.6634293999999997E-2</v>
      </c>
      <c r="AQ134">
        <f xml:space="preserve"> [1]Factors!C134</f>
        <v>0.32098998000000001</v>
      </c>
      <c r="AR134">
        <f xml:space="preserve"> [1]Factors!D134</f>
        <v>6.3856368699999999E-2</v>
      </c>
      <c r="AS134">
        <f xml:space="preserve"> [1]Factors!E134</f>
        <v>-0.35410064299999999</v>
      </c>
      <c r="AT134">
        <f xml:space="preserve"> [1]Factors!F134</f>
        <v>0.110730177</v>
      </c>
    </row>
    <row r="135" spans="1:46" x14ac:dyDescent="0.25">
      <c r="A135">
        <f t="shared" si="8"/>
        <v>1970.0833333333287</v>
      </c>
      <c r="B135" s="1">
        <v>25600</v>
      </c>
      <c r="C135" s="7">
        <f t="shared" si="9"/>
        <v>1970</v>
      </c>
      <c r="D135" s="7">
        <f t="shared" si="10"/>
        <v>2</v>
      </c>
      <c r="E135" s="7">
        <f t="shared" si="11"/>
        <v>1</v>
      </c>
      <c r="F135">
        <f xml:space="preserve"> [1]Coibion_update!O141</f>
        <v>3.6693856791179744</v>
      </c>
      <c r="G135">
        <f xml:space="preserve"> [1]Coibion_update!P141</f>
        <v>4.2</v>
      </c>
      <c r="H135">
        <f xml:space="preserve"> [1]Coibion_update!Q141</f>
        <v>3.6402142821326553</v>
      </c>
      <c r="I135">
        <f xml:space="preserve"> [1]Coibion_update!W141</f>
        <v>8.98</v>
      </c>
      <c r="J135">
        <f xml:space="preserve"> [1]Coibion_update!X141</f>
        <v>4.7587492739163917</v>
      </c>
      <c r="K135">
        <f xml:space="preserve"> [1]Coibion_update!Y141</f>
        <v>2.7031046587091958</v>
      </c>
      <c r="L135">
        <f xml:space="preserve"> [1]Coibion_update!Z141</f>
        <v>3.7221207878937381</v>
      </c>
      <c r="M135">
        <f xml:space="preserve"> [1]Coibion_update!AA141</f>
        <v>3.3639453959592664</v>
      </c>
      <c r="N135">
        <f xml:space="preserve"> [1]Coibion_update!AB141</f>
        <v>-0.34753339999999999</v>
      </c>
      <c r="O135">
        <f xml:space="preserve"> [1]Coibion_update!AC141</f>
        <v>0.58210180000000011</v>
      </c>
      <c r="P135">
        <f xml:space="preserve"> [1]Coibion_update!AD141</f>
        <v>0.48687069999999993</v>
      </c>
      <c r="X135" s="5">
        <f xml:space="preserve"> [1]misc!N218</f>
        <v>7.59</v>
      </c>
      <c r="Z135">
        <f xml:space="preserve"> [1]Sims_Zha!B138</f>
        <v>2.2294999999999998</v>
      </c>
      <c r="AK135">
        <v>8.5</v>
      </c>
      <c r="AL135">
        <f xml:space="preserve"> LN([1]misc!B154)</f>
        <v>5.3230099791384085</v>
      </c>
      <c r="AM135">
        <f xml:space="preserve"> LN([1]misc!D154)</f>
        <v>6.373831603970169</v>
      </c>
      <c r="AN135">
        <f xml:space="preserve"> LN([1]misc!G259)</f>
        <v>3.1375356091283537</v>
      </c>
      <c r="AO135">
        <f xml:space="preserve"> LN([1]misc!J165 + [1]misc!L165)</f>
        <v>2.5664098289152601</v>
      </c>
      <c r="AP135">
        <f xml:space="preserve"> [1]Factors!B135</f>
        <v>0.52867118599999996</v>
      </c>
      <c r="AQ135">
        <f xml:space="preserve"> [1]Factors!C135</f>
        <v>0.47896766400000002</v>
      </c>
      <c r="AR135">
        <f xml:space="preserve"> [1]Factors!D135</f>
        <v>-3.5354648599999997E-2</v>
      </c>
      <c r="AS135">
        <f xml:space="preserve"> [1]Factors!E135</f>
        <v>-0.26953798200000001</v>
      </c>
      <c r="AT135">
        <f xml:space="preserve"> [1]Factors!F135</f>
        <v>0.34638593099999998</v>
      </c>
    </row>
    <row r="136" spans="1:46" x14ac:dyDescent="0.25">
      <c r="A136">
        <f t="shared" si="8"/>
        <v>1970.166666666662</v>
      </c>
      <c r="B136" s="1">
        <v>25628</v>
      </c>
      <c r="C136" s="7">
        <f t="shared" si="9"/>
        <v>1970</v>
      </c>
      <c r="D136" s="7">
        <f t="shared" si="10"/>
        <v>3</v>
      </c>
      <c r="E136" s="7">
        <f t="shared" si="11"/>
        <v>1</v>
      </c>
      <c r="F136">
        <f xml:space="preserve"> [1]Coibion_update!O142</f>
        <v>3.668084734857231</v>
      </c>
      <c r="G136">
        <f xml:space="preserve"> [1]Coibion_update!P142</f>
        <v>4.4000000000000004</v>
      </c>
      <c r="H136">
        <f xml:space="preserve"> [1]Coibion_update!Q142</f>
        <v>3.6454498961866002</v>
      </c>
      <c r="I136">
        <f xml:space="preserve"> [1]Coibion_update!W142</f>
        <v>7.76</v>
      </c>
      <c r="J136">
        <f xml:space="preserve"> [1]Coibion_update!X142</f>
        <v>4.7616609827475243</v>
      </c>
      <c r="K136">
        <f xml:space="preserve"> [1]Coibion_update!Y142</f>
        <v>2.6743555245781132</v>
      </c>
      <c r="L136">
        <f xml:space="preserve"> [1]Coibion_update!Z142</f>
        <v>3.7265123689207873</v>
      </c>
      <c r="M136">
        <f xml:space="preserve"> [1]Coibion_update!AA142</f>
        <v>3.3588464411216252</v>
      </c>
      <c r="N136">
        <f xml:space="preserve"> [1]Coibion_update!AB142</f>
        <v>-9.1493900000000003E-2</v>
      </c>
      <c r="O136">
        <f xml:space="preserve"> [1]Coibion_update!AC142</f>
        <v>0.4906079000000001</v>
      </c>
      <c r="P136">
        <f xml:space="preserve"> [1]Coibion_update!AD142</f>
        <v>0.34879169999999993</v>
      </c>
      <c r="X136" s="5">
        <f xml:space="preserve"> [1]misc!N219</f>
        <v>6.97</v>
      </c>
      <c r="Z136">
        <f xml:space="preserve"> [1]Sims_Zha!B139</f>
        <v>-8.2845999999999993</v>
      </c>
      <c r="AK136">
        <v>7.5</v>
      </c>
      <c r="AL136">
        <f xml:space="preserve"> LN([1]misc!B155)</f>
        <v>5.3264187966589116</v>
      </c>
      <c r="AM136">
        <f xml:space="preserve"> LN([1]misc!D155)</f>
        <v>6.3755357625284734</v>
      </c>
      <c r="AN136">
        <f xml:space="preserve"> LN([1]misc!G260)</f>
        <v>3.126102424715846</v>
      </c>
      <c r="AO136">
        <f xml:space="preserve"> LN([1]misc!J166 + [1]misc!L166)</f>
        <v>2.5781692802476899</v>
      </c>
      <c r="AP136">
        <f xml:space="preserve"> [1]Factors!B136</f>
        <v>0.176835353</v>
      </c>
      <c r="AQ136">
        <f xml:space="preserve"> [1]Factors!C136</f>
        <v>0.29746537899999997</v>
      </c>
      <c r="AR136">
        <f xml:space="preserve"> [1]Factors!D136</f>
        <v>-0.23133447800000001</v>
      </c>
      <c r="AS136">
        <f xml:space="preserve"> [1]Factors!E136</f>
        <v>3.3128500300000002E-2</v>
      </c>
      <c r="AT136">
        <f xml:space="preserve"> [1]Factors!F136</f>
        <v>-0.18486232999999999</v>
      </c>
    </row>
    <row r="137" spans="1:46" x14ac:dyDescent="0.25">
      <c r="A137">
        <f t="shared" si="8"/>
        <v>1970.2499999999952</v>
      </c>
      <c r="B137" s="1">
        <v>25659</v>
      </c>
      <c r="C137" s="7">
        <f t="shared" si="9"/>
        <v>1970</v>
      </c>
      <c r="D137" s="7">
        <f t="shared" si="10"/>
        <v>4</v>
      </c>
      <c r="E137" s="7">
        <f t="shared" si="11"/>
        <v>2</v>
      </c>
      <c r="F137">
        <f xml:space="preserve"> [1]Coibion_update!O143</f>
        <v>3.6655110269029914</v>
      </c>
      <c r="G137">
        <f xml:space="preserve"> [1]Coibion_update!P143</f>
        <v>4.5999999999999996</v>
      </c>
      <c r="H137">
        <f xml:space="preserve"> [1]Coibion_update!Q143</f>
        <v>3.6506582412937387</v>
      </c>
      <c r="I137">
        <f xml:space="preserve"> [1]Coibion_update!W143</f>
        <v>8.1</v>
      </c>
      <c r="J137">
        <f xml:space="preserve"> [1]Coibion_update!X143</f>
        <v>4.7561730595246186</v>
      </c>
      <c r="K137">
        <f xml:space="preserve"> [1]Coibion_update!Y143</f>
        <v>2.6895467295376503</v>
      </c>
      <c r="L137">
        <f xml:space="preserve"> [1]Coibion_update!Z143</f>
        <v>3.7185110692385392</v>
      </c>
      <c r="M137">
        <f xml:space="preserve"> [1]Coibion_update!AA143</f>
        <v>3.3618326581398787</v>
      </c>
      <c r="N137">
        <f xml:space="preserve"> [1]Coibion_update!AB143</f>
        <v>-9.5471600000000004E-2</v>
      </c>
      <c r="O137">
        <f xml:space="preserve"> [1]Coibion_update!AC143</f>
        <v>0.39513630000000011</v>
      </c>
      <c r="P137">
        <f xml:space="preserve"> [1]Coibion_update!AD143</f>
        <v>0.20701929999999993</v>
      </c>
      <c r="X137" s="5">
        <f xml:space="preserve"> [1]misc!N220</f>
        <v>7.06</v>
      </c>
      <c r="Z137">
        <f xml:space="preserve"> [1]Sims_Zha!B140</f>
        <v>4.7088000000000001</v>
      </c>
      <c r="AK137">
        <v>8.5</v>
      </c>
      <c r="AL137">
        <f xml:space="preserve"> LN([1]misc!B156)</f>
        <v>5.3312684666877228</v>
      </c>
      <c r="AM137">
        <f xml:space="preserve"> LN([1]misc!D156)</f>
        <v>6.3774069887272828</v>
      </c>
      <c r="AN137">
        <f xml:space="preserve"> LN([1]misc!G261)</f>
        <v>3.1505969841149062</v>
      </c>
      <c r="AO137">
        <f xml:space="preserve"> LN([1]misc!J167 + [1]misc!L167)</f>
        <v>2.5925645244945104</v>
      </c>
      <c r="AP137">
        <f xml:space="preserve"> [1]Factors!B137</f>
        <v>0.26179738499999999</v>
      </c>
      <c r="AQ137">
        <f xml:space="preserve"> [1]Factors!C137</f>
        <v>0.217888518</v>
      </c>
      <c r="AR137">
        <f xml:space="preserve"> [1]Factors!D137</f>
        <v>-0.32904027000000002</v>
      </c>
      <c r="AS137">
        <f xml:space="preserve"> [1]Factors!E137</f>
        <v>8.3088534199999994E-2</v>
      </c>
      <c r="AT137">
        <f xml:space="preserve"> [1]Factors!F137</f>
        <v>-8.2621578400000006E-2</v>
      </c>
    </row>
    <row r="138" spans="1:46" x14ac:dyDescent="0.25">
      <c r="A138">
        <f t="shared" si="8"/>
        <v>1970.3333333333285</v>
      </c>
      <c r="B138" s="1">
        <v>25689</v>
      </c>
      <c r="C138" s="7">
        <f t="shared" si="9"/>
        <v>1970</v>
      </c>
      <c r="D138" s="7">
        <f t="shared" si="10"/>
        <v>5</v>
      </c>
      <c r="E138" s="7">
        <f t="shared" si="11"/>
        <v>2</v>
      </c>
      <c r="F138">
        <f xml:space="preserve"> [1]Coibion_update!O144</f>
        <v>3.6643459538645247</v>
      </c>
      <c r="G138">
        <f xml:space="preserve"> [1]Coibion_update!P144</f>
        <v>4.8</v>
      </c>
      <c r="H138">
        <f xml:space="preserve"> [1]Coibion_update!Q144</f>
        <v>3.6532522764707851</v>
      </c>
      <c r="I138">
        <f xml:space="preserve"> [1]Coibion_update!W144</f>
        <v>7.94</v>
      </c>
      <c r="J138">
        <f xml:space="preserve"> [1]Coibion_update!X144</f>
        <v>4.7447582001951449</v>
      </c>
      <c r="K138">
        <f xml:space="preserve"> [1]Coibion_update!Y144</f>
        <v>2.7008913039037306</v>
      </c>
      <c r="L138">
        <f xml:space="preserve"> [1]Coibion_update!Z144</f>
        <v>3.7274509180890365</v>
      </c>
      <c r="M138">
        <f xml:space="preserve"> [1]Coibion_update!AA144</f>
        <v>3.3659846259064108</v>
      </c>
      <c r="N138">
        <f xml:space="preserve"> [1]Coibion_update!AB144</f>
        <v>0.21766289999999999</v>
      </c>
      <c r="O138">
        <f xml:space="preserve"> [1]Coibion_update!AC144</f>
        <v>0.6127992000000001</v>
      </c>
      <c r="P138">
        <f xml:space="preserve"> [1]Coibion_update!AD144</f>
        <v>0.50269279999999994</v>
      </c>
      <c r="X138" s="5">
        <f xml:space="preserve"> [1]misc!N221</f>
        <v>7.75</v>
      </c>
      <c r="Z138">
        <f xml:space="preserve"> [1]Sims_Zha!B141</f>
        <v>-0.22378000000000001</v>
      </c>
      <c r="AK138">
        <v>7.88</v>
      </c>
      <c r="AL138">
        <f xml:space="preserve"> LN([1]misc!B157)</f>
        <v>5.3336845103853276</v>
      </c>
      <c r="AM138">
        <f xml:space="preserve"> LN([1]misc!D157)</f>
        <v>6.3826616834184415</v>
      </c>
      <c r="AN138">
        <f xml:space="preserve"> LN([1]misc!G262)</f>
        <v>3.1385764175834714</v>
      </c>
      <c r="AO138">
        <f xml:space="preserve"> LN([1]misc!J168 + [1]misc!L168)</f>
        <v>2.5680215564985067</v>
      </c>
      <c r="AP138">
        <f xml:space="preserve"> [1]Factors!B138</f>
        <v>0.398691395</v>
      </c>
      <c r="AQ138">
        <f xml:space="preserve"> [1]Factors!C138</f>
        <v>0.44982063700000002</v>
      </c>
      <c r="AR138">
        <f xml:space="preserve"> [1]Factors!D138</f>
        <v>2.9516197599999999E-2</v>
      </c>
      <c r="AS138">
        <f xml:space="preserve"> [1]Factors!E138</f>
        <v>-0.121580887</v>
      </c>
      <c r="AT138">
        <f xml:space="preserve"> [1]Factors!F138</f>
        <v>-0.181886989</v>
      </c>
    </row>
    <row r="139" spans="1:46" x14ac:dyDescent="0.25">
      <c r="A139">
        <f t="shared" si="8"/>
        <v>1970.4166666666617</v>
      </c>
      <c r="B139" s="1">
        <v>25720</v>
      </c>
      <c r="C139" s="7">
        <f t="shared" si="9"/>
        <v>1970</v>
      </c>
      <c r="D139" s="7">
        <f t="shared" si="10"/>
        <v>6</v>
      </c>
      <c r="E139" s="7">
        <f t="shared" si="11"/>
        <v>2</v>
      </c>
      <c r="F139">
        <f xml:space="preserve"> [1]Coibion_update!O145</f>
        <v>3.6611047843610804</v>
      </c>
      <c r="G139">
        <f xml:space="preserve"> [1]Coibion_update!P145</f>
        <v>4.9000000000000004</v>
      </c>
      <c r="H139">
        <f xml:space="preserve"> [1]Coibion_update!Q145</f>
        <v>3.6584202466292277</v>
      </c>
      <c r="I139">
        <f xml:space="preserve"> [1]Coibion_update!W145</f>
        <v>7.6</v>
      </c>
      <c r="J139">
        <f xml:space="preserve"> [1]Coibion_update!X145</f>
        <v>4.7342667593225016</v>
      </c>
      <c r="K139">
        <f xml:space="preserve"> [1]Coibion_update!Y145</f>
        <v>2.7076501210808703</v>
      </c>
      <c r="L139">
        <f xml:space="preserve"> [1]Coibion_update!Z145</f>
        <v>3.7293013686128518</v>
      </c>
      <c r="M139">
        <f xml:space="preserve"> [1]Coibion_update!AA145</f>
        <v>3.3695347011533139</v>
      </c>
      <c r="N139">
        <f xml:space="preserve"> [1]Coibion_update!AB145</f>
        <v>-0.1733587</v>
      </c>
      <c r="O139">
        <f xml:space="preserve"> [1]Coibion_update!AC145</f>
        <v>0.43944050000000012</v>
      </c>
      <c r="P139">
        <f xml:space="preserve"> [1]Coibion_update!AD145</f>
        <v>0.32281549999999992</v>
      </c>
      <c r="X139" s="5">
        <f xml:space="preserve"> [1]misc!N222</f>
        <v>7.55</v>
      </c>
      <c r="Z139">
        <f xml:space="preserve"> [1]Sims_Zha!B142</f>
        <v>-0.85255999999999998</v>
      </c>
      <c r="AK139">
        <v>5.75</v>
      </c>
      <c r="AL139">
        <f xml:space="preserve"> LN([1]misc!B158)</f>
        <v>5.3356131512917333</v>
      </c>
      <c r="AM139">
        <f xml:space="preserve"> LN([1]misc!D158)</f>
        <v>6.3888974835188819</v>
      </c>
      <c r="AN139">
        <f xml:space="preserve"> LN([1]misc!G263)</f>
        <v>3.122320870653565</v>
      </c>
      <c r="AO139">
        <f xml:space="preserve"> LN([1]misc!J169 + [1]misc!L169)</f>
        <v>2.5799895310346925</v>
      </c>
      <c r="AP139">
        <f xml:space="preserve"> [1]Factors!B139</f>
        <v>0.327889176</v>
      </c>
      <c r="AQ139">
        <f xml:space="preserve"> [1]Factors!C139</f>
        <v>0.180391474</v>
      </c>
      <c r="AR139">
        <f xml:space="preserve"> [1]Factors!D139</f>
        <v>0.24432947599999999</v>
      </c>
      <c r="AS139">
        <f xml:space="preserve"> [1]Factors!E139</f>
        <v>-0.35100030799999998</v>
      </c>
      <c r="AT139">
        <f xml:space="preserve"> [1]Factors!F139</f>
        <v>-0.25869055499999999</v>
      </c>
    </row>
    <row r="140" spans="1:46" x14ac:dyDescent="0.25">
      <c r="A140">
        <f t="shared" ref="A140:A203" si="12" xml:space="preserve"> A139 + 1/12</f>
        <v>1970.499999999995</v>
      </c>
      <c r="B140" s="1">
        <v>25750</v>
      </c>
      <c r="C140" s="7">
        <f t="shared" si="9"/>
        <v>1970</v>
      </c>
      <c r="D140" s="7">
        <f t="shared" si="10"/>
        <v>7</v>
      </c>
      <c r="E140" s="7">
        <f t="shared" si="11"/>
        <v>3</v>
      </c>
      <c r="F140">
        <f xml:space="preserve"> [1]Coibion_update!O146</f>
        <v>3.6635565179113692</v>
      </c>
      <c r="G140">
        <f xml:space="preserve"> [1]Coibion_update!P146</f>
        <v>5</v>
      </c>
      <c r="H140">
        <f xml:space="preserve"> [1]Coibion_update!Q146</f>
        <v>3.6609942506244004</v>
      </c>
      <c r="I140">
        <f xml:space="preserve"> [1]Coibion_update!W146</f>
        <v>7.21</v>
      </c>
      <c r="J140">
        <f xml:space="preserve"> [1]Coibion_update!X146</f>
        <v>4.7267681577355791</v>
      </c>
      <c r="K140">
        <f xml:space="preserve"> [1]Coibion_update!Y146</f>
        <v>2.698942182071483</v>
      </c>
      <c r="L140">
        <f xml:space="preserve"> [1]Coibion_update!Z146</f>
        <v>3.7282924564707711</v>
      </c>
      <c r="M140">
        <f xml:space="preserve"> [1]Coibion_update!AA146</f>
        <v>3.3722147467376726</v>
      </c>
      <c r="N140">
        <f xml:space="preserve"> [1]Coibion_update!AB146</f>
        <v>-0.23188049999999999</v>
      </c>
      <c r="O140">
        <f xml:space="preserve"> [1]Coibion_update!AC146</f>
        <v>0.20756000000000013</v>
      </c>
      <c r="P140">
        <f xml:space="preserve"> [1]Coibion_update!AD146</f>
        <v>8.0228099999999913E-2</v>
      </c>
      <c r="X140" s="5">
        <f xml:space="preserve"> [1]misc!N223</f>
        <v>7.1</v>
      </c>
      <c r="Z140">
        <f xml:space="preserve"> [1]Sims_Zha!B143</f>
        <v>-1.1372</v>
      </c>
      <c r="AK140">
        <v>6.75</v>
      </c>
      <c r="AL140">
        <f xml:space="preserve"> LN([1]misc!B159)</f>
        <v>5.3375380797013179</v>
      </c>
      <c r="AM140">
        <f xml:space="preserve"> LN([1]misc!D159)</f>
        <v>6.3954285290898794</v>
      </c>
      <c r="AN140">
        <f xml:space="preserve"> LN([1]misc!G264)</f>
        <v>3.1436349034774862</v>
      </c>
      <c r="AO140">
        <f xml:space="preserve"> LN([1]misc!J170 + [1]misc!L170)</f>
        <v>2.5493670428736546</v>
      </c>
      <c r="AP140">
        <f xml:space="preserve"> [1]Factors!B140</f>
        <v>0.29195747700000002</v>
      </c>
      <c r="AQ140">
        <f xml:space="preserve"> [1]Factors!C140</f>
        <v>0.204641409</v>
      </c>
      <c r="AR140">
        <f xml:space="preserve"> [1]Factors!D140</f>
        <v>7.9827894100000005E-2</v>
      </c>
      <c r="AS140">
        <f xml:space="preserve"> [1]Factors!E140</f>
        <v>-3.5580057800000002E-2</v>
      </c>
      <c r="AT140">
        <f xml:space="preserve"> [1]Factors!F140</f>
        <v>-5.4358220700000001E-2</v>
      </c>
    </row>
    <row r="141" spans="1:46" x14ac:dyDescent="0.25">
      <c r="A141">
        <f t="shared" si="12"/>
        <v>1970.5833333333283</v>
      </c>
      <c r="B141" s="1">
        <v>25781</v>
      </c>
      <c r="C141" s="7">
        <f t="shared" si="9"/>
        <v>1970</v>
      </c>
      <c r="D141" s="7">
        <f t="shared" si="10"/>
        <v>8</v>
      </c>
      <c r="E141" s="7">
        <f t="shared" si="11"/>
        <v>3</v>
      </c>
      <c r="F141">
        <f xml:space="preserve"> [1]Coibion_update!O147</f>
        <v>3.6617728677318966</v>
      </c>
      <c r="G141">
        <f xml:space="preserve"> [1]Coibion_update!P147</f>
        <v>5.0999999999999996</v>
      </c>
      <c r="H141">
        <f xml:space="preserve"> [1]Coibion_update!Q147</f>
        <v>3.6635616461296463</v>
      </c>
      <c r="I141">
        <f xml:space="preserve"> [1]Coibion_update!W147</f>
        <v>6.61</v>
      </c>
      <c r="J141">
        <f xml:space="preserve"> [1]Coibion_update!X147</f>
        <v>4.7265024711556167</v>
      </c>
      <c r="K141">
        <f xml:space="preserve"> [1]Coibion_update!Y147</f>
        <v>2.7067159780890733</v>
      </c>
      <c r="L141">
        <f xml:space="preserve"> [1]Coibion_update!Z147</f>
        <v>3.7310045991645833</v>
      </c>
      <c r="M141">
        <f xml:space="preserve"> [1]Coibion_update!AA147</f>
        <v>3.3764606014297414</v>
      </c>
      <c r="N141">
        <f xml:space="preserve"> [1]Coibion_update!AB147</f>
        <v>-0.44976830000000001</v>
      </c>
      <c r="O141">
        <f xml:space="preserve"> [1]Coibion_update!AC147</f>
        <v>-0.24220829999999988</v>
      </c>
      <c r="P141">
        <f xml:space="preserve"> [1]Coibion_update!AD147</f>
        <v>-0.40177930000000006</v>
      </c>
      <c r="X141" s="5">
        <f xml:space="preserve"> [1]misc!N224</f>
        <v>6.98</v>
      </c>
      <c r="Z141">
        <f xml:space="preserve"> [1]Sims_Zha!B144</f>
        <v>-3.0310999999999999</v>
      </c>
      <c r="AK141">
        <v>6.5</v>
      </c>
      <c r="AL141">
        <f xml:space="preserve"> LN([1]misc!B160)</f>
        <v>5.3466312268265872</v>
      </c>
      <c r="AM141">
        <f xml:space="preserve"> LN([1]misc!D160)</f>
        <v>6.4050631551128685</v>
      </c>
      <c r="AN141">
        <f xml:space="preserve"> LN([1]misc!G265)</f>
        <v>3.1517098550083436</v>
      </c>
      <c r="AO141">
        <f xml:space="preserve"> LN([1]misc!J171 + [1]misc!L171)</f>
        <v>2.5986072897208281</v>
      </c>
      <c r="AP141">
        <f xml:space="preserve"> [1]Factors!B141</f>
        <v>4.9840944099999999E-2</v>
      </c>
      <c r="AQ141">
        <f xml:space="preserve"> [1]Factors!C141</f>
        <v>3.5066477899999997E-2</v>
      </c>
      <c r="AR141">
        <f xml:space="preserve"> [1]Factors!D141</f>
        <v>-0.124373425</v>
      </c>
      <c r="AS141">
        <f xml:space="preserve"> [1]Factors!E141</f>
        <v>5.5056919599999997E-2</v>
      </c>
      <c r="AT141">
        <f xml:space="preserve"> [1]Factors!F141</f>
        <v>-0.118632882</v>
      </c>
    </row>
    <row r="142" spans="1:46" x14ac:dyDescent="0.25">
      <c r="A142">
        <f t="shared" si="12"/>
        <v>1970.6666666666615</v>
      </c>
      <c r="B142" s="1">
        <v>25812</v>
      </c>
      <c r="C142" s="7">
        <f t="shared" si="9"/>
        <v>1970</v>
      </c>
      <c r="D142" s="7">
        <f t="shared" si="10"/>
        <v>9</v>
      </c>
      <c r="E142" s="7">
        <f t="shared" si="11"/>
        <v>3</v>
      </c>
      <c r="F142">
        <f xml:space="preserve"> [1]Coibion_update!O148</f>
        <v>3.6548546189770925</v>
      </c>
      <c r="G142">
        <f xml:space="preserve"> [1]Coibion_update!P148</f>
        <v>5.4</v>
      </c>
      <c r="H142">
        <f xml:space="preserve"> [1]Coibion_update!Q148</f>
        <v>3.6686767467964168</v>
      </c>
      <c r="I142">
        <f xml:space="preserve"> [1]Coibion_update!W148</f>
        <v>6.29</v>
      </c>
      <c r="J142">
        <f xml:space="preserve"> [1]Coibion_update!X148</f>
        <v>4.7192129020287519</v>
      </c>
      <c r="K142">
        <f xml:space="preserve"> [1]Coibion_update!Y148</f>
        <v>2.703372611551099</v>
      </c>
      <c r="L142">
        <f xml:space="preserve"> [1]Coibion_update!Z148</f>
        <v>3.7374791239499987</v>
      </c>
      <c r="M142">
        <f xml:space="preserve"> [1]Coibion_update!AA148</f>
        <v>3.3825920373365861</v>
      </c>
      <c r="N142">
        <f xml:space="preserve"> [1]Coibion_update!AB148</f>
        <v>-0.2516544</v>
      </c>
      <c r="O142">
        <f xml:space="preserve"> [1]Coibion_update!AC148</f>
        <v>-0.49386269999999988</v>
      </c>
      <c r="P142">
        <f xml:space="preserve"> [1]Coibion_update!AD148</f>
        <v>-0.67409800000000009</v>
      </c>
      <c r="X142" s="5">
        <f xml:space="preserve"> [1]misc!N225</f>
        <v>6.73</v>
      </c>
      <c r="Z142">
        <f xml:space="preserve"> [1]Sims_Zha!B145</f>
        <v>-0.83018999999999998</v>
      </c>
      <c r="AK142">
        <v>5</v>
      </c>
      <c r="AL142">
        <f xml:space="preserve"> LN([1]misc!B161)</f>
        <v>5.355642433167306</v>
      </c>
      <c r="AM142">
        <f xml:space="preserve"> LN([1]misc!D161)</f>
        <v>6.415424237852311</v>
      </c>
      <c r="AN142">
        <f xml:space="preserve"> LN([1]misc!G266)</f>
        <v>3.1648419363757152</v>
      </c>
      <c r="AO142">
        <f xml:space="preserve"> LN([1]misc!J172 + [1]misc!L172)</f>
        <v>2.628068602672577</v>
      </c>
      <c r="AP142">
        <f xml:space="preserve"> [1]Factors!B142</f>
        <v>0.49592212099999999</v>
      </c>
      <c r="AQ142">
        <f xml:space="preserve"> [1]Factors!C142</f>
        <v>4.6345866499999996E-3</v>
      </c>
      <c r="AR142">
        <f xml:space="preserve"> [1]Factors!D142</f>
        <v>5.9970930799999999E-3</v>
      </c>
      <c r="AS142">
        <f xml:space="preserve"> [1]Factors!E142</f>
        <v>-4.2901898000000001E-2</v>
      </c>
      <c r="AT142">
        <f xml:space="preserve"> [1]Factors!F142</f>
        <v>2.14787057E-3</v>
      </c>
    </row>
    <row r="143" spans="1:46" x14ac:dyDescent="0.25">
      <c r="A143">
        <f t="shared" si="12"/>
        <v>1970.7499999999948</v>
      </c>
      <c r="B143" s="1">
        <v>25842</v>
      </c>
      <c r="C143" s="7">
        <f t="shared" si="9"/>
        <v>1970</v>
      </c>
      <c r="D143" s="7">
        <f t="shared" si="10"/>
        <v>10</v>
      </c>
      <c r="E143" s="7">
        <f t="shared" si="11"/>
        <v>4</v>
      </c>
      <c r="F143">
        <f xml:space="preserve"> [1]Coibion_update!O149</f>
        <v>3.6346502752847987</v>
      </c>
      <c r="G143">
        <f xml:space="preserve"> [1]Coibion_update!P149</f>
        <v>5.5</v>
      </c>
      <c r="H143">
        <f xml:space="preserve"> [1]Coibion_update!Q149</f>
        <v>3.673765816303888</v>
      </c>
      <c r="I143">
        <f xml:space="preserve"> [1]Coibion_update!W149</f>
        <v>6.2</v>
      </c>
      <c r="J143">
        <f xml:space="preserve"> [1]Coibion_update!X149</f>
        <v>4.7086288943563215</v>
      </c>
      <c r="K143">
        <f xml:space="preserve"> [1]Coibion_update!Y149</f>
        <v>2.6679224100114309</v>
      </c>
      <c r="L143">
        <f xml:space="preserve"> [1]Coibion_update!Z149</f>
        <v>3.7370027292956647</v>
      </c>
      <c r="M143">
        <f xml:space="preserve"> [1]Coibion_update!AA149</f>
        <v>3.3806204546733243</v>
      </c>
      <c r="N143">
        <f xml:space="preserve"> [1]Coibion_update!AB149</f>
        <v>-8.3306000000000005E-3</v>
      </c>
      <c r="O143">
        <f xml:space="preserve"> [1]Coibion_update!AC149</f>
        <v>-0.50219329999999984</v>
      </c>
      <c r="P143">
        <f xml:space="preserve"> [1]Coibion_update!AD149</f>
        <v>-0.68478670000000008</v>
      </c>
      <c r="X143" s="5">
        <f xml:space="preserve"> [1]misc!N226</f>
        <v>6.43</v>
      </c>
      <c r="Z143">
        <f xml:space="preserve"> [1]Sims_Zha!B146</f>
        <v>0.99556999999999995</v>
      </c>
      <c r="AK143">
        <v>6.13</v>
      </c>
      <c r="AL143">
        <f xml:space="preserve"> LN([1]misc!B162)</f>
        <v>5.3608225718994342</v>
      </c>
      <c r="AM143">
        <f xml:space="preserve"> LN([1]misc!D162)</f>
        <v>6.4238961034459603</v>
      </c>
      <c r="AN143">
        <f xml:space="preserve"> LN([1]misc!G267)</f>
        <v>3.1587011018321305</v>
      </c>
      <c r="AO143">
        <f xml:space="preserve"> LN([1]misc!J173 + [1]misc!L173)</f>
        <v>2.6402708786809206</v>
      </c>
      <c r="AP143">
        <f xml:space="preserve"> [1]Factors!B143</f>
        <v>0.44545432499999998</v>
      </c>
      <c r="AQ143">
        <f xml:space="preserve"> [1]Factors!C143</f>
        <v>0.25218248700000001</v>
      </c>
      <c r="AR143">
        <f xml:space="preserve"> [1]Factors!D143</f>
        <v>-2.6080922499999999E-2</v>
      </c>
      <c r="AS143">
        <f xml:space="preserve"> [1]Factors!E143</f>
        <v>7.6049430900000006E-2</v>
      </c>
      <c r="AT143">
        <f xml:space="preserve"> [1]Factors!F143</f>
        <v>-2.2519295599999999E-2</v>
      </c>
    </row>
    <row r="144" spans="1:46" x14ac:dyDescent="0.25">
      <c r="A144">
        <f t="shared" si="12"/>
        <v>1970.833333333328</v>
      </c>
      <c r="B144" s="1">
        <v>25873</v>
      </c>
      <c r="C144" s="7">
        <f t="shared" si="9"/>
        <v>1970</v>
      </c>
      <c r="D144" s="7">
        <f t="shared" si="10"/>
        <v>11</v>
      </c>
      <c r="E144" s="7">
        <f t="shared" si="11"/>
        <v>4</v>
      </c>
      <c r="F144">
        <f xml:space="preserve"> [1]Coibion_update!O150</f>
        <v>3.6285746249083934</v>
      </c>
      <c r="G144">
        <f xml:space="preserve"> [1]Coibion_update!P150</f>
        <v>5.9</v>
      </c>
      <c r="H144">
        <f xml:space="preserve"> [1]Coibion_update!Q150</f>
        <v>3.6788291182604347</v>
      </c>
      <c r="I144">
        <f xml:space="preserve"> [1]Coibion_update!W150</f>
        <v>5.6</v>
      </c>
      <c r="J144">
        <f xml:space="preserve"> [1]Coibion_update!X150</f>
        <v>4.6931810633108046</v>
      </c>
      <c r="K144">
        <f xml:space="preserve"> [1]Coibion_update!Y150</f>
        <v>2.6084508358794554</v>
      </c>
      <c r="L144">
        <f xml:space="preserve"> [1]Coibion_update!Z150</f>
        <v>3.740118997056904</v>
      </c>
      <c r="M144">
        <f xml:space="preserve"> [1]Coibion_update!AA150</f>
        <v>3.3810286873716286</v>
      </c>
      <c r="N144">
        <f xml:space="preserve"> [1]Coibion_update!AB150</f>
        <v>-0.35977350000000002</v>
      </c>
      <c r="O144">
        <f xml:space="preserve"> [1]Coibion_update!AC150</f>
        <v>-0.86196679999999981</v>
      </c>
      <c r="P144">
        <f xml:space="preserve"> [1]Coibion_update!AD150</f>
        <v>-1.0324806</v>
      </c>
      <c r="X144" s="5">
        <f xml:space="preserve"> [1]misc!N227</f>
        <v>5.51</v>
      </c>
      <c r="Z144">
        <f xml:space="preserve"> [1]Sims_Zha!B147</f>
        <v>-2.5794000000000001</v>
      </c>
      <c r="AK144">
        <v>5.5</v>
      </c>
      <c r="AL144">
        <f xml:space="preserve"> LN([1]misc!B163)</f>
        <v>5.3645731623251018</v>
      </c>
      <c r="AM144">
        <f xml:space="preserve"> LN([1]misc!D163)</f>
        <v>6.4314920995652569</v>
      </c>
      <c r="AN144">
        <f xml:space="preserve"> LN([1]misc!G268)</f>
        <v>3.1580636854714434</v>
      </c>
      <c r="AO144">
        <f xml:space="preserve"> LN([1]misc!J174 + [1]misc!L174)</f>
        <v>2.6429782043584953</v>
      </c>
      <c r="AP144">
        <f xml:space="preserve"> [1]Factors!B144</f>
        <v>0.98371053600000002</v>
      </c>
      <c r="AQ144">
        <f xml:space="preserve"> [1]Factors!C144</f>
        <v>0.45071248800000002</v>
      </c>
      <c r="AR144">
        <f xml:space="preserve"> [1]Factors!D144</f>
        <v>-1.17141912E-2</v>
      </c>
      <c r="AS144">
        <f xml:space="preserve"> [1]Factors!E144</f>
        <v>-0.16719193700000001</v>
      </c>
      <c r="AT144">
        <f xml:space="preserve"> [1]Factors!F144</f>
        <v>0.20887573600000001</v>
      </c>
    </row>
    <row r="145" spans="1:46" x14ac:dyDescent="0.25">
      <c r="A145">
        <f t="shared" si="12"/>
        <v>1970.9166666666613</v>
      </c>
      <c r="B145" s="1">
        <v>25903</v>
      </c>
      <c r="C145" s="7">
        <f t="shared" si="9"/>
        <v>1970</v>
      </c>
      <c r="D145" s="7">
        <f t="shared" si="10"/>
        <v>12</v>
      </c>
      <c r="E145" s="7">
        <f t="shared" si="11"/>
        <v>4</v>
      </c>
      <c r="F145">
        <f xml:space="preserve"> [1]Coibion_update!O151</f>
        <v>3.6512788279108026</v>
      </c>
      <c r="G145">
        <f xml:space="preserve"> [1]Coibion_update!P151</f>
        <v>6.1</v>
      </c>
      <c r="H145">
        <f xml:space="preserve"> [1]Coibion_update!Q151</f>
        <v>3.6838669122903918</v>
      </c>
      <c r="I145">
        <f xml:space="preserve"> [1]Coibion_update!W151</f>
        <v>4.9000000000000004</v>
      </c>
      <c r="J145">
        <f xml:space="preserve"> [1]Coibion_update!X151</f>
        <v>4.6752557935547792</v>
      </c>
      <c r="K145">
        <f xml:space="preserve"> [1]Coibion_update!Y151</f>
        <v>2.6256101777178227</v>
      </c>
      <c r="L145">
        <f xml:space="preserve"> [1]Coibion_update!Z151</f>
        <v>3.7544330848533751</v>
      </c>
      <c r="M145">
        <f xml:space="preserve"> [1]Coibion_update!AA151</f>
        <v>3.3848308442418578</v>
      </c>
      <c r="N145">
        <f xml:space="preserve"> [1]Coibion_update!AB151</f>
        <v>-0.25860080000000002</v>
      </c>
      <c r="O145">
        <f xml:space="preserve"> [1]Coibion_update!AC151</f>
        <v>-1.1205675999999998</v>
      </c>
      <c r="P145">
        <f xml:space="preserve"> [1]Coibion_update!AD151</f>
        <v>-1.2635087999999999</v>
      </c>
      <c r="X145" s="5">
        <f xml:space="preserve"> [1]misc!N228</f>
        <v>5</v>
      </c>
      <c r="Z145">
        <f xml:space="preserve"> [1]Sims_Zha!B148</f>
        <v>-2.8380000000000001</v>
      </c>
      <c r="AK145">
        <v>3</v>
      </c>
      <c r="AL145">
        <f xml:space="preserve"> LN([1]misc!B164)</f>
        <v>5.3678434291966468</v>
      </c>
      <c r="AM145">
        <f xml:space="preserve"> LN([1]misc!D164)</f>
        <v>6.440148774336123</v>
      </c>
      <c r="AN145">
        <f xml:space="preserve"> LN([1]misc!G269)</f>
        <v>3.1741713030837206</v>
      </c>
      <c r="AO145">
        <f xml:space="preserve"> LN([1]misc!J175 + [1]misc!L175)</f>
        <v>2.6550009800123946</v>
      </c>
      <c r="AP145">
        <f xml:space="preserve"> [1]Factors!B145</f>
        <v>0.64917480599999999</v>
      </c>
      <c r="AQ145">
        <f xml:space="preserve"> [1]Factors!C145</f>
        <v>0.28228823600000003</v>
      </c>
      <c r="AR145">
        <f xml:space="preserve"> [1]Factors!D145</f>
        <v>-0.118145635</v>
      </c>
      <c r="AS145">
        <f xml:space="preserve"> [1]Factors!E145</f>
        <v>0.134862606</v>
      </c>
      <c r="AT145">
        <f xml:space="preserve"> [1]Factors!F145</f>
        <v>-0.206090152</v>
      </c>
    </row>
    <row r="146" spans="1:46" x14ac:dyDescent="0.25">
      <c r="A146">
        <f t="shared" si="12"/>
        <v>1970.9999999999945</v>
      </c>
      <c r="B146" s="1">
        <v>25934</v>
      </c>
      <c r="C146" s="7">
        <f t="shared" si="9"/>
        <v>1971</v>
      </c>
      <c r="D146" s="7">
        <f t="shared" si="10"/>
        <v>1</v>
      </c>
      <c r="E146" s="7">
        <f t="shared" si="11"/>
        <v>1</v>
      </c>
      <c r="F146">
        <f xml:space="preserve"> [1]Coibion_update!O152</f>
        <v>3.6589433056862739</v>
      </c>
      <c r="G146">
        <f xml:space="preserve"> [1]Coibion_update!P152</f>
        <v>5.9</v>
      </c>
      <c r="H146">
        <f xml:space="preserve"> [1]Coibion_update!Q152</f>
        <v>3.6863763238958178</v>
      </c>
      <c r="I146">
        <f xml:space="preserve"> [1]Coibion_update!W152</f>
        <v>4.1399999999999997</v>
      </c>
      <c r="J146">
        <f xml:space="preserve"> [1]Coibion_update!X152</f>
        <v>4.6740430502744665</v>
      </c>
      <c r="K146">
        <f xml:space="preserve"> [1]Coibion_update!Y152</f>
        <v>2.7324175575505043</v>
      </c>
      <c r="L146">
        <f xml:space="preserve"> [1]Coibion_update!Z152</f>
        <v>3.7514551125964171</v>
      </c>
      <c r="M146">
        <f xml:space="preserve"> [1]Coibion_update!AA152</f>
        <v>3.3848647270412577</v>
      </c>
      <c r="N146">
        <f xml:space="preserve"> [1]Coibion_update!AB152</f>
        <v>-0.68867829999999997</v>
      </c>
      <c r="O146">
        <f xml:space="preserve"> [1]Coibion_update!AC152</f>
        <v>-1.8092458999999996</v>
      </c>
      <c r="P146">
        <f xml:space="preserve"> [1]Coibion_update!AD152</f>
        <v>-1.9443079999999999</v>
      </c>
      <c r="X146" s="5">
        <f xml:space="preserve"> [1]misc!N229</f>
        <v>4.57</v>
      </c>
      <c r="Z146">
        <f xml:space="preserve"> [1]Sims_Zha!B149</f>
        <v>-3.4066000000000001</v>
      </c>
      <c r="AK146">
        <v>4</v>
      </c>
      <c r="AL146">
        <f xml:space="preserve"> LN([1]misc!B165)</f>
        <v>5.3729609095438029</v>
      </c>
      <c r="AM146">
        <f xml:space="preserve"> LN([1]misc!D165)</f>
        <v>6.4503124317812599</v>
      </c>
      <c r="AN146">
        <f xml:space="preserve"> LN([1]misc!G270)</f>
        <v>3.2144661163795005</v>
      </c>
      <c r="AO146">
        <f xml:space="preserve"> LN([1]misc!J176 + [1]misc!L176)</f>
        <v>2.6560549059838299</v>
      </c>
      <c r="AP146">
        <f xml:space="preserve"> [1]Factors!B146</f>
        <v>-0.475646703</v>
      </c>
      <c r="AQ146">
        <f xml:space="preserve"> [1]Factors!C146</f>
        <v>-0.15128363</v>
      </c>
      <c r="AR146">
        <f xml:space="preserve"> [1]Factors!D146</f>
        <v>-0.18956213099999999</v>
      </c>
      <c r="AS146">
        <f xml:space="preserve"> [1]Factors!E146</f>
        <v>0.58630917699999996</v>
      </c>
      <c r="AT146">
        <f xml:space="preserve"> [1]Factors!F146</f>
        <v>-0.90415254499999997</v>
      </c>
    </row>
    <row r="147" spans="1:46" x14ac:dyDescent="0.25">
      <c r="A147">
        <f t="shared" si="12"/>
        <v>1971.0833333333278</v>
      </c>
      <c r="B147" s="1">
        <v>25965</v>
      </c>
      <c r="C147" s="7">
        <f t="shared" si="9"/>
        <v>1971</v>
      </c>
      <c r="D147" s="7">
        <f t="shared" si="10"/>
        <v>2</v>
      </c>
      <c r="E147" s="7">
        <f t="shared" si="11"/>
        <v>1</v>
      </c>
      <c r="F147">
        <f xml:space="preserve"> [1]Coibion_update!O153</f>
        <v>3.6570352673695132</v>
      </c>
      <c r="G147">
        <f xml:space="preserve"> [1]Coibion_update!P153</f>
        <v>5.9</v>
      </c>
      <c r="H147">
        <f xml:space="preserve"> [1]Coibion_update!Q153</f>
        <v>3.6863763238958178</v>
      </c>
      <c r="I147">
        <f xml:space="preserve"> [1]Coibion_update!W153</f>
        <v>3.72</v>
      </c>
      <c r="J147">
        <f xml:space="preserve"> [1]Coibion_update!X153</f>
        <v>4.6992978487127894</v>
      </c>
      <c r="K147">
        <f xml:space="preserve"> [1]Coibion_update!Y153</f>
        <v>2.7265447837383743</v>
      </c>
      <c r="L147">
        <f xml:space="preserve"> [1]Coibion_update!Z153</f>
        <v>3.7515960039694018</v>
      </c>
      <c r="M147">
        <f xml:space="preserve"> [1]Coibion_update!AA153</f>
        <v>3.3902038401872896</v>
      </c>
      <c r="N147">
        <f xml:space="preserve"> [1]Coibion_update!AB153</f>
        <v>-6.9735800000000001E-2</v>
      </c>
      <c r="O147">
        <f xml:space="preserve"> [1]Coibion_update!AC153</f>
        <v>-1.8789816999999995</v>
      </c>
      <c r="P147">
        <f xml:space="preserve"> [1]Coibion_update!AD153</f>
        <v>-1.9725747999999999</v>
      </c>
      <c r="X147" s="5">
        <f xml:space="preserve"> [1]misc!N230</f>
        <v>3.89</v>
      </c>
      <c r="Z147">
        <f xml:space="preserve"> [1]Sims_Zha!B150</f>
        <v>-2.2934000000000001</v>
      </c>
      <c r="AK147">
        <v>3.38</v>
      </c>
      <c r="AL147">
        <f xml:space="preserve"> LN([1]misc!B166)</f>
        <v>5.3817389746871092</v>
      </c>
      <c r="AM147">
        <f xml:space="preserve"> LN([1]misc!D166)</f>
        <v>6.4630294569206699</v>
      </c>
      <c r="AN147">
        <f xml:space="preserve"> LN([1]misc!G271)</f>
        <v>3.2080170815333249</v>
      </c>
      <c r="AO147">
        <f xml:space="preserve"> LN([1]misc!J177 + [1]misc!L177)</f>
        <v>2.673320720581112</v>
      </c>
      <c r="AP147">
        <f xml:space="preserve"> [1]Factors!B147</f>
        <v>1.3695068200000001E-4</v>
      </c>
      <c r="AQ147">
        <f xml:space="preserve"> [1]Factors!C147</f>
        <v>-0.14742594000000001</v>
      </c>
      <c r="AR147">
        <f xml:space="preserve"> [1]Factors!D147</f>
        <v>-0.17470785</v>
      </c>
      <c r="AS147">
        <f xml:space="preserve"> [1]Factors!E147</f>
        <v>0.24095550700000001</v>
      </c>
      <c r="AT147">
        <f xml:space="preserve"> [1]Factors!F147</f>
        <v>-0.26699682000000002</v>
      </c>
    </row>
    <row r="148" spans="1:46" x14ac:dyDescent="0.25">
      <c r="A148">
        <f t="shared" si="12"/>
        <v>1971.1666666666611</v>
      </c>
      <c r="B148" s="1">
        <v>25993</v>
      </c>
      <c r="C148" s="7">
        <f t="shared" si="9"/>
        <v>1971</v>
      </c>
      <c r="D148" s="7">
        <f t="shared" si="10"/>
        <v>3</v>
      </c>
      <c r="E148" s="7">
        <f t="shared" si="11"/>
        <v>1</v>
      </c>
      <c r="F148">
        <f xml:space="preserve"> [1]Coibion_update!O154</f>
        <v>3.6559507049744648</v>
      </c>
      <c r="G148">
        <f xml:space="preserve"> [1]Coibion_update!P154</f>
        <v>6</v>
      </c>
      <c r="H148">
        <f xml:space="preserve"> [1]Coibion_update!Q154</f>
        <v>3.6888794541139363</v>
      </c>
      <c r="I148">
        <f xml:space="preserve"> [1]Coibion_update!W154</f>
        <v>3.71</v>
      </c>
      <c r="J148">
        <f xml:space="preserve"> [1]Coibion_update!X154</f>
        <v>4.6944622934668532</v>
      </c>
      <c r="K148">
        <f xml:space="preserve"> [1]Coibion_update!Y154</f>
        <v>2.7495119909098045</v>
      </c>
      <c r="L148">
        <f xml:space="preserve"> [1]Coibion_update!Z154</f>
        <v>3.7407838117642971</v>
      </c>
      <c r="M148">
        <f xml:space="preserve"> [1]Coibion_update!AA154</f>
        <v>3.3920220837267032</v>
      </c>
      <c r="N148">
        <f xml:space="preserve"> [1]Coibion_update!AB154</f>
        <v>-0.106141</v>
      </c>
      <c r="O148">
        <f xml:space="preserve"> [1]Coibion_update!AC154</f>
        <v>-1.9851226999999996</v>
      </c>
      <c r="P148">
        <f xml:space="preserve"> [1]Coibion_update!AD154</f>
        <v>-2.0382259</v>
      </c>
      <c r="X148" s="5">
        <f xml:space="preserve"> [1]misc!N231</f>
        <v>3.69</v>
      </c>
      <c r="Z148">
        <f xml:space="preserve"> [1]Sims_Zha!B151</f>
        <v>-9.7378000000000006E-2</v>
      </c>
      <c r="AK148">
        <v>4.5</v>
      </c>
      <c r="AL148">
        <f xml:space="preserve"> LN([1]misc!B167)</f>
        <v>5.388158070547826</v>
      </c>
      <c r="AM148">
        <f xml:space="preserve"> LN([1]misc!D167)</f>
        <v>6.4768185049003035</v>
      </c>
      <c r="AN148">
        <f xml:space="preserve"> LN([1]misc!G272)</f>
        <v>3.2025431702473033</v>
      </c>
      <c r="AO148">
        <f xml:space="preserve"> LN([1]misc!J178 + [1]misc!L178)</f>
        <v>2.6726993237992844</v>
      </c>
      <c r="AP148">
        <f xml:space="preserve"> [1]Factors!B148</f>
        <v>0.196264045</v>
      </c>
      <c r="AQ148">
        <f xml:space="preserve"> [1]Factors!C148</f>
        <v>-8.2159285200000001E-2</v>
      </c>
      <c r="AR148">
        <f xml:space="preserve"> [1]Factors!D148</f>
        <v>-0.18143024599999999</v>
      </c>
      <c r="AS148">
        <f xml:space="preserve"> [1]Factors!E148</f>
        <v>0.24232693999999999</v>
      </c>
      <c r="AT148">
        <f xml:space="preserve"> [1]Factors!F148</f>
        <v>2.43230974E-2</v>
      </c>
    </row>
    <row r="149" spans="1:46" x14ac:dyDescent="0.25">
      <c r="A149">
        <f t="shared" si="12"/>
        <v>1971.2499999999943</v>
      </c>
      <c r="B149" s="1">
        <v>26024</v>
      </c>
      <c r="C149" s="7">
        <f t="shared" si="9"/>
        <v>1971</v>
      </c>
      <c r="D149" s="7">
        <f t="shared" si="10"/>
        <v>4</v>
      </c>
      <c r="E149" s="7">
        <f t="shared" si="11"/>
        <v>2</v>
      </c>
      <c r="F149">
        <f xml:space="preserve"> [1]Coibion_update!O155</f>
        <v>3.6615519357061301</v>
      </c>
      <c r="G149">
        <f xml:space="preserve"> [1]Coibion_update!P155</f>
        <v>5.9</v>
      </c>
      <c r="H149">
        <f xml:space="preserve"> [1]Coibion_update!Q155</f>
        <v>3.6913763343125234</v>
      </c>
      <c r="I149">
        <f xml:space="preserve"> [1]Coibion_update!W155</f>
        <v>4.1500000000000004</v>
      </c>
      <c r="J149">
        <f xml:space="preserve"> [1]Coibion_update!X155</f>
        <v>4.6980228030027078</v>
      </c>
      <c r="K149">
        <f xml:space="preserve"> [1]Coibion_update!Y155</f>
        <v>2.7540428049526828</v>
      </c>
      <c r="L149">
        <f xml:space="preserve"> [1]Coibion_update!Z155</f>
        <v>3.7511262888429844</v>
      </c>
      <c r="M149">
        <f xml:space="preserve"> [1]Coibion_update!AA155</f>
        <v>3.3954475496815482</v>
      </c>
      <c r="N149">
        <f xml:space="preserve"> [1]Coibion_update!AB155</f>
        <v>0.41698780000000002</v>
      </c>
      <c r="O149">
        <f xml:space="preserve"> [1]Coibion_update!AC155</f>
        <v>-1.5681348999999996</v>
      </c>
      <c r="P149">
        <f xml:space="preserve"> [1]Coibion_update!AD155</f>
        <v>-1.5770033000000001</v>
      </c>
      <c r="X149" s="5">
        <f xml:space="preserve"> [1]misc!N232</f>
        <v>4.3</v>
      </c>
      <c r="Z149">
        <f xml:space="preserve"> [1]Sims_Zha!B152</f>
        <v>2.6211000000000002</v>
      </c>
      <c r="AK149">
        <v>4.25</v>
      </c>
      <c r="AL149">
        <f xml:space="preserve"> LN([1]misc!B168)</f>
        <v>5.393627546352362</v>
      </c>
      <c r="AM149">
        <f xml:space="preserve"> LN([1]misc!D168)</f>
        <v>6.4898126493628601</v>
      </c>
      <c r="AN149">
        <f xml:space="preserve"> LN([1]misc!G273)</f>
        <v>3.2124552570652778</v>
      </c>
      <c r="AO149">
        <f xml:space="preserve"> LN([1]misc!J179 + [1]misc!L179)</f>
        <v>2.6814324031979182</v>
      </c>
      <c r="AP149">
        <f xml:space="preserve"> [1]Factors!B149</f>
        <v>0.19274385899999999</v>
      </c>
      <c r="AQ149">
        <f xml:space="preserve"> [1]Factors!C149</f>
        <v>4.2607457300000004E-3</v>
      </c>
      <c r="AR149">
        <f xml:space="preserve"> [1]Factors!D149</f>
        <v>-0.16204732899999999</v>
      </c>
      <c r="AS149">
        <f xml:space="preserve"> [1]Factors!E149</f>
        <v>2.7092382000000002E-2</v>
      </c>
      <c r="AT149">
        <f xml:space="preserve"> [1]Factors!F149</f>
        <v>-1.03539411E-2</v>
      </c>
    </row>
    <row r="150" spans="1:46" x14ac:dyDescent="0.25">
      <c r="A150">
        <f t="shared" si="12"/>
        <v>1971.3333333333276</v>
      </c>
      <c r="B150" s="1">
        <v>26054</v>
      </c>
      <c r="C150" s="7">
        <f t="shared" si="9"/>
        <v>1971</v>
      </c>
      <c r="D150" s="7">
        <f t="shared" si="10"/>
        <v>5</v>
      </c>
      <c r="E150" s="7">
        <f t="shared" si="11"/>
        <v>2</v>
      </c>
      <c r="F150">
        <f xml:space="preserve"> [1]Coibion_update!O156</f>
        <v>3.6666133950597639</v>
      </c>
      <c r="G150">
        <f xml:space="preserve"> [1]Coibion_update!P156</f>
        <v>5.9</v>
      </c>
      <c r="H150">
        <f xml:space="preserve"> [1]Coibion_update!Q156</f>
        <v>3.6963514689526371</v>
      </c>
      <c r="I150">
        <f xml:space="preserve"> [1]Coibion_update!W156</f>
        <v>4.63</v>
      </c>
      <c r="J150">
        <f xml:space="preserve"> [1]Coibion_update!X156</f>
        <v>4.6893274939948144</v>
      </c>
      <c r="K150">
        <f xml:space="preserve"> [1]Coibion_update!Y156</f>
        <v>2.7454102098592874</v>
      </c>
      <c r="L150">
        <f xml:space="preserve"> [1]Coibion_update!Z156</f>
        <v>3.7462517339718064</v>
      </c>
      <c r="M150">
        <f xml:space="preserve"> [1]Coibion_update!AA156</f>
        <v>3.3997964007465273</v>
      </c>
      <c r="N150">
        <f xml:space="preserve"> [1]Coibion_update!AB156</f>
        <v>6.5412999999999999E-2</v>
      </c>
      <c r="O150">
        <f xml:space="preserve"> [1]Coibion_update!AC156</f>
        <v>-1.5027218999999996</v>
      </c>
      <c r="P150">
        <f xml:space="preserve"> [1]Coibion_update!AD156</f>
        <v>-1.5705694000000001</v>
      </c>
      <c r="X150" s="5">
        <f xml:space="preserve"> [1]misc!N233</f>
        <v>5.04</v>
      </c>
      <c r="Z150">
        <f xml:space="preserve"> [1]Sims_Zha!B153</f>
        <v>2.3064</v>
      </c>
      <c r="AK150">
        <v>4.88</v>
      </c>
      <c r="AL150">
        <f xml:space="preserve"> LN([1]misc!B169)</f>
        <v>5.4026773818722793</v>
      </c>
      <c r="AM150">
        <f xml:space="preserve"> LN([1]misc!D169)</f>
        <v>6.5023401696240146</v>
      </c>
      <c r="AN150">
        <f xml:space="preserve"> LN([1]misc!G274)</f>
        <v>3.2252554318322399</v>
      </c>
      <c r="AO150">
        <f xml:space="preserve"> LN([1]misc!J180 + [1]misc!L180)</f>
        <v>2.6877114301066793</v>
      </c>
      <c r="AP150">
        <f xml:space="preserve"> [1]Factors!B150</f>
        <v>-0.26703479299999999</v>
      </c>
      <c r="AQ150">
        <f xml:space="preserve"> [1]Factors!C150</f>
        <v>2.9008103100000002E-2</v>
      </c>
      <c r="AR150">
        <f xml:space="preserve"> [1]Factors!D150</f>
        <v>4.0960436900000001E-2</v>
      </c>
      <c r="AS150">
        <f xml:space="preserve"> [1]Factors!E150</f>
        <v>-0.121742326</v>
      </c>
      <c r="AT150">
        <f xml:space="preserve"> [1]Factors!F150</f>
        <v>-0.150695099</v>
      </c>
    </row>
    <row r="151" spans="1:46" x14ac:dyDescent="0.25">
      <c r="A151">
        <f t="shared" si="12"/>
        <v>1971.4166666666608</v>
      </c>
      <c r="B151" s="1">
        <v>26085</v>
      </c>
      <c r="C151" s="7">
        <f t="shared" si="9"/>
        <v>1971</v>
      </c>
      <c r="D151" s="7">
        <f t="shared" si="10"/>
        <v>6</v>
      </c>
      <c r="E151" s="7">
        <f t="shared" si="11"/>
        <v>2</v>
      </c>
      <c r="F151">
        <f xml:space="preserve"> [1]Coibion_update!O157</f>
        <v>3.6707969465631707</v>
      </c>
      <c r="G151">
        <f xml:space="preserve"> [1]Coibion_update!P157</f>
        <v>5.9</v>
      </c>
      <c r="H151">
        <f xml:space="preserve"> [1]Coibion_update!Q157</f>
        <v>3.7013019741124933</v>
      </c>
      <c r="I151">
        <f xml:space="preserve"> [1]Coibion_update!W157</f>
        <v>4.91</v>
      </c>
      <c r="J151">
        <f xml:space="preserve"> [1]Coibion_update!X157</f>
        <v>4.6834266839538587</v>
      </c>
      <c r="K151">
        <f xml:space="preserve"> [1]Coibion_update!Y157</f>
        <v>2.7764562337662704</v>
      </c>
      <c r="L151">
        <f xml:space="preserve"> [1]Coibion_update!Z157</f>
        <v>3.7532851539311465</v>
      </c>
      <c r="M151">
        <f xml:space="preserve"> [1]Coibion_update!AA157</f>
        <v>3.4018971367764288</v>
      </c>
      <c r="N151">
        <f xml:space="preserve"> [1]Coibion_update!AB157</f>
        <v>0.43965110000000002</v>
      </c>
      <c r="O151">
        <f xml:space="preserve"> [1]Coibion_update!AC157</f>
        <v>-1.0630707999999995</v>
      </c>
      <c r="P151">
        <f xml:space="preserve"> [1]Coibion_update!AD157</f>
        <v>-1.2225631000000001</v>
      </c>
      <c r="X151" s="5">
        <f xml:space="preserve"> [1]misc!N234</f>
        <v>5.64</v>
      </c>
      <c r="Z151">
        <f xml:space="preserve"> [1]Sims_Zha!B154</f>
        <v>1.0431999999999999</v>
      </c>
      <c r="AK151">
        <v>4.75</v>
      </c>
      <c r="AL151">
        <f xml:space="preserve"> LN([1]misc!B170)</f>
        <v>5.4094114140536238</v>
      </c>
      <c r="AM151">
        <f xml:space="preserve"> LN([1]misc!D170)</f>
        <v>6.5117453296447279</v>
      </c>
      <c r="AN151">
        <f xml:space="preserve"> LN([1]misc!G275)</f>
        <v>3.2134209741852371</v>
      </c>
      <c r="AO151">
        <f xml:space="preserve"> LN([1]misc!J181 + [1]misc!L181)</f>
        <v>2.6785527303131871</v>
      </c>
      <c r="AP151">
        <f xml:space="preserve"> [1]Factors!B151</f>
        <v>-0.28176356499999999</v>
      </c>
      <c r="AQ151">
        <f xml:space="preserve"> [1]Factors!C151</f>
        <v>0.136284248</v>
      </c>
      <c r="AR151">
        <f xml:space="preserve"> [1]Factors!D151</f>
        <v>0.121927034</v>
      </c>
      <c r="AS151">
        <f xml:space="preserve"> [1]Factors!E151</f>
        <v>-0.18760442799999999</v>
      </c>
      <c r="AT151">
        <f xml:space="preserve"> [1]Factors!F151</f>
        <v>-9.1667874100000005E-2</v>
      </c>
    </row>
    <row r="152" spans="1:46" x14ac:dyDescent="0.25">
      <c r="A152">
        <f t="shared" si="12"/>
        <v>1971.4999999999941</v>
      </c>
      <c r="B152" s="1">
        <v>26115</v>
      </c>
      <c r="C152" s="7">
        <f t="shared" si="9"/>
        <v>1971</v>
      </c>
      <c r="D152" s="7">
        <f t="shared" si="10"/>
        <v>7</v>
      </c>
      <c r="E152" s="7">
        <f t="shared" si="11"/>
        <v>3</v>
      </c>
      <c r="F152">
        <f xml:space="preserve"> [1]Coibion_update!O158</f>
        <v>3.6678907236754514</v>
      </c>
      <c r="G152">
        <f xml:space="preserve"> [1]Coibion_update!P158</f>
        <v>6</v>
      </c>
      <c r="H152">
        <f xml:space="preserve"> [1]Coibion_update!Q158</f>
        <v>3.7037680666076871</v>
      </c>
      <c r="I152">
        <f xml:space="preserve"> [1]Coibion_update!W158</f>
        <v>5.31</v>
      </c>
      <c r="J152">
        <f xml:space="preserve"> [1]Coibion_update!X158</f>
        <v>4.6851821239574765</v>
      </c>
      <c r="K152">
        <f xml:space="preserve"> [1]Coibion_update!Y158</f>
        <v>2.7548701717461008</v>
      </c>
      <c r="L152">
        <f xml:space="preserve"> [1]Coibion_update!Z158</f>
        <v>3.7464877667342495</v>
      </c>
      <c r="M152">
        <f xml:space="preserve"> [1]Coibion_update!AA158</f>
        <v>3.4041928906419536</v>
      </c>
      <c r="N152">
        <f xml:space="preserve"> [1]Coibion_update!AB158</f>
        <v>-0.1096186</v>
      </c>
      <c r="O152">
        <f xml:space="preserve"> [1]Coibion_update!AC158</f>
        <v>-1.1726893999999994</v>
      </c>
      <c r="P152">
        <f xml:space="preserve"> [1]Coibion_update!AD158</f>
        <v>-1.3403499000000001</v>
      </c>
      <c r="X152" s="5">
        <f xml:space="preserve"> [1]misc!N235</f>
        <v>6.04</v>
      </c>
      <c r="Z152">
        <f xml:space="preserve"> [1]Sims_Zha!B155</f>
        <v>1.7810999999999999</v>
      </c>
      <c r="AK152">
        <v>5.5</v>
      </c>
      <c r="AL152">
        <f xml:space="preserve"> LN([1]misc!B171)</f>
        <v>5.4156558589652697</v>
      </c>
      <c r="AM152">
        <f xml:space="preserve"> LN([1]misc!D171)</f>
        <v>6.5215043897977774</v>
      </c>
      <c r="AN152">
        <f xml:space="preserve"> LN([1]misc!G276)</f>
        <v>3.2288657588975487</v>
      </c>
      <c r="AO152">
        <f xml:space="preserve"> LN([1]misc!J182 + [1]misc!L182)</f>
        <v>2.660399387626204</v>
      </c>
      <c r="AP152">
        <f xml:space="preserve"> [1]Factors!B152</f>
        <v>-8.3810049799999994E-2</v>
      </c>
      <c r="AQ152">
        <f xml:space="preserve"> [1]Factors!C152</f>
        <v>0.12900250899999999</v>
      </c>
      <c r="AR152">
        <f xml:space="preserve"> [1]Factors!D152</f>
        <v>0.14998863600000001</v>
      </c>
      <c r="AS152">
        <f xml:space="preserve"> [1]Factors!E152</f>
        <v>-0.16698584299999999</v>
      </c>
      <c r="AT152">
        <f xml:space="preserve"> [1]Factors!F152</f>
        <v>-0.22266683500000001</v>
      </c>
    </row>
    <row r="153" spans="1:46" x14ac:dyDescent="0.25">
      <c r="A153">
        <f t="shared" si="12"/>
        <v>1971.5833333333273</v>
      </c>
      <c r="B153" s="1">
        <v>26146</v>
      </c>
      <c r="C153" s="7">
        <f t="shared" si="9"/>
        <v>1971</v>
      </c>
      <c r="D153" s="7">
        <f t="shared" si="10"/>
        <v>8</v>
      </c>
      <c r="E153" s="7">
        <f t="shared" si="11"/>
        <v>3</v>
      </c>
      <c r="F153">
        <f xml:space="preserve"> [1]Coibion_update!O159</f>
        <v>3.6620707917686079</v>
      </c>
      <c r="G153">
        <f xml:space="preserve"> [1]Coibion_update!P159</f>
        <v>6.1</v>
      </c>
      <c r="H153">
        <f xml:space="preserve"> [1]Coibion_update!Q159</f>
        <v>3.7062280924485496</v>
      </c>
      <c r="I153">
        <f xml:space="preserve"> [1]Coibion_update!W159</f>
        <v>5.56</v>
      </c>
      <c r="J153">
        <f xml:space="preserve"> [1]Coibion_update!X159</f>
        <v>4.6845357413688316</v>
      </c>
      <c r="K153">
        <f xml:space="preserve"> [1]Coibion_update!Y159</f>
        <v>2.7737130899014906</v>
      </c>
      <c r="L153">
        <f xml:space="preserve"> [1]Coibion_update!Z159</f>
        <v>3.7469124853645459</v>
      </c>
      <c r="M153">
        <f xml:space="preserve"> [1]Coibion_update!AA159</f>
        <v>3.4096614600742847</v>
      </c>
      <c r="N153">
        <f xml:space="preserve"> [1]Coibion_update!AB159</f>
        <v>0</v>
      </c>
      <c r="O153">
        <f xml:space="preserve"> [1]Coibion_update!AC159</f>
        <v>-1.1726893999999994</v>
      </c>
      <c r="P153">
        <f xml:space="preserve"> [1]Coibion_update!AD159</f>
        <v>-1.3403499000000001</v>
      </c>
      <c r="X153" s="5">
        <f xml:space="preserve"> [1]misc!N236</f>
        <v>5.8</v>
      </c>
      <c r="Z153">
        <f xml:space="preserve"> [1]Sims_Zha!B156</f>
        <v>1.5822000000000001</v>
      </c>
      <c r="AK153">
        <v>5.75</v>
      </c>
      <c r="AL153">
        <f xml:space="preserve"> LN([1]misc!B172)</f>
        <v>5.4187635196239041</v>
      </c>
      <c r="AM153">
        <f xml:space="preserve"> LN([1]misc!D172)</f>
        <v>6.5301484990023688</v>
      </c>
      <c r="AN153">
        <f xml:space="preserve"> LN([1]misc!G277)</f>
        <v>3.2227084708883771</v>
      </c>
      <c r="AO153">
        <f xml:space="preserve"> LN([1]misc!J183 + [1]misc!L183)</f>
        <v>2.6658383522929006</v>
      </c>
      <c r="AP153">
        <f xml:space="preserve"> [1]Factors!B153</f>
        <v>-8.3830698400000001E-2</v>
      </c>
      <c r="AQ153">
        <f xml:space="preserve"> [1]Factors!C153</f>
        <v>-3.25775643E-2</v>
      </c>
      <c r="AR153">
        <f xml:space="preserve"> [1]Factors!D153</f>
        <v>3.7417490499999997E-2</v>
      </c>
      <c r="AS153">
        <f xml:space="preserve"> [1]Factors!E153</f>
        <v>-0.23843476799999999</v>
      </c>
      <c r="AT153">
        <f xml:space="preserve"> [1]Factors!F153</f>
        <v>-8.2802447900000006E-2</v>
      </c>
    </row>
    <row r="154" spans="1:46" x14ac:dyDescent="0.25">
      <c r="A154">
        <f t="shared" si="12"/>
        <v>1971.6666666666606</v>
      </c>
      <c r="B154" s="1">
        <v>26177</v>
      </c>
      <c r="C154" s="7">
        <f t="shared" si="9"/>
        <v>1971</v>
      </c>
      <c r="D154" s="7">
        <f t="shared" si="10"/>
        <v>9</v>
      </c>
      <c r="E154" s="7">
        <f t="shared" si="11"/>
        <v>3</v>
      </c>
      <c r="F154">
        <f xml:space="preserve"> [1]Coibion_update!O160</f>
        <v>3.6781925520587913</v>
      </c>
      <c r="G154">
        <f xml:space="preserve"> [1]Coibion_update!P160</f>
        <v>6</v>
      </c>
      <c r="H154">
        <f xml:space="preserve"> [1]Coibion_update!Q160</f>
        <v>3.708682081410116</v>
      </c>
      <c r="I154">
        <f xml:space="preserve"> [1]Coibion_update!W160</f>
        <v>5.55</v>
      </c>
      <c r="J154">
        <f xml:space="preserve"> [1]Coibion_update!X160</f>
        <v>4.6770256230885199</v>
      </c>
      <c r="K154">
        <f xml:space="preserve"> [1]Coibion_update!Y160</f>
        <v>2.8250625695004836</v>
      </c>
      <c r="L154">
        <f xml:space="preserve"> [1]Coibion_update!Z160</f>
        <v>3.7511497798400608</v>
      </c>
      <c r="M154">
        <f xml:space="preserve"> [1]Coibion_update!AA160</f>
        <v>3.4114776910697118</v>
      </c>
      <c r="N154">
        <f xml:space="preserve"> [1]Coibion_update!AB160</f>
        <v>0</v>
      </c>
      <c r="O154">
        <f xml:space="preserve"> [1]Coibion_update!AC160</f>
        <v>-1.1726893999999994</v>
      </c>
      <c r="P154">
        <f xml:space="preserve"> [1]Coibion_update!AD160</f>
        <v>-1.3403499000000001</v>
      </c>
      <c r="X154" s="5">
        <f xml:space="preserve"> [1]misc!N237</f>
        <v>5.41</v>
      </c>
      <c r="Z154">
        <f xml:space="preserve"> [1]Sims_Zha!B157</f>
        <v>-6.4972000000000002E-2</v>
      </c>
      <c r="AK154">
        <v>5.38</v>
      </c>
      <c r="AL154">
        <f xml:space="preserve"> LN([1]misc!B173)</f>
        <v>5.4227449449230889</v>
      </c>
      <c r="AM154">
        <f xml:space="preserve"> LN([1]misc!D173)</f>
        <v>6.5403082380614936</v>
      </c>
      <c r="AN154">
        <f xml:space="preserve"> LN([1]misc!G278)</f>
        <v>3.2326603798388174</v>
      </c>
      <c r="AO154">
        <f xml:space="preserve"> LN([1]misc!J184 + [1]misc!L184)</f>
        <v>2.7032386441049883</v>
      </c>
      <c r="AP154">
        <f xml:space="preserve"> [1]Factors!B154</f>
        <v>0.10309265200000001</v>
      </c>
      <c r="AQ154">
        <f xml:space="preserve"> [1]Factors!C154</f>
        <v>7.4338567199999997E-2</v>
      </c>
      <c r="AR154">
        <f xml:space="preserve"> [1]Factors!D154</f>
        <v>-0.22420959600000001</v>
      </c>
      <c r="AS154">
        <f xml:space="preserve"> [1]Factors!E154</f>
        <v>-1.9989742099999999E-2</v>
      </c>
      <c r="AT154">
        <f xml:space="preserve"> [1]Factors!F154</f>
        <v>0.25599263799999999</v>
      </c>
    </row>
    <row r="155" spans="1:46" x14ac:dyDescent="0.25">
      <c r="A155">
        <f t="shared" si="12"/>
        <v>1971.7499999999939</v>
      </c>
      <c r="B155" s="1">
        <v>26207</v>
      </c>
      <c r="C155" s="7">
        <f t="shared" si="9"/>
        <v>1971</v>
      </c>
      <c r="D155" s="7">
        <f t="shared" si="10"/>
        <v>10</v>
      </c>
      <c r="E155" s="7">
        <f t="shared" si="11"/>
        <v>4</v>
      </c>
      <c r="F155">
        <f xml:space="preserve"> [1]Coibion_update!O161</f>
        <v>3.6856492425936511</v>
      </c>
      <c r="G155">
        <f xml:space="preserve"> [1]Coibion_update!P161</f>
        <v>5.8</v>
      </c>
      <c r="H155">
        <f xml:space="preserve"> [1]Coibion_update!Q161</f>
        <v>3.7111300630487558</v>
      </c>
      <c r="I155">
        <f xml:space="preserve"> [1]Coibion_update!W161</f>
        <v>5.2</v>
      </c>
      <c r="J155">
        <f xml:space="preserve"> [1]Coibion_update!X161</f>
        <v>4.6698336993138136</v>
      </c>
      <c r="K155">
        <f xml:space="preserve"> [1]Coibion_update!Y161</f>
        <v>2.8277277373548295</v>
      </c>
      <c r="L155">
        <f xml:space="preserve"> [1]Coibion_update!Z161</f>
        <v>3.7474077625530051</v>
      </c>
      <c r="M155">
        <f xml:space="preserve"> [1]Coibion_update!AA161</f>
        <v>3.41795616547711</v>
      </c>
      <c r="N155">
        <f xml:space="preserve"> [1]Coibion_update!AB161</f>
        <v>-0.29955159999999997</v>
      </c>
      <c r="O155">
        <f xml:space="preserve"> [1]Coibion_update!AC161</f>
        <v>-1.4722409999999995</v>
      </c>
      <c r="P155">
        <f xml:space="preserve"> [1]Coibion_update!AD161</f>
        <v>-1.6625306000000002</v>
      </c>
      <c r="X155" s="5">
        <f xml:space="preserve"> [1]misc!N238</f>
        <v>4.91</v>
      </c>
      <c r="Z155">
        <f xml:space="preserve"> [1]Sims_Zha!B158</f>
        <v>-1.3591</v>
      </c>
      <c r="AK155">
        <v>5.13</v>
      </c>
      <c r="AL155">
        <f xml:space="preserve"> LN([1]misc!B174)</f>
        <v>5.4258306868469965</v>
      </c>
      <c r="AM155">
        <f xml:space="preserve"> LN([1]misc!D174)</f>
        <v>6.5487920045253922</v>
      </c>
      <c r="AN155">
        <f xml:space="preserve"> LN([1]misc!G279)</f>
        <v>3.235378896967215</v>
      </c>
      <c r="AO155">
        <f xml:space="preserve"> LN([1]misc!J185 + [1]misc!L185)</f>
        <v>2.6982691892471045</v>
      </c>
      <c r="AP155">
        <f xml:space="preserve"> [1]Factors!B155</f>
        <v>-0.33663382800000002</v>
      </c>
      <c r="AQ155">
        <f xml:space="preserve"> [1]Factors!C155</f>
        <v>-0.248136984</v>
      </c>
      <c r="AR155">
        <f xml:space="preserve"> [1]Factors!D155</f>
        <v>-0.34327194100000002</v>
      </c>
      <c r="AS155">
        <f xml:space="preserve"> [1]Factors!E155</f>
        <v>0.221597189</v>
      </c>
      <c r="AT155">
        <f xml:space="preserve"> [1]Factors!F155</f>
        <v>-0.21547180699999999</v>
      </c>
    </row>
    <row r="156" spans="1:46" x14ac:dyDescent="0.25">
      <c r="A156">
        <f t="shared" si="12"/>
        <v>1971.8333333333271</v>
      </c>
      <c r="B156" s="1">
        <v>26238</v>
      </c>
      <c r="C156" s="7">
        <f t="shared" si="9"/>
        <v>1971</v>
      </c>
      <c r="D156" s="7">
        <f t="shared" si="10"/>
        <v>11</v>
      </c>
      <c r="E156" s="7">
        <f t="shared" si="11"/>
        <v>4</v>
      </c>
      <c r="F156">
        <f xml:space="preserve"> [1]Coibion_update!O162</f>
        <v>3.6898839494395399</v>
      </c>
      <c r="G156">
        <f xml:space="preserve"> [1]Coibion_update!P162</f>
        <v>6</v>
      </c>
      <c r="H156">
        <f xml:space="preserve"> [1]Coibion_update!Q162</f>
        <v>3.713572066704308</v>
      </c>
      <c r="I156">
        <f xml:space="preserve"> [1]Coibion_update!W162</f>
        <v>4.91</v>
      </c>
      <c r="J156">
        <f xml:space="preserve"> [1]Coibion_update!X162</f>
        <v>4.6619285198067004</v>
      </c>
      <c r="K156">
        <f xml:space="preserve"> [1]Coibion_update!Y162</f>
        <v>2.8275502803137558</v>
      </c>
      <c r="L156">
        <f xml:space="preserve"> [1]Coibion_update!Z162</f>
        <v>3.7577289819943505</v>
      </c>
      <c r="M156">
        <f xml:space="preserve"> [1]Coibion_update!AA162</f>
        <v>3.4210980433684917</v>
      </c>
      <c r="N156">
        <f xml:space="preserve"> [1]Coibion_update!AB162</f>
        <v>-0.3463425</v>
      </c>
      <c r="O156">
        <f xml:space="preserve"> [1]Coibion_update!AC162</f>
        <v>-1.8185834999999995</v>
      </c>
      <c r="P156">
        <f xml:space="preserve"> [1]Coibion_update!AD162</f>
        <v>-2.0045754000000002</v>
      </c>
      <c r="X156" s="5">
        <f xml:space="preserve"> [1]misc!N239</f>
        <v>4.67</v>
      </c>
      <c r="Z156">
        <f xml:space="preserve"> [1]Sims_Zha!B159</f>
        <v>-0.80415000000000003</v>
      </c>
      <c r="AK156">
        <v>4.25</v>
      </c>
      <c r="AL156">
        <f xml:space="preserve"> LN([1]misc!B175)</f>
        <v>5.4284680510130814</v>
      </c>
      <c r="AM156">
        <f xml:space="preserve"> LN([1]misc!D175)</f>
        <v>6.5576302659071377</v>
      </c>
      <c r="AN156">
        <f xml:space="preserve"> LN([1]misc!G280)</f>
        <v>3.2376975791087887</v>
      </c>
      <c r="AO156">
        <f xml:space="preserve"> LN([1]misc!J186 + [1]misc!L186)</f>
        <v>2.698942182071483</v>
      </c>
      <c r="AP156">
        <f xml:space="preserve"> [1]Factors!B156</f>
        <v>-0.124474029</v>
      </c>
      <c r="AQ156">
        <f xml:space="preserve"> [1]Factors!C156</f>
        <v>-0.17210568800000001</v>
      </c>
      <c r="AR156">
        <f xml:space="preserve"> [1]Factors!D156</f>
        <v>-0.144145839</v>
      </c>
      <c r="AS156">
        <f xml:space="preserve"> [1]Factors!E156</f>
        <v>0.120224815</v>
      </c>
      <c r="AT156">
        <f xml:space="preserve"> [1]Factors!F156</f>
        <v>-0.236537513</v>
      </c>
    </row>
    <row r="157" spans="1:46" x14ac:dyDescent="0.25">
      <c r="A157">
        <f t="shared" si="12"/>
        <v>1971.9166666666604</v>
      </c>
      <c r="B157" s="1">
        <v>26268</v>
      </c>
      <c r="C157" s="7">
        <f t="shared" si="9"/>
        <v>1971</v>
      </c>
      <c r="D157" s="7">
        <f t="shared" si="10"/>
        <v>12</v>
      </c>
      <c r="E157" s="7">
        <f t="shared" si="11"/>
        <v>4</v>
      </c>
      <c r="F157">
        <f xml:space="preserve"> [1]Coibion_update!O163</f>
        <v>3.7013612316159921</v>
      </c>
      <c r="G157">
        <f xml:space="preserve"> [1]Coibion_update!P163</f>
        <v>6</v>
      </c>
      <c r="H157">
        <f xml:space="preserve"> [1]Coibion_update!Q163</f>
        <v>3.7160081215021892</v>
      </c>
      <c r="I157">
        <f xml:space="preserve"> [1]Coibion_update!W163</f>
        <v>4.1399999999999997</v>
      </c>
      <c r="J157">
        <f xml:space="preserve"> [1]Coibion_update!X163</f>
        <v>4.6695524449173593</v>
      </c>
      <c r="K157">
        <f xml:space="preserve"> [1]Coibion_update!Y163</f>
        <v>2.8251218726880474</v>
      </c>
      <c r="L157">
        <f xml:space="preserve"> [1]Coibion_update!Z163</f>
        <v>3.7597339250821609</v>
      </c>
      <c r="M157">
        <f xml:space="preserve"> [1]Coibion_update!AA163</f>
        <v>3.4329867041515629</v>
      </c>
      <c r="N157">
        <f xml:space="preserve"> [1]Coibion_update!AB163</f>
        <v>-0.89109919999999998</v>
      </c>
      <c r="O157">
        <f xml:space="preserve"> [1]Coibion_update!AC163</f>
        <v>-2.7096826999999992</v>
      </c>
      <c r="P157">
        <f xml:space="preserve"> [1]Coibion_update!AD163</f>
        <v>-2.9254285000000002</v>
      </c>
      <c r="X157" s="5">
        <f xml:space="preserve"> [1]misc!N240</f>
        <v>4.5999999999999996</v>
      </c>
      <c r="Z157">
        <f xml:space="preserve"> [1]Sims_Zha!B160</f>
        <v>-3.6080999999999999</v>
      </c>
      <c r="AK157">
        <v>3</v>
      </c>
      <c r="AL157">
        <f xml:space="preserve"> LN([1]misc!B176)</f>
        <v>5.4306605535357502</v>
      </c>
      <c r="AM157">
        <f xml:space="preserve"> LN([1]misc!D176)</f>
        <v>6.5656874160037644</v>
      </c>
      <c r="AN157">
        <f xml:space="preserve"> LN([1]misc!G281)</f>
        <v>3.2453229948830491</v>
      </c>
      <c r="AO157">
        <f xml:space="preserve"> LN([1]misc!J187 + [1]misc!L187)</f>
        <v>2.7149596094031447</v>
      </c>
      <c r="AP157">
        <f xml:space="preserve"> [1]Factors!B157</f>
        <v>-0.128956924</v>
      </c>
      <c r="AQ157">
        <f xml:space="preserve"> [1]Factors!C157</f>
        <v>-4.3013841800000001E-2</v>
      </c>
      <c r="AR157">
        <f xml:space="preserve"> [1]Factors!D157</f>
        <v>-0.28884845599999998</v>
      </c>
      <c r="AS157">
        <f xml:space="preserve"> [1]Factors!E157</f>
        <v>1.8923832200000001E-2</v>
      </c>
      <c r="AT157">
        <f xml:space="preserve"> [1]Factors!F157</f>
        <v>-8.9074939800000003E-2</v>
      </c>
    </row>
    <row r="158" spans="1:46" x14ac:dyDescent="0.25">
      <c r="A158">
        <f t="shared" si="12"/>
        <v>1971.9999999999936</v>
      </c>
      <c r="B158" s="1">
        <v>26299</v>
      </c>
      <c r="C158" s="7">
        <f t="shared" si="9"/>
        <v>1972</v>
      </c>
      <c r="D158" s="7">
        <f t="shared" si="10"/>
        <v>1</v>
      </c>
      <c r="E158" s="7">
        <f t="shared" si="11"/>
        <v>1</v>
      </c>
      <c r="F158">
        <f xml:space="preserve"> [1]Coibion_update!O164</f>
        <v>3.7251077135712132</v>
      </c>
      <c r="G158">
        <f xml:space="preserve"> [1]Coibion_update!P164</f>
        <v>5.8</v>
      </c>
      <c r="H158">
        <f xml:space="preserve"> [1]Coibion_update!Q164</f>
        <v>3.7184382563554808</v>
      </c>
      <c r="I158">
        <f xml:space="preserve"> [1]Coibion_update!W164</f>
        <v>3.5</v>
      </c>
      <c r="J158">
        <f xml:space="preserve"> [1]Coibion_update!X164</f>
        <v>4.7034758747722147</v>
      </c>
      <c r="K158">
        <f xml:space="preserve"> [1]Coibion_update!Y164</f>
        <v>2.8486234085157789</v>
      </c>
      <c r="L158">
        <f xml:space="preserve"> [1]Coibion_update!Z164</f>
        <v>3.7466293596548401</v>
      </c>
      <c r="M158">
        <f xml:space="preserve"> [1]Coibion_update!AA164</f>
        <v>3.434890022628625</v>
      </c>
      <c r="N158">
        <f xml:space="preserve"> [1]Coibion_update!AB164</f>
        <v>-0.26992919999999998</v>
      </c>
      <c r="O158">
        <f xml:space="preserve"> [1]Coibion_update!AC164</f>
        <v>-2.9796118999999992</v>
      </c>
      <c r="P158">
        <f xml:space="preserve"> [1]Coibion_update!AD164</f>
        <v>-3.1567563000000001</v>
      </c>
      <c r="X158" s="5">
        <f xml:space="preserve"> [1]misc!N241</f>
        <v>4.28</v>
      </c>
      <c r="Z158">
        <f xml:space="preserve"> [1]Sims_Zha!B161</f>
        <v>-3.5278</v>
      </c>
      <c r="AK158">
        <v>3.13</v>
      </c>
      <c r="AL158">
        <f xml:space="preserve"> LN([1]misc!B177)</f>
        <v>5.4385139970413201</v>
      </c>
      <c r="AM158">
        <f xml:space="preserve"> LN([1]misc!D177)</f>
        <v>6.5760516544360259</v>
      </c>
      <c r="AN158">
        <f xml:space="preserve"> LN([1]misc!G282)</f>
        <v>3.2951329145849551</v>
      </c>
      <c r="AO158">
        <f xml:space="preserve"> LN([1]misc!J188 + [1]misc!L188)</f>
        <v>2.7309200151929578</v>
      </c>
      <c r="AP158">
        <f xml:space="preserve"> [1]Factors!B158</f>
        <v>-0.41162772399999997</v>
      </c>
      <c r="AQ158">
        <f xml:space="preserve"> [1]Factors!C158</f>
        <v>-2.4488693999999998E-2</v>
      </c>
      <c r="AR158">
        <f xml:space="preserve"> [1]Factors!D158</f>
        <v>-0.13723486200000001</v>
      </c>
      <c r="AS158">
        <f xml:space="preserve"> [1]Factors!E158</f>
        <v>0.18888890799999999</v>
      </c>
      <c r="AT158">
        <f xml:space="preserve"> [1]Factors!F158</f>
        <v>-7.6630304100000005E-2</v>
      </c>
    </row>
    <row r="159" spans="1:46" x14ac:dyDescent="0.25">
      <c r="A159">
        <f t="shared" si="12"/>
        <v>1972.0833333333269</v>
      </c>
      <c r="B159" s="1">
        <v>26330</v>
      </c>
      <c r="C159" s="7">
        <f t="shared" si="9"/>
        <v>1972</v>
      </c>
      <c r="D159" s="7">
        <f t="shared" si="10"/>
        <v>2</v>
      </c>
      <c r="E159" s="7">
        <f t="shared" si="11"/>
        <v>1</v>
      </c>
      <c r="F159">
        <f xml:space="preserve"> [1]Coibion_update!O165</f>
        <v>3.7345337542161601</v>
      </c>
      <c r="G159">
        <f xml:space="preserve"> [1]Coibion_update!P165</f>
        <v>5.7</v>
      </c>
      <c r="H159">
        <f xml:space="preserve"> [1]Coibion_update!Q165</f>
        <v>3.7232808808312687</v>
      </c>
      <c r="I159">
        <f xml:space="preserve"> [1]Coibion_update!W165</f>
        <v>3.29</v>
      </c>
      <c r="J159">
        <f xml:space="preserve"> [1]Coibion_update!X165</f>
        <v>4.7215299871042866</v>
      </c>
      <c r="K159">
        <f xml:space="preserve"> [1]Coibion_update!Y165</f>
        <v>2.8367365420635329</v>
      </c>
      <c r="L159">
        <f xml:space="preserve"> [1]Coibion_update!Z165</f>
        <v>3.7543628412250287</v>
      </c>
      <c r="M159">
        <f xml:space="preserve"> [1]Coibion_update!AA165</f>
        <v>3.4380434827828181</v>
      </c>
      <c r="N159">
        <f xml:space="preserve"> [1]Coibion_update!AB165</f>
        <v>-8.2486199999999996E-2</v>
      </c>
      <c r="O159">
        <f xml:space="preserve"> [1]Coibion_update!AC165</f>
        <v>-3.0620980999999992</v>
      </c>
      <c r="P159">
        <f xml:space="preserve"> [1]Coibion_update!AD165</f>
        <v>-3.2416377999999999</v>
      </c>
      <c r="X159" s="5">
        <f xml:space="preserve"> [1]misc!N242</f>
        <v>4.2699999999999996</v>
      </c>
      <c r="Z159">
        <f xml:space="preserve"> [1]Sims_Zha!B162</f>
        <v>-1.79</v>
      </c>
      <c r="AK159">
        <v>3.25</v>
      </c>
      <c r="AL159">
        <f xml:space="preserve"> LN([1]misc!B178)</f>
        <v>5.4480296397763635</v>
      </c>
      <c r="AM159">
        <f xml:space="preserve"> LN([1]misc!D178)</f>
        <v>6.5871367062840918</v>
      </c>
      <c r="AN159">
        <f xml:space="preserve"> LN([1]misc!G283)</f>
        <v>3.2732124835211751</v>
      </c>
      <c r="AO159">
        <f xml:space="preserve"> LN([1]misc!J189 + [1]misc!L189)</f>
        <v>2.7298769223283172</v>
      </c>
      <c r="AP159">
        <f xml:space="preserve"> [1]Factors!B159</f>
        <v>-0.71471978800000002</v>
      </c>
      <c r="AQ159">
        <f xml:space="preserve"> [1]Factors!C159</f>
        <v>-0.230897662</v>
      </c>
      <c r="AR159">
        <f xml:space="preserve"> [1]Factors!D159</f>
        <v>-0.32646393099999998</v>
      </c>
      <c r="AS159">
        <f xml:space="preserve"> [1]Factors!E159</f>
        <v>0.273847699</v>
      </c>
      <c r="AT159">
        <f xml:space="preserve"> [1]Factors!F159</f>
        <v>-0.237034936</v>
      </c>
    </row>
    <row r="160" spans="1:46" x14ac:dyDescent="0.25">
      <c r="A160">
        <f t="shared" si="12"/>
        <v>1972.1666666666601</v>
      </c>
      <c r="B160" s="1">
        <v>26359</v>
      </c>
      <c r="C160" s="7">
        <f t="shared" si="9"/>
        <v>1972</v>
      </c>
      <c r="D160" s="7">
        <f t="shared" si="10"/>
        <v>3</v>
      </c>
      <c r="E160" s="7">
        <f t="shared" si="11"/>
        <v>1</v>
      </c>
      <c r="F160">
        <f xml:space="preserve"> [1]Coibion_update!O166</f>
        <v>3.7418015462898806</v>
      </c>
      <c r="G160">
        <f xml:space="preserve"> [1]Coibion_update!P166</f>
        <v>5.8</v>
      </c>
      <c r="H160">
        <f xml:space="preserve"> [1]Coibion_update!Q166</f>
        <v>3.7232808808312687</v>
      </c>
      <c r="I160">
        <f xml:space="preserve"> [1]Coibion_update!W166</f>
        <v>3.83</v>
      </c>
      <c r="J160">
        <f xml:space="preserve"> [1]Coibion_update!X166</f>
        <v>4.7395262384871701</v>
      </c>
      <c r="K160">
        <f xml:space="preserve"> [1]Coibion_update!Y166</f>
        <v>2.8628292548897636</v>
      </c>
      <c r="L160">
        <f xml:space="preserve"> [1]Coibion_update!Z166</f>
        <v>3.7735881820408905</v>
      </c>
      <c r="M160">
        <f xml:space="preserve"> [1]Coibion_update!AA166</f>
        <v>3.449257120405715</v>
      </c>
      <c r="N160">
        <f xml:space="preserve"> [1]Coibion_update!AB166</f>
        <v>0.23055020000000001</v>
      </c>
      <c r="O160">
        <f xml:space="preserve"> [1]Coibion_update!AC166</f>
        <v>-2.831547899999999</v>
      </c>
      <c r="P160">
        <f xml:space="preserve"> [1]Coibion_update!AD166</f>
        <v>-2.9879769</v>
      </c>
      <c r="X160" s="5">
        <f xml:space="preserve"> [1]misc!N243</f>
        <v>4.67</v>
      </c>
      <c r="Z160">
        <f xml:space="preserve"> [1]Sims_Zha!B163</f>
        <v>2.4319000000000002</v>
      </c>
      <c r="AK160">
        <v>4</v>
      </c>
      <c r="AL160">
        <f xml:space="preserve"> LN([1]misc!B179)</f>
        <v>5.4566023455137502</v>
      </c>
      <c r="AM160">
        <f xml:space="preserve"> LN([1]misc!D179)</f>
        <v>6.5978275975830361</v>
      </c>
      <c r="AN160">
        <f xml:space="preserve"> LN([1]misc!G284)</f>
        <v>3.2777106105890934</v>
      </c>
      <c r="AO160">
        <f xml:space="preserve"> LN([1]misc!J190 + [1]misc!L190)</f>
        <v>2.7331979946348621</v>
      </c>
      <c r="AP160">
        <f xml:space="preserve"> [1]Factors!B160</f>
        <v>-0.420120885</v>
      </c>
      <c r="AQ160">
        <f xml:space="preserve"> [1]Factors!C160</f>
        <v>-6.8123679399999998E-2</v>
      </c>
      <c r="AR160">
        <f xml:space="preserve"> [1]Factors!D160</f>
        <v>-3.1804814299999998E-2</v>
      </c>
      <c r="AS160">
        <f xml:space="preserve"> [1]Factors!E160</f>
        <v>9.8570606399999997E-2</v>
      </c>
      <c r="AT160">
        <f xml:space="preserve"> [1]Factors!F160</f>
        <v>-2.9594116E-2</v>
      </c>
    </row>
    <row r="161" spans="1:46" x14ac:dyDescent="0.25">
      <c r="A161">
        <f t="shared" si="12"/>
        <v>1972.2499999999934</v>
      </c>
      <c r="B161" s="1">
        <v>26390</v>
      </c>
      <c r="C161" s="7">
        <f t="shared" si="9"/>
        <v>1972</v>
      </c>
      <c r="D161" s="7">
        <f t="shared" si="10"/>
        <v>4</v>
      </c>
      <c r="E161" s="7">
        <f t="shared" si="11"/>
        <v>2</v>
      </c>
      <c r="F161">
        <f xml:space="preserve"> [1]Coibion_update!O167</f>
        <v>3.752206303974261</v>
      </c>
      <c r="G161">
        <f xml:space="preserve"> [1]Coibion_update!P167</f>
        <v>5.7</v>
      </c>
      <c r="H161">
        <f xml:space="preserve"> [1]Coibion_update!Q167</f>
        <v>3.7256934272366524</v>
      </c>
      <c r="I161">
        <f xml:space="preserve"> [1]Coibion_update!W167</f>
        <v>4.17</v>
      </c>
      <c r="J161">
        <f xml:space="preserve"> [1]Coibion_update!X167</f>
        <v>4.7501359562382772</v>
      </c>
      <c r="K161">
        <f xml:space="preserve"> [1]Coibion_update!Y167</f>
        <v>2.864712011115587</v>
      </c>
      <c r="L161">
        <f xml:space="preserve"> [1]Coibion_update!Z167</f>
        <v>3.7776455406998273</v>
      </c>
      <c r="M161">
        <f xml:space="preserve"> [1]Coibion_update!AA167</f>
        <v>3.4517637452328431</v>
      </c>
      <c r="N161">
        <f xml:space="preserve"> [1]Coibion_update!AB167</f>
        <v>-0.14241419999999999</v>
      </c>
      <c r="O161">
        <f xml:space="preserve"> [1]Coibion_update!AC167</f>
        <v>-2.9739620999999992</v>
      </c>
      <c r="P161">
        <f xml:space="preserve"> [1]Coibion_update!AD167</f>
        <v>-3.0921608000000003</v>
      </c>
      <c r="X161" s="5">
        <f xml:space="preserve"> [1]misc!N244</f>
        <v>4.96</v>
      </c>
      <c r="Z161">
        <f xml:space="preserve"> [1]Sims_Zha!B164</f>
        <v>0.44497999999999999</v>
      </c>
      <c r="AK161">
        <v>4.3099999999999996</v>
      </c>
      <c r="AL161">
        <f xml:space="preserve"> LN([1]misc!B180)</f>
        <v>5.4621354517774314</v>
      </c>
      <c r="AM161">
        <f xml:space="preserve"> LN([1]misc!D180)</f>
        <v>6.604485683188642</v>
      </c>
      <c r="AN161">
        <f xml:space="preserve"> LN([1]misc!G285)</f>
        <v>3.3017084831614127</v>
      </c>
      <c r="AO161">
        <f xml:space="preserve"> LN([1]misc!J191 + [1]misc!L191)</f>
        <v>2.7430311699974554</v>
      </c>
      <c r="AP161">
        <f xml:space="preserve"> [1]Factors!B161</f>
        <v>-0.47681093099999999</v>
      </c>
      <c r="AQ161">
        <f xml:space="preserve"> [1]Factors!C161</f>
        <v>-0.19548660000000001</v>
      </c>
      <c r="AR161">
        <f xml:space="preserve"> [1]Factors!D161</f>
        <v>-0.144695451</v>
      </c>
      <c r="AS161">
        <f xml:space="preserve"> [1]Factors!E161</f>
        <v>-0.107605298</v>
      </c>
      <c r="AT161">
        <f xml:space="preserve"> [1]Factors!F161</f>
        <v>8.0146627499999998E-2</v>
      </c>
    </row>
    <row r="162" spans="1:46" x14ac:dyDescent="0.25">
      <c r="A162">
        <f t="shared" si="12"/>
        <v>1972.3333333333267</v>
      </c>
      <c r="B162" s="1">
        <v>26420</v>
      </c>
      <c r="C162" s="7">
        <f t="shared" si="9"/>
        <v>1972</v>
      </c>
      <c r="D162" s="7">
        <f t="shared" si="10"/>
        <v>5</v>
      </c>
      <c r="E162" s="7">
        <f t="shared" si="11"/>
        <v>2</v>
      </c>
      <c r="F162">
        <f xml:space="preserve"> [1]Coibion_update!O168</f>
        <v>3.7517462662242758</v>
      </c>
      <c r="G162">
        <f xml:space="preserve"> [1]Coibion_update!P168</f>
        <v>5.7</v>
      </c>
      <c r="H162">
        <f xml:space="preserve"> [1]Coibion_update!Q168</f>
        <v>3.7281001672672178</v>
      </c>
      <c r="I162">
        <f xml:space="preserve"> [1]Coibion_update!W168</f>
        <v>4.2699999999999996</v>
      </c>
      <c r="J162">
        <f xml:space="preserve"> [1]Coibion_update!X168</f>
        <v>4.7828141532309347</v>
      </c>
      <c r="K162">
        <f xml:space="preserve"> [1]Coibion_update!Y168</f>
        <v>2.8779617378194833</v>
      </c>
      <c r="L162">
        <f xml:space="preserve"> [1]Coibion_update!Z168</f>
        <v>3.7886342872509284</v>
      </c>
      <c r="M162">
        <f xml:space="preserve"> [1]Coibion_update!AA168</f>
        <v>3.4504953533834417</v>
      </c>
      <c r="N162">
        <f xml:space="preserve"> [1]Coibion_update!AB168</f>
        <v>-0.13742199999999999</v>
      </c>
      <c r="O162">
        <f xml:space="preserve"> [1]Coibion_update!AC168</f>
        <v>-3.1113840999999991</v>
      </c>
      <c r="P162">
        <f xml:space="preserve"> [1]Coibion_update!AD168</f>
        <v>-3.2061368000000003</v>
      </c>
      <c r="X162" s="5">
        <f xml:space="preserve"> [1]misc!N245</f>
        <v>4.6399999999999997</v>
      </c>
      <c r="Z162">
        <f xml:space="preserve"> [1]Sims_Zha!B165</f>
        <v>-1.8085</v>
      </c>
      <c r="AK162">
        <v>4.75</v>
      </c>
      <c r="AL162">
        <f xml:space="preserve"> LN([1]misc!B181)</f>
        <v>5.4634079864136291</v>
      </c>
      <c r="AM162">
        <f xml:space="preserve"> LN([1]misc!D181)</f>
        <v>6.6110997317312474</v>
      </c>
      <c r="AN162">
        <f xml:space="preserve"> LN([1]misc!G286)</f>
        <v>3.3097762961838257</v>
      </c>
      <c r="AO162">
        <f xml:space="preserve"> LN([1]misc!J192 + [1]misc!L192)</f>
        <v>2.7490641771928241</v>
      </c>
      <c r="AP162">
        <f xml:space="preserve"> [1]Factors!B162</f>
        <v>-0.44794803500000002</v>
      </c>
      <c r="AQ162">
        <f xml:space="preserve"> [1]Factors!C162</f>
        <v>-0.16356263400000001</v>
      </c>
      <c r="AR162">
        <f xml:space="preserve"> [1]Factors!D162</f>
        <v>-1.57908457E-2</v>
      </c>
      <c r="AS162">
        <f xml:space="preserve"> [1]Factors!E162</f>
        <v>-7.1561964899999997E-2</v>
      </c>
      <c r="AT162">
        <f xml:space="preserve"> [1]Factors!F162</f>
        <v>-9.9563064300000004E-2</v>
      </c>
    </row>
    <row r="163" spans="1:46" x14ac:dyDescent="0.25">
      <c r="A163">
        <f t="shared" si="12"/>
        <v>1972.4166666666599</v>
      </c>
      <c r="B163" s="1">
        <v>26451</v>
      </c>
      <c r="C163" s="7">
        <f t="shared" si="9"/>
        <v>1972</v>
      </c>
      <c r="D163" s="7">
        <f t="shared" si="10"/>
        <v>6</v>
      </c>
      <c r="E163" s="7">
        <f t="shared" si="11"/>
        <v>2</v>
      </c>
      <c r="F163">
        <f xml:space="preserve"> [1]Coibion_update!O169</f>
        <v>3.7544962999004503</v>
      </c>
      <c r="G163">
        <f xml:space="preserve"> [1]Coibion_update!P169</f>
        <v>5.7</v>
      </c>
      <c r="H163">
        <f xml:space="preserve"> [1]Coibion_update!Q169</f>
        <v>3.730501128804756</v>
      </c>
      <c r="I163">
        <f xml:space="preserve"> [1]Coibion_update!W169</f>
        <v>4.46</v>
      </c>
      <c r="J163">
        <f xml:space="preserve"> [1]Coibion_update!X169</f>
        <v>4.7803832035447513</v>
      </c>
      <c r="K163">
        <f xml:space="preserve"> [1]Coibion_update!Y169</f>
        <v>2.8800407990577996</v>
      </c>
      <c r="L163">
        <f xml:space="preserve"> [1]Coibion_update!Z169</f>
        <v>3.7885211484408021</v>
      </c>
      <c r="M163">
        <f xml:space="preserve"> [1]Coibion_update!AA169</f>
        <v>3.4563166808832348</v>
      </c>
      <c r="N163">
        <f xml:space="preserve"> [1]Coibion_update!AB169</f>
        <v>-9.3250600000000003E-2</v>
      </c>
      <c r="O163">
        <f xml:space="preserve"> [1]Coibion_update!AC169</f>
        <v>-3.2046346999999993</v>
      </c>
      <c r="P163">
        <f xml:space="preserve"> [1]Coibion_update!AD169</f>
        <v>-3.2570259000000004</v>
      </c>
      <c r="X163" s="5">
        <f xml:space="preserve"> [1]misc!N246</f>
        <v>4.93</v>
      </c>
      <c r="Z163">
        <f xml:space="preserve"> [1]Sims_Zha!B166</f>
        <v>-1.4224000000000001</v>
      </c>
      <c r="AK163">
        <v>4.5</v>
      </c>
      <c r="AL163">
        <f xml:space="preserve"> LN([1]misc!B182)</f>
        <v>5.4663709515442864</v>
      </c>
      <c r="AM163">
        <f xml:space="preserve"> LN([1]misc!D182)</f>
        <v>6.6196731265090163</v>
      </c>
      <c r="AN163">
        <f xml:space="preserve"> LN([1]misc!G287)</f>
        <v>3.2960220340448543</v>
      </c>
      <c r="AO163">
        <f xml:space="preserve"> LN([1]misc!J193 + [1]misc!L193)</f>
        <v>2.7605793981140505</v>
      </c>
      <c r="AP163">
        <f xml:space="preserve"> [1]Factors!B163</f>
        <v>-0.266988314</v>
      </c>
      <c r="AQ163">
        <f xml:space="preserve"> [1]Factors!C163</f>
        <v>1.35355545E-2</v>
      </c>
      <c r="AR163">
        <f xml:space="preserve"> [1]Factors!D163</f>
        <v>-0.217094712</v>
      </c>
      <c r="AS163">
        <f xml:space="preserve"> [1]Factors!E163</f>
        <v>-2.4722310500000001E-2</v>
      </c>
      <c r="AT163">
        <f xml:space="preserve"> [1]Factors!F163</f>
        <v>0.22983490500000001</v>
      </c>
    </row>
    <row r="164" spans="1:46" x14ac:dyDescent="0.25">
      <c r="A164">
        <f t="shared" si="12"/>
        <v>1972.4999999999932</v>
      </c>
      <c r="B164" s="1">
        <v>26481</v>
      </c>
      <c r="C164" s="7">
        <f t="shared" si="9"/>
        <v>1972</v>
      </c>
      <c r="D164" s="7">
        <f t="shared" si="10"/>
        <v>7</v>
      </c>
      <c r="E164" s="7">
        <f t="shared" si="11"/>
        <v>3</v>
      </c>
      <c r="F164">
        <f xml:space="preserve"> [1]Coibion_update!O170</f>
        <v>3.7541567647793053</v>
      </c>
      <c r="G164">
        <f xml:space="preserve"> [1]Coibion_update!P170</f>
        <v>5.6</v>
      </c>
      <c r="H164">
        <f xml:space="preserve"> [1]Coibion_update!Q170</f>
        <v>3.7328963395307104</v>
      </c>
      <c r="I164">
        <f xml:space="preserve"> [1]Coibion_update!W170</f>
        <v>4.55</v>
      </c>
      <c r="J164">
        <f xml:space="preserve"> [1]Coibion_update!X170</f>
        <v>4.7860740716944257</v>
      </c>
      <c r="K164">
        <f xml:space="preserve"> [1]Coibion_update!Y170</f>
        <v>2.8937549174415267</v>
      </c>
      <c r="L164">
        <f xml:space="preserve"> [1]Coibion_update!Z170</f>
        <v>3.7947023628516034</v>
      </c>
      <c r="M164">
        <f xml:space="preserve"> [1]Coibion_update!AA170</f>
        <v>3.4625119614812481</v>
      </c>
      <c r="N164">
        <f xml:space="preserve"> [1]Coibion_update!AB170</f>
        <v>0</v>
      </c>
      <c r="O164">
        <f xml:space="preserve"> [1]Coibion_update!AC170</f>
        <v>-3.2046346999999993</v>
      </c>
      <c r="P164">
        <f xml:space="preserve"> [1]Coibion_update!AD170</f>
        <v>-3.2570259000000004</v>
      </c>
      <c r="X164" s="5">
        <f xml:space="preserve"> [1]misc!N247</f>
        <v>4.96</v>
      </c>
      <c r="Z164">
        <f xml:space="preserve"> [1]Sims_Zha!B167</f>
        <v>-1.6858</v>
      </c>
      <c r="AK164">
        <v>4.5</v>
      </c>
      <c r="AL164">
        <f xml:space="preserve"> LN([1]misc!B183)</f>
        <v>5.4756263815184472</v>
      </c>
      <c r="AM164">
        <f xml:space="preserve"> LN([1]misc!D183)</f>
        <v>6.6326603220358278</v>
      </c>
      <c r="AN164">
        <f xml:space="preserve"> LN([1]misc!G288)</f>
        <v>3.31072547849808</v>
      </c>
      <c r="AO164">
        <f xml:space="preserve"> LN([1]misc!J194 + [1]misc!L194)</f>
        <v>2.7470785880696882</v>
      </c>
      <c r="AP164">
        <f xml:space="preserve"> [1]Factors!B164</f>
        <v>-0.29538904500000002</v>
      </c>
      <c r="AQ164">
        <f xml:space="preserve"> [1]Factors!C164</f>
        <v>-3.8481717700000001E-2</v>
      </c>
      <c r="AR164">
        <f xml:space="preserve"> [1]Factors!D164</f>
        <v>-0.193537924</v>
      </c>
      <c r="AS164">
        <f xml:space="preserve"> [1]Factors!E164</f>
        <v>-9.4336372099999996E-2</v>
      </c>
      <c r="AT164">
        <f xml:space="preserve"> [1]Factors!F164</f>
        <v>0.14487735299999999</v>
      </c>
    </row>
    <row r="165" spans="1:46" x14ac:dyDescent="0.25">
      <c r="A165">
        <f t="shared" si="12"/>
        <v>1972.5833333333264</v>
      </c>
      <c r="B165" s="1">
        <v>26512</v>
      </c>
      <c r="C165" s="7">
        <f t="shared" si="9"/>
        <v>1972</v>
      </c>
      <c r="D165" s="7">
        <f t="shared" si="10"/>
        <v>8</v>
      </c>
      <c r="E165" s="7">
        <f t="shared" si="11"/>
        <v>3</v>
      </c>
      <c r="F165">
        <f xml:space="preserve"> [1]Coibion_update!O171</f>
        <v>3.7672446016237715</v>
      </c>
      <c r="G165">
        <f xml:space="preserve"> [1]Coibion_update!P171</f>
        <v>5.6</v>
      </c>
      <c r="H165">
        <f xml:space="preserve"> [1]Coibion_update!Q171</f>
        <v>3.735285826928092</v>
      </c>
      <c r="I165">
        <f xml:space="preserve"> [1]Coibion_update!W171</f>
        <v>4.8</v>
      </c>
      <c r="J165">
        <f xml:space="preserve"> [1]Coibion_update!X171</f>
        <v>4.7954599124312232</v>
      </c>
      <c r="K165">
        <f xml:space="preserve"> [1]Coibion_update!Y171</f>
        <v>2.9054245605224573</v>
      </c>
      <c r="L165">
        <f xml:space="preserve"> [1]Coibion_update!Z171</f>
        <v>3.7982494211682791</v>
      </c>
      <c r="M165">
        <f xml:space="preserve"> [1]Coibion_update!AA171</f>
        <v>3.4672347789234625</v>
      </c>
      <c r="N165">
        <f xml:space="preserve"> [1]Coibion_update!AB171</f>
        <v>0</v>
      </c>
      <c r="O165">
        <f xml:space="preserve"> [1]Coibion_update!AC171</f>
        <v>-3.2046346999999993</v>
      </c>
      <c r="P165">
        <f xml:space="preserve"> [1]Coibion_update!AD171</f>
        <v>-3.2570259000000004</v>
      </c>
      <c r="X165" s="5">
        <f xml:space="preserve"> [1]misc!N248</f>
        <v>4.9800000000000004</v>
      </c>
      <c r="Z165">
        <f xml:space="preserve"> [1]Sims_Zha!B168</f>
        <v>0.72902999999999996</v>
      </c>
      <c r="AK165">
        <v>5.13</v>
      </c>
      <c r="AL165">
        <f xml:space="preserve"> LN([1]misc!B184)</f>
        <v>5.4843819096208257</v>
      </c>
      <c r="AM165">
        <f xml:space="preserve"> LN([1]misc!D184)</f>
        <v>6.6447007763550863</v>
      </c>
      <c r="AN165">
        <f xml:space="preserve"> LN([1]misc!G289)</f>
        <v>3.3099954182356846</v>
      </c>
      <c r="AO165">
        <f xml:space="preserve"> LN([1]misc!J195 + [1]misc!L195)</f>
        <v>2.7487441874297662</v>
      </c>
      <c r="AP165">
        <f xml:space="preserve"> [1]Factors!B165</f>
        <v>-1.82228197E-2</v>
      </c>
      <c r="AQ165">
        <f xml:space="preserve"> [1]Factors!C165</f>
        <v>-5.1507511099999998E-3</v>
      </c>
      <c r="AR165">
        <f xml:space="preserve"> [1]Factors!D165</f>
        <v>-6.3509722000000005E-2</v>
      </c>
      <c r="AS165">
        <f xml:space="preserve"> [1]Factors!E165</f>
        <v>-0.124359308</v>
      </c>
      <c r="AT165">
        <f xml:space="preserve"> [1]Factors!F165</f>
        <v>2.5240198200000001E-2</v>
      </c>
    </row>
    <row r="166" spans="1:46" x14ac:dyDescent="0.25">
      <c r="A166">
        <f t="shared" si="12"/>
        <v>1972.6666666666597</v>
      </c>
      <c r="B166" s="1">
        <v>26543</v>
      </c>
      <c r="C166" s="7">
        <f t="shared" si="9"/>
        <v>1972</v>
      </c>
      <c r="D166" s="7">
        <f t="shared" si="10"/>
        <v>9</v>
      </c>
      <c r="E166" s="7">
        <f t="shared" si="11"/>
        <v>3</v>
      </c>
      <c r="F166">
        <f xml:space="preserve"> [1]Coibion_update!O172</f>
        <v>3.7746924049443855</v>
      </c>
      <c r="G166">
        <f xml:space="preserve"> [1]Coibion_update!P172</f>
        <v>5.5</v>
      </c>
      <c r="H166">
        <f xml:space="preserve"> [1]Coibion_update!Q172</f>
        <v>3.7400477406883357</v>
      </c>
      <c r="I166">
        <f xml:space="preserve"> [1]Coibion_update!W172</f>
        <v>4.87</v>
      </c>
      <c r="J166">
        <f xml:space="preserve"> [1]Coibion_update!X172</f>
        <v>4.8097423517168654</v>
      </c>
      <c r="K166">
        <f xml:space="preserve"> [1]Coibion_update!Y172</f>
        <v>2.8997718824080798</v>
      </c>
      <c r="L166">
        <f xml:space="preserve"> [1]Coibion_update!Z172</f>
        <v>3.8028998644097509</v>
      </c>
      <c r="M166">
        <f xml:space="preserve"> [1]Coibion_update!AA172</f>
        <v>3.4692297920539823</v>
      </c>
      <c r="N166">
        <f xml:space="preserve"> [1]Coibion_update!AB172</f>
        <v>0</v>
      </c>
      <c r="O166">
        <f xml:space="preserve"> [1]Coibion_update!AC172</f>
        <v>-3.2046346999999993</v>
      </c>
      <c r="P166">
        <f xml:space="preserve"> [1]Coibion_update!AD172</f>
        <v>-3.2570259000000004</v>
      </c>
      <c r="X166" s="5">
        <f xml:space="preserve"> [1]misc!N249</f>
        <v>5.52</v>
      </c>
      <c r="Z166">
        <f xml:space="preserve"> [1]Sims_Zha!B169</f>
        <v>-0.45351000000000002</v>
      </c>
      <c r="AK166">
        <v>4.88</v>
      </c>
      <c r="AL166">
        <f xml:space="preserve"> LN([1]misc!B185)</f>
        <v>5.4938841500920121</v>
      </c>
      <c r="AM166">
        <f xml:space="preserve"> LN([1]misc!D185)</f>
        <v>6.6571120539653421</v>
      </c>
      <c r="AN166">
        <f xml:space="preserve"> LN([1]misc!G290)</f>
        <v>3.3058238665188568</v>
      </c>
      <c r="AO166">
        <f xml:space="preserve"> LN([1]misc!J196 + [1]misc!L196)</f>
        <v>2.738191358014197</v>
      </c>
      <c r="AP166">
        <f xml:space="preserve"> [1]Factors!B166</f>
        <v>-0.67429508299999996</v>
      </c>
      <c r="AQ166">
        <f xml:space="preserve"> [1]Factors!C166</f>
        <v>-0.16055725500000001</v>
      </c>
      <c r="AR166">
        <f xml:space="preserve"> [1]Factors!D166</f>
        <v>-0.22362623000000001</v>
      </c>
      <c r="AS166">
        <f xml:space="preserve"> [1]Factors!E166</f>
        <v>6.5359843000000001E-2</v>
      </c>
      <c r="AT166">
        <f xml:space="preserve"> [1]Factors!F166</f>
        <v>-0.10385583399999999</v>
      </c>
    </row>
    <row r="167" spans="1:46" x14ac:dyDescent="0.25">
      <c r="A167">
        <f t="shared" si="12"/>
        <v>1972.749999999993</v>
      </c>
      <c r="B167" s="1">
        <v>26573</v>
      </c>
      <c r="C167" s="7">
        <f t="shared" si="9"/>
        <v>1972</v>
      </c>
      <c r="D167" s="7">
        <f t="shared" si="10"/>
        <v>10</v>
      </c>
      <c r="E167" s="7">
        <f t="shared" si="11"/>
        <v>4</v>
      </c>
      <c r="F167">
        <f xml:space="preserve"> [1]Coibion_update!O173</f>
        <v>3.788355942787677</v>
      </c>
      <c r="G167">
        <f xml:space="preserve"> [1]Coibion_update!P173</f>
        <v>5.6</v>
      </c>
      <c r="H167">
        <f xml:space="preserve"> [1]Coibion_update!Q173</f>
        <v>3.7424202210419661</v>
      </c>
      <c r="I167">
        <f xml:space="preserve"> [1]Coibion_update!W173</f>
        <v>5.04</v>
      </c>
      <c r="J167">
        <f xml:space="preserve"> [1]Coibion_update!X173</f>
        <v>4.8241450604300811</v>
      </c>
      <c r="K167">
        <f xml:space="preserve"> [1]Coibion_update!Y173</f>
        <v>2.9412232880535982</v>
      </c>
      <c r="L167">
        <f xml:space="preserve"> [1]Coibion_update!Z173</f>
        <v>3.8193812621780943</v>
      </c>
      <c r="M167">
        <f xml:space="preserve"> [1]Coibion_update!AA173</f>
        <v>3.4780966924979464</v>
      </c>
      <c r="N167">
        <f xml:space="preserve"> [1]Coibion_update!AB173</f>
        <v>0</v>
      </c>
      <c r="O167">
        <f xml:space="preserve"> [1]Coibion_update!AC173</f>
        <v>-3.2046346999999993</v>
      </c>
      <c r="P167">
        <f xml:space="preserve"> [1]Coibion_update!AD173</f>
        <v>-3.2570259000000004</v>
      </c>
      <c r="X167" s="5">
        <f xml:space="preserve"> [1]misc!N250</f>
        <v>5.52</v>
      </c>
      <c r="Z167">
        <f xml:space="preserve"> [1]Sims_Zha!B170</f>
        <v>0.86706000000000005</v>
      </c>
      <c r="AK167">
        <v>4.88</v>
      </c>
      <c r="AL167">
        <f xml:space="preserve"> LN([1]misc!B186)</f>
        <v>5.5012582105447274</v>
      </c>
      <c r="AM167">
        <f xml:space="preserve"> LN([1]misc!D186)</f>
        <v>6.6681011755409374</v>
      </c>
      <c r="AN167">
        <f xml:space="preserve"> LN([1]misc!G291)</f>
        <v>3.3339886319687055</v>
      </c>
      <c r="AO167">
        <f xml:space="preserve"> LN([1]misc!J197 + [1]misc!L197)</f>
        <v>2.7496399008613732</v>
      </c>
      <c r="AP167">
        <f xml:space="preserve"> [1]Factors!B167</f>
        <v>-0.49432175499999997</v>
      </c>
      <c r="AQ167">
        <f xml:space="preserve"> [1]Factors!C167</f>
        <v>3.6381266799999999E-2</v>
      </c>
      <c r="AR167">
        <f xml:space="preserve"> [1]Factors!D167</f>
        <v>8.1420713800000002E-2</v>
      </c>
      <c r="AS167">
        <f xml:space="preserve"> [1]Factors!E167</f>
        <v>-0.108585472</v>
      </c>
      <c r="AT167">
        <f xml:space="preserve"> [1]Factors!F167</f>
        <v>0.102461935</v>
      </c>
    </row>
    <row r="168" spans="1:46" x14ac:dyDescent="0.25">
      <c r="A168">
        <f t="shared" si="12"/>
        <v>1972.8333333333262</v>
      </c>
      <c r="B168" s="1">
        <v>26604</v>
      </c>
      <c r="C168" s="7">
        <f t="shared" si="9"/>
        <v>1972</v>
      </c>
      <c r="D168" s="7">
        <f t="shared" si="10"/>
        <v>11</v>
      </c>
      <c r="E168" s="7">
        <f t="shared" si="11"/>
        <v>4</v>
      </c>
      <c r="F168">
        <f xml:space="preserve"> [1]Coibion_update!O174</f>
        <v>3.7997318616886915</v>
      </c>
      <c r="G168">
        <f xml:space="preserve"> [1]Coibion_update!P174</f>
        <v>5.3</v>
      </c>
      <c r="H168">
        <f xml:space="preserve"> [1]Coibion_update!Q174</f>
        <v>3.7471483622379123</v>
      </c>
      <c r="I168">
        <f xml:space="preserve"> [1]Coibion_update!W174</f>
        <v>5.0599999999999996</v>
      </c>
      <c r="J168">
        <f xml:space="preserve"> [1]Coibion_update!X174</f>
        <v>4.8377094589426637</v>
      </c>
      <c r="K168">
        <f xml:space="preserve"> [1]Coibion_update!Y174</f>
        <v>2.951623633927928</v>
      </c>
      <c r="L168">
        <f xml:space="preserve"> [1]Coibion_update!Z174</f>
        <v>3.8166788250458081</v>
      </c>
      <c r="M168">
        <f xml:space="preserve"> [1]Coibion_update!AA174</f>
        <v>3.484404308678541</v>
      </c>
      <c r="N168">
        <f xml:space="preserve"> [1]Coibion_update!AB174</f>
        <v>1.24695E-2</v>
      </c>
      <c r="O168">
        <f xml:space="preserve"> [1]Coibion_update!AC174</f>
        <v>-3.1921651999999994</v>
      </c>
      <c r="P168">
        <f xml:space="preserve"> [1]Coibion_update!AD174</f>
        <v>-3.2215014000000002</v>
      </c>
      <c r="X168" s="5">
        <f xml:space="preserve"> [1]misc!N251</f>
        <v>5.27</v>
      </c>
      <c r="Z168">
        <f xml:space="preserve"> [1]Sims_Zha!B171</f>
        <v>-0.26706999999999997</v>
      </c>
      <c r="AK168">
        <v>5.19</v>
      </c>
      <c r="AL168">
        <f xml:space="preserve"> LN([1]misc!B187)</f>
        <v>5.5069562316593643</v>
      </c>
      <c r="AM168">
        <f xml:space="preserve"> LN([1]misc!D187)</f>
        <v>6.6769575087310677</v>
      </c>
      <c r="AN168">
        <f xml:space="preserve"> LN([1]misc!G292)</f>
        <v>3.2580965380214821</v>
      </c>
      <c r="AO168">
        <f xml:space="preserve"> LN([1]misc!J198 + [1]misc!L198)</f>
        <v>2.762096369519297</v>
      </c>
      <c r="AP168">
        <f xml:space="preserve"> [1]Factors!B168</f>
        <v>-0.73481988799999998</v>
      </c>
      <c r="AQ168">
        <f xml:space="preserve"> [1]Factors!C168</f>
        <v>-0.25544602300000002</v>
      </c>
      <c r="AR168">
        <f xml:space="preserve"> [1]Factors!D168</f>
        <v>-0.28642022700000003</v>
      </c>
      <c r="AS168">
        <f xml:space="preserve"> [1]Factors!E168</f>
        <v>-3.8188884899999997E-2</v>
      </c>
      <c r="AT168">
        <f xml:space="preserve"> [1]Factors!F168</f>
        <v>-9.0279237299999995E-2</v>
      </c>
    </row>
    <row r="169" spans="1:46" x14ac:dyDescent="0.25">
      <c r="A169">
        <f t="shared" si="12"/>
        <v>1972.9166666666595</v>
      </c>
      <c r="B169" s="1">
        <v>26634</v>
      </c>
      <c r="C169" s="7">
        <f t="shared" si="9"/>
        <v>1972</v>
      </c>
      <c r="D169" s="7">
        <f t="shared" si="10"/>
        <v>12</v>
      </c>
      <c r="E169" s="7">
        <f t="shared" si="11"/>
        <v>4</v>
      </c>
      <c r="F169">
        <f xml:space="preserve"> [1]Coibion_update!O175</f>
        <v>3.8110815999926011</v>
      </c>
      <c r="G169">
        <f xml:space="preserve"> [1]Coibion_update!P175</f>
        <v>5.2</v>
      </c>
      <c r="H169">
        <f xml:space="preserve"> [1]Coibion_update!Q175</f>
        <v>3.7495040759303713</v>
      </c>
      <c r="I169">
        <f xml:space="preserve"> [1]Coibion_update!W175</f>
        <v>5.33</v>
      </c>
      <c r="J169">
        <f xml:space="preserve"> [1]Coibion_update!X175</f>
        <v>4.87351652213313</v>
      </c>
      <c r="K169">
        <f xml:space="preserve"> [1]Coibion_update!Y175</f>
        <v>2.9608302215447262</v>
      </c>
      <c r="L169">
        <f xml:space="preserve"> [1]Coibion_update!Z175</f>
        <v>3.8159525366774125</v>
      </c>
      <c r="M169">
        <f xml:space="preserve"> [1]Coibion_update!AA175</f>
        <v>3.4896660296497637</v>
      </c>
      <c r="N169">
        <f xml:space="preserve"> [1]Coibion_update!AB175</f>
        <v>-2.2706199999999999E-2</v>
      </c>
      <c r="O169">
        <f xml:space="preserve"> [1]Coibion_update!AC175</f>
        <v>-3.2148713999999994</v>
      </c>
      <c r="P169">
        <f xml:space="preserve"> [1]Coibion_update!AD175</f>
        <v>-3.2496506000000003</v>
      </c>
      <c r="X169" s="5">
        <f xml:space="preserve"> [1]misc!N252</f>
        <v>5.52</v>
      </c>
      <c r="Z169">
        <f xml:space="preserve"> [1]Sims_Zha!B172</f>
        <v>0.67476000000000003</v>
      </c>
      <c r="AK169">
        <v>5.5</v>
      </c>
      <c r="AL169">
        <f xml:space="preserve"> LN([1]misc!B188)</f>
        <v>5.518255786913298</v>
      </c>
      <c r="AM169">
        <f xml:space="preserve"> LN([1]misc!D188)</f>
        <v>6.6874826027596104</v>
      </c>
      <c r="AN169">
        <f xml:space="preserve"> LN([1]misc!G293)</f>
        <v>3.2314761068439393</v>
      </c>
      <c r="AO169">
        <f xml:space="preserve"> LN([1]misc!J199 + [1]misc!L199)</f>
        <v>2.7469503500597665</v>
      </c>
      <c r="AP169">
        <f xml:space="preserve"> [1]Factors!B169</f>
        <v>-0.69516715699999998</v>
      </c>
      <c r="AQ169">
        <f xml:space="preserve"> [1]Factors!C169</f>
        <v>-6.5308096400000001E-2</v>
      </c>
      <c r="AR169">
        <f xml:space="preserve"> [1]Factors!D169</f>
        <v>-0.189131835</v>
      </c>
      <c r="AS169">
        <f xml:space="preserve"> [1]Factors!E169</f>
        <v>9.7478094900000006E-2</v>
      </c>
      <c r="AT169">
        <f xml:space="preserve"> [1]Factors!F169</f>
        <v>0.18737329999999999</v>
      </c>
    </row>
    <row r="170" spans="1:46" x14ac:dyDescent="0.25">
      <c r="A170">
        <f t="shared" si="12"/>
        <v>1972.9999999999927</v>
      </c>
      <c r="B170" s="1">
        <v>26665</v>
      </c>
      <c r="C170" s="7">
        <f t="shared" si="9"/>
        <v>1973</v>
      </c>
      <c r="D170" s="7">
        <f t="shared" si="10"/>
        <v>1</v>
      </c>
      <c r="E170" s="7">
        <f t="shared" si="11"/>
        <v>1</v>
      </c>
      <c r="F170">
        <f xml:space="preserve"> [1]Coibion_update!O176</f>
        <v>3.8176705668432467</v>
      </c>
      <c r="G170">
        <f xml:space="preserve"> [1]Coibion_update!P176</f>
        <v>4.9000000000000004</v>
      </c>
      <c r="H170">
        <f xml:space="preserve"> [1]Coibion_update!Q176</f>
        <v>3.7541989202345789</v>
      </c>
      <c r="I170">
        <f xml:space="preserve"> [1]Coibion_update!W176</f>
        <v>5.94</v>
      </c>
      <c r="J170">
        <f xml:space="preserve"> [1]Coibion_update!X176</f>
        <v>4.9009692265418199</v>
      </c>
      <c r="K170">
        <f xml:space="preserve"> [1]Coibion_update!Y176</f>
        <v>2.9961321935753178</v>
      </c>
      <c r="L170">
        <f xml:space="preserve"> [1]Coibion_update!Z176</f>
        <v>3.8232792195935916</v>
      </c>
      <c r="M170">
        <f xml:space="preserve"> [1]Coibion_update!AA176</f>
        <v>3.4931686602009657</v>
      </c>
      <c r="N170">
        <f xml:space="preserve"> [1]Coibion_update!AB176</f>
        <v>0.26632749999999999</v>
      </c>
      <c r="O170">
        <f xml:space="preserve"> [1]Coibion_update!AC176</f>
        <v>-2.9485438999999993</v>
      </c>
      <c r="P170">
        <f xml:space="preserve"> [1]Coibion_update!AD176</f>
        <v>-2.9700395000000004</v>
      </c>
      <c r="X170" s="5">
        <f xml:space="preserve"> [1]misc!N253</f>
        <v>5.89</v>
      </c>
      <c r="Y170">
        <f xml:space="preserve"> [1]Gilchrist_Zak!C2</f>
        <v>8.3799999999999999E-2</v>
      </c>
      <c r="Z170">
        <f xml:space="preserve"> [1]Sims_Zha!B173</f>
        <v>2.5139999999999998</v>
      </c>
      <c r="AK170">
        <v>6.5</v>
      </c>
      <c r="AL170">
        <f xml:space="preserve"> LN([1]misc!B189)</f>
        <v>5.5274429895397938</v>
      </c>
      <c r="AM170">
        <f xml:space="preserve"> LN([1]misc!D189)</f>
        <v>6.6974045494666798</v>
      </c>
      <c r="AN170">
        <f xml:space="preserve"> LN([1]misc!G294)</f>
        <v>3.2732124835211751</v>
      </c>
      <c r="AO170">
        <f xml:space="preserve"> LN([1]misc!J200 + [1]misc!L200)</f>
        <v>2.7439320129899767</v>
      </c>
      <c r="AP170">
        <f xml:space="preserve"> [1]Factors!B170</f>
        <v>-0.73715145000000004</v>
      </c>
      <c r="AQ170">
        <f xml:space="preserve"> [1]Factors!C170</f>
        <v>-3.3869999999999997E-2</v>
      </c>
      <c r="AR170">
        <f xml:space="preserve"> [1]Factors!D170</f>
        <v>-0.13193888100000001</v>
      </c>
      <c r="AS170">
        <f xml:space="preserve"> [1]Factors!E170</f>
        <v>2.1418568900000001E-2</v>
      </c>
      <c r="AT170">
        <f xml:space="preserve"> [1]Factors!F170</f>
        <v>0.154829568</v>
      </c>
    </row>
    <row r="171" spans="1:46" x14ac:dyDescent="0.25">
      <c r="A171">
        <f t="shared" si="12"/>
        <v>1973.083333333326</v>
      </c>
      <c r="B171" s="1">
        <v>26696</v>
      </c>
      <c r="C171" s="7">
        <f t="shared" si="9"/>
        <v>1973</v>
      </c>
      <c r="D171" s="7">
        <f t="shared" si="10"/>
        <v>2</v>
      </c>
      <c r="E171" s="7">
        <f t="shared" si="11"/>
        <v>1</v>
      </c>
      <c r="F171">
        <f xml:space="preserve"> [1]Coibion_update!O177</f>
        <v>3.8324320290419998</v>
      </c>
      <c r="G171">
        <f xml:space="preserve"> [1]Coibion_update!P177</f>
        <v>5</v>
      </c>
      <c r="H171">
        <f xml:space="preserve"> [1]Coibion_update!Q177</f>
        <v>3.7612001156935624</v>
      </c>
      <c r="I171">
        <f xml:space="preserve"> [1]Coibion_update!W177</f>
        <v>6.58</v>
      </c>
      <c r="J171">
        <f xml:space="preserve"> [1]Coibion_update!X177</f>
        <v>4.962844630259907</v>
      </c>
      <c r="K171">
        <f xml:space="preserve"> [1]Coibion_update!Y177</f>
        <v>3.0128351814536534</v>
      </c>
      <c r="L171">
        <f xml:space="preserve"> [1]Coibion_update!Z177</f>
        <v>3.8277932107943307</v>
      </c>
      <c r="M171">
        <f xml:space="preserve"> [1]Coibion_update!AA177</f>
        <v>3.497022580336643</v>
      </c>
      <c r="N171">
        <f xml:space="preserve"> [1]Coibion_update!AB177</f>
        <v>0.20039209999999999</v>
      </c>
      <c r="O171">
        <f xml:space="preserve"> [1]Coibion_update!AC177</f>
        <v>-2.7481517999999991</v>
      </c>
      <c r="P171">
        <f xml:space="preserve"> [1]Coibion_update!AD177</f>
        <v>-2.7445412000000005</v>
      </c>
      <c r="X171" s="5">
        <f xml:space="preserve"> [1]misc!N254</f>
        <v>6.19</v>
      </c>
      <c r="Y171">
        <f xml:space="preserve"> [1]Gilchrist_Zak!C3</f>
        <v>5.21E-2</v>
      </c>
      <c r="Z171">
        <f xml:space="preserve"> [1]Sims_Zha!B174</f>
        <v>2.5659000000000001</v>
      </c>
      <c r="AK171">
        <v>7.5</v>
      </c>
      <c r="AL171">
        <f xml:space="preserve"> LN([1]misc!B190)</f>
        <v>5.5302224235308195</v>
      </c>
      <c r="AM171">
        <f xml:space="preserve"> LN([1]misc!D190)</f>
        <v>6.702083208579932</v>
      </c>
      <c r="AN171">
        <f xml:space="preserve"> LN([1]misc!G295)</f>
        <v>3.2466466218135572</v>
      </c>
      <c r="AO171">
        <f xml:space="preserve"> LN([1]misc!J201 + [1]misc!L201)</f>
        <v>2.716018370751387</v>
      </c>
      <c r="AP171">
        <f xml:space="preserve"> [1]Factors!B171</f>
        <v>-0.67849634400000003</v>
      </c>
      <c r="AQ171">
        <f xml:space="preserve"> [1]Factors!C171</f>
        <v>3.3940680299999998E-2</v>
      </c>
      <c r="AR171">
        <f xml:space="preserve"> [1]Factors!D171</f>
        <v>-6.5527701899999999E-2</v>
      </c>
      <c r="AS171">
        <f xml:space="preserve"> [1]Factors!E171</f>
        <v>-8.3760826699999999E-2</v>
      </c>
      <c r="AT171">
        <f xml:space="preserve"> [1]Factors!F171</f>
        <v>0.34994349000000002</v>
      </c>
    </row>
    <row r="172" spans="1:46" x14ac:dyDescent="0.25">
      <c r="A172">
        <f t="shared" si="12"/>
        <v>1973.1666666666592</v>
      </c>
      <c r="B172" s="1">
        <v>26724</v>
      </c>
      <c r="C172" s="7">
        <f t="shared" si="9"/>
        <v>1973</v>
      </c>
      <c r="D172" s="7">
        <f t="shared" si="10"/>
        <v>3</v>
      </c>
      <c r="E172" s="7">
        <f t="shared" si="11"/>
        <v>1</v>
      </c>
      <c r="F172">
        <f xml:space="preserve"> [1]Coibion_update!O178</f>
        <v>3.8329516591636588</v>
      </c>
      <c r="G172">
        <f xml:space="preserve"> [1]Coibion_update!P178</f>
        <v>4.9000000000000004</v>
      </c>
      <c r="H172">
        <f xml:space="preserve"> [1]Coibion_update!Q178</f>
        <v>3.7704594411063592</v>
      </c>
      <c r="I172">
        <f xml:space="preserve"> [1]Coibion_update!W178</f>
        <v>7.09</v>
      </c>
      <c r="J172">
        <f xml:space="preserve"> [1]Coibion_update!X178</f>
        <v>5.0097682516569044</v>
      </c>
      <c r="K172">
        <f xml:space="preserve"> [1]Coibion_update!Y178</f>
        <v>3.0296988231172639</v>
      </c>
      <c r="L172">
        <f xml:space="preserve"> [1]Coibion_update!Z178</f>
        <v>3.8189423384121044</v>
      </c>
      <c r="M172">
        <f xml:space="preserve"> [1]Coibion_update!AA178</f>
        <v>3.5001977141672991</v>
      </c>
      <c r="N172">
        <f xml:space="preserve"> [1]Coibion_update!AB178</f>
        <v>3.8923899999999997E-2</v>
      </c>
      <c r="O172">
        <f xml:space="preserve"> [1]Coibion_update!AC178</f>
        <v>-2.7092278999999992</v>
      </c>
      <c r="P172">
        <f xml:space="preserve"> [1]Coibion_update!AD178</f>
        <v>-2.6799824000000005</v>
      </c>
      <c r="X172" s="5">
        <f xml:space="preserve"> [1]misc!N255</f>
        <v>6.85</v>
      </c>
      <c r="Y172">
        <f xml:space="preserve"> [1]Gilchrist_Zak!C4</f>
        <v>-5.2299999999999999E-2</v>
      </c>
      <c r="Z172">
        <f xml:space="preserve"> [1]Sims_Zha!B175</f>
        <v>0.98655000000000004</v>
      </c>
      <c r="AK172">
        <v>7.38</v>
      </c>
      <c r="AL172">
        <f xml:space="preserve"> LN([1]misc!B191)</f>
        <v>5.52823790214127</v>
      </c>
      <c r="AM172">
        <f xml:space="preserve"> LN([1]misc!D191)</f>
        <v>6.7035561436688651</v>
      </c>
      <c r="AN172">
        <f xml:space="preserve"> LN([1]misc!G296)</f>
        <v>3.2594801957101409</v>
      </c>
      <c r="AO172">
        <f xml:space="preserve"> LN([1]misc!J202 + [1]misc!L202)</f>
        <v>2.7146285164623327</v>
      </c>
      <c r="AP172">
        <f xml:space="preserve"> [1]Factors!B172</f>
        <v>-1.0017417</v>
      </c>
      <c r="AQ172">
        <f xml:space="preserve"> [1]Factors!C172</f>
        <v>0.24371363200000001</v>
      </c>
      <c r="AR172">
        <f xml:space="preserve"> [1]Factors!D172</f>
        <v>-0.10973008400000001</v>
      </c>
      <c r="AS172">
        <f xml:space="preserve"> [1]Factors!E172</f>
        <v>0.110858607</v>
      </c>
      <c r="AT172">
        <f xml:space="preserve"> [1]Factors!F172</f>
        <v>0.20090836000000001</v>
      </c>
    </row>
    <row r="173" spans="1:46" x14ac:dyDescent="0.25">
      <c r="A173">
        <f t="shared" si="12"/>
        <v>1973.2499999999925</v>
      </c>
      <c r="B173" s="1">
        <v>26755</v>
      </c>
      <c r="C173" s="7">
        <f t="shared" si="9"/>
        <v>1973</v>
      </c>
      <c r="D173" s="7">
        <f t="shared" si="10"/>
        <v>4</v>
      </c>
      <c r="E173" s="7">
        <f t="shared" si="11"/>
        <v>2</v>
      </c>
      <c r="F173">
        <f xml:space="preserve"> [1]Coibion_update!O179</f>
        <v>3.8313182453129149</v>
      </c>
      <c r="G173">
        <f xml:space="preserve"> [1]Coibion_update!P179</f>
        <v>5</v>
      </c>
      <c r="H173">
        <f xml:space="preserve"> [1]Coibion_update!Q179</f>
        <v>3.7773481021015445</v>
      </c>
      <c r="I173">
        <f xml:space="preserve"> [1]Coibion_update!W179</f>
        <v>7.12</v>
      </c>
      <c r="J173">
        <f xml:space="preserve"> [1]Coibion_update!X179</f>
        <v>5.0295878870129425</v>
      </c>
      <c r="K173">
        <f xml:space="preserve"> [1]Coibion_update!Y179</f>
        <v>3.0120976276402551</v>
      </c>
      <c r="L173">
        <f xml:space="preserve"> [1]Coibion_update!Z179</f>
        <v>3.8147408826215923</v>
      </c>
      <c r="M173">
        <f xml:space="preserve"> [1]Coibion_update!AA179</f>
        <v>3.5008617047751005</v>
      </c>
      <c r="N173">
        <f xml:space="preserve"> [1]Coibion_update!AB179</f>
        <v>-9.2673000000000005E-2</v>
      </c>
      <c r="O173">
        <f xml:space="preserve"> [1]Coibion_update!AC179</f>
        <v>-2.8019008999999993</v>
      </c>
      <c r="P173">
        <f xml:space="preserve"> [1]Coibion_update!AD179</f>
        <v>-2.7439434000000005</v>
      </c>
      <c r="X173" s="5">
        <f xml:space="preserve"> [1]misc!N256</f>
        <v>6.85</v>
      </c>
      <c r="Y173">
        <f xml:space="preserve"> [1]Gilchrist_Zak!C5</f>
        <v>-0.1055</v>
      </c>
      <c r="Z173">
        <f xml:space="preserve"> [1]Sims_Zha!B176</f>
        <v>-3.5939000000000001</v>
      </c>
      <c r="AK173">
        <v>7.63</v>
      </c>
      <c r="AL173">
        <f xml:space="preserve"> LN([1]misc!B192)</f>
        <v>5.5322030143941481</v>
      </c>
      <c r="AM173">
        <f xml:space="preserve"> LN([1]misc!D192)</f>
        <v>6.7089384196589847</v>
      </c>
      <c r="AN173">
        <f xml:space="preserve"> LN([1]misc!G297)</f>
        <v>3.2781253840721614</v>
      </c>
      <c r="AO173">
        <f xml:space="preserve"> LN([1]misc!J203 + [1]misc!L203)</f>
        <v>2.7093826463359885</v>
      </c>
      <c r="AP173">
        <f xml:space="preserve"> [1]Factors!B173</f>
        <v>-0.64092913299999998</v>
      </c>
      <c r="AQ173">
        <f xml:space="preserve"> [1]Factors!C173</f>
        <v>0.57316341900000001</v>
      </c>
      <c r="AR173">
        <f xml:space="preserve"> [1]Factors!D173</f>
        <v>6.6602130600000004E-2</v>
      </c>
      <c r="AS173">
        <f xml:space="preserve"> [1]Factors!E173</f>
        <v>1.17647063E-2</v>
      </c>
      <c r="AT173">
        <f xml:space="preserve"> [1]Factors!F173</f>
        <v>0.429202629</v>
      </c>
    </row>
    <row r="174" spans="1:46" x14ac:dyDescent="0.25">
      <c r="A174">
        <f t="shared" si="12"/>
        <v>1973.3333333333258</v>
      </c>
      <c r="B174" s="1">
        <v>26785</v>
      </c>
      <c r="C174" s="7">
        <f t="shared" si="9"/>
        <v>1973</v>
      </c>
      <c r="D174" s="7">
        <f t="shared" si="10"/>
        <v>5</v>
      </c>
      <c r="E174" s="7">
        <f t="shared" si="11"/>
        <v>2</v>
      </c>
      <c r="F174">
        <f xml:space="preserve"> [1]Coibion_update!O180</f>
        <v>3.8377023952839537</v>
      </c>
      <c r="G174">
        <f xml:space="preserve"> [1]Coibion_update!P180</f>
        <v>4.9000000000000004</v>
      </c>
      <c r="H174">
        <f xml:space="preserve"> [1]Coibion_update!Q180</f>
        <v>3.7819143200811256</v>
      </c>
      <c r="I174">
        <f xml:space="preserve"> [1]Coibion_update!W180</f>
        <v>7.84</v>
      </c>
      <c r="J174">
        <f xml:space="preserve"> [1]Coibion_update!X180</f>
        <v>5.0825217528963655</v>
      </c>
      <c r="K174">
        <f xml:space="preserve"> [1]Coibion_update!Y180</f>
        <v>3.0157799688577689</v>
      </c>
      <c r="L174">
        <f xml:space="preserve"> [1]Coibion_update!Z180</f>
        <v>3.813020015586138</v>
      </c>
      <c r="M174">
        <f xml:space="preserve"> [1]Coibion_update!AA180</f>
        <v>3.5050167103011525</v>
      </c>
      <c r="N174">
        <f xml:space="preserve"> [1]Coibion_update!AB180</f>
        <v>0.28743600000000002</v>
      </c>
      <c r="O174">
        <f xml:space="preserve"> [1]Coibion_update!AC180</f>
        <v>-2.5144648999999992</v>
      </c>
      <c r="P174">
        <f xml:space="preserve"> [1]Coibion_update!AD180</f>
        <v>-2.4267627000000003</v>
      </c>
      <c r="X174" s="5">
        <f xml:space="preserve"> [1]misc!N257</f>
        <v>6.89</v>
      </c>
      <c r="Y174">
        <f xml:space="preserve"> [1]Gilchrist_Zak!C6</f>
        <v>-1.6E-2</v>
      </c>
      <c r="Z174">
        <f xml:space="preserve"> [1]Sims_Zha!B177</f>
        <v>2.2418</v>
      </c>
      <c r="AK174">
        <v>8.1300000000000008</v>
      </c>
      <c r="AL174">
        <f xml:space="preserve"> LN([1]misc!B193)</f>
        <v>5.5408713113820696</v>
      </c>
      <c r="AM174">
        <f xml:space="preserve"> LN([1]misc!D193)</f>
        <v>6.7175628278076127</v>
      </c>
      <c r="AN174">
        <f xml:space="preserve"> LN([1]misc!G298)</f>
        <v>3.2735912570570092</v>
      </c>
      <c r="AO174">
        <f xml:space="preserve"> LN([1]misc!J204 + [1]misc!L204)</f>
        <v>2.6965847229929318</v>
      </c>
      <c r="AP174">
        <f xml:space="preserve"> [1]Factors!B174</f>
        <v>-0.339886729</v>
      </c>
      <c r="AQ174">
        <f xml:space="preserve"> [1]Factors!C174</f>
        <v>0.37479595399999999</v>
      </c>
      <c r="AR174">
        <f xml:space="preserve"> [1]Factors!D174</f>
        <v>-0.135844509</v>
      </c>
      <c r="AS174">
        <f xml:space="preserve"> [1]Factors!E174</f>
        <v>-9.1881295900000007E-2</v>
      </c>
      <c r="AT174">
        <f xml:space="preserve"> [1]Factors!F174</f>
        <v>0.41995949199999999</v>
      </c>
    </row>
    <row r="175" spans="1:46" x14ac:dyDescent="0.25">
      <c r="A175">
        <f t="shared" si="12"/>
        <v>1973.416666666659</v>
      </c>
      <c r="B175" s="1">
        <v>26816</v>
      </c>
      <c r="C175" s="7">
        <f t="shared" si="9"/>
        <v>1973</v>
      </c>
      <c r="D175" s="7">
        <f t="shared" si="10"/>
        <v>6</v>
      </c>
      <c r="E175" s="7">
        <f t="shared" si="11"/>
        <v>2</v>
      </c>
      <c r="F175">
        <f xml:space="preserve"> [1]Coibion_update!O181</f>
        <v>3.8383613951785871</v>
      </c>
      <c r="G175">
        <f xml:space="preserve"> [1]Coibion_update!P181</f>
        <v>4.9000000000000004</v>
      </c>
      <c r="H175">
        <f xml:space="preserve"> [1]Coibion_update!Q181</f>
        <v>3.7887247890836524</v>
      </c>
      <c r="I175">
        <f xml:space="preserve"> [1]Coibion_update!W181</f>
        <v>8.49</v>
      </c>
      <c r="J175">
        <f xml:space="preserve"> [1]Coibion_update!X181</f>
        <v>5.1431244771423348</v>
      </c>
      <c r="K175">
        <f xml:space="preserve"> [1]Coibion_update!Y181</f>
        <v>2.9749171338400711</v>
      </c>
      <c r="L175">
        <f xml:space="preserve"> [1]Coibion_update!Z181</f>
        <v>3.816810820822135</v>
      </c>
      <c r="M175">
        <f xml:space="preserve"> [1]Coibion_update!AA181</f>
        <v>3.5100517865742376</v>
      </c>
      <c r="N175">
        <f xml:space="preserve"> [1]Coibion_update!AB181</f>
        <v>0.35885600000000001</v>
      </c>
      <c r="O175">
        <f xml:space="preserve"> [1]Coibion_update!AC181</f>
        <v>-2.1556088999999994</v>
      </c>
      <c r="P175">
        <f xml:space="preserve"> [1]Coibion_update!AD181</f>
        <v>-2.0175988</v>
      </c>
      <c r="X175" s="5">
        <f xml:space="preserve"> [1]misc!N258</f>
        <v>7.31</v>
      </c>
      <c r="Y175">
        <f xml:space="preserve"> [1]Gilchrist_Zak!C7</f>
        <v>5.7200000000000001E-2</v>
      </c>
      <c r="Z175">
        <f xml:space="preserve"> [1]Sims_Zha!B178</f>
        <v>1.4888999999999999</v>
      </c>
      <c r="AK175">
        <v>8.8800000000000008</v>
      </c>
      <c r="AL175">
        <f xml:space="preserve"> LN([1]misc!B194)</f>
        <v>5.5479080878770946</v>
      </c>
      <c r="AM175">
        <f xml:space="preserve"> LN([1]misc!D194)</f>
        <v>6.7253937213881612</v>
      </c>
      <c r="AN175">
        <f xml:space="preserve"> LN([1]misc!G299)</f>
        <v>3.262011939745336</v>
      </c>
      <c r="AO175">
        <f xml:space="preserve"> LN([1]misc!J205 + [1]misc!L205)</f>
        <v>2.7010255861652457</v>
      </c>
      <c r="AP175">
        <f xml:space="preserve"> [1]Factors!B175</f>
        <v>-0.45698911199999998</v>
      </c>
      <c r="AQ175">
        <f xml:space="preserve"> [1]Factors!C175</f>
        <v>0.33870545000000002</v>
      </c>
      <c r="AR175">
        <f xml:space="preserve"> [1]Factors!D175</f>
        <v>-0.17744539200000001</v>
      </c>
      <c r="AS175">
        <f xml:space="preserve"> [1]Factors!E175</f>
        <v>-2.62076189E-2</v>
      </c>
      <c r="AT175">
        <f xml:space="preserve"> [1]Factors!F175</f>
        <v>0.160674555</v>
      </c>
    </row>
    <row r="176" spans="1:46" x14ac:dyDescent="0.25">
      <c r="A176">
        <f t="shared" si="12"/>
        <v>1973.4999999999923</v>
      </c>
      <c r="B176" s="1">
        <v>26846</v>
      </c>
      <c r="C176" s="7">
        <f t="shared" si="9"/>
        <v>1973</v>
      </c>
      <c r="D176" s="7">
        <f t="shared" si="10"/>
        <v>7</v>
      </c>
      <c r="E176" s="7">
        <f t="shared" si="11"/>
        <v>3</v>
      </c>
      <c r="F176">
        <f xml:space="preserve"> [1]Coibion_update!O182</f>
        <v>3.8427543816393088</v>
      </c>
      <c r="G176">
        <f xml:space="preserve"> [1]Coibion_update!P182</f>
        <v>4.8</v>
      </c>
      <c r="H176">
        <f xml:space="preserve"> [1]Coibion_update!Q182</f>
        <v>3.7887247890836524</v>
      </c>
      <c r="I176">
        <f xml:space="preserve"> [1]Coibion_update!W182</f>
        <v>10.4</v>
      </c>
      <c r="J176">
        <f xml:space="preserve"> [1]Coibion_update!X182</f>
        <v>5.204446150937966</v>
      </c>
      <c r="K176">
        <f xml:space="preserve"> [1]Coibion_update!Y182</f>
        <v>2.9879520862350288</v>
      </c>
      <c r="L176">
        <f xml:space="preserve"> [1]Coibion_update!Z182</f>
        <v>3.8355522440852359</v>
      </c>
      <c r="M176">
        <f xml:space="preserve"> [1]Coibion_update!AA182</f>
        <v>3.50927420481421</v>
      </c>
      <c r="N176">
        <f xml:space="preserve"> [1]Coibion_update!AB182</f>
        <v>8.2284899999999994E-2</v>
      </c>
      <c r="O176">
        <f xml:space="preserve"> [1]Coibion_update!AC182</f>
        <v>-2.0733239999999995</v>
      </c>
      <c r="P176">
        <f xml:space="preserve"> [1]Coibion_update!AD182</f>
        <v>-1.9059519</v>
      </c>
      <c r="X176" s="5">
        <f xml:space="preserve"> [1]misc!N259</f>
        <v>8.39</v>
      </c>
      <c r="Y176">
        <f xml:space="preserve"> [1]Gilchrist_Zak!C8</f>
        <v>-0.3679</v>
      </c>
      <c r="Z176">
        <f xml:space="preserve"> [1]Sims_Zha!B179</f>
        <v>11.521000000000001</v>
      </c>
      <c r="AK176">
        <v>11.22</v>
      </c>
      <c r="AL176">
        <f xml:space="preserve"> LN([1]misc!B195)</f>
        <v>5.551019720103791</v>
      </c>
      <c r="AM176">
        <f xml:space="preserve"> LN([1]misc!D195)</f>
        <v>6.7292265204268791</v>
      </c>
      <c r="AN176">
        <f xml:space="preserve"> LN([1]misc!G300)</f>
        <v>3.3035845527951548</v>
      </c>
      <c r="AO176">
        <f xml:space="preserve"> LN([1]misc!J206 + [1]misc!L206)</f>
        <v>2.7103808164404923</v>
      </c>
      <c r="AP176">
        <f xml:space="preserve"> [1]Factors!B176</f>
        <v>-0.480997059</v>
      </c>
      <c r="AQ176">
        <f xml:space="preserve"> [1]Factors!C176</f>
        <v>0.44643511000000002</v>
      </c>
      <c r="AR176">
        <f xml:space="preserve"> [1]Factors!D176</f>
        <v>-0.10058207</v>
      </c>
      <c r="AS176">
        <f xml:space="preserve"> [1]Factors!E176</f>
        <v>-0.15559598799999999</v>
      </c>
      <c r="AT176">
        <f xml:space="preserve"> [1]Factors!F176</f>
        <v>0.379030178</v>
      </c>
    </row>
    <row r="177" spans="1:46" x14ac:dyDescent="0.25">
      <c r="A177">
        <f t="shared" si="12"/>
        <v>1973.5833333333255</v>
      </c>
      <c r="B177" s="1">
        <v>26877</v>
      </c>
      <c r="C177" s="7">
        <f t="shared" si="9"/>
        <v>1973</v>
      </c>
      <c r="D177" s="7">
        <f t="shared" si="10"/>
        <v>8</v>
      </c>
      <c r="E177" s="7">
        <f t="shared" si="11"/>
        <v>3</v>
      </c>
      <c r="F177">
        <f xml:space="preserve"> [1]Coibion_update!O183</f>
        <v>3.840915757364483</v>
      </c>
      <c r="G177">
        <f xml:space="preserve"> [1]Coibion_update!P183</f>
        <v>4.8</v>
      </c>
      <c r="H177">
        <f xml:space="preserve"> [1]Coibion_update!Q183</f>
        <v>3.8066624897703196</v>
      </c>
      <c r="I177">
        <f xml:space="preserve"> [1]Coibion_update!W183</f>
        <v>10.5</v>
      </c>
      <c r="J177">
        <f xml:space="preserve"> [1]Coibion_update!X183</f>
        <v>5.3365760786651268</v>
      </c>
      <c r="K177">
        <f xml:space="preserve"> [1]Coibion_update!Y183</f>
        <v>2.9751723595886297</v>
      </c>
      <c r="L177">
        <f xml:space="preserve"> [1]Coibion_update!Z183</f>
        <v>3.8033458848002764</v>
      </c>
      <c r="M177">
        <f xml:space="preserve"> [1]Coibion_update!AA183</f>
        <v>3.5099919940542641</v>
      </c>
      <c r="N177">
        <f xml:space="preserve"> [1]Coibion_update!AB183</f>
        <v>0.24591160000000001</v>
      </c>
      <c r="O177">
        <f xml:space="preserve"> [1]Coibion_update!AC183</f>
        <v>-1.8274123999999996</v>
      </c>
      <c r="P177">
        <f xml:space="preserve"> [1]Coibion_update!AD183</f>
        <v>-1.5865507999999999</v>
      </c>
      <c r="X177" s="5">
        <f xml:space="preserve"> [1]misc!N260</f>
        <v>8.82</v>
      </c>
      <c r="Y177">
        <f xml:space="preserve"> [1]Gilchrist_Zak!C9</f>
        <v>-0.2306</v>
      </c>
      <c r="Z177">
        <f xml:space="preserve"> [1]Sims_Zha!B180</f>
        <v>-2.2216</v>
      </c>
      <c r="AK177">
        <v>11.22</v>
      </c>
      <c r="AL177">
        <f xml:space="preserve"> LN([1]misc!B196)</f>
        <v>5.551796117658319</v>
      </c>
      <c r="AM177">
        <f xml:space="preserve"> LN([1]misc!D196)</f>
        <v>6.7319722990277651</v>
      </c>
      <c r="AN177">
        <f xml:space="preserve"> LN([1]misc!G301)</f>
        <v>3.3111997320137085</v>
      </c>
      <c r="AO177">
        <f xml:space="preserve"> LN([1]misc!J207 + [1]misc!L207)</f>
        <v>2.6831425653960252</v>
      </c>
      <c r="AP177">
        <f xml:space="preserve"> [1]Factors!B177</f>
        <v>-0.236890564</v>
      </c>
      <c r="AQ177">
        <f xml:space="preserve"> [1]Factors!C177</f>
        <v>0.116251905</v>
      </c>
      <c r="AR177">
        <f xml:space="preserve"> [1]Factors!D177</f>
        <v>-0.16741004900000001</v>
      </c>
      <c r="AS177">
        <f xml:space="preserve"> [1]Factors!E177</f>
        <v>-0.52143378900000004</v>
      </c>
      <c r="AT177">
        <f xml:space="preserve"> [1]Factors!F177</f>
        <v>2.7661735699999999E-2</v>
      </c>
    </row>
    <row r="178" spans="1:46" x14ac:dyDescent="0.25">
      <c r="A178">
        <f t="shared" si="12"/>
        <v>1973.6666666666588</v>
      </c>
      <c r="B178" s="1">
        <v>26908</v>
      </c>
      <c r="C178" s="7">
        <f t="shared" si="9"/>
        <v>1973</v>
      </c>
      <c r="D178" s="7">
        <f t="shared" si="10"/>
        <v>9</v>
      </c>
      <c r="E178" s="7">
        <f t="shared" si="11"/>
        <v>3</v>
      </c>
      <c r="F178">
        <f xml:space="preserve"> [1]Coibion_update!O184</f>
        <v>3.8497900910022098</v>
      </c>
      <c r="G178">
        <f xml:space="preserve"> [1]Coibion_update!P184</f>
        <v>4.8</v>
      </c>
      <c r="H178">
        <f xml:space="preserve"> [1]Coibion_update!Q184</f>
        <v>3.8110970868381857</v>
      </c>
      <c r="I178">
        <f xml:space="preserve"> [1]Coibion_update!W184</f>
        <v>10.78</v>
      </c>
      <c r="J178">
        <f xml:space="preserve"> [1]Coibion_update!X184</f>
        <v>5.2740246739789924</v>
      </c>
      <c r="K178">
        <f xml:space="preserve"> [1]Coibion_update!Y184</f>
        <v>3.0129826269605187</v>
      </c>
      <c r="L178">
        <f xml:space="preserve"> [1]Coibion_update!Z184</f>
        <v>3.8194251439605797</v>
      </c>
      <c r="M178">
        <f xml:space="preserve"> [1]Coibion_update!AA184</f>
        <v>3.5166369327616458</v>
      </c>
      <c r="N178">
        <f xml:space="preserve"> [1]Coibion_update!AB184</f>
        <v>-0.60312739999999998</v>
      </c>
      <c r="O178">
        <f xml:space="preserve"> [1]Coibion_update!AC184</f>
        <v>-2.4305397999999996</v>
      </c>
      <c r="P178">
        <f xml:space="preserve"> [1]Coibion_update!AD184</f>
        <v>-2.1589483</v>
      </c>
      <c r="X178" s="5">
        <f xml:space="preserve"> [1]misc!N261</f>
        <v>8.31</v>
      </c>
      <c r="Y178">
        <f xml:space="preserve"> [1]Gilchrist_Zak!C10</f>
        <v>-0.32190000000000002</v>
      </c>
      <c r="Z178">
        <f xml:space="preserve"> [1]Sims_Zha!B181</f>
        <v>0.81535000000000002</v>
      </c>
      <c r="AK178">
        <v>10.82</v>
      </c>
      <c r="AL178">
        <f xml:space="preserve"> LN([1]misc!B197)</f>
        <v>5.5525719128872986</v>
      </c>
      <c r="AM178">
        <f xml:space="preserve"> LN([1]misc!D197)</f>
        <v>6.7325682110887817</v>
      </c>
      <c r="AN178">
        <f xml:space="preserve"> LN([1]misc!G302)</f>
        <v>3.3179969157360079</v>
      </c>
      <c r="AO178">
        <f xml:space="preserve"> LN([1]misc!J208 + [1]misc!L208)</f>
        <v>2.7002196219870216</v>
      </c>
      <c r="AP178">
        <f xml:space="preserve"> [1]Factors!B178</f>
        <v>-0.46643919099999998</v>
      </c>
      <c r="AQ178">
        <f xml:space="preserve"> [1]Factors!C178</f>
        <v>1.22616188</v>
      </c>
      <c r="AR178">
        <f xml:space="preserve"> [1]Factors!D178</f>
        <v>0.384112501</v>
      </c>
      <c r="AS178">
        <f xml:space="preserve"> [1]Factors!E178</f>
        <v>9.9445535199999997E-3</v>
      </c>
      <c r="AT178">
        <f xml:space="preserve"> [1]Factors!F178</f>
        <v>0.464661502</v>
      </c>
    </row>
    <row r="179" spans="1:46" x14ac:dyDescent="0.25">
      <c r="A179">
        <f t="shared" si="12"/>
        <v>1973.749999999992</v>
      </c>
      <c r="B179" s="1">
        <v>26938</v>
      </c>
      <c r="C179" s="7">
        <f t="shared" si="9"/>
        <v>1973</v>
      </c>
      <c r="D179" s="7">
        <f t="shared" si="10"/>
        <v>10</v>
      </c>
      <c r="E179" s="7">
        <f t="shared" si="11"/>
        <v>4</v>
      </c>
      <c r="F179">
        <f xml:space="preserve"> [1]Coibion_update!O185</f>
        <v>3.8566138842127295</v>
      </c>
      <c r="G179">
        <f xml:space="preserve"> [1]Coibion_update!P185</f>
        <v>4.5999999999999996</v>
      </c>
      <c r="H179">
        <f xml:space="preserve"> [1]Coibion_update!Q185</f>
        <v>3.8199077165203406</v>
      </c>
      <c r="I179">
        <f xml:space="preserve"> [1]Coibion_update!W185</f>
        <v>10.01</v>
      </c>
      <c r="J179">
        <f xml:space="preserve"> [1]Coibion_update!X185</f>
        <v>5.2578078232098271</v>
      </c>
      <c r="K179">
        <f xml:space="preserve"> [1]Coibion_update!Y185</f>
        <v>2.9794504409797082</v>
      </c>
      <c r="L179">
        <f xml:space="preserve"> [1]Coibion_update!Z185</f>
        <v>3.8144983755380948</v>
      </c>
      <c r="M179">
        <f xml:space="preserve"> [1]Coibion_update!AA185</f>
        <v>3.5164290171152448</v>
      </c>
      <c r="N179">
        <f xml:space="preserve"> [1]Coibion_update!AB185</f>
        <v>-0.87293960000000004</v>
      </c>
      <c r="O179">
        <f xml:space="preserve"> [1]Coibion_update!AC185</f>
        <v>-3.3034793999999996</v>
      </c>
      <c r="P179">
        <f xml:space="preserve"> [1]Coibion_update!AD185</f>
        <v>-3.0083080999999998</v>
      </c>
      <c r="X179" s="5">
        <f xml:space="preserve"> [1]misc!N262</f>
        <v>7.4</v>
      </c>
      <c r="Y179">
        <f xml:space="preserve"> [1]Gilchrist_Zak!C11</f>
        <v>0.1515</v>
      </c>
      <c r="Z179">
        <f xml:space="preserve"> [1]Sims_Zha!B182</f>
        <v>-6.6782000000000004</v>
      </c>
      <c r="AK179">
        <v>10.61</v>
      </c>
      <c r="AL179">
        <f xml:space="preserve"> LN([1]misc!B198)</f>
        <v>5.5568280616995374</v>
      </c>
      <c r="AM179">
        <f xml:space="preserve"> LN([1]misc!D198)</f>
        <v>6.7364923495449158</v>
      </c>
      <c r="AN179">
        <f xml:space="preserve"> LN([1]misc!G303)</f>
        <v>3.3523922173802223</v>
      </c>
      <c r="AO179">
        <f xml:space="preserve"> LN([1]misc!J209 + [1]misc!L209)</f>
        <v>2.7374795451262135</v>
      </c>
      <c r="AP179">
        <f xml:space="preserve"> [1]Factors!B179</f>
        <v>-0.31380623000000002</v>
      </c>
      <c r="AQ179">
        <f xml:space="preserve"> [1]Factors!C179</f>
        <v>0.15867055399999999</v>
      </c>
      <c r="AR179">
        <f xml:space="preserve"> [1]Factors!D179</f>
        <v>-0.47280417400000002</v>
      </c>
      <c r="AS179">
        <f xml:space="preserve"> [1]Factors!E179</f>
        <v>-7.2594867800000004E-2</v>
      </c>
      <c r="AT179">
        <f xml:space="preserve"> [1]Factors!F179</f>
        <v>-0.18892425099999999</v>
      </c>
    </row>
    <row r="180" spans="1:46" x14ac:dyDescent="0.25">
      <c r="A180">
        <f t="shared" si="12"/>
        <v>1973.8333333333253</v>
      </c>
      <c r="B180" s="1">
        <v>26969</v>
      </c>
      <c r="C180" s="7">
        <f t="shared" si="9"/>
        <v>1973</v>
      </c>
      <c r="D180" s="7">
        <f t="shared" si="10"/>
        <v>11</v>
      </c>
      <c r="E180" s="7">
        <f t="shared" si="11"/>
        <v>4</v>
      </c>
      <c r="F180">
        <f xml:space="preserve"> [1]Coibion_update!O186</f>
        <v>3.8617733767583298</v>
      </c>
      <c r="G180">
        <f xml:space="preserve"> [1]Coibion_update!P186</f>
        <v>4.8</v>
      </c>
      <c r="H180">
        <f xml:space="preserve"> [1]Coibion_update!Q186</f>
        <v>3.8264651170664994</v>
      </c>
      <c r="I180">
        <f xml:space="preserve"> [1]Coibion_update!W186</f>
        <v>10.029999999999999</v>
      </c>
      <c r="J180">
        <f xml:space="preserve"> [1]Coibion_update!X186</f>
        <v>5.2577557547919138</v>
      </c>
      <c r="K180">
        <f xml:space="preserve"> [1]Coibion_update!Y186</f>
        <v>2.9747639671177946</v>
      </c>
      <c r="L180">
        <f xml:space="preserve"> [1]Coibion_update!Z186</f>
        <v>3.819841924882434</v>
      </c>
      <c r="M180">
        <f xml:space="preserve"> [1]Coibion_update!AA186</f>
        <v>3.5178241935938748</v>
      </c>
      <c r="N180">
        <f xml:space="preserve"> [1]Coibion_update!AB186</f>
        <v>-0.1196041</v>
      </c>
      <c r="O180">
        <f xml:space="preserve"> [1]Coibion_update!AC186</f>
        <v>-3.4230834999999997</v>
      </c>
      <c r="P180">
        <f xml:space="preserve"> [1]Coibion_update!AD186</f>
        <v>-3.1046247</v>
      </c>
      <c r="X180" s="5">
        <f xml:space="preserve"> [1]misc!N263</f>
        <v>7.57</v>
      </c>
      <c r="Y180">
        <f xml:space="preserve"> [1]Gilchrist_Zak!C12</f>
        <v>4.48E-2</v>
      </c>
      <c r="Z180">
        <f xml:space="preserve"> [1]Sims_Zha!B183</f>
        <v>0.49725999999999998</v>
      </c>
      <c r="AK180">
        <v>10.34</v>
      </c>
      <c r="AL180">
        <f xml:space="preserve"> LN([1]misc!B199)</f>
        <v>5.5645204073226937</v>
      </c>
      <c r="AM180">
        <f xml:space="preserve"> LN([1]misc!D199)</f>
        <v>6.7439413937439223</v>
      </c>
      <c r="AN180">
        <f xml:space="preserve"> LN([1]misc!G304)</f>
        <v>3.3458608366226894</v>
      </c>
      <c r="AO180">
        <f xml:space="preserve"> LN([1]misc!J210 + [1]misc!L210)</f>
        <v>2.7463089132193006</v>
      </c>
      <c r="AP180">
        <f xml:space="preserve"> [1]Factors!B180</f>
        <v>-0.41391552799999998</v>
      </c>
      <c r="AQ180">
        <f xml:space="preserve"> [1]Factors!C180</f>
        <v>0.50007564400000004</v>
      </c>
      <c r="AR180">
        <f xml:space="preserve"> [1]Factors!D180</f>
        <v>-0.60116125899999995</v>
      </c>
      <c r="AS180">
        <f xml:space="preserve"> [1]Factors!E180</f>
        <v>0.28148126000000001</v>
      </c>
      <c r="AT180">
        <f xml:space="preserve"> [1]Factors!F180</f>
        <v>5.5445713000000004E-3</v>
      </c>
    </row>
    <row r="181" spans="1:46" x14ac:dyDescent="0.25">
      <c r="A181">
        <f t="shared" si="12"/>
        <v>1973.9166666666586</v>
      </c>
      <c r="B181" s="1">
        <v>26999</v>
      </c>
      <c r="C181" s="7">
        <f t="shared" si="9"/>
        <v>1973</v>
      </c>
      <c r="D181" s="7">
        <f t="shared" si="10"/>
        <v>12</v>
      </c>
      <c r="E181" s="7">
        <f t="shared" si="11"/>
        <v>4</v>
      </c>
      <c r="F181">
        <f xml:space="preserve"> [1]Coibion_update!O187</f>
        <v>3.8594109471167362</v>
      </c>
      <c r="G181">
        <f xml:space="preserve"> [1]Coibion_update!P187</f>
        <v>4.9000000000000004</v>
      </c>
      <c r="H181">
        <f xml:space="preserve"> [1]Coibion_update!Q187</f>
        <v>3.8351419610921882</v>
      </c>
      <c r="I181">
        <f xml:space="preserve"> [1]Coibion_update!W187</f>
        <v>9.9499999999999993</v>
      </c>
      <c r="J181">
        <f xml:space="preserve"> [1]Coibion_update!X187</f>
        <v>5.3197363339213366</v>
      </c>
      <c r="K181">
        <f xml:space="preserve"> [1]Coibion_update!Y187</f>
        <v>2.9511532301560237</v>
      </c>
      <c r="L181">
        <f xml:space="preserve"> [1]Coibion_update!Z187</f>
        <v>3.8124015453965656</v>
      </c>
      <c r="M181">
        <f xml:space="preserve"> [1]Coibion_update!AA187</f>
        <v>3.5129772491221654</v>
      </c>
      <c r="N181">
        <f xml:space="preserve"> [1]Coibion_update!AB187</f>
        <v>-0.19873830000000001</v>
      </c>
      <c r="O181">
        <f xml:space="preserve"> [1]Coibion_update!AC187</f>
        <v>-3.6218217999999998</v>
      </c>
      <c r="P181">
        <f xml:space="preserve"> [1]Coibion_update!AD187</f>
        <v>-3.2697718999999998</v>
      </c>
      <c r="X181" s="5">
        <f xml:space="preserve"> [1]misc!N264</f>
        <v>7.27</v>
      </c>
      <c r="Y181">
        <f xml:space="preserve"> [1]Gilchrist_Zak!C13</f>
        <v>-9.2999999999999992E-3</v>
      </c>
      <c r="Z181">
        <f xml:space="preserve"> [1]Sims_Zha!B184</f>
        <v>-0.23057</v>
      </c>
      <c r="AK181">
        <v>9.83</v>
      </c>
      <c r="AL181">
        <f xml:space="preserve"> LN([1]misc!B200)</f>
        <v>5.5717737317358358</v>
      </c>
      <c r="AM181">
        <f xml:space="preserve"> LN([1]misc!D200)</f>
        <v>6.751686093332248</v>
      </c>
      <c r="AN181">
        <f xml:space="preserve"> LN([1]misc!G305)</f>
        <v>3.348956269816465</v>
      </c>
      <c r="AO181">
        <f xml:space="preserve"> LN([1]misc!J211 + [1]misc!L211)</f>
        <v>2.7551246084881389</v>
      </c>
      <c r="AP181">
        <f xml:space="preserve"> [1]Factors!B181</f>
        <v>-0.57945826700000003</v>
      </c>
      <c r="AQ181">
        <f xml:space="preserve"> [1]Factors!C181</f>
        <v>0.57578951499999997</v>
      </c>
      <c r="AR181">
        <f xml:space="preserve"> [1]Factors!D181</f>
        <v>-0.13674467800000001</v>
      </c>
      <c r="AS181">
        <f xml:space="preserve"> [1]Factors!E181</f>
        <v>-0.15681526700000001</v>
      </c>
      <c r="AT181">
        <f xml:space="preserve"> [1]Factors!F181</f>
        <v>0.13203468700000001</v>
      </c>
    </row>
    <row r="182" spans="1:46" x14ac:dyDescent="0.25">
      <c r="A182">
        <f t="shared" si="12"/>
        <v>1973.9999999999918</v>
      </c>
      <c r="B182" s="1">
        <v>27030</v>
      </c>
      <c r="C182" s="7">
        <f t="shared" si="9"/>
        <v>1974</v>
      </c>
      <c r="D182" s="7">
        <f t="shared" si="10"/>
        <v>1</v>
      </c>
      <c r="E182" s="7">
        <f t="shared" si="11"/>
        <v>1</v>
      </c>
      <c r="F182">
        <f xml:space="preserve"> [1]Coibion_update!O188</f>
        <v>3.8523558001422011</v>
      </c>
      <c r="G182">
        <f xml:space="preserve"> [1]Coibion_update!P188</f>
        <v>5.0999999999999996</v>
      </c>
      <c r="H182">
        <f xml:space="preserve"> [1]Coibion_update!Q188</f>
        <v>3.8458832029236012</v>
      </c>
      <c r="I182">
        <f xml:space="preserve"> [1]Coibion_update!W188</f>
        <v>9.65</v>
      </c>
      <c r="J182">
        <f xml:space="preserve"> [1]Coibion_update!X188</f>
        <v>5.3628871371973368</v>
      </c>
      <c r="K182">
        <f xml:space="preserve"> [1]Coibion_update!Y188</f>
        <v>2.950368731802461</v>
      </c>
      <c r="L182">
        <f xml:space="preserve"> [1]Coibion_update!Z188</f>
        <v>3.809901682361386</v>
      </c>
      <c r="M182">
        <f xml:space="preserve"> [1]Coibion_update!AA188</f>
        <v>3.51390087157524</v>
      </c>
      <c r="N182">
        <f xml:space="preserve"> [1]Coibion_update!AB188</f>
        <v>-0.2057967</v>
      </c>
      <c r="O182">
        <f xml:space="preserve"> [1]Coibion_update!AC188</f>
        <v>-3.8276184999999998</v>
      </c>
      <c r="P182">
        <f xml:space="preserve"> [1]Coibion_update!AD188</f>
        <v>-3.4732729</v>
      </c>
      <c r="X182" s="5">
        <f xml:space="preserve"> [1]misc!N265</f>
        <v>7.42</v>
      </c>
      <c r="Y182">
        <f xml:space="preserve"> [1]Gilchrist_Zak!C14</f>
        <v>-4.3400000000000001E-2</v>
      </c>
      <c r="Z182">
        <f xml:space="preserve"> [1]Sims_Zha!B185</f>
        <v>-1.8007</v>
      </c>
      <c r="AK182">
        <v>9.31</v>
      </c>
      <c r="AL182">
        <f xml:space="preserve"> LN([1]misc!B201)</f>
        <v>5.575191240283214</v>
      </c>
      <c r="AM182">
        <f xml:space="preserve"> LN([1]misc!D201)</f>
        <v>6.7565834911803986</v>
      </c>
      <c r="AN182">
        <f xml:space="preserve"> LN([1]misc!G306)</f>
        <v>3.3804843400646138</v>
      </c>
      <c r="AO182">
        <f xml:space="preserve"> LN([1]misc!J212 + [1]misc!L212)</f>
        <v>2.7832195145958067</v>
      </c>
      <c r="AP182">
        <f xml:space="preserve"> [1]Factors!B182</f>
        <v>-0.13436804299999999</v>
      </c>
      <c r="AQ182">
        <f xml:space="preserve"> [1]Factors!C182</f>
        <v>0.68829278400000005</v>
      </c>
      <c r="AR182">
        <f xml:space="preserve"> [1]Factors!D182</f>
        <v>-0.183472635</v>
      </c>
      <c r="AS182">
        <f xml:space="preserve"> [1]Factors!E182</f>
        <v>-0.102671093</v>
      </c>
      <c r="AT182">
        <f xml:space="preserve"> [1]Factors!F182</f>
        <v>0.46638673200000003</v>
      </c>
    </row>
    <row r="183" spans="1:46" x14ac:dyDescent="0.25">
      <c r="A183">
        <f t="shared" si="12"/>
        <v>1974.0833333333251</v>
      </c>
      <c r="B183" s="1">
        <v>27061</v>
      </c>
      <c r="C183" s="7">
        <f t="shared" si="9"/>
        <v>1974</v>
      </c>
      <c r="D183" s="7">
        <f t="shared" si="10"/>
        <v>2</v>
      </c>
      <c r="E183" s="7">
        <f t="shared" si="11"/>
        <v>1</v>
      </c>
      <c r="F183">
        <f xml:space="preserve"> [1]Coibion_update!O189</f>
        <v>3.8492471964668944</v>
      </c>
      <c r="G183">
        <f xml:space="preserve"> [1]Coibion_update!P189</f>
        <v>5.2</v>
      </c>
      <c r="H183">
        <f xml:space="preserve"> [1]Coibion_update!Q189</f>
        <v>3.8565102954978872</v>
      </c>
      <c r="I183">
        <f xml:space="preserve"> [1]Coibion_update!W189</f>
        <v>8.9700000000000006</v>
      </c>
      <c r="J183">
        <f xml:space="preserve"> [1]Coibion_update!X189</f>
        <v>5.4469528656871846</v>
      </c>
      <c r="K183">
        <f xml:space="preserve"> [1]Coibion_update!Y189</f>
        <v>2.9309270501878752</v>
      </c>
      <c r="L183">
        <f xml:space="preserve"> [1]Coibion_update!Z189</f>
        <v>3.8024982758987091</v>
      </c>
      <c r="M183">
        <f xml:space="preserve"> [1]Coibion_update!AA189</f>
        <v>3.5130666692328076</v>
      </c>
      <c r="N183">
        <f xml:space="preserve"> [1]Coibion_update!AB189</f>
        <v>0.20245959999999999</v>
      </c>
      <c r="O183">
        <f xml:space="preserve"> [1]Coibion_update!AC189</f>
        <v>-3.6251588999999997</v>
      </c>
      <c r="P183">
        <f xml:space="preserve"> [1]Coibion_update!AD189</f>
        <v>-3.2714387999999999</v>
      </c>
      <c r="X183" s="5">
        <f xml:space="preserve"> [1]misc!N266</f>
        <v>6.88</v>
      </c>
      <c r="Y183">
        <f xml:space="preserve"> [1]Gilchrist_Zak!C15</f>
        <v>0.1772</v>
      </c>
      <c r="Z183">
        <f xml:space="preserve"> [1]Sims_Zha!B186</f>
        <v>-4.7039</v>
      </c>
      <c r="AK183">
        <v>8.8699999999999992</v>
      </c>
      <c r="AL183">
        <f xml:space="preserve"> LN([1]misc!B202)</f>
        <v>5.5808612611436939</v>
      </c>
      <c r="AM183">
        <f xml:space="preserve"> LN([1]misc!D202)</f>
        <v>6.7618042234978333</v>
      </c>
      <c r="AN183">
        <f xml:space="preserve"> LN([1]misc!G307)</f>
        <v>3.3546297458458207</v>
      </c>
      <c r="AO183">
        <f xml:space="preserve"> LN([1]misc!J213 + [1]misc!L213)</f>
        <v>2.768392430108372</v>
      </c>
      <c r="AP183">
        <f xml:space="preserve"> [1]Factors!B183</f>
        <v>-0.16506637699999999</v>
      </c>
      <c r="AQ183">
        <f xml:space="preserve"> [1]Factors!C183</f>
        <v>1.07483401</v>
      </c>
      <c r="AR183">
        <f xml:space="preserve"> [1]Factors!D183</f>
        <v>0.21051861599999999</v>
      </c>
      <c r="AS183">
        <f xml:space="preserve"> [1]Factors!E183</f>
        <v>2.4367753900000001E-2</v>
      </c>
      <c r="AT183">
        <f xml:space="preserve"> [1]Factors!F183</f>
        <v>0.51562801899999999</v>
      </c>
    </row>
    <row r="184" spans="1:46" x14ac:dyDescent="0.25">
      <c r="A184">
        <f t="shared" si="12"/>
        <v>1974.1666666666583</v>
      </c>
      <c r="B184" s="1">
        <v>27089</v>
      </c>
      <c r="C184" s="7">
        <f t="shared" si="9"/>
        <v>1974</v>
      </c>
      <c r="D184" s="7">
        <f t="shared" si="10"/>
        <v>3</v>
      </c>
      <c r="E184" s="7">
        <f t="shared" si="11"/>
        <v>1</v>
      </c>
      <c r="F184">
        <f xml:space="preserve"> [1]Coibion_update!O190</f>
        <v>3.8495069710181151</v>
      </c>
      <c r="G184">
        <f xml:space="preserve"> [1]Coibion_update!P190</f>
        <v>5.0999999999999996</v>
      </c>
      <c r="H184">
        <f xml:space="preserve"> [1]Coibion_update!Q190</f>
        <v>3.8670256394974101</v>
      </c>
      <c r="I184">
        <f xml:space="preserve"> [1]Coibion_update!W190</f>
        <v>9.35</v>
      </c>
      <c r="J184">
        <f xml:space="preserve"> [1]Coibion_update!X190</f>
        <v>5.4510384535657002</v>
      </c>
      <c r="K184">
        <f xml:space="preserve"> [1]Coibion_update!Y190</f>
        <v>2.9530335190208756</v>
      </c>
      <c r="L184">
        <f xml:space="preserve"> [1]Coibion_update!Z190</f>
        <v>3.793757353331181</v>
      </c>
      <c r="M184">
        <f xml:space="preserve"> [1]Coibion_update!AA190</f>
        <v>3.5158941782969686</v>
      </c>
      <c r="N184">
        <f xml:space="preserve"> [1]Coibion_update!AB190</f>
        <v>0.75529069999999998</v>
      </c>
      <c r="O184">
        <f xml:space="preserve"> [1]Coibion_update!AC190</f>
        <v>-2.8698682</v>
      </c>
      <c r="P184">
        <f xml:space="preserve"> [1]Coibion_update!AD190</f>
        <v>-2.5358248999999997</v>
      </c>
      <c r="X184" s="5">
        <f xml:space="preserve"> [1]misc!N267</f>
        <v>7.76</v>
      </c>
      <c r="Y184">
        <f xml:space="preserve"> [1]Gilchrist_Zak!C16</f>
        <v>-0.123</v>
      </c>
      <c r="Z184">
        <f xml:space="preserve"> [1]Sims_Zha!B187</f>
        <v>2.0507</v>
      </c>
      <c r="AK184">
        <v>9.9499999999999993</v>
      </c>
      <c r="AL184">
        <f xml:space="preserve"> LN([1]misc!B203)</f>
        <v>5.5861244311879688</v>
      </c>
      <c r="AM184">
        <f xml:space="preserve"> LN([1]misc!D203)</f>
        <v>6.768608147571979</v>
      </c>
      <c r="AN184">
        <f xml:space="preserve"> LN([1]misc!G308)</f>
        <v>3.3490265093332461</v>
      </c>
      <c r="AO184">
        <f xml:space="preserve"> LN([1]misc!J214 + [1]misc!L214)</f>
        <v>2.7610853109813518</v>
      </c>
      <c r="AP184">
        <f xml:space="preserve"> [1]Factors!B184</f>
        <v>-0.11651840099999999</v>
      </c>
      <c r="AQ184">
        <f xml:space="preserve"> [1]Factors!C184</f>
        <v>0.95187144599999995</v>
      </c>
      <c r="AR184">
        <f xml:space="preserve"> [1]Factors!D184</f>
        <v>-0.15823922700000001</v>
      </c>
      <c r="AS184">
        <f xml:space="preserve"> [1]Factors!E184</f>
        <v>0.29988092</v>
      </c>
      <c r="AT184">
        <f xml:space="preserve"> [1]Factors!F184</f>
        <v>0.30459741099999998</v>
      </c>
    </row>
    <row r="185" spans="1:46" x14ac:dyDescent="0.25">
      <c r="A185">
        <f t="shared" si="12"/>
        <v>1974.2499999999916</v>
      </c>
      <c r="B185" s="1">
        <v>27120</v>
      </c>
      <c r="C185" s="7">
        <f t="shared" si="9"/>
        <v>1974</v>
      </c>
      <c r="D185" s="7">
        <f t="shared" si="10"/>
        <v>4</v>
      </c>
      <c r="E185" s="7">
        <f t="shared" si="11"/>
        <v>2</v>
      </c>
      <c r="F185">
        <f xml:space="preserve"> [1]Coibion_update!O191</f>
        <v>3.846553918114811</v>
      </c>
      <c r="G185">
        <f xml:space="preserve"> [1]Coibion_update!P191</f>
        <v>5.0999999999999996</v>
      </c>
      <c r="H185">
        <f xml:space="preserve"> [1]Coibion_update!Q191</f>
        <v>3.8732821771117156</v>
      </c>
      <c r="I185">
        <f xml:space="preserve"> [1]Coibion_update!W191</f>
        <v>10.51</v>
      </c>
      <c r="J185">
        <f xml:space="preserve"> [1]Coibion_update!X191</f>
        <v>5.4416381859922591</v>
      </c>
      <c r="K185">
        <f xml:space="preserve"> [1]Coibion_update!Y191</f>
        <v>2.950264085506844</v>
      </c>
      <c r="L185">
        <f xml:space="preserve"> [1]Coibion_update!Z191</f>
        <v>3.7961855758521779</v>
      </c>
      <c r="M185">
        <f xml:space="preserve"> [1]Coibion_update!AA191</f>
        <v>3.5214071001701877</v>
      </c>
      <c r="N185">
        <f xml:space="preserve"> [1]Coibion_update!AB191</f>
        <v>0.39193080000000002</v>
      </c>
      <c r="O185">
        <f xml:space="preserve"> [1]Coibion_update!AC191</f>
        <v>-2.4779374000000001</v>
      </c>
      <c r="P185">
        <f xml:space="preserve"> [1]Coibion_update!AD191</f>
        <v>-2.1493357</v>
      </c>
      <c r="X185" s="5">
        <f xml:space="preserve"> [1]misc!N268</f>
        <v>8.6199999999999992</v>
      </c>
      <c r="Y185">
        <f xml:space="preserve"> [1]Gilchrist_Zak!C17</f>
        <v>1.8800000000000001E-2</v>
      </c>
      <c r="Z185">
        <f xml:space="preserve"> [1]Sims_Zha!B188</f>
        <v>6.6502999999999997</v>
      </c>
      <c r="AK185">
        <v>11</v>
      </c>
      <c r="AL185">
        <f xml:space="preserve"> LN([1]misc!B204)</f>
        <v>5.5879974416624902</v>
      </c>
      <c r="AM185">
        <f xml:space="preserve"> LN([1]misc!D204)</f>
        <v>6.7718210017413041</v>
      </c>
      <c r="AN185">
        <f xml:space="preserve"> LN([1]misc!G309)</f>
        <v>3.3860837438521072</v>
      </c>
      <c r="AO185">
        <f xml:space="preserve"> LN([1]misc!J215 + [1]misc!L215)</f>
        <v>2.7447677840373728</v>
      </c>
      <c r="AP185">
        <f xml:space="preserve"> [1]Factors!B185</f>
        <v>-0.30370370899999999</v>
      </c>
      <c r="AQ185">
        <f xml:space="preserve"> [1]Factors!C185</f>
        <v>0.84812345200000006</v>
      </c>
      <c r="AR185">
        <f xml:space="preserve"> [1]Factors!D185</f>
        <v>0.24752054400000001</v>
      </c>
      <c r="AS185">
        <f xml:space="preserve"> [1]Factors!E185</f>
        <v>-2.4494212800000002E-2</v>
      </c>
      <c r="AT185">
        <f xml:space="preserve"> [1]Factors!F185</f>
        <v>8.7295501600000006E-2</v>
      </c>
    </row>
    <row r="186" spans="1:46" x14ac:dyDescent="0.25">
      <c r="A186">
        <f t="shared" si="12"/>
        <v>1974.3333333333248</v>
      </c>
      <c r="B186" s="1">
        <v>27150</v>
      </c>
      <c r="C186" s="7">
        <f t="shared" si="9"/>
        <v>1974</v>
      </c>
      <c r="D186" s="7">
        <f t="shared" si="10"/>
        <v>5</v>
      </c>
      <c r="E186" s="7">
        <f t="shared" si="11"/>
        <v>2</v>
      </c>
      <c r="F186">
        <f xml:space="preserve"> [1]Coibion_update!O192</f>
        <v>3.8538619714855415</v>
      </c>
      <c r="G186">
        <f xml:space="preserve"> [1]Coibion_update!P192</f>
        <v>5.0999999999999996</v>
      </c>
      <c r="H186">
        <f xml:space="preserve"> [1]Coibion_update!Q192</f>
        <v>3.8836235309064482</v>
      </c>
      <c r="I186">
        <f xml:space="preserve"> [1]Coibion_update!W192</f>
        <v>11.31</v>
      </c>
      <c r="J186">
        <f xml:space="preserve"> [1]Coibion_update!X192</f>
        <v>5.4012349005547229</v>
      </c>
      <c r="K186">
        <f xml:space="preserve"> [1]Coibion_update!Y192</f>
        <v>2.9622788972947713</v>
      </c>
      <c r="L186">
        <f xml:space="preserve"> [1]Coibion_update!Z192</f>
        <v>3.795354348620942</v>
      </c>
      <c r="M186">
        <f xml:space="preserve"> [1]Coibion_update!AA192</f>
        <v>3.524181682073531</v>
      </c>
      <c r="N186">
        <f xml:space="preserve"> [1]Coibion_update!AB192</f>
        <v>0.34379110000000002</v>
      </c>
      <c r="O186">
        <f xml:space="preserve"> [1]Coibion_update!AC192</f>
        <v>-2.1341463000000003</v>
      </c>
      <c r="P186">
        <f xml:space="preserve"> [1]Coibion_update!AD192</f>
        <v>-1.758057</v>
      </c>
      <c r="X186" s="5">
        <f xml:space="preserve"> [1]misc!N269</f>
        <v>8.7799999999999994</v>
      </c>
      <c r="Y186">
        <f xml:space="preserve"> [1]Gilchrist_Zak!C18</f>
        <v>3.7600000000000001E-2</v>
      </c>
      <c r="Z186">
        <f xml:space="preserve"> [1]Sims_Zha!B189</f>
        <v>2.7353999999999998</v>
      </c>
      <c r="AK186">
        <v>11.64</v>
      </c>
      <c r="AL186">
        <f xml:space="preserve"> LN([1]misc!B205)</f>
        <v>5.5894933282540737</v>
      </c>
      <c r="AM186">
        <f xml:space="preserve"> LN([1]misc!D205)</f>
        <v>6.7737666389788203</v>
      </c>
      <c r="AN186">
        <f xml:space="preserve"> LN([1]misc!G310)</f>
        <v>3.3972897568311384</v>
      </c>
      <c r="AO186">
        <f xml:space="preserve"> LN([1]misc!J216 + [1]misc!L216)</f>
        <v>2.6968544283414753</v>
      </c>
      <c r="AP186">
        <f xml:space="preserve"> [1]Factors!B186</f>
        <v>-0.13337459199999999</v>
      </c>
      <c r="AQ186">
        <f xml:space="preserve"> [1]Factors!C186</f>
        <v>0.70330790899999995</v>
      </c>
      <c r="AR186">
        <f xml:space="preserve"> [1]Factors!D186</f>
        <v>0.106303647</v>
      </c>
      <c r="AS186">
        <f xml:space="preserve"> [1]Factors!E186</f>
        <v>-0.34506895799999998</v>
      </c>
      <c r="AT186">
        <f xml:space="preserve"> [1]Factors!F186</f>
        <v>8.7676501500000004E-2</v>
      </c>
    </row>
    <row r="187" spans="1:46" x14ac:dyDescent="0.25">
      <c r="A187">
        <f t="shared" si="12"/>
        <v>1974.4166666666581</v>
      </c>
      <c r="B187" s="1">
        <v>27181</v>
      </c>
      <c r="C187" s="7">
        <f t="shared" si="9"/>
        <v>1974</v>
      </c>
      <c r="D187" s="7">
        <f t="shared" si="10"/>
        <v>6</v>
      </c>
      <c r="E187" s="7">
        <f t="shared" si="11"/>
        <v>2</v>
      </c>
      <c r="F187">
        <f xml:space="preserve"> [1]Coibion_update!O193</f>
        <v>3.8531770508448822</v>
      </c>
      <c r="G187">
        <f xml:space="preserve"> [1]Coibion_update!P193</f>
        <v>5.4</v>
      </c>
      <c r="H187">
        <f xml:space="preserve"> [1]Coibion_update!Q193</f>
        <v>3.8918202981106265</v>
      </c>
      <c r="I187">
        <f xml:space="preserve"> [1]Coibion_update!W193</f>
        <v>11.93</v>
      </c>
      <c r="J187">
        <f xml:space="preserve"> [1]Coibion_update!X193</f>
        <v>5.4134301736485408</v>
      </c>
      <c r="K187">
        <f xml:space="preserve"> [1]Coibion_update!Y193</f>
        <v>2.9378912738641412</v>
      </c>
      <c r="L187">
        <f xml:space="preserve"> [1]Coibion_update!Z193</f>
        <v>3.7946798730001481</v>
      </c>
      <c r="M187">
        <f xml:space="preserve"> [1]Coibion_update!AA193</f>
        <v>3.5266251954700936</v>
      </c>
      <c r="N187">
        <f xml:space="preserve"> [1]Coibion_update!AB193</f>
        <v>0.23393800000000001</v>
      </c>
      <c r="O187">
        <f xml:space="preserve"> [1]Coibion_update!AC193</f>
        <v>-1.9002083000000003</v>
      </c>
      <c r="P187">
        <f xml:space="preserve"> [1]Coibion_update!AD193</f>
        <v>-1.4805796</v>
      </c>
      <c r="X187" s="5">
        <f xml:space="preserve"> [1]misc!N270</f>
        <v>8.67</v>
      </c>
      <c r="Y187">
        <f xml:space="preserve"> [1]Gilchrist_Zak!C19</f>
        <v>0.60229999999999995</v>
      </c>
      <c r="Z187">
        <f xml:space="preserve"> [1]Sims_Zha!B190</f>
        <v>1.7506999999999999</v>
      </c>
      <c r="AK187">
        <v>13.31</v>
      </c>
      <c r="AL187">
        <f xml:space="preserve"> LN([1]misc!B206)</f>
        <v>5.5928509139489195</v>
      </c>
      <c r="AM187">
        <f xml:space="preserve"> LN([1]misc!D206)</f>
        <v>6.7774187772541339</v>
      </c>
      <c r="AN187">
        <f xml:space="preserve"> LN([1]misc!G311)</f>
        <v>3.3941391978502486</v>
      </c>
      <c r="AO187">
        <f xml:space="preserve"> LN([1]misc!J217 + [1]misc!L217)</f>
        <v>2.6645161990784816</v>
      </c>
      <c r="AP187">
        <f xml:space="preserve"> [1]Factors!B187</f>
        <v>-0.43875804200000001</v>
      </c>
      <c r="AQ187">
        <f xml:space="preserve"> [1]Factors!C187</f>
        <v>0.92689676399999998</v>
      </c>
      <c r="AR187">
        <f xml:space="preserve"> [1]Factors!D187</f>
        <v>8.0899043499999997E-3</v>
      </c>
      <c r="AS187">
        <f xml:space="preserve"> [1]Factors!E187</f>
        <v>0.10054165800000001</v>
      </c>
      <c r="AT187">
        <f xml:space="preserve"> [1]Factors!F187</f>
        <v>-0.22758927100000001</v>
      </c>
    </row>
    <row r="188" spans="1:46" x14ac:dyDescent="0.25">
      <c r="A188">
        <f t="shared" si="12"/>
        <v>1974.4999999999914</v>
      </c>
      <c r="B188" s="1">
        <v>27211</v>
      </c>
      <c r="C188" s="7">
        <f t="shared" si="9"/>
        <v>1974</v>
      </c>
      <c r="D188" s="7">
        <f t="shared" si="10"/>
        <v>7</v>
      </c>
      <c r="E188" s="7">
        <f t="shared" si="11"/>
        <v>3</v>
      </c>
      <c r="F188">
        <f xml:space="preserve"> [1]Coibion_update!O194</f>
        <v>3.8531515958366076</v>
      </c>
      <c r="G188">
        <f xml:space="preserve"> [1]Coibion_update!P194</f>
        <v>5.5</v>
      </c>
      <c r="H188">
        <f xml:space="preserve"> [1]Coibion_update!Q194</f>
        <v>3.8979240810486444</v>
      </c>
      <c r="I188">
        <f xml:space="preserve"> [1]Coibion_update!W194</f>
        <v>12.92</v>
      </c>
      <c r="J188">
        <f xml:space="preserve"> [1]Coibion_update!X194</f>
        <v>5.4683976369196374</v>
      </c>
      <c r="K188">
        <f xml:space="preserve"> [1]Coibion_update!Y194</f>
        <v>2.9445442367845578</v>
      </c>
      <c r="L188">
        <f xml:space="preserve"> [1]Coibion_update!Z194</f>
        <v>3.8012255139454747</v>
      </c>
      <c r="M188">
        <f xml:space="preserve"> [1]Coibion_update!AA194</f>
        <v>3.5266545990191038</v>
      </c>
      <c r="N188">
        <f xml:space="preserve"> [1]Coibion_update!AB194</f>
        <v>-0.13442570000000001</v>
      </c>
      <c r="O188">
        <f xml:space="preserve"> [1]Coibion_update!AC194</f>
        <v>-2.0346340000000005</v>
      </c>
      <c r="P188">
        <f xml:space="preserve"> [1]Coibion_update!AD194</f>
        <v>-1.5714170000000001</v>
      </c>
      <c r="X188" s="5">
        <f xml:space="preserve"> [1]misc!N271</f>
        <v>8.8000000000000007</v>
      </c>
      <c r="Y188">
        <f xml:space="preserve"> [1]Gilchrist_Zak!C20</f>
        <v>1.0931999999999999</v>
      </c>
      <c r="Z188">
        <f xml:space="preserve"> [1]Sims_Zha!B191</f>
        <v>5.2084999999999999</v>
      </c>
      <c r="AK188">
        <v>12.06</v>
      </c>
      <c r="AL188">
        <f xml:space="preserve"> LN([1]misc!B207)</f>
        <v>5.5958259998175537</v>
      </c>
      <c r="AM188">
        <f xml:space="preserve"> LN([1]misc!D207)</f>
        <v>6.7815115524078866</v>
      </c>
      <c r="AN188">
        <f xml:space="preserve"> LN([1]misc!G312)</f>
        <v>3.4175627357484197</v>
      </c>
      <c r="AO188">
        <f xml:space="preserve"> LN([1]misc!J218 + [1]misc!L218)</f>
        <v>2.6521850682608146</v>
      </c>
      <c r="AP188">
        <f xml:space="preserve"> [1]Factors!B188</f>
        <v>-2.25970227E-2</v>
      </c>
      <c r="AQ188">
        <f xml:space="preserve"> [1]Factors!C188</f>
        <v>0.86096332900000005</v>
      </c>
      <c r="AR188">
        <f xml:space="preserve"> [1]Factors!D188</f>
        <v>-0.25104195400000001</v>
      </c>
      <c r="AS188">
        <f xml:space="preserve"> [1]Factors!E188</f>
        <v>-0.10214189799999999</v>
      </c>
      <c r="AT188">
        <f xml:space="preserve"> [1]Factors!F188</f>
        <v>-0.27062772800000001</v>
      </c>
    </row>
    <row r="189" spans="1:46" x14ac:dyDescent="0.25">
      <c r="A189">
        <f t="shared" si="12"/>
        <v>1974.5833333333246</v>
      </c>
      <c r="B189" s="1">
        <v>27242</v>
      </c>
      <c r="C189" s="7">
        <f t="shared" si="9"/>
        <v>1974</v>
      </c>
      <c r="D189" s="7">
        <f t="shared" si="10"/>
        <v>8</v>
      </c>
      <c r="E189" s="7">
        <f t="shared" si="11"/>
        <v>3</v>
      </c>
      <c r="F189">
        <f xml:space="preserve"> [1]Coibion_update!O195</f>
        <v>3.8434293399621522</v>
      </c>
      <c r="G189">
        <f xml:space="preserve"> [1]Coibion_update!P195</f>
        <v>5.5</v>
      </c>
      <c r="H189">
        <f xml:space="preserve"> [1]Coibion_update!Q195</f>
        <v>3.9100210027574729</v>
      </c>
      <c r="I189">
        <f xml:space="preserve"> [1]Coibion_update!W195</f>
        <v>12.01</v>
      </c>
      <c r="J189">
        <f xml:space="preserve"> [1]Coibion_update!X195</f>
        <v>5.484091290392243</v>
      </c>
      <c r="K189">
        <f xml:space="preserve"> [1]Coibion_update!Y195</f>
        <v>2.9900159665578818</v>
      </c>
      <c r="L189">
        <f xml:space="preserve"> [1]Coibion_update!Z195</f>
        <v>3.8002419219673973</v>
      </c>
      <c r="M189">
        <f xml:space="preserve"> [1]Coibion_update!AA195</f>
        <v>3.5288867428030448</v>
      </c>
      <c r="N189">
        <f xml:space="preserve"> [1]Coibion_update!AB195</f>
        <v>-4.4339299999999998E-2</v>
      </c>
      <c r="O189">
        <f xml:space="preserve"> [1]Coibion_update!AC195</f>
        <v>-2.0789733000000004</v>
      </c>
      <c r="P189">
        <f xml:space="preserve"> [1]Coibion_update!AD195</f>
        <v>-1.5925907000000001</v>
      </c>
      <c r="X189" s="5">
        <f xml:space="preserve"> [1]misc!N272</f>
        <v>9.36</v>
      </c>
      <c r="Y189">
        <f xml:space="preserve"> [1]Gilchrist_Zak!C21</f>
        <v>0.65410000000000001</v>
      </c>
      <c r="Z189">
        <f xml:space="preserve"> [1]Sims_Zha!B192</f>
        <v>-6.9188999999999998</v>
      </c>
      <c r="AK189">
        <v>11.6</v>
      </c>
      <c r="AL189">
        <f xml:space="preserve"> LN([1]misc!B208)</f>
        <v>5.5987922607985698</v>
      </c>
      <c r="AM189">
        <f xml:space="preserve"> LN([1]misc!D208)</f>
        <v>6.7845701784117587</v>
      </c>
      <c r="AN189">
        <f xml:space="preserve"> LN([1]misc!G313)</f>
        <v>3.4102892583403737</v>
      </c>
      <c r="AO189">
        <f xml:space="preserve"> LN([1]misc!J219 + [1]misc!L219)</f>
        <v>2.6429782043584953</v>
      </c>
      <c r="AP189">
        <f xml:space="preserve"> [1]Factors!B189</f>
        <v>-8.7274940699999998E-2</v>
      </c>
      <c r="AQ189">
        <f xml:space="preserve"> [1]Factors!C189</f>
        <v>1.1006532</v>
      </c>
      <c r="AR189">
        <f xml:space="preserve"> [1]Factors!D189</f>
        <v>-6.3841054499999994E-2</v>
      </c>
      <c r="AS189">
        <f xml:space="preserve"> [1]Factors!E189</f>
        <v>-0.116120128</v>
      </c>
      <c r="AT189">
        <f xml:space="preserve"> [1]Factors!F189</f>
        <v>-8.0569624699999995E-2</v>
      </c>
    </row>
    <row r="190" spans="1:46" x14ac:dyDescent="0.25">
      <c r="A190">
        <f t="shared" si="12"/>
        <v>1974.6666666666579</v>
      </c>
      <c r="B190" s="1">
        <v>27273</v>
      </c>
      <c r="C190" s="7">
        <f t="shared" si="9"/>
        <v>1974</v>
      </c>
      <c r="D190" s="7">
        <f t="shared" si="10"/>
        <v>9</v>
      </c>
      <c r="E190" s="7">
        <f t="shared" si="11"/>
        <v>3</v>
      </c>
      <c r="F190">
        <f xml:space="preserve"> [1]Coibion_update!O196</f>
        <v>3.8439390065056536</v>
      </c>
      <c r="G190">
        <f xml:space="preserve"> [1]Coibion_update!P196</f>
        <v>5.9</v>
      </c>
      <c r="H190">
        <f xml:space="preserve"> [1]Coibion_update!Q196</f>
        <v>3.9239515762934198</v>
      </c>
      <c r="I190">
        <f xml:space="preserve"> [1]Coibion_update!W196</f>
        <v>11.34</v>
      </c>
      <c r="J190">
        <f xml:space="preserve"> [1]Coibion_update!X196</f>
        <v>5.440337626568466</v>
      </c>
      <c r="K190">
        <f xml:space="preserve"> [1]Coibion_update!Y196</f>
        <v>2.9324196673422249</v>
      </c>
      <c r="L190">
        <f xml:space="preserve"> [1]Coibion_update!Z196</f>
        <v>3.7912329532257525</v>
      </c>
      <c r="M190">
        <f xml:space="preserve"> [1]Coibion_update!AA196</f>
        <v>3.5314358585858847</v>
      </c>
      <c r="N190">
        <f xml:space="preserve"> [1]Coibion_update!AB196</f>
        <v>-0.43687920000000002</v>
      </c>
      <c r="O190">
        <f xml:space="preserve"> [1]Coibion_update!AC196</f>
        <v>-2.5158525000000003</v>
      </c>
      <c r="P190">
        <f xml:space="preserve"> [1]Coibion_update!AD196</f>
        <v>-2.0222003000000002</v>
      </c>
      <c r="X190" s="5">
        <f xml:space="preserve"> [1]misc!N273</f>
        <v>8.8699999999999992</v>
      </c>
      <c r="Y190">
        <f xml:space="preserve"> [1]Gilchrist_Zak!C22</f>
        <v>0.73929999999999996</v>
      </c>
      <c r="Z190">
        <f xml:space="preserve"> [1]Sims_Zha!B193</f>
        <v>-3.4548999999999999</v>
      </c>
      <c r="AK190">
        <v>11.11</v>
      </c>
      <c r="AL190">
        <f xml:space="preserve"> LN([1]misc!B209)</f>
        <v>5.602118820879701</v>
      </c>
      <c r="AM190">
        <f xml:space="preserve"> LN([1]misc!D209)</f>
        <v>6.7888591240382814</v>
      </c>
      <c r="AN190">
        <f xml:space="preserve"> LN([1]misc!G314)</f>
        <v>3.4059858983939524</v>
      </c>
      <c r="AO190">
        <f xml:space="preserve"> LN([1]misc!J220 + [1]misc!L220)</f>
        <v>2.6463166312968487</v>
      </c>
      <c r="AP190">
        <f xml:space="preserve"> [1]Factors!B190</f>
        <v>-4.9838802400000003E-3</v>
      </c>
      <c r="AQ190">
        <f xml:space="preserve"> [1]Factors!C190</f>
        <v>1.1795868</v>
      </c>
      <c r="AR190">
        <f xml:space="preserve"> [1]Factors!D190</f>
        <v>0.331686074</v>
      </c>
      <c r="AS190">
        <f xml:space="preserve"> [1]Factors!E190</f>
        <v>-0.166432513</v>
      </c>
      <c r="AT190">
        <f xml:space="preserve"> [1]Factors!F190</f>
        <v>-2.1939492099999999E-2</v>
      </c>
    </row>
    <row r="191" spans="1:46" x14ac:dyDescent="0.25">
      <c r="A191">
        <f t="shared" si="12"/>
        <v>1974.7499999999911</v>
      </c>
      <c r="B191" s="1">
        <v>27303</v>
      </c>
      <c r="C191" s="7">
        <f t="shared" si="9"/>
        <v>1974</v>
      </c>
      <c r="D191" s="7">
        <f t="shared" si="10"/>
        <v>10</v>
      </c>
      <c r="E191" s="7">
        <f t="shared" si="11"/>
        <v>4</v>
      </c>
      <c r="F191">
        <f xml:space="preserve"> [1]Coibion_update!O197</f>
        <v>3.8400994150053331</v>
      </c>
      <c r="G191">
        <f xml:space="preserve"> [1]Coibion_update!P197</f>
        <v>6</v>
      </c>
      <c r="H191">
        <f xml:space="preserve"> [1]Coibion_update!Q197</f>
        <v>3.9318256327243257</v>
      </c>
      <c r="I191">
        <f xml:space="preserve"> [1]Coibion_update!W197</f>
        <v>10.06</v>
      </c>
      <c r="J191">
        <f xml:space="preserve"> [1]Coibion_update!X197</f>
        <v>5.4446662628831737</v>
      </c>
      <c r="K191">
        <f xml:space="preserve"> [1]Coibion_update!Y197</f>
        <v>2.8918706340199005</v>
      </c>
      <c r="L191">
        <f xml:space="preserve"> [1]Coibion_update!Z197</f>
        <v>3.7899005681726643</v>
      </c>
      <c r="M191">
        <f xml:space="preserve"> [1]Coibion_update!AA197</f>
        <v>3.537765824444175</v>
      </c>
      <c r="N191">
        <f xml:space="preserve"> [1]Coibion_update!AB197</f>
        <v>-0.30897160000000001</v>
      </c>
      <c r="O191">
        <f xml:space="preserve"> [1]Coibion_update!AC197</f>
        <v>-2.8248241000000003</v>
      </c>
      <c r="P191">
        <f xml:space="preserve"> [1]Coibion_update!AD197</f>
        <v>-2.3024849000000001</v>
      </c>
      <c r="X191" s="5">
        <f xml:space="preserve"> [1]misc!N274</f>
        <v>8.0500000000000007</v>
      </c>
      <c r="Y191">
        <f xml:space="preserve"> [1]Gilchrist_Zak!C23</f>
        <v>0.79710000000000003</v>
      </c>
      <c r="Z191">
        <f xml:space="preserve"> [1]Sims_Zha!B194</f>
        <v>-6.2037000000000004</v>
      </c>
      <c r="AK191">
        <v>9.66</v>
      </c>
      <c r="AL191">
        <f xml:space="preserve"> LN([1]misc!B210)</f>
        <v>5.6069043996797143</v>
      </c>
      <c r="AM191">
        <f xml:space="preserve"> LN([1]misc!D210)</f>
        <v>6.7949224707077933</v>
      </c>
      <c r="AN191">
        <f xml:space="preserve"> LN([1]misc!G315)</f>
        <v>3.4017638878338952</v>
      </c>
      <c r="AO191">
        <f xml:space="preserve"> LN([1]misc!J221 + [1]misc!L221)</f>
        <v>2.7431599115489691</v>
      </c>
      <c r="AP191">
        <f xml:space="preserve"> [1]Factors!B191</f>
        <v>0.26814685100000002</v>
      </c>
      <c r="AQ191">
        <f xml:space="preserve"> [1]Factors!C191</f>
        <v>0.94187575800000001</v>
      </c>
      <c r="AR191">
        <f xml:space="preserve"> [1]Factors!D191</f>
        <v>-7.3875662300000006E-2</v>
      </c>
      <c r="AS191">
        <f xml:space="preserve"> [1]Factors!E191</f>
        <v>8.4415785799999993E-3</v>
      </c>
      <c r="AT191">
        <f xml:space="preserve"> [1]Factors!F191</f>
        <v>-0.194152134</v>
      </c>
    </row>
    <row r="192" spans="1:46" x14ac:dyDescent="0.25">
      <c r="A192">
        <f t="shared" si="12"/>
        <v>1974.8333333333244</v>
      </c>
      <c r="B192" s="1">
        <v>27334</v>
      </c>
      <c r="C192" s="7">
        <f t="shared" si="9"/>
        <v>1974</v>
      </c>
      <c r="D192" s="7">
        <f t="shared" si="10"/>
        <v>11</v>
      </c>
      <c r="E192" s="7">
        <f t="shared" si="11"/>
        <v>4</v>
      </c>
      <c r="F192">
        <f xml:space="preserve"> [1]Coibion_update!O198</f>
        <v>3.8066113773529913</v>
      </c>
      <c r="G192">
        <f xml:space="preserve"> [1]Coibion_update!P198</f>
        <v>6.6</v>
      </c>
      <c r="H192">
        <f xml:space="preserve"> [1]Coibion_update!Q198</f>
        <v>3.9415818076696905</v>
      </c>
      <c r="I192">
        <f xml:space="preserve"> [1]Coibion_update!W198</f>
        <v>9.4499999999999993</v>
      </c>
      <c r="J192">
        <f xml:space="preserve"> [1]Coibion_update!X198</f>
        <v>5.4284680510130814</v>
      </c>
      <c r="K192">
        <f xml:space="preserve"> [1]Coibion_update!Y198</f>
        <v>2.8418815487357305</v>
      </c>
      <c r="L192">
        <f xml:space="preserve"> [1]Coibion_update!Z198</f>
        <v>3.7813674735490879</v>
      </c>
      <c r="M192">
        <f xml:space="preserve"> [1]Coibion_update!AA198</f>
        <v>3.5358156833869163</v>
      </c>
      <c r="N192">
        <f xml:space="preserve"> [1]Coibion_update!AB198</f>
        <v>0.28582649999999998</v>
      </c>
      <c r="O192">
        <f xml:space="preserve"> [1]Coibion_update!AC198</f>
        <v>-2.5389976000000001</v>
      </c>
      <c r="P192">
        <f xml:space="preserve"> [1]Coibion_update!AD198</f>
        <v>-1.9645721</v>
      </c>
      <c r="X192" s="5">
        <f xml:space="preserve"> [1]misc!N275</f>
        <v>7.66</v>
      </c>
      <c r="Y192">
        <f xml:space="preserve"> [1]Gilchrist_Zak!C24</f>
        <v>0.84119999999999995</v>
      </c>
      <c r="Z192">
        <f xml:space="preserve"> [1]Sims_Zha!B195</f>
        <v>-0.38372000000000001</v>
      </c>
      <c r="AK192">
        <v>9.4700000000000006</v>
      </c>
      <c r="AL192">
        <f xml:space="preserve"> LN([1]misc!B211)</f>
        <v>5.6120326160466334</v>
      </c>
      <c r="AM192">
        <f xml:space="preserve"> LN([1]misc!D211)</f>
        <v>6.8008379966360595</v>
      </c>
      <c r="AN192">
        <f xml:space="preserve"> LN([1]misc!G316)</f>
        <v>3.3961178359188566</v>
      </c>
      <c r="AO192">
        <f xml:space="preserve"> LN([1]misc!J222 + [1]misc!L222)</f>
        <v>2.7850729687282811</v>
      </c>
      <c r="AP192">
        <f xml:space="preserve"> [1]Factors!B192</f>
        <v>0.429651752</v>
      </c>
      <c r="AQ192">
        <f xml:space="preserve"> [1]Factors!C192</f>
        <v>0.78139615500000004</v>
      </c>
      <c r="AR192">
        <f xml:space="preserve"> [1]Factors!D192</f>
        <v>-0.140909585</v>
      </c>
      <c r="AS192">
        <f xml:space="preserve"> [1]Factors!E192</f>
        <v>0.31056659399999997</v>
      </c>
      <c r="AT192">
        <f xml:space="preserve"> [1]Factors!F192</f>
        <v>-0.114520254</v>
      </c>
    </row>
    <row r="193" spans="1:46" x14ac:dyDescent="0.25">
      <c r="A193">
        <f t="shared" si="12"/>
        <v>1974.9166666666576</v>
      </c>
      <c r="B193" s="1">
        <v>27364</v>
      </c>
      <c r="C193" s="7">
        <f t="shared" si="9"/>
        <v>1974</v>
      </c>
      <c r="D193" s="7">
        <f t="shared" si="10"/>
        <v>12</v>
      </c>
      <c r="E193" s="7">
        <f t="shared" si="11"/>
        <v>4</v>
      </c>
      <c r="F193">
        <f xml:space="preserve"> [1]Coibion_update!O199</f>
        <v>3.7708464629779255</v>
      </c>
      <c r="G193">
        <f xml:space="preserve"> [1]Coibion_update!P199</f>
        <v>7.2</v>
      </c>
      <c r="H193">
        <f xml:space="preserve"> [1]Coibion_update!Q199</f>
        <v>3.949318790171843</v>
      </c>
      <c r="I193">
        <f xml:space="preserve"> [1]Coibion_update!W199</f>
        <v>8.5299999999999994</v>
      </c>
      <c r="J193">
        <f xml:space="preserve"> [1]Coibion_update!X199</f>
        <v>5.3618553873520245</v>
      </c>
      <c r="K193">
        <f xml:space="preserve"> [1]Coibion_update!Y199</f>
        <v>2.8330368578952143</v>
      </c>
      <c r="L193">
        <f xml:space="preserve"> [1]Coibion_update!Z199</f>
        <v>3.7672977662480429</v>
      </c>
      <c r="M193">
        <f xml:space="preserve"> [1]Coibion_update!AA199</f>
        <v>3.5434489759037304</v>
      </c>
      <c r="N193">
        <f xml:space="preserve"> [1]Coibion_update!AB199</f>
        <v>-0.25133319999999998</v>
      </c>
      <c r="O193">
        <f xml:space="preserve"> [1]Coibion_update!AC199</f>
        <v>-2.7903308</v>
      </c>
      <c r="P193">
        <f xml:space="preserve"> [1]Coibion_update!AD199</f>
        <v>-2.1926879000000001</v>
      </c>
      <c r="X193" s="5">
        <f xml:space="preserve"> [1]misc!N276</f>
        <v>7.31</v>
      </c>
      <c r="Y193">
        <f xml:space="preserve"> [1]Gilchrist_Zak!C25</f>
        <v>0.94850000000000001</v>
      </c>
      <c r="Z193">
        <f xml:space="preserve"> [1]Sims_Zha!B196</f>
        <v>-2.1579999999999999</v>
      </c>
      <c r="AK193">
        <v>3.87</v>
      </c>
      <c r="AL193">
        <f xml:space="preserve"> LN([1]misc!B212)</f>
        <v>5.6138577671282137</v>
      </c>
      <c r="AM193">
        <f xml:space="preserve"> LN([1]misc!D212)</f>
        <v>6.8047253786625932</v>
      </c>
      <c r="AN193">
        <f xml:space="preserve"> LN([1]misc!G317)</f>
        <v>3.3905408014736267</v>
      </c>
      <c r="AO193">
        <f xml:space="preserve"> LN([1]misc!J223 + [1]misc!L223)</f>
        <v>2.8227469977370232</v>
      </c>
      <c r="AP193">
        <f xml:space="preserve"> [1]Factors!B193</f>
        <v>1.24418995</v>
      </c>
      <c r="AQ193">
        <f xml:space="preserve"> [1]Factors!C193</f>
        <v>0.98749895499999996</v>
      </c>
      <c r="AR193">
        <f xml:space="preserve"> [1]Factors!D193</f>
        <v>3.2913579599999999E-2</v>
      </c>
      <c r="AS193">
        <f xml:space="preserve"> [1]Factors!E193</f>
        <v>9.6732459099999994E-3</v>
      </c>
      <c r="AT193">
        <f xml:space="preserve"> [1]Factors!F193</f>
        <v>0.350207934</v>
      </c>
    </row>
    <row r="194" spans="1:46" x14ac:dyDescent="0.25">
      <c r="A194">
        <f t="shared" si="12"/>
        <v>1974.9999999999909</v>
      </c>
      <c r="B194" s="1">
        <v>27395</v>
      </c>
      <c r="C194" s="7">
        <f t="shared" si="9"/>
        <v>1975</v>
      </c>
      <c r="D194" s="7">
        <f t="shared" si="10"/>
        <v>1</v>
      </c>
      <c r="E194" s="7">
        <f t="shared" si="11"/>
        <v>1</v>
      </c>
      <c r="F194">
        <f xml:space="preserve"> [1]Coibion_update!O200</f>
        <v>3.7568721589342489</v>
      </c>
      <c r="G194">
        <f xml:space="preserve"> [1]Coibion_update!P200</f>
        <v>8.1</v>
      </c>
      <c r="H194">
        <f xml:space="preserve"> [1]Coibion_update!Q200</f>
        <v>3.9569963710708773</v>
      </c>
      <c r="I194">
        <f xml:space="preserve"> [1]Coibion_update!W200</f>
        <v>7.13</v>
      </c>
      <c r="J194">
        <f xml:space="preserve"> [1]Coibion_update!X200</f>
        <v>5.3234001469154997</v>
      </c>
      <c r="K194">
        <f xml:space="preserve"> [1]Coibion_update!Y200</f>
        <v>2.8676147707735482</v>
      </c>
      <c r="L194">
        <f xml:space="preserve"> [1]Coibion_update!Z200</f>
        <v>3.7771650189812966</v>
      </c>
      <c r="M194">
        <f xml:space="preserve"> [1]Coibion_update!AA200</f>
        <v>3.5437380684442652</v>
      </c>
      <c r="N194">
        <f xml:space="preserve"> [1]Coibion_update!AB200</f>
        <v>-0.36870839999999999</v>
      </c>
      <c r="O194">
        <f xml:space="preserve"> [1]Coibion_update!AC200</f>
        <v>-3.1590392</v>
      </c>
      <c r="P194">
        <f xml:space="preserve"> [1]Coibion_update!AD200</f>
        <v>-2.5446814</v>
      </c>
      <c r="X194" s="5">
        <f xml:space="preserve"> [1]misc!N277</f>
        <v>6.83</v>
      </c>
      <c r="Y194">
        <f xml:space="preserve"> [1]Gilchrist_Zak!C26</f>
        <v>0.29189999999999999</v>
      </c>
      <c r="Z194">
        <f xml:space="preserve"> [1]Sims_Zha!B197</f>
        <v>-4.5785999999999998</v>
      </c>
      <c r="AK194">
        <v>6.76</v>
      </c>
      <c r="AL194">
        <f xml:space="preserve"> LN([1]misc!B213)</f>
        <v>5.6127630762690321</v>
      </c>
      <c r="AM194">
        <f xml:space="preserve"> LN([1]misc!D213)</f>
        <v>6.8093703770607359</v>
      </c>
      <c r="AN194">
        <f xml:space="preserve"> LN([1]misc!G318)</f>
        <v>3.3982263057172011</v>
      </c>
      <c r="AO194">
        <f xml:space="preserve"> LN([1]misc!J224 + [1]misc!L224)</f>
        <v>2.8257739757434348</v>
      </c>
      <c r="AP194">
        <f xml:space="preserve"> [1]Factors!B194</f>
        <v>1.7750550199999999</v>
      </c>
      <c r="AQ194">
        <f xml:space="preserve"> [1]Factors!C194</f>
        <v>0.81026647100000004</v>
      </c>
      <c r="AR194">
        <f xml:space="preserve"> [1]Factors!D194</f>
        <v>0.12530391799999999</v>
      </c>
      <c r="AS194">
        <f xml:space="preserve"> [1]Factors!E194</f>
        <v>-0.29140700000000003</v>
      </c>
      <c r="AT194">
        <f xml:space="preserve"> [1]Factors!F194</f>
        <v>0.163279071</v>
      </c>
    </row>
    <row r="195" spans="1:46" x14ac:dyDescent="0.25">
      <c r="A195">
        <f t="shared" si="12"/>
        <v>1975.0833333333242</v>
      </c>
      <c r="B195" s="1">
        <v>27426</v>
      </c>
      <c r="C195" s="7">
        <f t="shared" ref="C195:C258" si="13">YEAR(B195)</f>
        <v>1975</v>
      </c>
      <c r="D195" s="7">
        <f t="shared" ref="D195:D258" si="14">MONTH(B195)</f>
        <v>2</v>
      </c>
      <c r="E195" s="7">
        <f t="shared" ref="E195:E258" si="15">ROUNDUP(D195/3,0)</f>
        <v>1</v>
      </c>
      <c r="F195">
        <f xml:space="preserve"> [1]Coibion_update!O201</f>
        <v>3.7335420640201256</v>
      </c>
      <c r="G195">
        <f xml:space="preserve"> [1]Coibion_update!P201</f>
        <v>8.1</v>
      </c>
      <c r="H195">
        <f xml:space="preserve"> [1]Coibion_update!Q201</f>
        <v>3.9627161197436642</v>
      </c>
      <c r="I195">
        <f xml:space="preserve"> [1]Coibion_update!W201</f>
        <v>6.24</v>
      </c>
      <c r="J195">
        <f xml:space="preserve"> [1]Coibion_update!X201</f>
        <v>5.3079211026907318</v>
      </c>
      <c r="K195">
        <f xml:space="preserve"> [1]Coibion_update!Y201</f>
        <v>2.9002670817359246</v>
      </c>
      <c r="L195">
        <f xml:space="preserve"> [1]Coibion_update!Z201</f>
        <v>3.7802272485732118</v>
      </c>
      <c r="M195">
        <f xml:space="preserve"> [1]Coibion_update!AA201</f>
        <v>3.5499334287879147</v>
      </c>
      <c r="N195">
        <f xml:space="preserve"> [1]Coibion_update!AB201</f>
        <v>0.23399809999999999</v>
      </c>
      <c r="O195">
        <f xml:space="preserve"> [1]Coibion_update!AC201</f>
        <v>-2.9250411000000001</v>
      </c>
      <c r="P195">
        <f xml:space="preserve"> [1]Coibion_update!AD201</f>
        <v>-2.3022002000000001</v>
      </c>
      <c r="X195" s="5">
        <f xml:space="preserve"> [1]misc!N278</f>
        <v>5.98</v>
      </c>
      <c r="Y195">
        <f xml:space="preserve"> [1]Gilchrist_Zak!C27</f>
        <v>0.36880000000000002</v>
      </c>
      <c r="Z195">
        <f xml:space="preserve"> [1]Sims_Zha!B198</f>
        <v>-0.31548999999999999</v>
      </c>
      <c r="AK195">
        <v>6.07</v>
      </c>
      <c r="AL195">
        <f xml:space="preserve"> LN([1]misc!B214)</f>
        <v>5.6167710976665717</v>
      </c>
      <c r="AM195">
        <f xml:space="preserve"> LN([1]misc!D214)</f>
        <v>6.8179399746597733</v>
      </c>
      <c r="AN195">
        <f xml:space="preserve"> LN([1]misc!G319)</f>
        <v>3.3485347290788496</v>
      </c>
      <c r="AO195">
        <f xml:space="preserve"> LN([1]misc!J225 + [1]misc!L225)</f>
        <v>2.8404225890068342</v>
      </c>
      <c r="AP195">
        <f xml:space="preserve"> [1]Factors!B195</f>
        <v>1.3089982499999999</v>
      </c>
      <c r="AQ195">
        <f xml:space="preserve"> [1]Factors!C195</f>
        <v>0.54686152799999999</v>
      </c>
      <c r="AR195">
        <f xml:space="preserve"> [1]Factors!D195</f>
        <v>7.7824296599999995E-2</v>
      </c>
      <c r="AS195">
        <f xml:space="preserve"> [1]Factors!E195</f>
        <v>0.16052139000000001</v>
      </c>
      <c r="AT195">
        <f xml:space="preserve"> [1]Factors!F195</f>
        <v>-0.15339706</v>
      </c>
    </row>
    <row r="196" spans="1:46" x14ac:dyDescent="0.25">
      <c r="A196">
        <f t="shared" si="12"/>
        <v>1975.1666666666574</v>
      </c>
      <c r="B196" s="1">
        <v>27454</v>
      </c>
      <c r="C196" s="7">
        <f t="shared" si="13"/>
        <v>1975</v>
      </c>
      <c r="D196" s="7">
        <f t="shared" si="14"/>
        <v>3</v>
      </c>
      <c r="E196" s="7">
        <f t="shared" si="15"/>
        <v>1</v>
      </c>
      <c r="F196">
        <f xml:space="preserve"> [1]Coibion_update!O202</f>
        <v>3.7228725849294535</v>
      </c>
      <c r="G196">
        <f xml:space="preserve"> [1]Coibion_update!P202</f>
        <v>8.6</v>
      </c>
      <c r="H196">
        <f xml:space="preserve"> [1]Coibion_update!Q202</f>
        <v>3.9665111907122159</v>
      </c>
      <c r="I196">
        <f xml:space="preserve"> [1]Coibion_update!W202</f>
        <v>5.54</v>
      </c>
      <c r="J196">
        <f xml:space="preserve"> [1]Coibion_update!X202</f>
        <v>5.2912927516110724</v>
      </c>
      <c r="K196">
        <f xml:space="preserve"> [1]Coibion_update!Y202</f>
        <v>2.8628863602205619</v>
      </c>
      <c r="L196">
        <f xml:space="preserve"> [1]Coibion_update!Z202</f>
        <v>3.7870038521071354</v>
      </c>
      <c r="M196">
        <f xml:space="preserve"> [1]Coibion_update!AA202</f>
        <v>3.5511679082384506</v>
      </c>
      <c r="N196">
        <f xml:space="preserve"> [1]Coibion_update!AB202</f>
        <v>-0.4145509</v>
      </c>
      <c r="O196">
        <f xml:space="preserve"> [1]Coibion_update!AC202</f>
        <v>-3.3395920000000001</v>
      </c>
      <c r="P196">
        <f xml:space="preserve"> [1]Coibion_update!AD202</f>
        <v>-2.7962224</v>
      </c>
      <c r="X196" s="5">
        <f xml:space="preserve"> [1]misc!N279</f>
        <v>6.11</v>
      </c>
      <c r="Y196">
        <f xml:space="preserve"> [1]Gilchrist_Zak!C28</f>
        <v>0.51259999999999994</v>
      </c>
      <c r="Z196">
        <f xml:space="preserve"> [1]Sims_Zha!B199</f>
        <v>-0.81923000000000001</v>
      </c>
      <c r="AK196">
        <v>5.39</v>
      </c>
      <c r="AL196">
        <f xml:space="preserve"> LN([1]misc!B215)</f>
        <v>5.6218490918935151</v>
      </c>
      <c r="AM196">
        <f xml:space="preserve"> LN([1]misc!D215)</f>
        <v>6.8297937375124249</v>
      </c>
      <c r="AN196">
        <f xml:space="preserve"> LN([1]misc!G320)</f>
        <v>3.3279813193308962</v>
      </c>
      <c r="AO196">
        <f xml:space="preserve"> LN([1]misc!J226 + [1]misc!L226)</f>
        <v>2.8526121989591733</v>
      </c>
      <c r="AP196">
        <f xml:space="preserve"> [1]Factors!B196</f>
        <v>1.44022809</v>
      </c>
      <c r="AQ196">
        <f xml:space="preserve"> [1]Factors!C196</f>
        <v>0.39727110399999999</v>
      </c>
      <c r="AR196">
        <f xml:space="preserve"> [1]Factors!D196</f>
        <v>-5.7544800000000002E-3</v>
      </c>
      <c r="AS196">
        <f xml:space="preserve"> [1]Factors!E196</f>
        <v>0.17985619899999999</v>
      </c>
      <c r="AT196">
        <f xml:space="preserve"> [1]Factors!F196</f>
        <v>-0.20028104599999999</v>
      </c>
    </row>
    <row r="197" spans="1:46" x14ac:dyDescent="0.25">
      <c r="A197">
        <f t="shared" si="12"/>
        <v>1975.2499999999907</v>
      </c>
      <c r="B197" s="1">
        <v>27485</v>
      </c>
      <c r="C197" s="7">
        <f t="shared" si="13"/>
        <v>1975</v>
      </c>
      <c r="D197" s="7">
        <f t="shared" si="14"/>
        <v>4</v>
      </c>
      <c r="E197" s="7">
        <f t="shared" si="15"/>
        <v>2</v>
      </c>
      <c r="F197">
        <f xml:space="preserve"> [1]Coibion_update!O203</f>
        <v>3.724041461081983</v>
      </c>
      <c r="G197">
        <f xml:space="preserve"> [1]Coibion_update!P203</f>
        <v>8.8000000000000007</v>
      </c>
      <c r="H197">
        <f xml:space="preserve"> [1]Coibion_update!Q203</f>
        <v>3.970291913552122</v>
      </c>
      <c r="I197">
        <f xml:space="preserve"> [1]Coibion_update!W203</f>
        <v>5.49</v>
      </c>
      <c r="J197">
        <f xml:space="preserve"> [1]Coibion_update!X203</f>
        <v>5.3043988368639043</v>
      </c>
      <c r="K197">
        <f xml:space="preserve"> [1]Coibion_update!Y203</f>
        <v>2.8623151601136394</v>
      </c>
      <c r="L197">
        <f xml:space="preserve"> [1]Coibion_update!Z203</f>
        <v>3.78200543210342</v>
      </c>
      <c r="M197">
        <f xml:space="preserve"> [1]Coibion_update!AA203</f>
        <v>3.5568612018292241</v>
      </c>
      <c r="N197">
        <f xml:space="preserve"> [1]Coibion_update!AB203</f>
        <v>-0.57693289999999997</v>
      </c>
      <c r="O197">
        <f xml:space="preserve"> [1]Coibion_update!AC203</f>
        <v>-3.9165249000000002</v>
      </c>
      <c r="P197">
        <f xml:space="preserve"> [1]Coibion_update!AD203</f>
        <v>-3.4336625000000001</v>
      </c>
      <c r="X197" s="5">
        <f xml:space="preserve"> [1]misc!N280</f>
        <v>6.9</v>
      </c>
      <c r="Y197">
        <f xml:space="preserve"> [1]Gilchrist_Zak!C29</f>
        <v>0.15959999999999999</v>
      </c>
      <c r="Z197">
        <f xml:space="preserve"> [1]Sims_Zha!B200</f>
        <v>3.6393</v>
      </c>
      <c r="AK197">
        <v>7.03</v>
      </c>
      <c r="AL197">
        <f xml:space="preserve"> LN([1]misc!B216)</f>
        <v>5.621125240975192</v>
      </c>
      <c r="AM197">
        <f xml:space="preserve"> LN([1]misc!D216)</f>
        <v>6.8406534754414015</v>
      </c>
      <c r="AN197">
        <f xml:space="preserve"> LN([1]misc!G321)</f>
        <v>3.3428618046491918</v>
      </c>
      <c r="AO197">
        <f xml:space="preserve"> LN([1]misc!J227 + [1]misc!L227)</f>
        <v>2.8557228005456525</v>
      </c>
      <c r="AP197">
        <f xml:space="preserve"> [1]Factors!B197</f>
        <v>0.96998260199999997</v>
      </c>
      <c r="AQ197">
        <f xml:space="preserve"> [1]Factors!C197</f>
        <v>0.15256588900000001</v>
      </c>
      <c r="AR197">
        <f xml:space="preserve"> [1]Factors!D197</f>
        <v>0.27973366599999999</v>
      </c>
      <c r="AS197">
        <f xml:space="preserve"> [1]Factors!E197</f>
        <v>1.84153476E-2</v>
      </c>
      <c r="AT197">
        <f xml:space="preserve"> [1]Factors!F197</f>
        <v>-0.43911233300000002</v>
      </c>
    </row>
    <row r="198" spans="1:46" x14ac:dyDescent="0.25">
      <c r="A198">
        <f t="shared" si="12"/>
        <v>1975.3333333333239</v>
      </c>
      <c r="B198" s="1">
        <v>27515</v>
      </c>
      <c r="C198" s="7">
        <f t="shared" si="13"/>
        <v>1975</v>
      </c>
      <c r="D198" s="7">
        <f t="shared" si="14"/>
        <v>5</v>
      </c>
      <c r="E198" s="7">
        <f t="shared" si="15"/>
        <v>2</v>
      </c>
      <c r="F198">
        <f xml:space="preserve"> [1]Coibion_update!O204</f>
        <v>3.7214023058194385</v>
      </c>
      <c r="G198">
        <f xml:space="preserve"> [1]Coibion_update!P204</f>
        <v>9</v>
      </c>
      <c r="H198">
        <f xml:space="preserve"> [1]Coibion_update!Q204</f>
        <v>3.9721769282478934</v>
      </c>
      <c r="I198">
        <f xml:space="preserve"> [1]Coibion_update!W204</f>
        <v>5.22</v>
      </c>
      <c r="J198">
        <f xml:space="preserve"> [1]Coibion_update!X204</f>
        <v>5.2705863928097259</v>
      </c>
      <c r="K198">
        <f xml:space="preserve"> [1]Coibion_update!Y204</f>
        <v>2.9073927422304675</v>
      </c>
      <c r="L198">
        <f xml:space="preserve"> [1]Coibion_update!Z204</f>
        <v>3.8163707671284839</v>
      </c>
      <c r="M198">
        <f xml:space="preserve"> [1]Coibion_update!AA204</f>
        <v>3.5609324397833144</v>
      </c>
      <c r="N198">
        <f xml:space="preserve"> [1]Coibion_update!AB204</f>
        <v>0.13552330000000001</v>
      </c>
      <c r="O198">
        <f xml:space="preserve"> [1]Coibion_update!AC204</f>
        <v>-3.7810016000000002</v>
      </c>
      <c r="P198">
        <f xml:space="preserve"> [1]Coibion_update!AD204</f>
        <v>-3.2978095999999999</v>
      </c>
      <c r="X198" s="5">
        <f xml:space="preserve"> [1]misc!N281</f>
        <v>6.39</v>
      </c>
      <c r="Y198">
        <f xml:space="preserve"> [1]Gilchrist_Zak!C30</f>
        <v>0.3206</v>
      </c>
      <c r="Z198">
        <f xml:space="preserve"> [1]Sims_Zha!B201</f>
        <v>-0.58038000000000001</v>
      </c>
      <c r="AK198">
        <v>5.23</v>
      </c>
      <c r="AL198">
        <f xml:space="preserve"> LN([1]misc!B217)</f>
        <v>5.6319283708882173</v>
      </c>
      <c r="AM198">
        <f xml:space="preserve"> LN([1]misc!D217)</f>
        <v>6.8542490114589958</v>
      </c>
      <c r="AN198">
        <f xml:space="preserve"> LN([1]misc!G322)</f>
        <v>3.3225509210041535</v>
      </c>
      <c r="AO198">
        <f xml:space="preserve"> LN([1]misc!J228 + [1]misc!L228)</f>
        <v>2.8502439668053854</v>
      </c>
      <c r="AP198">
        <f xml:space="preserve"> [1]Factors!B198</f>
        <v>0.43620743299999998</v>
      </c>
      <c r="AQ198">
        <f xml:space="preserve"> [1]Factors!C198</f>
        <v>6.3208824400000002E-2</v>
      </c>
      <c r="AR198">
        <f xml:space="preserve"> [1]Factors!D198</f>
        <v>0.59673964700000004</v>
      </c>
      <c r="AS198">
        <f xml:space="preserve"> [1]Factors!E198</f>
        <v>-2.9044828200000001E-2</v>
      </c>
      <c r="AT198">
        <f xml:space="preserve"> [1]Factors!F198</f>
        <v>-0.70459297899999995</v>
      </c>
    </row>
    <row r="199" spans="1:46" x14ac:dyDescent="0.25">
      <c r="A199">
        <f t="shared" si="12"/>
        <v>1975.4166666666572</v>
      </c>
      <c r="B199" s="1">
        <v>27546</v>
      </c>
      <c r="C199" s="7">
        <f t="shared" si="13"/>
        <v>1975</v>
      </c>
      <c r="D199" s="7">
        <f t="shared" si="14"/>
        <v>6</v>
      </c>
      <c r="E199" s="7">
        <f t="shared" si="15"/>
        <v>2</v>
      </c>
      <c r="F199">
        <f xml:space="preserve"> [1]Coibion_update!O205</f>
        <v>3.7283597489575904</v>
      </c>
      <c r="G199">
        <f xml:space="preserve"> [1]Coibion_update!P205</f>
        <v>8.8000000000000007</v>
      </c>
      <c r="H199">
        <f xml:space="preserve"> [1]Coibion_update!Q205</f>
        <v>3.9796816539019608</v>
      </c>
      <c r="I199">
        <f xml:space="preserve"> [1]Coibion_update!W205</f>
        <v>5.55</v>
      </c>
      <c r="J199">
        <f xml:space="preserve"> [1]Coibion_update!X205</f>
        <v>5.2323378076140612</v>
      </c>
      <c r="K199">
        <f xml:space="preserve"> [1]Coibion_update!Y205</f>
        <v>2.9183111265854063</v>
      </c>
      <c r="L199">
        <f xml:space="preserve"> [1]Coibion_update!Z205</f>
        <v>3.8114288901924436</v>
      </c>
      <c r="M199">
        <f xml:space="preserve"> [1]Coibion_update!AA205</f>
        <v>3.5641662099402951</v>
      </c>
      <c r="N199">
        <f xml:space="preserve"> [1]Coibion_update!AB205</f>
        <v>0.18274399999999999</v>
      </c>
      <c r="O199">
        <f xml:space="preserve"> [1]Coibion_update!AC205</f>
        <v>-3.5982576000000002</v>
      </c>
      <c r="P199">
        <f xml:space="preserve"> [1]Coibion_update!AD205</f>
        <v>-3.1268422999999999</v>
      </c>
      <c r="X199" s="5">
        <f xml:space="preserve"> [1]misc!N282</f>
        <v>6.29</v>
      </c>
      <c r="Y199">
        <f xml:space="preserve"> [1]Gilchrist_Zak!C31</f>
        <v>0.21299999999999999</v>
      </c>
      <c r="Z199">
        <f xml:space="preserve"> [1]Sims_Zha!B202</f>
        <v>3.3151999999999999</v>
      </c>
      <c r="AK199">
        <v>5.97</v>
      </c>
      <c r="AL199">
        <f xml:space="preserve"> LN([1]misc!B218)</f>
        <v>5.6433245056190868</v>
      </c>
      <c r="AM199">
        <f xml:space="preserve"> LN([1]misc!D218)</f>
        <v>6.8700534117981258</v>
      </c>
      <c r="AN199">
        <f xml:space="preserve"> LN([1]misc!G323)</f>
        <v>3.3199873262366122</v>
      </c>
      <c r="AO199">
        <f xml:space="preserve"> LN([1]misc!J229 + [1]misc!L229)</f>
        <v>2.8624294262395704</v>
      </c>
      <c r="AP199">
        <f xml:space="preserve"> [1]Factors!B199</f>
        <v>0.28651497500000001</v>
      </c>
      <c r="AQ199">
        <f xml:space="preserve"> [1]Factors!C199</f>
        <v>-8.32023915E-2</v>
      </c>
      <c r="AR199">
        <f xml:space="preserve"> [1]Factors!D199</f>
        <v>3.0602524900000001E-2</v>
      </c>
      <c r="AS199">
        <f xml:space="preserve"> [1]Factors!E199</f>
        <v>0.34253366499999999</v>
      </c>
      <c r="AT199">
        <f xml:space="preserve"> [1]Factors!F199</f>
        <v>-0.35537527200000002</v>
      </c>
    </row>
    <row r="200" spans="1:46" x14ac:dyDescent="0.25">
      <c r="A200">
        <f t="shared" si="12"/>
        <v>1975.4999999999905</v>
      </c>
      <c r="B200" s="1">
        <v>27576</v>
      </c>
      <c r="C200" s="7">
        <f t="shared" si="13"/>
        <v>1975</v>
      </c>
      <c r="D200" s="7">
        <f t="shared" si="14"/>
        <v>7</v>
      </c>
      <c r="E200" s="7">
        <f t="shared" si="15"/>
        <v>3</v>
      </c>
      <c r="F200">
        <f xml:space="preserve"> [1]Coibion_update!O206</f>
        <v>3.7375648508906947</v>
      </c>
      <c r="G200">
        <f xml:space="preserve"> [1]Coibion_update!P206</f>
        <v>8.6</v>
      </c>
      <c r="H200">
        <f xml:space="preserve"> [1]Coibion_update!Q206</f>
        <v>3.9889840465642745</v>
      </c>
      <c r="I200">
        <f xml:space="preserve"> [1]Coibion_update!W206</f>
        <v>6.1</v>
      </c>
      <c r="J200">
        <f xml:space="preserve"> [1]Coibion_update!X206</f>
        <v>5.2755603794254204</v>
      </c>
      <c r="K200">
        <f xml:space="preserve"> [1]Coibion_update!Y206</f>
        <v>2.9491122529187646</v>
      </c>
      <c r="L200">
        <f xml:space="preserve"> [1]Coibion_update!Z206</f>
        <v>3.8105881077727921</v>
      </c>
      <c r="M200">
        <f xml:space="preserve"> [1]Coibion_update!AA206</f>
        <v>3.564364434416003</v>
      </c>
      <c r="N200">
        <f xml:space="preserve"> [1]Coibion_update!AB206</f>
        <v>4.5389400000000003E-2</v>
      </c>
      <c r="O200">
        <f xml:space="preserve"> [1]Coibion_update!AC206</f>
        <v>-3.5528682000000003</v>
      </c>
      <c r="P200">
        <f xml:space="preserve"> [1]Coibion_update!AD206</f>
        <v>-3.0555083999999999</v>
      </c>
      <c r="X200" s="5">
        <f xml:space="preserve"> [1]misc!N283</f>
        <v>7.11</v>
      </c>
      <c r="Y200">
        <f xml:space="preserve"> [1]Gilchrist_Zak!C32</f>
        <v>0.3523</v>
      </c>
      <c r="Z200">
        <f xml:space="preserve"> [1]Sims_Zha!B203</f>
        <v>4.9535999999999998</v>
      </c>
      <c r="AK200">
        <v>6.23</v>
      </c>
      <c r="AL200">
        <f xml:space="preserve"> LN([1]misc!B219)</f>
        <v>5.6479173418148054</v>
      </c>
      <c r="AM200">
        <f xml:space="preserve"> LN([1]misc!D219)</f>
        <v>6.8825400298410733</v>
      </c>
      <c r="AN200">
        <f xml:space="preserve"> LN([1]misc!G324)</f>
        <v>3.3199873262366122</v>
      </c>
      <c r="AO200">
        <f xml:space="preserve"> LN([1]misc!J230 + [1]misc!L230)</f>
        <v>2.8536501416195348</v>
      </c>
      <c r="AP200">
        <f xml:space="preserve"> [1]Factors!B200</f>
        <v>0.20581223600000001</v>
      </c>
      <c r="AQ200">
        <f xml:space="preserve"> [1]Factors!C200</f>
        <v>8.8713761000000002E-2</v>
      </c>
      <c r="AR200">
        <f xml:space="preserve"> [1]Factors!D200</f>
        <v>0.29382008199999998</v>
      </c>
      <c r="AS200">
        <f xml:space="preserve"> [1]Factors!E200</f>
        <v>0.36196677599999999</v>
      </c>
      <c r="AT200">
        <f xml:space="preserve"> [1]Factors!F200</f>
        <v>-0.53334492</v>
      </c>
    </row>
    <row r="201" spans="1:46" x14ac:dyDescent="0.25">
      <c r="A201">
        <f t="shared" si="12"/>
        <v>1975.5833333333237</v>
      </c>
      <c r="B201" s="1">
        <v>27607</v>
      </c>
      <c r="C201" s="7">
        <f t="shared" si="13"/>
        <v>1975</v>
      </c>
      <c r="D201" s="7">
        <f t="shared" si="14"/>
        <v>8</v>
      </c>
      <c r="E201" s="7">
        <f t="shared" si="15"/>
        <v>3</v>
      </c>
      <c r="F201">
        <f xml:space="preserve"> [1]Coibion_update!O207</f>
        <v>3.7481337256644802</v>
      </c>
      <c r="G201">
        <f xml:space="preserve"> [1]Coibion_update!P207</f>
        <v>8.4</v>
      </c>
      <c r="H201">
        <f xml:space="preserve"> [1]Coibion_update!Q207</f>
        <v>3.9926809084456005</v>
      </c>
      <c r="I201">
        <f xml:space="preserve"> [1]Coibion_update!W207</f>
        <v>6.14</v>
      </c>
      <c r="J201">
        <f xml:space="preserve"> [1]Coibion_update!X207</f>
        <v>5.3261756946764329</v>
      </c>
      <c r="K201">
        <f xml:space="preserve"> [1]Coibion_update!Y207</f>
        <v>2.9478017397964411</v>
      </c>
      <c r="L201">
        <f xml:space="preserve"> [1]Coibion_update!Z207</f>
        <v>3.8159085022424772</v>
      </c>
      <c r="M201">
        <f xml:space="preserve"> [1]Coibion_update!AA207</f>
        <v>3.5661749528884505</v>
      </c>
      <c r="N201">
        <f xml:space="preserve"> [1]Coibion_update!AB207</f>
        <v>-0.14411979999999999</v>
      </c>
      <c r="O201">
        <f xml:space="preserve"> [1]Coibion_update!AC207</f>
        <v>-3.6969880000000002</v>
      </c>
      <c r="P201">
        <f xml:space="preserve"> [1]Coibion_update!AD207</f>
        <v>-3.1902562999999997</v>
      </c>
      <c r="X201" s="5">
        <f xml:space="preserve"> [1]misc!N284</f>
        <v>7.7</v>
      </c>
      <c r="Y201">
        <f xml:space="preserve"> [1]Gilchrist_Zak!C33</f>
        <v>0.2681</v>
      </c>
      <c r="Z201">
        <f xml:space="preserve"> [1]Sims_Zha!B204</f>
        <v>-5.3328999999999998E-3</v>
      </c>
      <c r="AK201">
        <v>6.13</v>
      </c>
      <c r="AL201">
        <f xml:space="preserve"> LN([1]misc!B220)</f>
        <v>5.6493262888601423</v>
      </c>
      <c r="AM201">
        <f xml:space="preserve"> LN([1]misc!D220)</f>
        <v>6.8907108443728786</v>
      </c>
      <c r="AN201">
        <f xml:space="preserve"> LN([1]misc!G325)</f>
        <v>3.3017821208639502</v>
      </c>
      <c r="AO201">
        <f xml:space="preserve"> LN([1]misc!J231 + [1]misc!L231)</f>
        <v>2.8599698225399908</v>
      </c>
      <c r="AP201">
        <f xml:space="preserve"> [1]Factors!B201</f>
        <v>-0.35923529399999998</v>
      </c>
      <c r="AQ201">
        <f xml:space="preserve"> [1]Factors!C201</f>
        <v>0.236702096</v>
      </c>
      <c r="AR201">
        <f xml:space="preserve"> [1]Factors!D201</f>
        <v>0.53017848300000003</v>
      </c>
      <c r="AS201">
        <f xml:space="preserve"> [1]Factors!E201</f>
        <v>0.16096830300000001</v>
      </c>
      <c r="AT201">
        <f xml:space="preserve"> [1]Factors!F201</f>
        <v>-0.60685266599999999</v>
      </c>
    </row>
    <row r="202" spans="1:46" x14ac:dyDescent="0.25">
      <c r="A202">
        <f t="shared" si="12"/>
        <v>1975.666666666657</v>
      </c>
      <c r="B202" s="1">
        <v>27638</v>
      </c>
      <c r="C202" s="7">
        <f t="shared" si="13"/>
        <v>1975</v>
      </c>
      <c r="D202" s="7">
        <f t="shared" si="14"/>
        <v>9</v>
      </c>
      <c r="E202" s="7">
        <f t="shared" si="15"/>
        <v>3</v>
      </c>
      <c r="F202">
        <f xml:space="preserve"> [1]Coibion_update!O208</f>
        <v>3.7605021977869035</v>
      </c>
      <c r="G202">
        <f xml:space="preserve"> [1]Coibion_update!P208</f>
        <v>8.4</v>
      </c>
      <c r="H202">
        <f xml:space="preserve"> [1]Coibion_update!Q208</f>
        <v>4.0000338827508592</v>
      </c>
      <c r="I202">
        <f xml:space="preserve"> [1]Coibion_update!W208</f>
        <v>6.24</v>
      </c>
      <c r="J202">
        <f xml:space="preserve"> [1]Coibion_update!X208</f>
        <v>5.3294283615730897</v>
      </c>
      <c r="K202">
        <f xml:space="preserve"> [1]Coibion_update!Y208</f>
        <v>2.9735377880442222</v>
      </c>
      <c r="L202">
        <f xml:space="preserve"> [1]Coibion_update!Z208</f>
        <v>3.8128654338949275</v>
      </c>
      <c r="M202">
        <f xml:space="preserve"> [1]Coibion_update!AA208</f>
        <v>3.5660336241150903</v>
      </c>
      <c r="N202">
        <f xml:space="preserve"> [1]Coibion_update!AB208</f>
        <v>-0.11214780000000001</v>
      </c>
      <c r="O202">
        <f xml:space="preserve"> [1]Coibion_update!AC208</f>
        <v>-3.8091358</v>
      </c>
      <c r="P202">
        <f xml:space="preserve"> [1]Coibion_update!AD208</f>
        <v>-3.3063752999999996</v>
      </c>
      <c r="X202" s="5">
        <f xml:space="preserve"> [1]misc!N285</f>
        <v>7.75</v>
      </c>
      <c r="Y202">
        <f xml:space="preserve"> [1]Gilchrist_Zak!C34</f>
        <v>0.28100000000000003</v>
      </c>
      <c r="Z202">
        <f xml:space="preserve"> [1]Sims_Zha!B205</f>
        <v>0.34923999999999999</v>
      </c>
      <c r="AK202">
        <v>6.22</v>
      </c>
      <c r="AL202">
        <f xml:space="preserve"> LN([1]misc!B221)</f>
        <v>5.654942309236727</v>
      </c>
      <c r="AM202">
        <f xml:space="preserve"> LN([1]misc!D221)</f>
        <v>6.8992189479598505</v>
      </c>
      <c r="AN202">
        <f xml:space="preserve"> LN([1]misc!G326)</f>
        <v>3.3034742931335406</v>
      </c>
      <c r="AO202">
        <f xml:space="preserve"> LN([1]misc!J232 + [1]misc!L232)</f>
        <v>2.8594542552613631</v>
      </c>
      <c r="AP202">
        <f xml:space="preserve"> [1]Factors!B202</f>
        <v>-0.39174399700000001</v>
      </c>
      <c r="AQ202">
        <f xml:space="preserve"> [1]Factors!C202</f>
        <v>-8.5508018099999999E-2</v>
      </c>
      <c r="AR202">
        <f xml:space="preserve"> [1]Factors!D202</f>
        <v>0.354024173</v>
      </c>
      <c r="AS202">
        <f xml:space="preserve"> [1]Factors!E202</f>
        <v>1.7069697000000002E-2</v>
      </c>
      <c r="AT202">
        <f xml:space="preserve"> [1]Factors!F202</f>
        <v>-0.25542964699999998</v>
      </c>
    </row>
    <row r="203" spans="1:46" x14ac:dyDescent="0.25">
      <c r="A203">
        <f t="shared" si="12"/>
        <v>1975.7499999999902</v>
      </c>
      <c r="B203" s="1">
        <v>27668</v>
      </c>
      <c r="C203" s="7">
        <f t="shared" si="13"/>
        <v>1975</v>
      </c>
      <c r="D203" s="7">
        <f t="shared" si="14"/>
        <v>10</v>
      </c>
      <c r="E203" s="7">
        <f t="shared" si="15"/>
        <v>4</v>
      </c>
      <c r="F203">
        <f xml:space="preserve"> [1]Coibion_update!O209</f>
        <v>3.7647264490049968</v>
      </c>
      <c r="G203">
        <f xml:space="preserve"> [1]Coibion_update!P209</f>
        <v>8.4</v>
      </c>
      <c r="H203">
        <f xml:space="preserve"> [1]Coibion_update!Q209</f>
        <v>4.0055133485154846</v>
      </c>
      <c r="I203">
        <f xml:space="preserve"> [1]Coibion_update!W209</f>
        <v>5.82</v>
      </c>
      <c r="J203">
        <f xml:space="preserve"> [1]Coibion_update!X209</f>
        <v>5.3051936704874691</v>
      </c>
      <c r="K203">
        <f xml:space="preserve"> [1]Coibion_update!Y209</f>
        <v>2.9556912240168072</v>
      </c>
      <c r="L203">
        <f xml:space="preserve"> [1]Coibion_update!Z209</f>
        <v>3.8034127707040972</v>
      </c>
      <c r="M203">
        <f xml:space="preserve"> [1]Coibion_update!AA209</f>
        <v>3.5765782407767786</v>
      </c>
      <c r="N203">
        <f xml:space="preserve"> [1]Coibion_update!AB209</f>
        <v>-0.19803680000000001</v>
      </c>
      <c r="O203">
        <f xml:space="preserve"> [1]Coibion_update!AC209</f>
        <v>-4.0071725999999996</v>
      </c>
      <c r="P203">
        <f xml:space="preserve"> [1]Coibion_update!AD209</f>
        <v>-3.5070339999999995</v>
      </c>
      <c r="X203" s="5">
        <f xml:space="preserve"> [1]misc!N286</f>
        <v>6.95</v>
      </c>
      <c r="Y203">
        <f xml:space="preserve"> [1]Gilchrist_Zak!C35</f>
        <v>0.1017</v>
      </c>
      <c r="Z203">
        <f xml:space="preserve"> [1]Sims_Zha!B206</f>
        <v>-2.8047</v>
      </c>
      <c r="AK203">
        <v>5.65</v>
      </c>
      <c r="AL203">
        <f xml:space="preserve"> LN([1]misc!B222)</f>
        <v>5.653891705042736</v>
      </c>
      <c r="AM203">
        <f xml:space="preserve"> LN([1]misc!D222)</f>
        <v>6.9055528554269365</v>
      </c>
      <c r="AN203">
        <f xml:space="preserve"> LN([1]misc!G327)</f>
        <v>3.3073261660520847</v>
      </c>
      <c r="AO203">
        <f xml:space="preserve"> LN([1]misc!J233 + [1]misc!L233)</f>
        <v>2.856929870673532</v>
      </c>
      <c r="AP203">
        <f xml:space="preserve"> [1]Factors!B203</f>
        <v>-0.31050298300000001</v>
      </c>
      <c r="AQ203">
        <f xml:space="preserve"> [1]Factors!C203</f>
        <v>2.6563203399999999E-2</v>
      </c>
      <c r="AR203">
        <f xml:space="preserve"> [1]Factors!D203</f>
        <v>0.29754177500000001</v>
      </c>
      <c r="AS203">
        <f xml:space="preserve"> [1]Factors!E203</f>
        <v>0.296617874</v>
      </c>
      <c r="AT203">
        <f xml:space="preserve"> [1]Factors!F203</f>
        <v>-0.343102089</v>
      </c>
    </row>
    <row r="204" spans="1:46" x14ac:dyDescent="0.25">
      <c r="A204">
        <f t="shared" ref="A204:A267" si="16" xml:space="preserve"> A203 + 1/12</f>
        <v>1975.8333333333235</v>
      </c>
      <c r="B204" s="1">
        <v>27699</v>
      </c>
      <c r="C204" s="7">
        <f t="shared" si="13"/>
        <v>1975</v>
      </c>
      <c r="D204" s="7">
        <f t="shared" si="14"/>
        <v>11</v>
      </c>
      <c r="E204" s="7">
        <f t="shared" si="15"/>
        <v>4</v>
      </c>
      <c r="F204">
        <f xml:space="preserve"> [1]Coibion_update!O210</f>
        <v>3.766987984780207</v>
      </c>
      <c r="G204">
        <f xml:space="preserve"> [1]Coibion_update!P210</f>
        <v>8.3000000000000007</v>
      </c>
      <c r="H204">
        <f xml:space="preserve"> [1]Coibion_update!Q210</f>
        <v>4.0127729085282891</v>
      </c>
      <c r="I204">
        <f xml:space="preserve"> [1]Coibion_update!W210</f>
        <v>5.22</v>
      </c>
      <c r="J204">
        <f xml:space="preserve"> [1]Coibion_update!X210</f>
        <v>5.2556707918265637</v>
      </c>
      <c r="K204">
        <f xml:space="preserve"> [1]Coibion_update!Y210</f>
        <v>2.9860858965021855</v>
      </c>
      <c r="L204">
        <f xml:space="preserve"> [1]Coibion_update!Z210</f>
        <v>3.8124015453965656</v>
      </c>
      <c r="M204">
        <f xml:space="preserve"> [1]Coibion_update!AA210</f>
        <v>3.5769697615603473</v>
      </c>
      <c r="N204">
        <f xml:space="preserve"> [1]Coibion_update!AB210</f>
        <v>-0.31537799999999999</v>
      </c>
      <c r="O204">
        <f xml:space="preserve"> [1]Coibion_update!AC210</f>
        <v>-4.3225505999999996</v>
      </c>
      <c r="P204">
        <f xml:space="preserve"> [1]Coibion_update!AD210</f>
        <v>-3.7884554999999995</v>
      </c>
      <c r="X204" s="5">
        <f xml:space="preserve"> [1]misc!N287</f>
        <v>6.49</v>
      </c>
      <c r="Y204">
        <f xml:space="preserve"> [1]Gilchrist_Zak!C36</f>
        <v>0.2001</v>
      </c>
      <c r="Z204">
        <f xml:space="preserve"> [1]Sims_Zha!B207</f>
        <v>-4.1391999999999998</v>
      </c>
      <c r="AK204">
        <v>5.29</v>
      </c>
      <c r="AL204">
        <f xml:space="preserve"> LN([1]misc!B223)</f>
        <v>5.658785108725465</v>
      </c>
      <c r="AM204">
        <f xml:space="preserve"> LN([1]misc!D223)</f>
        <v>6.9146315829215688</v>
      </c>
      <c r="AN204">
        <f xml:space="preserve"> LN([1]misc!G328)</f>
        <v>3.3038417780707938</v>
      </c>
      <c r="AO204">
        <f xml:space="preserve"> LN([1]misc!J234 + [1]misc!L234)</f>
        <v>2.8788613218225758</v>
      </c>
      <c r="AP204">
        <f xml:space="preserve"> [1]Factors!B204</f>
        <v>-0.18502901199999999</v>
      </c>
      <c r="AQ204">
        <f xml:space="preserve"> [1]Factors!C204</f>
        <v>6.5311380399999994E-2</v>
      </c>
      <c r="AR204">
        <f xml:space="preserve"> [1]Factors!D204</f>
        <v>5.0480769999999998E-3</v>
      </c>
      <c r="AS204">
        <f xml:space="preserve"> [1]Factors!E204</f>
        <v>0.40454488799999999</v>
      </c>
      <c r="AT204">
        <f xml:space="preserve"> [1]Factors!F204</f>
        <v>8.4122571400000005E-3</v>
      </c>
    </row>
    <row r="205" spans="1:46" x14ac:dyDescent="0.25">
      <c r="A205">
        <f t="shared" si="16"/>
        <v>1975.9166666666567</v>
      </c>
      <c r="B205" s="1">
        <v>27729</v>
      </c>
      <c r="C205" s="7">
        <f t="shared" si="13"/>
        <v>1975</v>
      </c>
      <c r="D205" s="7">
        <f t="shared" si="14"/>
        <v>12</v>
      </c>
      <c r="E205" s="7">
        <f t="shared" si="15"/>
        <v>4</v>
      </c>
      <c r="F205">
        <f xml:space="preserve"> [1]Coibion_update!O211</f>
        <v>3.7793552397704748</v>
      </c>
      <c r="G205">
        <f xml:space="preserve"> [1]Coibion_update!P211</f>
        <v>8.1999999999999993</v>
      </c>
      <c r="H205">
        <f xml:space="preserve"> [1]Coibion_update!Q211</f>
        <v>4.0181832012565364</v>
      </c>
      <c r="I205">
        <f xml:space="preserve"> [1]Coibion_update!W211</f>
        <v>5.2</v>
      </c>
      <c r="J205">
        <f xml:space="preserve"> [1]Coibion_update!X211</f>
        <v>5.2452329954555816</v>
      </c>
      <c r="K205">
        <f xml:space="preserve"> [1]Coibion_update!Y211</f>
        <v>3.0141123208354204</v>
      </c>
      <c r="L205">
        <f xml:space="preserve"> [1]Coibion_update!Z211</f>
        <v>3.8161946914154727</v>
      </c>
      <c r="M205">
        <f xml:space="preserve"> [1]Coibion_update!AA211</f>
        <v>3.5849900780216735</v>
      </c>
      <c r="N205">
        <f xml:space="preserve"> [1]Coibion_update!AB211</f>
        <v>0.2369289</v>
      </c>
      <c r="O205">
        <f xml:space="preserve"> [1]Coibion_update!AC211</f>
        <v>-4.0856216999999999</v>
      </c>
      <c r="P205">
        <f xml:space="preserve"> [1]Coibion_update!AD211</f>
        <v>-3.5069712999999996</v>
      </c>
      <c r="X205" s="5">
        <f xml:space="preserve"> [1]misc!N288</f>
        <v>6.6</v>
      </c>
      <c r="Y205">
        <f xml:space="preserve"> [1]Gilchrist_Zak!C37</f>
        <v>-2.8500000000000001E-2</v>
      </c>
      <c r="Z205">
        <f xml:space="preserve"> [1]Sims_Zha!B208</f>
        <v>0.84677999999999998</v>
      </c>
      <c r="AK205">
        <v>5.37</v>
      </c>
      <c r="AL205">
        <f xml:space="preserve"> LN([1]misc!B224)</f>
        <v>5.6598305871270185</v>
      </c>
      <c r="AM205">
        <f xml:space="preserve"> LN([1]misc!D224)</f>
        <v>6.923825459159632</v>
      </c>
      <c r="AN205">
        <f xml:space="preserve"> LN([1]misc!G329)</f>
        <v>3.3039152588556018</v>
      </c>
      <c r="AO205">
        <f xml:space="preserve"> LN([1]misc!J235 + [1]misc!L235)</f>
        <v>2.8737906027487488</v>
      </c>
      <c r="AP205">
        <f xml:space="preserve"> [1]Factors!B205</f>
        <v>-2.4811757699999999E-2</v>
      </c>
      <c r="AQ205">
        <f xml:space="preserve"> [1]Factors!C205</f>
        <v>5.52013539E-2</v>
      </c>
      <c r="AR205">
        <f xml:space="preserve"> [1]Factors!D205</f>
        <v>0.109330281</v>
      </c>
      <c r="AS205">
        <f xml:space="preserve"> [1]Factors!E205</f>
        <v>0.35960471500000002</v>
      </c>
      <c r="AT205">
        <f xml:space="preserve"> [1]Factors!F205</f>
        <v>-9.7786619800000002E-2</v>
      </c>
    </row>
    <row r="206" spans="1:46" x14ac:dyDescent="0.25">
      <c r="A206">
        <f t="shared" si="16"/>
        <v>1975.99999999999</v>
      </c>
      <c r="B206" s="1">
        <v>27760</v>
      </c>
      <c r="C206" s="7">
        <f t="shared" si="13"/>
        <v>1976</v>
      </c>
      <c r="D206" s="7">
        <f t="shared" si="14"/>
        <v>1</v>
      </c>
      <c r="E206" s="7">
        <f t="shared" si="15"/>
        <v>1</v>
      </c>
      <c r="F206">
        <f xml:space="preserve"> [1]Coibion_update!O212</f>
        <v>3.7939081647305577</v>
      </c>
      <c r="G206">
        <f xml:space="preserve"> [1]Coibion_update!P212</f>
        <v>7.9</v>
      </c>
      <c r="H206">
        <f xml:space="preserve"> [1]Coibion_update!Q212</f>
        <v>4.0217738693872649</v>
      </c>
      <c r="I206">
        <f xml:space="preserve"> [1]Coibion_update!W212</f>
        <v>4.87</v>
      </c>
      <c r="J206">
        <f xml:space="preserve"> [1]Coibion_update!X212</f>
        <v>5.2490220748231593</v>
      </c>
      <c r="K206">
        <f xml:space="preserve"> [1]Coibion_update!Y212</f>
        <v>3.0236392268069987</v>
      </c>
      <c r="L206">
        <f xml:space="preserve"> [1]Coibion_update!Z212</f>
        <v>3.832005297442115</v>
      </c>
      <c r="M206">
        <f xml:space="preserve"> [1]Coibion_update!AA212</f>
        <v>3.5911839316404826</v>
      </c>
      <c r="N206">
        <f xml:space="preserve"> [1]Coibion_update!AB212</f>
        <v>-9.9544599999999997E-2</v>
      </c>
      <c r="O206">
        <f xml:space="preserve"> [1]Coibion_update!AC212</f>
        <v>-4.1851662999999997</v>
      </c>
      <c r="P206">
        <f xml:space="preserve"> [1]Coibion_update!AD212</f>
        <v>-3.5964328999999995</v>
      </c>
      <c r="X206" s="5">
        <f xml:space="preserve"> [1]misc!N289</f>
        <v>5.81</v>
      </c>
      <c r="Y206">
        <f xml:space="preserve"> [1]Gilchrist_Zak!C38</f>
        <v>-7.4099999999999999E-2</v>
      </c>
      <c r="Z206">
        <f xml:space="preserve"> [1]Sims_Zha!B209</f>
        <v>-3.0510000000000002</v>
      </c>
      <c r="AK206">
        <v>4.84</v>
      </c>
      <c r="AL206">
        <f xml:space="preserve"> LN([1]misc!B225)</f>
        <v>5.6643484054107942</v>
      </c>
      <c r="AM206">
        <f xml:space="preserve"> LN([1]misc!D225)</f>
        <v>6.9340076501262029</v>
      </c>
      <c r="AN206">
        <f xml:space="preserve"> LN([1]misc!G330)</f>
        <v>3.3020766174609615</v>
      </c>
      <c r="AO206">
        <f xml:space="preserve"> LN([1]misc!J236 + [1]misc!L236)</f>
        <v>2.8649399833039673</v>
      </c>
      <c r="AP206">
        <f xml:space="preserve"> [1]Factors!B206</f>
        <v>-0.39313183099999999</v>
      </c>
      <c r="AQ206">
        <f xml:space="preserve"> [1]Factors!C206</f>
        <v>-9.2271532500000003E-2</v>
      </c>
      <c r="AR206">
        <f xml:space="preserve"> [1]Factors!D206</f>
        <v>0.14912131300000001</v>
      </c>
      <c r="AS206">
        <f xml:space="preserve"> [1]Factors!E206</f>
        <v>0.20839602500000001</v>
      </c>
      <c r="AT206">
        <f xml:space="preserve"> [1]Factors!F206</f>
        <v>-0.29758789099999999</v>
      </c>
    </row>
    <row r="207" spans="1:46" x14ac:dyDescent="0.25">
      <c r="A207">
        <f t="shared" si="16"/>
        <v>1976.0833333333233</v>
      </c>
      <c r="B207" s="1">
        <v>27791</v>
      </c>
      <c r="C207" s="7">
        <f t="shared" si="13"/>
        <v>1976</v>
      </c>
      <c r="D207" s="7">
        <f t="shared" si="14"/>
        <v>2</v>
      </c>
      <c r="E207" s="7">
        <f t="shared" si="15"/>
        <v>1</v>
      </c>
      <c r="F207">
        <f xml:space="preserve"> [1]Coibion_update!O213</f>
        <v>3.8036312334849272</v>
      </c>
      <c r="G207">
        <f xml:space="preserve"> [1]Coibion_update!P213</f>
        <v>7.7</v>
      </c>
      <c r="H207">
        <f xml:space="preserve"> [1]Coibion_update!Q213</f>
        <v>4.0235643801610532</v>
      </c>
      <c r="I207">
        <f xml:space="preserve"> [1]Coibion_update!W213</f>
        <v>4.7699999999999996</v>
      </c>
      <c r="J207">
        <f xml:space="preserve"> [1]Coibion_update!X213</f>
        <v>5.2638811892269093</v>
      </c>
      <c r="K207">
        <f xml:space="preserve"> [1]Coibion_update!Y213</f>
        <v>3.038935430854639</v>
      </c>
      <c r="L207">
        <f xml:space="preserve"> [1]Coibion_update!Z213</f>
        <v>3.8274667938699793</v>
      </c>
      <c r="M207">
        <f xml:space="preserve"> [1]Coibion_update!AA213</f>
        <v>3.5882300459640066</v>
      </c>
      <c r="N207">
        <f xml:space="preserve"> [1]Coibion_update!AB213</f>
        <v>-0.46224710000000002</v>
      </c>
      <c r="O207">
        <f xml:space="preserve"> [1]Coibion_update!AC213</f>
        <v>-4.6474133999999996</v>
      </c>
      <c r="P207">
        <f xml:space="preserve"> [1]Coibion_update!AD213</f>
        <v>-4.0639905999999995</v>
      </c>
      <c r="X207" s="5">
        <f xml:space="preserve"> [1]misc!N290</f>
        <v>5.91</v>
      </c>
      <c r="Y207">
        <f xml:space="preserve"> [1]Gilchrist_Zak!C39</f>
        <v>7.6E-3</v>
      </c>
      <c r="Z207">
        <f xml:space="preserve"> [1]Sims_Zha!B210</f>
        <v>-2.2450999999999999</v>
      </c>
      <c r="AK207">
        <v>4.8899999999999997</v>
      </c>
      <c r="AL207">
        <f xml:space="preserve"> LN([1]misc!B226)</f>
        <v>5.6726357456593641</v>
      </c>
      <c r="AM207">
        <f xml:space="preserve"> LN([1]misc!D226)</f>
        <v>6.9472644120768496</v>
      </c>
      <c r="AN207">
        <f xml:space="preserve"> LN([1]misc!G331)</f>
        <v>3.2772956649975948</v>
      </c>
      <c r="AO207">
        <f xml:space="preserve"> LN([1]misc!J237 + [1]misc!L237)</f>
        <v>2.8754837009578154</v>
      </c>
      <c r="AP207">
        <f xml:space="preserve"> [1]Factors!B207</f>
        <v>-0.51422394599999999</v>
      </c>
      <c r="AQ207">
        <f xml:space="preserve"> [1]Factors!C207</f>
        <v>-0.22288117299999999</v>
      </c>
      <c r="AR207">
        <f xml:space="preserve"> [1]Factors!D207</f>
        <v>-0.238743074</v>
      </c>
      <c r="AS207">
        <f xml:space="preserve"> [1]Factors!E207</f>
        <v>0.50936124100000002</v>
      </c>
      <c r="AT207">
        <f xml:space="preserve"> [1]Factors!F207</f>
        <v>-0.18878073500000001</v>
      </c>
    </row>
    <row r="208" spans="1:46" x14ac:dyDescent="0.25">
      <c r="A208">
        <f t="shared" si="16"/>
        <v>1976.1666666666565</v>
      </c>
      <c r="B208" s="1">
        <v>27820</v>
      </c>
      <c r="C208" s="7">
        <f t="shared" si="13"/>
        <v>1976</v>
      </c>
      <c r="D208" s="7">
        <f t="shared" si="14"/>
        <v>3</v>
      </c>
      <c r="E208" s="7">
        <f t="shared" si="15"/>
        <v>1</v>
      </c>
      <c r="F208">
        <f xml:space="preserve"> [1]Coibion_update!O214</f>
        <v>3.8045246506643204</v>
      </c>
      <c r="G208">
        <f xml:space="preserve"> [1]Coibion_update!P214</f>
        <v>7.6</v>
      </c>
      <c r="H208">
        <f xml:space="preserve"> [1]Coibion_update!Q214</f>
        <v>4.0253516907351496</v>
      </c>
      <c r="I208">
        <f xml:space="preserve"> [1]Coibion_update!W214</f>
        <v>4.84</v>
      </c>
      <c r="J208">
        <f xml:space="preserve"> [1]Coibion_update!X214</f>
        <v>5.2783187200413471</v>
      </c>
      <c r="K208">
        <f xml:space="preserve"> [1]Coibion_update!Y214</f>
        <v>3.0404666048941618</v>
      </c>
      <c r="L208">
        <f xml:space="preserve"> [1]Coibion_update!Z214</f>
        <v>3.8327849739158917</v>
      </c>
      <c r="M208">
        <f xml:space="preserve"> [1]Coibion_update!AA214</f>
        <v>3.5939092165227096</v>
      </c>
      <c r="N208">
        <f xml:space="preserve"> [1]Coibion_update!AB214</f>
        <v>-0.26525880000000002</v>
      </c>
      <c r="O208">
        <f xml:space="preserve"> [1]Coibion_update!AC214</f>
        <v>-4.9126721999999994</v>
      </c>
      <c r="P208">
        <f xml:space="preserve"> [1]Coibion_update!AD214</f>
        <v>-4.3037371999999996</v>
      </c>
      <c r="X208" s="5">
        <f xml:space="preserve"> [1]misc!N291</f>
        <v>6.21</v>
      </c>
      <c r="Y208">
        <f xml:space="preserve"> [1]Gilchrist_Zak!C40</f>
        <v>-2.35E-2</v>
      </c>
      <c r="Z208">
        <f xml:space="preserve"> [1]Sims_Zha!B211</f>
        <v>-0.66105000000000003</v>
      </c>
      <c r="AK208">
        <v>5.07</v>
      </c>
      <c r="AL208">
        <f xml:space="preserve"> LN([1]misc!B227)</f>
        <v>5.6791481936978405</v>
      </c>
      <c r="AM208">
        <f xml:space="preserve"> LN([1]misc!D227)</f>
        <v>6.956545443151569</v>
      </c>
      <c r="AN208">
        <f xml:space="preserve"> LN([1]misc!G332)</f>
        <v>3.2694928906647269</v>
      </c>
      <c r="AO208">
        <f xml:space="preserve"> LN([1]misc!J238 + [1]misc!L238)</f>
        <v>2.8805458637448735</v>
      </c>
      <c r="AP208">
        <f xml:space="preserve"> [1]Factors!B208</f>
        <v>-0.45593606800000003</v>
      </c>
      <c r="AQ208">
        <f xml:space="preserve"> [1]Factors!C208</f>
        <v>-0.286754485</v>
      </c>
      <c r="AR208">
        <f xml:space="preserve"> [1]Factors!D208</f>
        <v>-5.4774716600000002E-2</v>
      </c>
      <c r="AS208">
        <f xml:space="preserve"> [1]Factors!E208</f>
        <v>0.17930154400000001</v>
      </c>
      <c r="AT208">
        <f xml:space="preserve"> [1]Factors!F208</f>
        <v>-3.2856145000000003E-2</v>
      </c>
    </row>
    <row r="209" spans="1:46" x14ac:dyDescent="0.25">
      <c r="A209">
        <f t="shared" si="16"/>
        <v>1976.2499999999898</v>
      </c>
      <c r="B209" s="1">
        <v>27851</v>
      </c>
      <c r="C209" s="7">
        <f t="shared" si="13"/>
        <v>1976</v>
      </c>
      <c r="D209" s="7">
        <f t="shared" si="14"/>
        <v>4</v>
      </c>
      <c r="E209" s="7">
        <f t="shared" si="15"/>
        <v>2</v>
      </c>
      <c r="F209">
        <f xml:space="preserve"> [1]Coibion_update!O215</f>
        <v>3.8102493825056301</v>
      </c>
      <c r="G209">
        <f xml:space="preserve"> [1]Coibion_update!P215</f>
        <v>7.7</v>
      </c>
      <c r="H209">
        <f xml:space="preserve"> [1]Coibion_update!Q215</f>
        <v>4.0271358125286509</v>
      </c>
      <c r="I209">
        <f xml:space="preserve"> [1]Coibion_update!W215</f>
        <v>4.82</v>
      </c>
      <c r="J209">
        <f xml:space="preserve"> [1]Coibion_update!X215</f>
        <v>5.3099000277911035</v>
      </c>
      <c r="K209">
        <f xml:space="preserve"> [1]Coibion_update!Y215</f>
        <v>3.0531045534118615</v>
      </c>
      <c r="L209">
        <f xml:space="preserve"> [1]Coibion_update!Z215</f>
        <v>3.8455626387278761</v>
      </c>
      <c r="M209">
        <f xml:space="preserve"> [1]Coibion_update!AA215</f>
        <v>3.5958591505407149</v>
      </c>
      <c r="N209">
        <f xml:space="preserve"> [1]Coibion_update!AB215</f>
        <v>0.13636960000000001</v>
      </c>
      <c r="O209">
        <f xml:space="preserve"> [1]Coibion_update!AC215</f>
        <v>-4.7763025999999993</v>
      </c>
      <c r="P209">
        <f xml:space="preserve"> [1]Coibion_update!AD215</f>
        <v>-4.1642786999999997</v>
      </c>
      <c r="X209" s="5">
        <f xml:space="preserve"> [1]misc!N292</f>
        <v>5.92</v>
      </c>
      <c r="Y209">
        <f xml:space="preserve"> [1]Gilchrist_Zak!C41</f>
        <v>2.5399999999999999E-2</v>
      </c>
      <c r="Z209">
        <f xml:space="preserve"> [1]Sims_Zha!B212</f>
        <v>-2.3715999999999999</v>
      </c>
      <c r="AK209">
        <v>5.0999999999999996</v>
      </c>
      <c r="AL209">
        <f xml:space="preserve"> LN([1]misc!B228)</f>
        <v>5.6859578897436487</v>
      </c>
      <c r="AM209">
        <f xml:space="preserve"> LN([1]misc!D228)</f>
        <v>6.9667786194315982</v>
      </c>
      <c r="AN209">
        <f xml:space="preserve"> LN([1]misc!G333)</f>
        <v>3.279368673297022</v>
      </c>
      <c r="AO209">
        <f xml:space="preserve"> LN([1]misc!J239 + [1]misc!L239)</f>
        <v>2.8721512117826364</v>
      </c>
      <c r="AP209">
        <f xml:space="preserve"> [1]Factors!B209</f>
        <v>-0.158566759</v>
      </c>
      <c r="AQ209">
        <f xml:space="preserve"> [1]Factors!C209</f>
        <v>-0.13998570799999999</v>
      </c>
      <c r="AR209">
        <f xml:space="preserve"> [1]Factors!D209</f>
        <v>6.6187374699999996E-2</v>
      </c>
      <c r="AS209">
        <f xml:space="preserve"> [1]Factors!E209</f>
        <v>-1.5879930600000002E-2</v>
      </c>
      <c r="AT209">
        <f xml:space="preserve"> [1]Factors!F209</f>
        <v>4.5944401099999997E-2</v>
      </c>
    </row>
    <row r="210" spans="1:46" x14ac:dyDescent="0.25">
      <c r="A210">
        <f t="shared" si="16"/>
        <v>1976.333333333323</v>
      </c>
      <c r="B210" s="1">
        <v>27881</v>
      </c>
      <c r="C210" s="7">
        <f t="shared" si="13"/>
        <v>1976</v>
      </c>
      <c r="D210" s="7">
        <f t="shared" si="14"/>
        <v>5</v>
      </c>
      <c r="E210" s="7">
        <f t="shared" si="15"/>
        <v>2</v>
      </c>
      <c r="F210">
        <f xml:space="preserve"> [1]Coibion_update!O216</f>
        <v>3.8148422772385064</v>
      </c>
      <c r="G210">
        <f xml:space="preserve"> [1]Coibion_update!P216</f>
        <v>7.4</v>
      </c>
      <c r="H210">
        <f xml:space="preserve"> [1]Coibion_update!Q216</f>
        <v>4.0324691585040133</v>
      </c>
      <c r="I210">
        <f xml:space="preserve"> [1]Coibion_update!W216</f>
        <v>5.29</v>
      </c>
      <c r="J210">
        <f xml:space="preserve"> [1]Coibion_update!X216</f>
        <v>5.3120723317803726</v>
      </c>
      <c r="K210">
        <f xml:space="preserve"> [1]Coibion_update!Y216</f>
        <v>3.0151917047102099</v>
      </c>
      <c r="L210">
        <f xml:space="preserve"> [1]Coibion_update!Z216</f>
        <v>3.838634774198773</v>
      </c>
      <c r="M210">
        <f xml:space="preserve"> [1]Coibion_update!AA216</f>
        <v>3.5971204613742347</v>
      </c>
      <c r="N210">
        <f xml:space="preserve"> [1]Coibion_update!AB216</f>
        <v>-0.25743759999999999</v>
      </c>
      <c r="O210">
        <f xml:space="preserve"> [1]Coibion_update!AC216</f>
        <v>-5.0337401999999996</v>
      </c>
      <c r="P210">
        <f xml:space="preserve"> [1]Coibion_update!AD216</f>
        <v>-4.4614732999999998</v>
      </c>
      <c r="X210" s="5">
        <f xml:space="preserve"> [1]misc!N293</f>
        <v>6.4</v>
      </c>
      <c r="Y210">
        <f xml:space="preserve"> [1]Gilchrist_Zak!C42</f>
        <v>-1.3100000000000001E-2</v>
      </c>
      <c r="Z210">
        <f xml:space="preserve"> [1]Sims_Zha!B213</f>
        <v>1.6072</v>
      </c>
      <c r="AK210">
        <v>5.67</v>
      </c>
      <c r="AL210">
        <f xml:space="preserve"> LN([1]misc!B229)</f>
        <v>5.6900215594061638</v>
      </c>
      <c r="AM210">
        <f xml:space="preserve"> LN([1]misc!D229)</f>
        <v>6.9773746208621938</v>
      </c>
      <c r="AN210">
        <f xml:space="preserve"> LN([1]misc!G334)</f>
        <v>3.2665224783355535</v>
      </c>
      <c r="AO210">
        <f xml:space="preserve"> LN([1]misc!J240 + [1]misc!L240)</f>
        <v>2.8806580657085257</v>
      </c>
      <c r="AP210">
        <f xml:space="preserve"> [1]Factors!B210</f>
        <v>-0.28301261999999999</v>
      </c>
      <c r="AQ210">
        <f xml:space="preserve"> [1]Factors!C210</f>
        <v>-8.8126980800000004E-2</v>
      </c>
      <c r="AR210">
        <f xml:space="preserve"> [1]Factors!D210</f>
        <v>-9.02422004E-2</v>
      </c>
      <c r="AS210">
        <f xml:space="preserve"> [1]Factors!E210</f>
        <v>0.19798531599999999</v>
      </c>
      <c r="AT210">
        <f xml:space="preserve"> [1]Factors!F210</f>
        <v>8.1332720900000002E-2</v>
      </c>
    </row>
    <row r="211" spans="1:46" x14ac:dyDescent="0.25">
      <c r="A211">
        <f t="shared" si="16"/>
        <v>1976.4166666666563</v>
      </c>
      <c r="B211" s="1">
        <v>27912</v>
      </c>
      <c r="C211" s="7">
        <f t="shared" si="13"/>
        <v>1976</v>
      </c>
      <c r="D211" s="7">
        <f t="shared" si="14"/>
        <v>6</v>
      </c>
      <c r="E211" s="7">
        <f t="shared" si="15"/>
        <v>2</v>
      </c>
      <c r="F211">
        <f xml:space="preserve"> [1]Coibion_update!O217</f>
        <v>3.8147519042736278</v>
      </c>
      <c r="G211">
        <f xml:space="preserve"> [1]Coibion_update!P217</f>
        <v>7.6</v>
      </c>
      <c r="H211">
        <f xml:space="preserve"> [1]Coibion_update!Q217</f>
        <v>4.0377742107337067</v>
      </c>
      <c r="I211">
        <f xml:space="preserve"> [1]Coibion_update!W217</f>
        <v>5.48</v>
      </c>
      <c r="J211">
        <f xml:space="preserve"> [1]Coibion_update!X217</f>
        <v>5.3348421412304088</v>
      </c>
      <c r="K211">
        <f xml:space="preserve"> [1]Coibion_update!Y217</f>
        <v>3.0478976875346704</v>
      </c>
      <c r="L211">
        <f xml:space="preserve"> [1]Coibion_update!Z217</f>
        <v>3.8537156965668715</v>
      </c>
      <c r="M211">
        <f xml:space="preserve"> [1]Coibion_update!AA217</f>
        <v>3.6002394789506655</v>
      </c>
      <c r="N211">
        <f xml:space="preserve"> [1]Coibion_update!AB217</f>
        <v>-2.7014699999999999E-2</v>
      </c>
      <c r="O211">
        <f xml:space="preserve"> [1]Coibion_update!AC217</f>
        <v>-5.0607548999999992</v>
      </c>
      <c r="P211">
        <f xml:space="preserve"> [1]Coibion_update!AD217</f>
        <v>-4.5007158</v>
      </c>
      <c r="X211" s="5">
        <f xml:space="preserve"> [1]misc!N294</f>
        <v>6.52</v>
      </c>
      <c r="Y211">
        <f xml:space="preserve"> [1]Gilchrist_Zak!C43</f>
        <v>6.3299999999999995E-2</v>
      </c>
      <c r="Z211">
        <f xml:space="preserve"> [1]Sims_Zha!B214</f>
        <v>-6.3838000000000006E-2</v>
      </c>
      <c r="AK211">
        <v>5.71</v>
      </c>
      <c r="AL211">
        <f xml:space="preserve"> LN([1]misc!B230)</f>
        <v>5.6910349018336985</v>
      </c>
      <c r="AM211">
        <f xml:space="preserve"> LN([1]misc!D230)</f>
        <v>6.982491625096154</v>
      </c>
      <c r="AN211">
        <f xml:space="preserve"> LN([1]misc!G335)</f>
        <v>3.2566339304708025</v>
      </c>
      <c r="AO211">
        <f xml:space="preserve"> LN([1]misc!J241 + [1]misc!L241)</f>
        <v>2.8803214220426634</v>
      </c>
      <c r="AP211">
        <f xml:space="preserve"> [1]Factors!B211</f>
        <v>-0.187539344</v>
      </c>
      <c r="AQ211">
        <f xml:space="preserve"> [1]Factors!C211</f>
        <v>4.0239084799999998E-2</v>
      </c>
      <c r="AR211">
        <f xml:space="preserve"> [1]Factors!D211</f>
        <v>0.31062244300000003</v>
      </c>
      <c r="AS211">
        <f xml:space="preserve"> [1]Factors!E211</f>
        <v>-4.8849782500000001E-2</v>
      </c>
      <c r="AT211">
        <f xml:space="preserve"> [1]Factors!F211</f>
        <v>-9.9692486900000002E-2</v>
      </c>
    </row>
    <row r="212" spans="1:46" x14ac:dyDescent="0.25">
      <c r="A212">
        <f t="shared" si="16"/>
        <v>1976.4999999999895</v>
      </c>
      <c r="B212" s="1">
        <v>27942</v>
      </c>
      <c r="C212" s="7">
        <f t="shared" si="13"/>
        <v>1976</v>
      </c>
      <c r="D212" s="7">
        <f t="shared" si="14"/>
        <v>7</v>
      </c>
      <c r="E212" s="7">
        <f t="shared" si="15"/>
        <v>3</v>
      </c>
      <c r="F212">
        <f xml:space="preserve"> [1]Coibion_update!O218</f>
        <v>3.8207910981536917</v>
      </c>
      <c r="G212">
        <f xml:space="preserve"> [1]Coibion_update!P218</f>
        <v>7.8</v>
      </c>
      <c r="H212">
        <f xml:space="preserve"> [1]Coibion_update!Q218</f>
        <v>4.0430512678345503</v>
      </c>
      <c r="I212">
        <f xml:space="preserve"> [1]Coibion_update!W218</f>
        <v>5.31</v>
      </c>
      <c r="J212">
        <f xml:space="preserve"> [1]Coibion_update!X218</f>
        <v>5.3755098623779425</v>
      </c>
      <c r="K212">
        <f xml:space="preserve"> [1]Coibion_update!Y218</f>
        <v>3.0531517644214774</v>
      </c>
      <c r="L212">
        <f xml:space="preserve"> [1]Coibion_update!Z218</f>
        <v>3.8508707444346402</v>
      </c>
      <c r="M212">
        <f xml:space="preserve"> [1]Coibion_update!AA218</f>
        <v>3.6060954926350148</v>
      </c>
      <c r="N212">
        <f xml:space="preserve"> [1]Coibion_update!AB218</f>
        <v>-0.14407690000000001</v>
      </c>
      <c r="O212">
        <f xml:space="preserve"> [1]Coibion_update!AC218</f>
        <v>-5.2048317999999991</v>
      </c>
      <c r="P212">
        <f xml:space="preserve"> [1]Coibion_update!AD218</f>
        <v>-4.6408094999999996</v>
      </c>
      <c r="X212" s="5">
        <f xml:space="preserve"> [1]misc!N295</f>
        <v>6.2</v>
      </c>
      <c r="Y212">
        <f xml:space="preserve"> [1]Gilchrist_Zak!C44</f>
        <v>5.7799999999999997E-2</v>
      </c>
      <c r="Z212">
        <f xml:space="preserve"> [1]Sims_Zha!B215</f>
        <v>-3.3182</v>
      </c>
      <c r="AK212">
        <v>5.32</v>
      </c>
      <c r="AL212">
        <f xml:space="preserve"> LN([1]misc!B231)</f>
        <v>5.6944053128436041</v>
      </c>
      <c r="AM212">
        <f xml:space="preserve"> LN([1]misc!D231)</f>
        <v>6.9905327054397048</v>
      </c>
      <c r="AN212">
        <f xml:space="preserve"> LN([1]misc!G336)</f>
        <v>3.267475494704263</v>
      </c>
      <c r="AO212">
        <f xml:space="preserve"> LN([1]misc!J242 + [1]misc!L242)</f>
        <v>2.8743552873873912</v>
      </c>
      <c r="AP212">
        <f xml:space="preserve"> [1]Factors!B212</f>
        <v>7.0782522699999999E-3</v>
      </c>
      <c r="AQ212">
        <f xml:space="preserve"> [1]Factors!C212</f>
        <v>0.14212736300000001</v>
      </c>
      <c r="AR212">
        <f xml:space="preserve"> [1]Factors!D212</f>
        <v>0.217303723</v>
      </c>
      <c r="AS212">
        <f xml:space="preserve"> [1]Factors!E212</f>
        <v>1.41784901E-2</v>
      </c>
      <c r="AT212">
        <f xml:space="preserve"> [1]Factors!F212</f>
        <v>3.0513102100000002E-2</v>
      </c>
    </row>
    <row r="213" spans="1:46" x14ac:dyDescent="0.25">
      <c r="A213">
        <f t="shared" si="16"/>
        <v>1976.5833333333228</v>
      </c>
      <c r="B213" s="1">
        <v>27973</v>
      </c>
      <c r="C213" s="7">
        <f t="shared" si="13"/>
        <v>1976</v>
      </c>
      <c r="D213" s="7">
        <f t="shared" si="14"/>
        <v>8</v>
      </c>
      <c r="E213" s="7">
        <f t="shared" si="15"/>
        <v>3</v>
      </c>
      <c r="F213">
        <f xml:space="preserve"> [1]Coibion_update!O219</f>
        <v>3.827747518838609</v>
      </c>
      <c r="G213">
        <f xml:space="preserve"> [1]Coibion_update!P219</f>
        <v>7.8</v>
      </c>
      <c r="H213">
        <f xml:space="preserve"> [1]Coibion_update!Q219</f>
        <v>4.048300623720694</v>
      </c>
      <c r="I213">
        <f xml:space="preserve"> [1]Coibion_update!W219</f>
        <v>5.29</v>
      </c>
      <c r="J213">
        <f xml:space="preserve"> [1]Coibion_update!X219</f>
        <v>5.3321389150235472</v>
      </c>
      <c r="K213">
        <f xml:space="preserve"> [1]Coibion_update!Y219</f>
        <v>3.0454267905778427</v>
      </c>
      <c r="L213">
        <f xml:space="preserve"> [1]Coibion_update!Z219</f>
        <v>3.8545210031566874</v>
      </c>
      <c r="M213">
        <f xml:space="preserve"> [1]Coibion_update!AA219</f>
        <v>3.6094032526121396</v>
      </c>
      <c r="N213">
        <f xml:space="preserve"> [1]Coibion_update!AB219</f>
        <v>-5.0372599999999997E-2</v>
      </c>
      <c r="O213">
        <f xml:space="preserve"> [1]Coibion_update!AC219</f>
        <v>-5.2552043999999993</v>
      </c>
      <c r="P213">
        <f xml:space="preserve"> [1]Coibion_update!AD219</f>
        <v>-4.6842774999999994</v>
      </c>
      <c r="X213" s="5">
        <f xml:space="preserve"> [1]misc!N296</f>
        <v>6</v>
      </c>
      <c r="Y213">
        <f xml:space="preserve"> [1]Gilchrist_Zak!C45</f>
        <v>-2.6800000000000001E-2</v>
      </c>
      <c r="Z213">
        <f xml:space="preserve"> [1]Sims_Zha!B216</f>
        <v>-1.6337999999999999</v>
      </c>
      <c r="AK213">
        <v>5.31</v>
      </c>
      <c r="AL213">
        <f xml:space="preserve"> LN([1]misc!B232)</f>
        <v>5.7004435733906869</v>
      </c>
      <c r="AM213">
        <f xml:space="preserve"> LN([1]misc!D232)</f>
        <v>7.0018829417068353</v>
      </c>
      <c r="AN213">
        <f xml:space="preserve"> LN([1]misc!G337)</f>
        <v>3.2605550518596895</v>
      </c>
      <c r="AO213">
        <f xml:space="preserve"> LN([1]misc!J243 + [1]misc!L243)</f>
        <v>2.8877572318886919</v>
      </c>
      <c r="AP213">
        <f xml:space="preserve"> [1]Factors!B213</f>
        <v>-0.206642034</v>
      </c>
      <c r="AQ213">
        <f xml:space="preserve"> [1]Factors!C213</f>
        <v>9.3009232100000006E-2</v>
      </c>
      <c r="AR213">
        <f xml:space="preserve"> [1]Factors!D213</f>
        <v>-9.1235411999999998E-3</v>
      </c>
      <c r="AS213">
        <f xml:space="preserve"> [1]Factors!E213</f>
        <v>0.25890846299999998</v>
      </c>
      <c r="AT213">
        <f xml:space="preserve"> [1]Factors!F213</f>
        <v>-9.7112395899999995E-2</v>
      </c>
    </row>
    <row r="214" spans="1:46" x14ac:dyDescent="0.25">
      <c r="A214">
        <f t="shared" si="16"/>
        <v>1976.6666666666561</v>
      </c>
      <c r="B214" s="1">
        <v>28004</v>
      </c>
      <c r="C214" s="7">
        <f t="shared" si="13"/>
        <v>1976</v>
      </c>
      <c r="D214" s="7">
        <f t="shared" si="14"/>
        <v>9</v>
      </c>
      <c r="E214" s="7">
        <f t="shared" si="15"/>
        <v>3</v>
      </c>
      <c r="F214">
        <f xml:space="preserve"> [1]Coibion_update!O220</f>
        <v>3.8305222352979849</v>
      </c>
      <c r="G214">
        <f xml:space="preserve"> [1]Coibion_update!P220</f>
        <v>7.6</v>
      </c>
      <c r="H214">
        <f xml:space="preserve"> [1]Coibion_update!Q220</f>
        <v>4.0535225677018456</v>
      </c>
      <c r="I214">
        <f xml:space="preserve"> [1]Coibion_update!W220</f>
        <v>5.25</v>
      </c>
      <c r="J214">
        <f xml:space="preserve"> [1]Coibion_update!X220</f>
        <v>5.3135999900791937</v>
      </c>
      <c r="K214">
        <f xml:space="preserve"> [1]Coibion_update!Y220</f>
        <v>3.0518762841720308</v>
      </c>
      <c r="L214">
        <f xml:space="preserve"> [1]Coibion_update!Z220</f>
        <v>3.8554738177369612</v>
      </c>
      <c r="M214">
        <f xml:space="preserve"> [1]Coibion_update!AA220</f>
        <v>3.6142097857769069</v>
      </c>
      <c r="N214">
        <f xml:space="preserve"> [1]Coibion_update!AB220</f>
        <v>-7.7815999999999996E-3</v>
      </c>
      <c r="O214">
        <f xml:space="preserve"> [1]Coibion_update!AC220</f>
        <v>-5.2629859999999997</v>
      </c>
      <c r="P214">
        <f xml:space="preserve"> [1]Coibion_update!AD220</f>
        <v>-4.6672610999999993</v>
      </c>
      <c r="X214" s="5">
        <f xml:space="preserve"> [1]misc!N297</f>
        <v>5.84</v>
      </c>
      <c r="Y214">
        <f xml:space="preserve"> [1]Gilchrist_Zak!C46</f>
        <v>-3.56E-2</v>
      </c>
      <c r="Z214">
        <f xml:space="preserve"> [1]Sims_Zha!B217</f>
        <v>-0.80476999999999999</v>
      </c>
      <c r="AK214">
        <v>5.31</v>
      </c>
      <c r="AL214">
        <f xml:space="preserve"> LN([1]misc!B233)</f>
        <v>5.7024482516430641</v>
      </c>
      <c r="AM214">
        <f xml:space="preserve"> LN([1]misc!D233)</f>
        <v>7.0128357554326444</v>
      </c>
      <c r="AN214">
        <f xml:space="preserve"> LN([1]misc!G338)</f>
        <v>3.2495989975110415</v>
      </c>
      <c r="AO214">
        <f xml:space="preserve"> LN([1]misc!J244 + [1]misc!L244)</f>
        <v>2.8874786881137369</v>
      </c>
      <c r="AP214">
        <f xml:space="preserve"> [1]Factors!B214</f>
        <v>-0.115335621</v>
      </c>
      <c r="AQ214">
        <f xml:space="preserve"> [1]Factors!C214</f>
        <v>3.0051966900000001E-2</v>
      </c>
      <c r="AR214">
        <f xml:space="preserve"> [1]Factors!D214</f>
        <v>4.60370498E-4</v>
      </c>
      <c r="AS214">
        <f xml:space="preserve"> [1]Factors!E214</f>
        <v>0.17814624400000001</v>
      </c>
      <c r="AT214">
        <f xml:space="preserve"> [1]Factors!F214</f>
        <v>-0.127981551</v>
      </c>
    </row>
    <row r="215" spans="1:46" x14ac:dyDescent="0.25">
      <c r="A215">
        <f t="shared" si="16"/>
        <v>1976.7499999999893</v>
      </c>
      <c r="B215" s="1">
        <v>28034</v>
      </c>
      <c r="C215" s="7">
        <f t="shared" si="13"/>
        <v>1976</v>
      </c>
      <c r="D215" s="7">
        <f t="shared" si="14"/>
        <v>10</v>
      </c>
      <c r="E215" s="7">
        <f t="shared" si="15"/>
        <v>4</v>
      </c>
      <c r="F215">
        <f xml:space="preserve"> [1]Coibion_update!O221</f>
        <v>3.8308715166172633</v>
      </c>
      <c r="G215">
        <f xml:space="preserve"> [1]Coibion_update!P221</f>
        <v>7.7</v>
      </c>
      <c r="H215">
        <f xml:space="preserve"> [1]Coibion_update!Q221</f>
        <v>4.0587173845789497</v>
      </c>
      <c r="I215">
        <f xml:space="preserve"> [1]Coibion_update!W221</f>
        <v>5.0199999999999996</v>
      </c>
      <c r="J215">
        <f xml:space="preserve"> [1]Coibion_update!X221</f>
        <v>5.2806624313093158</v>
      </c>
      <c r="K215">
        <f xml:space="preserve"> [1]Coibion_update!Y221</f>
        <v>3.0418999543989984</v>
      </c>
      <c r="L215">
        <f xml:space="preserve"> [1]Coibion_update!Z221</f>
        <v>3.8622233318755401</v>
      </c>
      <c r="M215">
        <f xml:space="preserve"> [1]Coibion_update!AA221</f>
        <v>3.6158247732080255</v>
      </c>
      <c r="N215">
        <f xml:space="preserve"> [1]Coibion_update!AB221</f>
        <v>-8.2301700000000005E-2</v>
      </c>
      <c r="O215">
        <f xml:space="preserve"> [1]Coibion_update!AC221</f>
        <v>-5.3452877000000001</v>
      </c>
      <c r="P215">
        <f xml:space="preserve"> [1]Coibion_update!AD221</f>
        <v>-4.7086834999999994</v>
      </c>
      <c r="X215" s="5">
        <f xml:space="preserve"> [1]misc!N298</f>
        <v>5.5</v>
      </c>
      <c r="Y215">
        <f xml:space="preserve"> [1]Gilchrist_Zak!C47</f>
        <v>7.7999999999999996E-3</v>
      </c>
      <c r="Z215">
        <f xml:space="preserve"> [1]Sims_Zha!B218</f>
        <v>-2.8957000000000002</v>
      </c>
      <c r="AK215">
        <v>5.0199999999999996</v>
      </c>
      <c r="AL215">
        <f xml:space="preserve"> LN([1]misc!B234)</f>
        <v>5.7104270173748697</v>
      </c>
      <c r="AM215">
        <f xml:space="preserve"> LN([1]misc!D234)</f>
        <v>7.0255383146385206</v>
      </c>
      <c r="AN215">
        <f xml:space="preserve"> LN([1]misc!G339)</f>
        <v>3.2699110859680256</v>
      </c>
      <c r="AO215">
        <f xml:space="preserve"> LN([1]misc!J245 + [1]misc!L245)</f>
        <v>2.8894268671830599</v>
      </c>
      <c r="AP215">
        <f xml:space="preserve"> [1]Factors!B215</f>
        <v>-0.14958311599999999</v>
      </c>
      <c r="AQ215">
        <f xml:space="preserve"> [1]Factors!C215</f>
        <v>0.16833398199999999</v>
      </c>
      <c r="AR215">
        <f xml:space="preserve"> [1]Factors!D215</f>
        <v>-3.3949928599999998E-2</v>
      </c>
      <c r="AS215">
        <f xml:space="preserve"> [1]Factors!E215</f>
        <v>0.177605972</v>
      </c>
      <c r="AT215">
        <f xml:space="preserve"> [1]Factors!F215</f>
        <v>2.0428408499999998E-2</v>
      </c>
    </row>
    <row r="216" spans="1:46" x14ac:dyDescent="0.25">
      <c r="A216">
        <f t="shared" si="16"/>
        <v>1976.8333333333226</v>
      </c>
      <c r="B216" s="1">
        <v>28065</v>
      </c>
      <c r="C216" s="7">
        <f t="shared" si="13"/>
        <v>1976</v>
      </c>
      <c r="D216" s="7">
        <f t="shared" si="14"/>
        <v>11</v>
      </c>
      <c r="E216" s="7">
        <f t="shared" si="15"/>
        <v>4</v>
      </c>
      <c r="F216">
        <f xml:space="preserve"> [1]Coibion_update!O222</f>
        <v>3.8452932853667057</v>
      </c>
      <c r="G216">
        <f xml:space="preserve"> [1]Coibion_update!P222</f>
        <v>7.8</v>
      </c>
      <c r="H216">
        <f xml:space="preserve"> [1]Coibion_update!Q222</f>
        <v>4.0621656638578658</v>
      </c>
      <c r="I216">
        <f xml:space="preserve"> [1]Coibion_update!W222</f>
        <v>4.95</v>
      </c>
      <c r="J216">
        <f xml:space="preserve"> [1]Coibion_update!X222</f>
        <v>5.2841170171468956</v>
      </c>
      <c r="K216">
        <f xml:space="preserve"> [1]Coibion_update!Y222</f>
        <v>3.0536237519697687</v>
      </c>
      <c r="L216">
        <f xml:space="preserve"> [1]Coibion_update!Z222</f>
        <v>3.8604770475449151</v>
      </c>
      <c r="M216">
        <f xml:space="preserve"> [1]Coibion_update!AA222</f>
        <v>3.6245809041809722</v>
      </c>
      <c r="N216">
        <f xml:space="preserve"> [1]Coibion_update!AB222</f>
        <v>1.6443E-3</v>
      </c>
      <c r="O216">
        <f xml:space="preserve"> [1]Coibion_update!AC222</f>
        <v>-5.3436434000000004</v>
      </c>
      <c r="P216">
        <f xml:space="preserve"> [1]Coibion_update!AD222</f>
        <v>-4.6781172999999994</v>
      </c>
      <c r="X216" s="5">
        <f xml:space="preserve"> [1]misc!N299</f>
        <v>5.29</v>
      </c>
      <c r="Y216">
        <f xml:space="preserve"> [1]Gilchrist_Zak!C48</f>
        <v>-0.17979999999999999</v>
      </c>
      <c r="Z216">
        <f xml:space="preserve"> [1]Sims_Zha!B219</f>
        <v>-0.32983000000000001</v>
      </c>
      <c r="AK216">
        <v>4.6900000000000004</v>
      </c>
      <c r="AL216">
        <f xml:space="preserve"> LN([1]misc!B235)</f>
        <v>5.7157110455214752</v>
      </c>
      <c r="AM216">
        <f xml:space="preserve"> LN([1]misc!D235)</f>
        <v>7.037203346169024</v>
      </c>
      <c r="AN216">
        <f xml:space="preserve"> LN([1]misc!G340)</f>
        <v>3.2774088490538551</v>
      </c>
      <c r="AO216">
        <f xml:space="preserve"> LN([1]misc!J246 + [1]misc!L246)</f>
        <v>2.9051508953227527</v>
      </c>
      <c r="AP216">
        <f xml:space="preserve"> [1]Factors!B216</f>
        <v>7.4825885199999997E-2</v>
      </c>
      <c r="AQ216">
        <f xml:space="preserve"> [1]Factors!C216</f>
        <v>0.12261741900000001</v>
      </c>
      <c r="AR216">
        <f xml:space="preserve"> [1]Factors!D216</f>
        <v>-2.7009202499999999E-2</v>
      </c>
      <c r="AS216">
        <f xml:space="preserve"> [1]Factors!E216</f>
        <v>0.11859619</v>
      </c>
      <c r="AT216">
        <f xml:space="preserve"> [1]Factors!F216</f>
        <v>-8.7349546E-2</v>
      </c>
    </row>
    <row r="217" spans="1:46" x14ac:dyDescent="0.25">
      <c r="A217">
        <f t="shared" si="16"/>
        <v>1976.9166666666558</v>
      </c>
      <c r="B217" s="1">
        <v>28095</v>
      </c>
      <c r="C217" s="7">
        <f t="shared" si="13"/>
        <v>1976</v>
      </c>
      <c r="D217" s="7">
        <f t="shared" si="14"/>
        <v>12</v>
      </c>
      <c r="E217" s="7">
        <f t="shared" si="15"/>
        <v>4</v>
      </c>
      <c r="F217">
        <f xml:space="preserve"> [1]Coibion_update!O223</f>
        <v>3.855693894680134</v>
      </c>
      <c r="G217">
        <f xml:space="preserve"> [1]Coibion_update!P223</f>
        <v>7.8</v>
      </c>
      <c r="H217">
        <f xml:space="preserve"> [1]Coibion_update!Q223</f>
        <v>4.0673158898341812</v>
      </c>
      <c r="I217">
        <f xml:space="preserve"> [1]Coibion_update!W223</f>
        <v>4.6500000000000004</v>
      </c>
      <c r="J217">
        <f xml:space="preserve"> [1]Coibion_update!X223</f>
        <v>5.3014624156921091</v>
      </c>
      <c r="K217">
        <f xml:space="preserve"> [1]Coibion_update!Y223</f>
        <v>3.1009027711595305</v>
      </c>
      <c r="L217">
        <f xml:space="preserve"> [1]Coibion_update!Z223</f>
        <v>3.8695746891633069</v>
      </c>
      <c r="M217">
        <f xml:space="preserve"> [1]Coibion_update!AA223</f>
        <v>3.6306145459819605</v>
      </c>
      <c r="N217">
        <f xml:space="preserve"> [1]Coibion_update!AB223</f>
        <v>-0.1194494</v>
      </c>
      <c r="O217">
        <f xml:space="preserve"> [1]Coibion_update!AC223</f>
        <v>-5.4630928000000001</v>
      </c>
      <c r="P217">
        <f xml:space="preserve"> [1]Coibion_update!AD223</f>
        <v>-4.8075897999999997</v>
      </c>
      <c r="X217" s="5">
        <f xml:space="preserve"> [1]misc!N300</f>
        <v>4.8899999999999997</v>
      </c>
      <c r="Y217">
        <f xml:space="preserve"> [1]Gilchrist_Zak!C49</f>
        <v>3.8300000000000001E-2</v>
      </c>
      <c r="Z217">
        <f xml:space="preserve"> [1]Sims_Zha!B220</f>
        <v>-2.0926999999999998</v>
      </c>
      <c r="AK217">
        <v>4.17</v>
      </c>
      <c r="AL217">
        <f xml:space="preserve"> LN([1]misc!B236)</f>
        <v>5.7242384832235835</v>
      </c>
      <c r="AM217">
        <f xml:space="preserve"> LN([1]misc!D236)</f>
        <v>7.0492548412558369</v>
      </c>
      <c r="AN217">
        <f xml:space="preserve"> LN([1]misc!G341)</f>
        <v>3.2842514954983333</v>
      </c>
      <c r="AO217">
        <f xml:space="preserve"> LN([1]misc!J247 + [1]misc!L247)</f>
        <v>2.9088118015232896</v>
      </c>
      <c r="AP217">
        <f xml:space="preserve"> [1]Factors!B217</f>
        <v>-0.38272790800000001</v>
      </c>
      <c r="AQ217">
        <f xml:space="preserve"> [1]Factors!C217</f>
        <v>-3.2727533900000001E-2</v>
      </c>
      <c r="AR217">
        <f xml:space="preserve"> [1]Factors!D217</f>
        <v>-6.5840146899999993E-2</v>
      </c>
      <c r="AS217">
        <f xml:space="preserve"> [1]Factors!E217</f>
        <v>0.24897671800000001</v>
      </c>
      <c r="AT217">
        <f xml:space="preserve"> [1]Factors!F217</f>
        <v>-0.44847657899999999</v>
      </c>
    </row>
    <row r="218" spans="1:46" x14ac:dyDescent="0.25">
      <c r="A218">
        <f t="shared" si="16"/>
        <v>1976.9999999999891</v>
      </c>
      <c r="B218" s="1">
        <v>28126</v>
      </c>
      <c r="C218" s="7">
        <f t="shared" si="13"/>
        <v>1977</v>
      </c>
      <c r="D218" s="7">
        <f t="shared" si="14"/>
        <v>1</v>
      </c>
      <c r="E218" s="7">
        <f t="shared" si="15"/>
        <v>1</v>
      </c>
      <c r="F218">
        <f xml:space="preserve"> [1]Coibion_update!O224</f>
        <v>3.8501582399513445</v>
      </c>
      <c r="G218">
        <f xml:space="preserve"> [1]Coibion_update!P224</f>
        <v>7.5</v>
      </c>
      <c r="H218">
        <f xml:space="preserve"> [1]Coibion_update!Q224</f>
        <v>4.0724397268340509</v>
      </c>
      <c r="I218">
        <f xml:space="preserve"> [1]Coibion_update!W224</f>
        <v>4.6100000000000003</v>
      </c>
      <c r="J218">
        <f xml:space="preserve"> [1]Coibion_update!X224</f>
        <v>5.3340705362538543</v>
      </c>
      <c r="K218">
        <f xml:space="preserve"> [1]Coibion_update!Y224</f>
        <v>3.0682389643407393</v>
      </c>
      <c r="L218">
        <f xml:space="preserve"> [1]Coibion_update!Z224</f>
        <v>3.8680293197422557</v>
      </c>
      <c r="M218">
        <f xml:space="preserve"> [1]Coibion_update!AA224</f>
        <v>3.6347400080132881</v>
      </c>
      <c r="N218">
        <f xml:space="preserve"> [1]Coibion_update!AB224</f>
        <v>-0.12247810000000001</v>
      </c>
      <c r="O218">
        <f xml:space="preserve"> [1]Coibion_update!AC224</f>
        <v>-5.5855709000000004</v>
      </c>
      <c r="P218">
        <f xml:space="preserve"> [1]Coibion_update!AD224</f>
        <v>-4.9052015999999998</v>
      </c>
      <c r="X218" s="5">
        <f xml:space="preserve"> [1]misc!N301</f>
        <v>5.29</v>
      </c>
      <c r="Y218">
        <f xml:space="preserve"> [1]Gilchrist_Zak!C50</f>
        <v>-0.18099999999999999</v>
      </c>
      <c r="Z218">
        <f xml:space="preserve"> [1]Sims_Zha!B221</f>
        <v>-0.34464</v>
      </c>
      <c r="AK218">
        <v>4.6500000000000004</v>
      </c>
      <c r="AL218">
        <f xml:space="preserve"> LN([1]misc!B237)</f>
        <v>5.7310733348921046</v>
      </c>
      <c r="AM218">
        <f xml:space="preserve"> LN([1]misc!D237)</f>
        <v>7.0606480250852792</v>
      </c>
      <c r="AN218">
        <f xml:space="preserve"> LN([1]misc!G342)</f>
        <v>3.301045499711714</v>
      </c>
      <c r="AO218">
        <f xml:space="preserve"> LN([1]misc!J248 + [1]misc!L248)</f>
        <v>2.9097930488763351</v>
      </c>
      <c r="AP218">
        <f xml:space="preserve"> [1]Factors!B218</f>
        <v>-0.30690094000000001</v>
      </c>
      <c r="AQ218">
        <f xml:space="preserve"> [1]Factors!C218</f>
        <v>5.8290965700000003E-2</v>
      </c>
      <c r="AR218">
        <f xml:space="preserve"> [1]Factors!D218</f>
        <v>-0.15029832200000001</v>
      </c>
      <c r="AS218">
        <f xml:space="preserve"> [1]Factors!E218</f>
        <v>0.35359212600000001</v>
      </c>
      <c r="AT218">
        <f xml:space="preserve"> [1]Factors!F218</f>
        <v>-0.207412866</v>
      </c>
    </row>
    <row r="219" spans="1:46" x14ac:dyDescent="0.25">
      <c r="A219">
        <f t="shared" si="16"/>
        <v>1977.0833333333223</v>
      </c>
      <c r="B219" s="1">
        <v>28157</v>
      </c>
      <c r="C219" s="7">
        <f t="shared" si="13"/>
        <v>1977</v>
      </c>
      <c r="D219" s="7">
        <f t="shared" si="14"/>
        <v>2</v>
      </c>
      <c r="E219" s="7">
        <f t="shared" si="15"/>
        <v>1</v>
      </c>
      <c r="F219">
        <f xml:space="preserve"> [1]Coibion_update!O225</f>
        <v>3.8653149721190379</v>
      </c>
      <c r="G219">
        <f xml:space="preserve"> [1]Coibion_update!P225</f>
        <v>7.6</v>
      </c>
      <c r="H219">
        <f xml:space="preserve"> [1]Coibion_update!Q225</f>
        <v>4.0826093060036799</v>
      </c>
      <c r="I219">
        <f xml:space="preserve"> [1]Coibion_update!W225</f>
        <v>4.68</v>
      </c>
      <c r="J219">
        <f xml:space="preserve"> [1]Coibion_update!X225</f>
        <v>5.3610573963692225</v>
      </c>
      <c r="K219">
        <f xml:space="preserve"> [1]Coibion_update!Y225</f>
        <v>3.1031506703212615</v>
      </c>
      <c r="L219">
        <f xml:space="preserve"> [1]Coibion_update!Z225</f>
        <v>3.863525798342597</v>
      </c>
      <c r="M219">
        <f xml:space="preserve"> [1]Coibion_update!AA225</f>
        <v>3.6381123370602833</v>
      </c>
      <c r="N219">
        <f xml:space="preserve"> [1]Coibion_update!AB225</f>
        <v>-0.13953479999999999</v>
      </c>
      <c r="O219">
        <f xml:space="preserve"> [1]Coibion_update!AC225</f>
        <v>-5.7251057000000003</v>
      </c>
      <c r="P219">
        <f xml:space="preserve"> [1]Coibion_update!AD225</f>
        <v>-4.9932505000000003</v>
      </c>
      <c r="X219" s="5">
        <f xml:space="preserve"> [1]misc!N302</f>
        <v>5.47</v>
      </c>
      <c r="Y219">
        <f xml:space="preserve"> [1]Gilchrist_Zak!C51</f>
        <v>-9.0700000000000003E-2</v>
      </c>
      <c r="Z219">
        <f xml:space="preserve"> [1]Sims_Zha!B222</f>
        <v>-0.51770000000000005</v>
      </c>
      <c r="AK219">
        <v>4.7300000000000004</v>
      </c>
      <c r="AL219">
        <f xml:space="preserve"> LN([1]misc!B238)</f>
        <v>5.7413993382275077</v>
      </c>
      <c r="AM219">
        <f xml:space="preserve"> LN([1]misc!D238)</f>
        <v>7.0712337479746115</v>
      </c>
      <c r="AN219">
        <f xml:space="preserve"> LN([1]misc!G343)</f>
        <v>3.2619736277709235</v>
      </c>
      <c r="AO219">
        <f xml:space="preserve"> LN([1]misc!J249 + [1]misc!L249)</f>
        <v>2.9029040112427964</v>
      </c>
      <c r="AP219">
        <f xml:space="preserve"> [1]Factors!B219</f>
        <v>-0.12773742799999999</v>
      </c>
      <c r="AQ219">
        <f xml:space="preserve"> [1]Factors!C219</f>
        <v>0.23120497300000001</v>
      </c>
      <c r="AR219">
        <f xml:space="preserve"> [1]Factors!D219</f>
        <v>0.12334845</v>
      </c>
      <c r="AS219">
        <f xml:space="preserve"> [1]Factors!E219</f>
        <v>-5.6809303300000003E-2</v>
      </c>
      <c r="AT219">
        <f xml:space="preserve"> [1]Factors!F219</f>
        <v>9.2574784300000004E-2</v>
      </c>
    </row>
    <row r="220" spans="1:46" x14ac:dyDescent="0.25">
      <c r="A220">
        <f t="shared" si="16"/>
        <v>1977.1666666666556</v>
      </c>
      <c r="B220" s="1">
        <v>28185</v>
      </c>
      <c r="C220" s="7">
        <f t="shared" si="13"/>
        <v>1977</v>
      </c>
      <c r="D220" s="7">
        <f t="shared" si="14"/>
        <v>3</v>
      </c>
      <c r="E220" s="7">
        <f t="shared" si="15"/>
        <v>1</v>
      </c>
      <c r="F220">
        <f xml:space="preserve"> [1]Coibion_update!O226</f>
        <v>3.8777441411997251</v>
      </c>
      <c r="G220">
        <f xml:space="preserve"> [1]Coibion_update!P226</f>
        <v>7.4</v>
      </c>
      <c r="H220">
        <f xml:space="preserve"> [1]Coibion_update!Q226</f>
        <v>4.0876555740713041</v>
      </c>
      <c r="I220">
        <f xml:space="preserve"> [1]Coibion_update!W226</f>
        <v>4.6900000000000004</v>
      </c>
      <c r="J220">
        <f xml:space="preserve"> [1]Coibion_update!X226</f>
        <v>5.3864198147695825</v>
      </c>
      <c r="K220">
        <f xml:space="preserve"> [1]Coibion_update!Y226</f>
        <v>3.1329692918590761</v>
      </c>
      <c r="L220">
        <f xml:space="preserve"> [1]Coibion_update!Z226</f>
        <v>3.8587066133262025</v>
      </c>
      <c r="M220">
        <f xml:space="preserve"> [1]Coibion_update!AA226</f>
        <v>3.633815903338883</v>
      </c>
      <c r="N220">
        <f xml:space="preserve"> [1]Coibion_update!AB226</f>
        <v>-0.2478156</v>
      </c>
      <c r="O220">
        <f xml:space="preserve"> [1]Coibion_update!AC226</f>
        <v>-5.9729213000000003</v>
      </c>
      <c r="P220">
        <f xml:space="preserve"> [1]Coibion_update!AD226</f>
        <v>-5.2207578000000003</v>
      </c>
      <c r="X220" s="5">
        <f xml:space="preserve"> [1]misc!N303</f>
        <v>5.5</v>
      </c>
      <c r="Y220">
        <f xml:space="preserve"> [1]Gilchrist_Zak!C52</f>
        <v>4.1000000000000002E-2</v>
      </c>
      <c r="Z220">
        <f xml:space="preserve"> [1]Sims_Zha!B223</f>
        <v>-1.3478000000000001</v>
      </c>
      <c r="AK220">
        <v>4.72</v>
      </c>
      <c r="AL220">
        <f xml:space="preserve"> LN([1]misc!B239)</f>
        <v>5.7490744638479079</v>
      </c>
      <c r="AM220">
        <f xml:space="preserve"> LN([1]misc!D239)</f>
        <v>7.0804472868002488</v>
      </c>
      <c r="AN220">
        <f xml:space="preserve"> LN([1]misc!G344)</f>
        <v>3.2560945353508091</v>
      </c>
      <c r="AO220">
        <f xml:space="preserve"> LN([1]misc!J250 + [1]misc!L250)</f>
        <v>2.906955703163145</v>
      </c>
      <c r="AP220">
        <f xml:space="preserve"> [1]Factors!B220</f>
        <v>-0.57804715500000003</v>
      </c>
      <c r="AQ220">
        <f xml:space="preserve"> [1]Factors!C220</f>
        <v>0.248176492</v>
      </c>
      <c r="AR220">
        <f xml:space="preserve"> [1]Factors!D220</f>
        <v>0.13299805100000001</v>
      </c>
      <c r="AS220">
        <f xml:space="preserve"> [1]Factors!E220</f>
        <v>0.22883942099999999</v>
      </c>
      <c r="AT220">
        <f xml:space="preserve"> [1]Factors!F220</f>
        <v>-0.20156053400000001</v>
      </c>
    </row>
    <row r="221" spans="1:46" x14ac:dyDescent="0.25">
      <c r="A221">
        <f t="shared" si="16"/>
        <v>1977.2499999999889</v>
      </c>
      <c r="B221" s="1">
        <v>28216</v>
      </c>
      <c r="C221" s="7">
        <f t="shared" si="13"/>
        <v>1977</v>
      </c>
      <c r="D221" s="7">
        <f t="shared" si="14"/>
        <v>4</v>
      </c>
      <c r="E221" s="7">
        <f t="shared" si="15"/>
        <v>2</v>
      </c>
      <c r="F221">
        <f xml:space="preserve"> [1]Coibion_update!O227</f>
        <v>3.8866149369602447</v>
      </c>
      <c r="G221">
        <f xml:space="preserve"> [1]Coibion_update!P227</f>
        <v>7.2</v>
      </c>
      <c r="H221">
        <f xml:space="preserve"> [1]Coibion_update!Q227</f>
        <v>4.0943445622221004</v>
      </c>
      <c r="I221">
        <f xml:space="preserve"> [1]Coibion_update!W227</f>
        <v>4.7300000000000004</v>
      </c>
      <c r="J221">
        <f xml:space="preserve"> [1]Coibion_update!X227</f>
        <v>5.3972573144029399</v>
      </c>
      <c r="K221">
        <f xml:space="preserve"> [1]Coibion_update!Y227</f>
        <v>3.1262779634006344</v>
      </c>
      <c r="L221">
        <f xml:space="preserve"> [1]Coibion_update!Z227</f>
        <v>3.8646797939176256</v>
      </c>
      <c r="M221">
        <f xml:space="preserve"> [1]Coibion_update!AA227</f>
        <v>3.6349247265160103</v>
      </c>
      <c r="N221">
        <f xml:space="preserve"> [1]Coibion_update!AB227</f>
        <v>-8.5264999999999994E-2</v>
      </c>
      <c r="O221">
        <f xml:space="preserve"> [1]Coibion_update!AC227</f>
        <v>-6.0581863</v>
      </c>
      <c r="P221">
        <f xml:space="preserve"> [1]Coibion_update!AD227</f>
        <v>-5.2712219000000005</v>
      </c>
      <c r="X221" s="5">
        <f xml:space="preserve"> [1]misc!N304</f>
        <v>5.44</v>
      </c>
      <c r="Y221">
        <f xml:space="preserve"> [1]Gilchrist_Zak!C53</f>
        <v>1.26E-2</v>
      </c>
      <c r="Z221">
        <f xml:space="preserve"> [1]Sims_Zha!B224</f>
        <v>-1.7361</v>
      </c>
      <c r="AK221">
        <v>5.12</v>
      </c>
      <c r="AL221">
        <f xml:space="preserve"> LN([1]misc!B240)</f>
        <v>5.7557422135869123</v>
      </c>
      <c r="AM221">
        <f xml:space="preserve"> LN([1]misc!D240)</f>
        <v>7.0897434468748539</v>
      </c>
      <c r="AN221">
        <f xml:space="preserve"> LN([1]misc!G345)</f>
        <v>3.2737427263090408</v>
      </c>
      <c r="AO221">
        <f xml:space="preserve"> LN([1]misc!J251 + [1]misc!L251)</f>
        <v>2.9126766984166652</v>
      </c>
      <c r="AP221">
        <f xml:space="preserve"> [1]Factors!B221</f>
        <v>-0.640681689</v>
      </c>
      <c r="AQ221">
        <f xml:space="preserve"> [1]Factors!C221</f>
        <v>6.4043832800000006E-2</v>
      </c>
      <c r="AR221">
        <f xml:space="preserve"> [1]Factors!D221</f>
        <v>-2.2614201899999999E-2</v>
      </c>
      <c r="AS221">
        <f xml:space="preserve"> [1]Factors!E221</f>
        <v>0.18520684700000001</v>
      </c>
      <c r="AT221">
        <f xml:space="preserve"> [1]Factors!F221</f>
        <v>-0.10018458700000001</v>
      </c>
    </row>
    <row r="222" spans="1:46" x14ac:dyDescent="0.25">
      <c r="A222">
        <f t="shared" si="16"/>
        <v>1977.3333333333221</v>
      </c>
      <c r="B222" s="1">
        <v>28246</v>
      </c>
      <c r="C222" s="7">
        <f t="shared" si="13"/>
        <v>1977</v>
      </c>
      <c r="D222" s="7">
        <f t="shared" si="14"/>
        <v>5</v>
      </c>
      <c r="E222" s="7">
        <f t="shared" si="15"/>
        <v>2</v>
      </c>
      <c r="F222">
        <f xml:space="preserve"> [1]Coibion_update!O228</f>
        <v>3.8952389376935557</v>
      </c>
      <c r="G222">
        <f xml:space="preserve"> [1]Coibion_update!P228</f>
        <v>7</v>
      </c>
      <c r="H222">
        <f xml:space="preserve"> [1]Coibion_update!Q228</f>
        <v>4.0976723523147758</v>
      </c>
      <c r="I222">
        <f xml:space="preserve"> [1]Coibion_update!W228</f>
        <v>5.35</v>
      </c>
      <c r="J222">
        <f xml:space="preserve"> [1]Coibion_update!X228</f>
        <v>5.3875180120063391</v>
      </c>
      <c r="K222">
        <f xml:space="preserve"> [1]Coibion_update!Y228</f>
        <v>3.1215275695982987</v>
      </c>
      <c r="L222">
        <f xml:space="preserve"> [1]Coibion_update!Z228</f>
        <v>3.8655601310178049</v>
      </c>
      <c r="M222">
        <f xml:space="preserve"> [1]Coibion_update!AA228</f>
        <v>3.6411324956162017</v>
      </c>
      <c r="N222">
        <f xml:space="preserve"> [1]Coibion_update!AB228</f>
        <v>-8.4138500000000005E-2</v>
      </c>
      <c r="O222">
        <f xml:space="preserve"> [1]Coibion_update!AC228</f>
        <v>-6.1423247999999999</v>
      </c>
      <c r="P222">
        <f xml:space="preserve"> [1]Coibion_update!AD228</f>
        <v>-5.3211125000000008</v>
      </c>
      <c r="X222" s="5">
        <f xml:space="preserve"> [1]misc!N305</f>
        <v>5.84</v>
      </c>
      <c r="Y222">
        <f xml:space="preserve"> [1]Gilchrist_Zak!C54</f>
        <v>-9.4600000000000004E-2</v>
      </c>
      <c r="Z222">
        <f xml:space="preserve"> [1]Sims_Zha!B225</f>
        <v>2.9163999999999999</v>
      </c>
      <c r="AK222">
        <v>5.47</v>
      </c>
      <c r="AL222">
        <f xml:space="preserve"> LN([1]misc!B241)</f>
        <v>5.7595324897606925</v>
      </c>
      <c r="AM222">
        <f xml:space="preserve"> LN([1]misc!D241)</f>
        <v>7.0975488506147926</v>
      </c>
      <c r="AN222">
        <f xml:space="preserve"> LN([1]misc!G346)</f>
        <v>3.2603248227807398</v>
      </c>
      <c r="AO222">
        <f xml:space="preserve"> LN([1]misc!J252 + [1]misc!L252)</f>
        <v>2.9112087084833371</v>
      </c>
      <c r="AP222">
        <f xml:space="preserve"> [1]Factors!B222</f>
        <v>-0.47991207600000002</v>
      </c>
      <c r="AQ222">
        <f xml:space="preserve"> [1]Factors!C222</f>
        <v>0.15574444700000001</v>
      </c>
      <c r="AR222">
        <f xml:space="preserve"> [1]Factors!D222</f>
        <v>-8.3762262399999995E-2</v>
      </c>
      <c r="AS222">
        <f xml:space="preserve"> [1]Factors!E222</f>
        <v>0.22326858299999999</v>
      </c>
      <c r="AT222">
        <f xml:space="preserve"> [1]Factors!F222</f>
        <v>-4.7726359099999997E-2</v>
      </c>
    </row>
    <row r="223" spans="1:46" x14ac:dyDescent="0.25">
      <c r="A223">
        <f t="shared" si="16"/>
        <v>1977.4166666666554</v>
      </c>
      <c r="B223" s="1">
        <v>28277</v>
      </c>
      <c r="C223" s="7">
        <f t="shared" si="13"/>
        <v>1977</v>
      </c>
      <c r="D223" s="7">
        <f t="shared" si="14"/>
        <v>6</v>
      </c>
      <c r="E223" s="7">
        <f t="shared" si="15"/>
        <v>2</v>
      </c>
      <c r="F223">
        <f xml:space="preserve"> [1]Coibion_update!O229</f>
        <v>3.9025886414411781</v>
      </c>
      <c r="G223">
        <f xml:space="preserve"> [1]Coibion_update!P229</f>
        <v>7.2</v>
      </c>
      <c r="H223">
        <f xml:space="preserve"> [1]Coibion_update!Q229</f>
        <v>4.1026433650367959</v>
      </c>
      <c r="I223">
        <f xml:space="preserve"> [1]Coibion_update!W229</f>
        <v>5.39</v>
      </c>
      <c r="J223">
        <f xml:space="preserve"> [1]Coibion_update!X229</f>
        <v>5.3399390412388561</v>
      </c>
      <c r="K223">
        <f xml:space="preserve"> [1]Coibion_update!Y229</f>
        <v>3.127593522264287</v>
      </c>
      <c r="L223">
        <f xml:space="preserve"> [1]Coibion_update!Z229</f>
        <v>3.8598661804105814</v>
      </c>
      <c r="M223">
        <f xml:space="preserve"> [1]Coibion_update!AA229</f>
        <v>3.6422332400401651</v>
      </c>
      <c r="N223">
        <f xml:space="preserve"> [1]Coibion_update!AB229</f>
        <v>-0.1610702</v>
      </c>
      <c r="O223">
        <f xml:space="preserve"> [1]Coibion_update!AC229</f>
        <v>-6.3033950000000001</v>
      </c>
      <c r="P223">
        <f xml:space="preserve"> [1]Coibion_update!AD229</f>
        <v>-5.4659285000000004</v>
      </c>
      <c r="X223" s="5">
        <f xml:space="preserve"> [1]misc!N306</f>
        <v>5.8</v>
      </c>
      <c r="Y223">
        <f xml:space="preserve"> [1]Gilchrist_Zak!C55</f>
        <v>-0.15809999999999999</v>
      </c>
      <c r="Z223">
        <f xml:space="preserve"> [1]Sims_Zha!B226</f>
        <v>-2.0710999999999999</v>
      </c>
      <c r="AK223">
        <v>5.64</v>
      </c>
      <c r="AL223">
        <f xml:space="preserve"> LN([1]misc!B242)</f>
        <v>5.7645639469160601</v>
      </c>
      <c r="AM223">
        <f xml:space="preserve"> LN([1]misc!D242)</f>
        <v>7.1048012311744735</v>
      </c>
      <c r="AN223">
        <f xml:space="preserve"> LN([1]misc!G347)</f>
        <v>3.2515753210312166</v>
      </c>
      <c r="AO223">
        <f xml:space="preserve"> LN([1]misc!J253 + [1]misc!L253)</f>
        <v>2.9018610579439201</v>
      </c>
      <c r="AP223">
        <f xml:space="preserve"> [1]Factors!B223</f>
        <v>-0.50069497500000004</v>
      </c>
      <c r="AQ223">
        <f xml:space="preserve"> [1]Factors!C223</f>
        <v>7.7263503100000006E-2</v>
      </c>
      <c r="AR223">
        <f xml:space="preserve"> [1]Factors!D223</f>
        <v>1.586338E-2</v>
      </c>
      <c r="AS223">
        <f xml:space="preserve"> [1]Factors!E223</f>
        <v>-3.9193910499999998E-2</v>
      </c>
      <c r="AT223">
        <f xml:space="preserve"> [1]Factors!F223</f>
        <v>-3.11652566E-2</v>
      </c>
    </row>
    <row r="224" spans="1:46" x14ac:dyDescent="0.25">
      <c r="A224">
        <f t="shared" si="16"/>
        <v>1977.4999999999886</v>
      </c>
      <c r="B224" s="1">
        <v>28307</v>
      </c>
      <c r="C224" s="7">
        <f t="shared" si="13"/>
        <v>1977</v>
      </c>
      <c r="D224" s="7">
        <f t="shared" si="14"/>
        <v>7</v>
      </c>
      <c r="E224" s="7">
        <f t="shared" si="15"/>
        <v>3</v>
      </c>
      <c r="F224">
        <f xml:space="preserve"> [1]Coibion_update!O230</f>
        <v>3.9043798709493145</v>
      </c>
      <c r="G224">
        <f xml:space="preserve"> [1]Coibion_update!P230</f>
        <v>6.9</v>
      </c>
      <c r="H224">
        <f xml:space="preserve"> [1]Coibion_update!Q230</f>
        <v>4.1075897889721213</v>
      </c>
      <c r="I224">
        <f xml:space="preserve"> [1]Coibion_update!W230</f>
        <v>5.42</v>
      </c>
      <c r="J224">
        <f xml:space="preserve"> [1]Coibion_update!X230</f>
        <v>5.3183650618518143</v>
      </c>
      <c r="K224">
        <f xml:space="preserve"> [1]Coibion_update!Y230</f>
        <v>3.1306127557478094</v>
      </c>
      <c r="L224">
        <f xml:space="preserve"> [1]Coibion_update!Z230</f>
        <v>3.8704090307076817</v>
      </c>
      <c r="M224">
        <f xml:space="preserve"> [1]Coibion_update!AA230</f>
        <v>3.6502685549862806</v>
      </c>
      <c r="N224">
        <f xml:space="preserve"> [1]Coibion_update!AB230</f>
        <v>-0.2676827</v>
      </c>
      <c r="O224">
        <f xml:space="preserve"> [1]Coibion_update!AC230</f>
        <v>-6.5710777</v>
      </c>
      <c r="P224">
        <f xml:space="preserve"> [1]Coibion_update!AD230</f>
        <v>-5.7061043000000007</v>
      </c>
      <c r="X224" s="5">
        <f xml:space="preserve"> [1]misc!N307</f>
        <v>5.94</v>
      </c>
      <c r="Y224">
        <f xml:space="preserve"> [1]Gilchrist_Zak!C56</f>
        <v>-8.14E-2</v>
      </c>
      <c r="Z224">
        <f xml:space="preserve"> [1]Sims_Zha!B227</f>
        <v>-0.69177999999999995</v>
      </c>
      <c r="AK224">
        <v>5.86</v>
      </c>
      <c r="AL224">
        <f xml:space="preserve"> LN([1]misc!B243)</f>
        <v>5.768945800562614</v>
      </c>
      <c r="AM224">
        <f xml:space="preserve"> LN([1]misc!D243)</f>
        <v>7.1120829160387062</v>
      </c>
      <c r="AN224">
        <f xml:space="preserve"> LN([1]misc!G348)</f>
        <v>3.2844388210519595</v>
      </c>
      <c r="AO224">
        <f xml:space="preserve"> LN([1]misc!J254 + [1]misc!L254)</f>
        <v>2.9137084380754001</v>
      </c>
      <c r="AP224">
        <f xml:space="preserve"> [1]Factors!B224</f>
        <v>-0.423329122</v>
      </c>
      <c r="AQ224">
        <f xml:space="preserve"> [1]Factors!C224</f>
        <v>7.0364084600000001E-2</v>
      </c>
      <c r="AR224">
        <f xml:space="preserve"> [1]Factors!D224</f>
        <v>-0.17552193099999999</v>
      </c>
      <c r="AS224">
        <f xml:space="preserve"> [1]Factors!E224</f>
        <v>0.109831304</v>
      </c>
      <c r="AT224">
        <f xml:space="preserve"> [1]Factors!F224</f>
        <v>-0.119034811</v>
      </c>
    </row>
    <row r="225" spans="1:46" x14ac:dyDescent="0.25">
      <c r="A225">
        <f t="shared" si="16"/>
        <v>1977.5833333333219</v>
      </c>
      <c r="B225" s="1">
        <v>28338</v>
      </c>
      <c r="C225" s="7">
        <f t="shared" si="13"/>
        <v>1977</v>
      </c>
      <c r="D225" s="7">
        <f t="shared" si="14"/>
        <v>8</v>
      </c>
      <c r="E225" s="7">
        <f t="shared" si="15"/>
        <v>3</v>
      </c>
      <c r="F225">
        <f xml:space="preserve"> [1]Coibion_update!O231</f>
        <v>3.9045531755870577</v>
      </c>
      <c r="G225">
        <f xml:space="preserve"> [1]Coibion_update!P231</f>
        <v>7</v>
      </c>
      <c r="H225">
        <f xml:space="preserve"> [1]Coibion_update!Q231</f>
        <v>4.1125118661775497</v>
      </c>
      <c r="I225">
        <f xml:space="preserve"> [1]Coibion_update!W231</f>
        <v>5.9</v>
      </c>
      <c r="J225">
        <f xml:space="preserve"> [1]Coibion_update!X231</f>
        <v>5.3025085711665048</v>
      </c>
      <c r="K225">
        <f xml:space="preserve"> [1]Coibion_update!Y231</f>
        <v>3.1402654242862895</v>
      </c>
      <c r="L225">
        <f xml:space="preserve"> [1]Coibion_update!Z231</f>
        <v>3.8655391796145842</v>
      </c>
      <c r="M225">
        <f xml:space="preserve"> [1]Coibion_update!AA231</f>
        <v>3.6494107102035698</v>
      </c>
      <c r="N225">
        <f xml:space="preserve"> [1]Coibion_update!AB231</f>
        <v>2.4756000000000001E-3</v>
      </c>
      <c r="O225">
        <f xml:space="preserve"> [1]Coibion_update!AC231</f>
        <v>-6.5686020999999997</v>
      </c>
      <c r="P225">
        <f xml:space="preserve"> [1]Coibion_update!AD231</f>
        <v>-5.6756526000000003</v>
      </c>
      <c r="X225" s="5">
        <f xml:space="preserve"> [1]misc!N308</f>
        <v>6.37</v>
      </c>
      <c r="Y225">
        <f xml:space="preserve"> [1]Gilchrist_Zak!C57</f>
        <v>-0.1449</v>
      </c>
      <c r="Z225">
        <f xml:space="preserve"> [1]Sims_Zha!B228</f>
        <v>2.0855999999999999</v>
      </c>
      <c r="AK225">
        <v>6.03</v>
      </c>
      <c r="AL225">
        <f xml:space="preserve"> LN([1]misc!B244)</f>
        <v>5.7754827888213924</v>
      </c>
      <c r="AM225">
        <f xml:space="preserve"> LN([1]misc!D244)</f>
        <v>7.1204443723924875</v>
      </c>
      <c r="AN225">
        <f xml:space="preserve"> LN([1]misc!G349)</f>
        <v>3.2761631192915792</v>
      </c>
      <c r="AO225">
        <f xml:space="preserve"> LN([1]misc!J255 + [1]misc!L255)</f>
        <v>2.8824515870950247</v>
      </c>
      <c r="AP225">
        <f xml:space="preserve"> [1]Factors!B225</f>
        <v>-0.29905831300000002</v>
      </c>
      <c r="AQ225">
        <f xml:space="preserve"> [1]Factors!C225</f>
        <v>0.13635579</v>
      </c>
      <c r="AR225">
        <f xml:space="preserve"> [1]Factors!D225</f>
        <v>-0.12655447</v>
      </c>
      <c r="AS225">
        <f xml:space="preserve"> [1]Factors!E225</f>
        <v>-1.42815836E-2</v>
      </c>
      <c r="AT225">
        <f xml:space="preserve"> [1]Factors!F225</f>
        <v>2.3111816100000002E-2</v>
      </c>
    </row>
    <row r="226" spans="1:46" x14ac:dyDescent="0.25">
      <c r="A226">
        <f t="shared" si="16"/>
        <v>1977.6666666666551</v>
      </c>
      <c r="B226" s="1">
        <v>28369</v>
      </c>
      <c r="C226" s="7">
        <f t="shared" si="13"/>
        <v>1977</v>
      </c>
      <c r="D226" s="7">
        <f t="shared" si="14"/>
        <v>9</v>
      </c>
      <c r="E226" s="7">
        <f t="shared" si="15"/>
        <v>3</v>
      </c>
      <c r="F226">
        <f xml:space="preserve"> [1]Coibion_update!O232</f>
        <v>3.9091749535760107</v>
      </c>
      <c r="G226">
        <f xml:space="preserve"> [1]Coibion_update!P232</f>
        <v>6.8</v>
      </c>
      <c r="H226">
        <f xml:space="preserve"> [1]Coibion_update!Q232</f>
        <v>4.1157798429421657</v>
      </c>
      <c r="I226">
        <f xml:space="preserve"> [1]Coibion_update!W232</f>
        <v>6.14</v>
      </c>
      <c r="J226">
        <f xml:space="preserve"> [1]Coibion_update!X232</f>
        <v>5.3047963326457461</v>
      </c>
      <c r="K226">
        <f xml:space="preserve"> [1]Coibion_update!Y232</f>
        <v>3.1482387452687601</v>
      </c>
      <c r="L226">
        <f xml:space="preserve"> [1]Coibion_update!Z232</f>
        <v>3.8689902356107262</v>
      </c>
      <c r="M226">
        <f xml:space="preserve"> [1]Coibion_update!AA232</f>
        <v>3.6509439147708993</v>
      </c>
      <c r="N226">
        <f xml:space="preserve"> [1]Coibion_update!AB232</f>
        <v>4.4124900000000002E-2</v>
      </c>
      <c r="O226">
        <f xml:space="preserve"> [1]Coibion_update!AC232</f>
        <v>-6.5244771999999998</v>
      </c>
      <c r="P226">
        <f xml:space="preserve"> [1]Coibion_update!AD232</f>
        <v>-5.6049795000000007</v>
      </c>
      <c r="X226" s="5">
        <f xml:space="preserve"> [1]misc!N309</f>
        <v>6.53</v>
      </c>
      <c r="Y226">
        <f xml:space="preserve"> [1]Gilchrist_Zak!C58</f>
        <v>-9.1399999999999995E-2</v>
      </c>
      <c r="Z226">
        <f xml:space="preserve"> [1]Sims_Zha!B229</f>
        <v>0.78471999999999997</v>
      </c>
      <c r="AK226">
        <v>6.46</v>
      </c>
      <c r="AL226">
        <f xml:space="preserve"> LN([1]misc!B245)</f>
        <v>5.782285536144145</v>
      </c>
      <c r="AM226">
        <f xml:space="preserve"> LN([1]misc!D245)</f>
        <v>7.1278542001101215</v>
      </c>
      <c r="AN226">
        <f xml:space="preserve"> LN([1]misc!G350)</f>
        <v>3.2689984342714116</v>
      </c>
      <c r="AO226">
        <f xml:space="preserve"> LN([1]misc!J256 + [1]misc!L256)</f>
        <v>2.9040006829543983</v>
      </c>
      <c r="AP226">
        <f xml:space="preserve"> [1]Factors!B226</f>
        <v>-0.23688332600000001</v>
      </c>
      <c r="AQ226">
        <f xml:space="preserve"> [1]Factors!C226</f>
        <v>0.116296518</v>
      </c>
      <c r="AR226">
        <f xml:space="preserve"> [1]Factors!D226</f>
        <v>-4.4468975899999999E-2</v>
      </c>
      <c r="AS226">
        <f xml:space="preserve"> [1]Factors!E226</f>
        <v>-0.125833572</v>
      </c>
      <c r="AT226">
        <f xml:space="preserve"> [1]Factors!F226</f>
        <v>3.44573465E-2</v>
      </c>
    </row>
    <row r="227" spans="1:46" x14ac:dyDescent="0.25">
      <c r="A227">
        <f t="shared" si="16"/>
        <v>1977.7499999999884</v>
      </c>
      <c r="B227" s="1">
        <v>28399</v>
      </c>
      <c r="C227" s="7">
        <f t="shared" si="13"/>
        <v>1977</v>
      </c>
      <c r="D227" s="7">
        <f t="shared" si="14"/>
        <v>10</v>
      </c>
      <c r="E227" s="7">
        <f t="shared" si="15"/>
        <v>4</v>
      </c>
      <c r="F227">
        <f xml:space="preserve"> [1]Coibion_update!O233</f>
        <v>3.911420824153391</v>
      </c>
      <c r="G227">
        <f xml:space="preserve"> [1]Coibion_update!P233</f>
        <v>6.8</v>
      </c>
      <c r="H227">
        <f xml:space="preserve"> [1]Coibion_update!Q233</f>
        <v>4.1206618705394744</v>
      </c>
      <c r="I227">
        <f xml:space="preserve"> [1]Coibion_update!W233</f>
        <v>6.47</v>
      </c>
      <c r="J227">
        <f xml:space="preserve"> [1]Coibion_update!X233</f>
        <v>5.31483027492225</v>
      </c>
      <c r="K227">
        <f xml:space="preserve"> [1]Coibion_update!Y233</f>
        <v>3.1480240838962494</v>
      </c>
      <c r="L227">
        <f xml:space="preserve"> [1]Coibion_update!Z233</f>
        <v>3.8839732639813893</v>
      </c>
      <c r="M227">
        <f xml:space="preserve"> [1]Coibion_update!AA233</f>
        <v>3.6576725444892255</v>
      </c>
      <c r="N227">
        <f xml:space="preserve"> [1]Coibion_update!AB233</f>
        <v>-3.7270900000000003E-2</v>
      </c>
      <c r="O227">
        <f xml:space="preserve"> [1]Coibion_update!AC233</f>
        <v>-6.5617481</v>
      </c>
      <c r="P227">
        <f xml:space="preserve"> [1]Coibion_update!AD233</f>
        <v>-5.6301380000000005</v>
      </c>
      <c r="X227" s="5">
        <f xml:space="preserve"> [1]misc!N310</f>
        <v>6.97</v>
      </c>
      <c r="Y227">
        <f xml:space="preserve"> [1]Gilchrist_Zak!C59</f>
        <v>-0.1111</v>
      </c>
      <c r="Z227">
        <f xml:space="preserve"> [1]Sims_Zha!B230</f>
        <v>1.4931000000000001</v>
      </c>
      <c r="AK227">
        <v>6.6</v>
      </c>
      <c r="AL227">
        <f xml:space="preserve"> LN([1]misc!B246)</f>
        <v>5.7881236230899518</v>
      </c>
      <c r="AM227">
        <f xml:space="preserve"> LN([1]misc!D246)</f>
        <v>7.1340937211928663</v>
      </c>
      <c r="AN227">
        <f xml:space="preserve"> LN([1]misc!G351)</f>
        <v>3.2925351249550912</v>
      </c>
      <c r="AO227">
        <f xml:space="preserve"> LN([1]misc!J257 + [1]misc!L257)</f>
        <v>2.8711889384793907</v>
      </c>
      <c r="AP227">
        <f xml:space="preserve"> [1]Factors!B227</f>
        <v>-0.30124789299999999</v>
      </c>
      <c r="AQ227">
        <f xml:space="preserve"> [1]Factors!C227</f>
        <v>7.13543487E-2</v>
      </c>
      <c r="AR227">
        <f xml:space="preserve"> [1]Factors!D227</f>
        <v>-0.15953042100000001</v>
      </c>
      <c r="AS227">
        <f xml:space="preserve"> [1]Factors!E227</f>
        <v>-3.9698597600000003E-2</v>
      </c>
      <c r="AT227">
        <f xml:space="preserve"> [1]Factors!F227</f>
        <v>-2.1302203200000001E-2</v>
      </c>
    </row>
    <row r="228" spans="1:46" x14ac:dyDescent="0.25">
      <c r="A228">
        <f t="shared" si="16"/>
        <v>1977.8333333333217</v>
      </c>
      <c r="B228" s="1">
        <v>28430</v>
      </c>
      <c r="C228" s="7">
        <f t="shared" si="13"/>
        <v>1977</v>
      </c>
      <c r="D228" s="7">
        <f t="shared" si="14"/>
        <v>11</v>
      </c>
      <c r="E228" s="7">
        <f t="shared" si="15"/>
        <v>4</v>
      </c>
      <c r="F228">
        <f xml:space="preserve"> [1]Coibion_update!O234</f>
        <v>3.9121250002264998</v>
      </c>
      <c r="G228">
        <f xml:space="preserve"> [1]Coibion_update!P234</f>
        <v>6.8</v>
      </c>
      <c r="H228">
        <f xml:space="preserve"> [1]Coibion_update!Q234</f>
        <v>4.1271343850450917</v>
      </c>
      <c r="I228">
        <f xml:space="preserve"> [1]Coibion_update!W234</f>
        <v>6.51</v>
      </c>
      <c r="J228">
        <f xml:space="preserve"> [1]Coibion_update!X234</f>
        <v>5.3273906140337441</v>
      </c>
      <c r="K228">
        <f xml:space="preserve"> [1]Coibion_update!Y234</f>
        <v>3.1623901258813385</v>
      </c>
      <c r="L228">
        <f xml:space="preserve"> [1]Coibion_update!Z234</f>
        <v>3.8953446923753328</v>
      </c>
      <c r="M228">
        <f xml:space="preserve"> [1]Coibion_update!AA234</f>
        <v>3.6582655954961001</v>
      </c>
      <c r="N228">
        <f xml:space="preserve"> [1]Coibion_update!AB234</f>
        <v>-6.5982600000000002E-2</v>
      </c>
      <c r="O228">
        <f xml:space="preserve"> [1]Coibion_update!AC234</f>
        <v>-6.6277306999999999</v>
      </c>
      <c r="P228">
        <f xml:space="preserve"> [1]Coibion_update!AD234</f>
        <v>-5.6790066000000001</v>
      </c>
      <c r="X228" s="5">
        <f xml:space="preserve"> [1]misc!N311</f>
        <v>6.95</v>
      </c>
      <c r="Y228">
        <f xml:space="preserve"> [1]Gilchrist_Zak!C60</f>
        <v>-9.4200000000000006E-2</v>
      </c>
      <c r="Z228">
        <f xml:space="preserve"> [1]Sims_Zha!B231</f>
        <v>8.5407999999999998E-2</v>
      </c>
      <c r="AK228">
        <v>6.56</v>
      </c>
      <c r="AL228">
        <f xml:space="preserve"> LN([1]misc!B247)</f>
        <v>5.7948412056031682</v>
      </c>
      <c r="AM228">
        <f xml:space="preserve"> LN([1]misc!D247)</f>
        <v>7.1407699500916095</v>
      </c>
      <c r="AN228">
        <f xml:space="preserve"> LN([1]misc!G352)</f>
        <v>3.2944655558177871</v>
      </c>
      <c r="AO228">
        <f xml:space="preserve"> LN([1]misc!J258 + [1]misc!L258)</f>
        <v>2.8986705607108596</v>
      </c>
      <c r="AP228">
        <f xml:space="preserve"> [1]Factors!B228</f>
        <v>-0.351045257</v>
      </c>
      <c r="AQ228">
        <f xml:space="preserve"> [1]Factors!C228</f>
        <v>7.5054759099999993E-2</v>
      </c>
      <c r="AR228">
        <f xml:space="preserve"> [1]Factors!D228</f>
        <v>-2.5240041899999999E-2</v>
      </c>
      <c r="AS228">
        <f xml:space="preserve"> [1]Factors!E228</f>
        <v>-0.11548703</v>
      </c>
      <c r="AT228">
        <f xml:space="preserve"> [1]Factors!F228</f>
        <v>-3.6180100600000001E-2</v>
      </c>
    </row>
    <row r="229" spans="1:46" x14ac:dyDescent="0.25">
      <c r="A229">
        <f t="shared" si="16"/>
        <v>1977.9166666666549</v>
      </c>
      <c r="B229" s="1">
        <v>28460</v>
      </c>
      <c r="C229" s="7">
        <f t="shared" si="13"/>
        <v>1977</v>
      </c>
      <c r="D229" s="7">
        <f t="shared" si="14"/>
        <v>12</v>
      </c>
      <c r="E229" s="7">
        <f t="shared" si="15"/>
        <v>4</v>
      </c>
      <c r="F229">
        <f xml:space="preserve"> [1]Coibion_update!O235</f>
        <v>3.9137115789850458</v>
      </c>
      <c r="G229">
        <f xml:space="preserve"> [1]Coibion_update!P235</f>
        <v>6.4</v>
      </c>
      <c r="H229">
        <f xml:space="preserve"> [1]Coibion_update!Q235</f>
        <v>4.1319614257934072</v>
      </c>
      <c r="I229">
        <f xml:space="preserve"> [1]Coibion_update!W235</f>
        <v>6.56</v>
      </c>
      <c r="J229">
        <f xml:space="preserve"> [1]Coibion_update!X235</f>
        <v>5.3597886886361374</v>
      </c>
      <c r="K229">
        <f xml:space="preserve"> [1]Coibion_update!Y235</f>
        <v>3.1710292154109814</v>
      </c>
      <c r="L229">
        <f xml:space="preserve"> [1]Coibion_update!Z235</f>
        <v>3.8893069381844128</v>
      </c>
      <c r="M229">
        <f xml:space="preserve"> [1]Coibion_update!AA235</f>
        <v>3.6632539064749636</v>
      </c>
      <c r="N229">
        <f xml:space="preserve"> [1]Coibion_update!AB235</f>
        <v>-0.1152749</v>
      </c>
      <c r="O229">
        <f xml:space="preserve"> [1]Coibion_update!AC235</f>
        <v>-6.7430056</v>
      </c>
      <c r="P229">
        <f xml:space="preserve"> [1]Coibion_update!AD235</f>
        <v>-5.8010283999999999</v>
      </c>
      <c r="X229" s="5">
        <f xml:space="preserve"> [1]misc!N312</f>
        <v>6.96</v>
      </c>
      <c r="Y229">
        <f xml:space="preserve"> [1]Gilchrist_Zak!C61</f>
        <v>-0.24729999999999999</v>
      </c>
      <c r="Z229">
        <f xml:space="preserve"> [1]Sims_Zha!B232</f>
        <v>-5.2167999999999999E-2</v>
      </c>
      <c r="AK229">
        <v>6.53</v>
      </c>
      <c r="AL229">
        <f xml:space="preserve"> LN([1]misc!B248)</f>
        <v>5.8018162149275661</v>
      </c>
      <c r="AM229">
        <f xml:space="preserve"> LN([1]misc!D248)</f>
        <v>7.1470083720294149</v>
      </c>
      <c r="AN229">
        <f xml:space="preserve"> LN([1]misc!G353)</f>
        <v>3.3007875540631169</v>
      </c>
      <c r="AO229">
        <f xml:space="preserve"> LN([1]misc!J259 + [1]misc!L259)</f>
        <v>2.9134370308271609</v>
      </c>
      <c r="AP229">
        <f xml:space="preserve"> [1]Factors!B229</f>
        <v>-0.34907299899999999</v>
      </c>
      <c r="AQ229">
        <f xml:space="preserve"> [1]Factors!C229</f>
        <v>0.242248777</v>
      </c>
      <c r="AR229">
        <f xml:space="preserve"> [1]Factors!D229</f>
        <v>-0.13547858800000001</v>
      </c>
      <c r="AS229">
        <f xml:space="preserve"> [1]Factors!E229</f>
        <v>0.101436584</v>
      </c>
      <c r="AT229">
        <f xml:space="preserve"> [1]Factors!F229</f>
        <v>0.119772157</v>
      </c>
    </row>
    <row r="230" spans="1:46" x14ac:dyDescent="0.25">
      <c r="A230">
        <f t="shared" si="16"/>
        <v>1977.9999999999882</v>
      </c>
      <c r="B230" s="1">
        <v>28491</v>
      </c>
      <c r="C230" s="7">
        <f t="shared" si="13"/>
        <v>1978</v>
      </c>
      <c r="D230" s="7">
        <f t="shared" si="14"/>
        <v>1</v>
      </c>
      <c r="E230" s="7">
        <f t="shared" si="15"/>
        <v>1</v>
      </c>
      <c r="F230">
        <f xml:space="preserve"> [1]Coibion_update!O236</f>
        <v>3.8999322054044336</v>
      </c>
      <c r="G230">
        <f xml:space="preserve"> [1]Coibion_update!P236</f>
        <v>6.4</v>
      </c>
      <c r="H230">
        <f xml:space="preserve"> [1]Coibion_update!Q236</f>
        <v>4.138361447638875</v>
      </c>
      <c r="I230">
        <f xml:space="preserve"> [1]Coibion_update!W236</f>
        <v>6.7</v>
      </c>
      <c r="J230">
        <f xml:space="preserve"> [1]Coibion_update!X236</f>
        <v>5.3844950627890888</v>
      </c>
      <c r="K230">
        <f xml:space="preserve"> [1]Coibion_update!Y236</f>
        <v>3.1015776716373313</v>
      </c>
      <c r="L230">
        <f xml:space="preserve"> [1]Coibion_update!Z236</f>
        <v>3.8817287327945453</v>
      </c>
      <c r="M230">
        <f xml:space="preserve"> [1]Coibion_update!AA236</f>
        <v>3.6670427595047621</v>
      </c>
      <c r="N230">
        <f xml:space="preserve"> [1]Coibion_update!AB236</f>
        <v>-0.21650739999999999</v>
      </c>
      <c r="O230">
        <f xml:space="preserve"> [1]Coibion_update!AC236</f>
        <v>-6.9595130000000003</v>
      </c>
      <c r="P230">
        <f xml:space="preserve"> [1]Coibion_update!AD236</f>
        <v>-6.0054167999999999</v>
      </c>
      <c r="X230" s="5">
        <f xml:space="preserve"> [1]misc!N313</f>
        <v>7.28</v>
      </c>
      <c r="Y230">
        <f xml:space="preserve"> [1]Gilchrist_Zak!C62</f>
        <v>-0.2437</v>
      </c>
      <c r="Z230">
        <f xml:space="preserve"> [1]Sims_Zha!B233</f>
        <v>-0.30430000000000001</v>
      </c>
      <c r="AK230">
        <v>6.79</v>
      </c>
      <c r="AL230">
        <f xml:space="preserve"> LN([1]misc!B249)</f>
        <v>5.8123378812105466</v>
      </c>
      <c r="AM230">
        <f xml:space="preserve"> LN([1]misc!D249)</f>
        <v>7.1543809544435506</v>
      </c>
      <c r="AN230">
        <f xml:space="preserve"> LN([1]misc!G354)</f>
        <v>3.3379025312898416</v>
      </c>
      <c r="AO230">
        <f xml:space="preserve"> LN([1]misc!J260 + [1]misc!L260)</f>
        <v>2.9341759678548853</v>
      </c>
      <c r="AP230">
        <f xml:space="preserve"> [1]Factors!B230</f>
        <v>-0.45442690499999999</v>
      </c>
      <c r="AQ230">
        <f xml:space="preserve"> [1]Factors!C230</f>
        <v>4.2327240000000002E-2</v>
      </c>
      <c r="AR230">
        <f xml:space="preserve"> [1]Factors!D230</f>
        <v>-7.99032561E-2</v>
      </c>
      <c r="AS230">
        <f xml:space="preserve"> [1]Factors!E230</f>
        <v>6.3751879600000005E-2</v>
      </c>
      <c r="AT230">
        <f xml:space="preserve"> [1]Factors!F230</f>
        <v>7.5372858600000004E-3</v>
      </c>
    </row>
    <row r="231" spans="1:46" x14ac:dyDescent="0.25">
      <c r="A231">
        <f t="shared" si="16"/>
        <v>1978.0833333333214</v>
      </c>
      <c r="B231" s="1">
        <v>28522</v>
      </c>
      <c r="C231" s="7">
        <f t="shared" si="13"/>
        <v>1978</v>
      </c>
      <c r="D231" s="7">
        <f t="shared" si="14"/>
        <v>2</v>
      </c>
      <c r="E231" s="7">
        <f t="shared" si="15"/>
        <v>1</v>
      </c>
      <c r="F231">
        <f xml:space="preserve"> [1]Coibion_update!O237</f>
        <v>3.9049097662217704</v>
      </c>
      <c r="G231">
        <f xml:space="preserve"> [1]Coibion_update!P237</f>
        <v>6.3</v>
      </c>
      <c r="H231">
        <f xml:space="preserve"> [1]Coibion_update!Q237</f>
        <v>4.1431347263915326</v>
      </c>
      <c r="I231">
        <f xml:space="preserve"> [1]Coibion_update!W237</f>
        <v>6.78</v>
      </c>
      <c r="J231">
        <f xml:space="preserve"> [1]Coibion_update!X237</f>
        <v>5.3951264224760971</v>
      </c>
      <c r="K231">
        <f xml:space="preserve"> [1]Coibion_update!Y237</f>
        <v>3.1364502804928702</v>
      </c>
      <c r="L231">
        <f xml:space="preserve"> [1]Coibion_update!Z237</f>
        <v>3.8961171757443691</v>
      </c>
      <c r="M231">
        <f xml:space="preserve"> [1]Coibion_update!AA237</f>
        <v>3.6761234410127357</v>
      </c>
      <c r="N231">
        <f xml:space="preserve"> [1]Coibion_update!AB237</f>
        <v>5.7347200000000001E-2</v>
      </c>
      <c r="O231">
        <f xml:space="preserve"> [1]Coibion_update!AC237</f>
        <v>-6.9021658000000006</v>
      </c>
      <c r="P231">
        <f xml:space="preserve"> [1]Coibion_update!AD237</f>
        <v>-5.9000620000000001</v>
      </c>
      <c r="X231" s="5">
        <f xml:space="preserve"> [1]misc!N314</f>
        <v>7.34</v>
      </c>
      <c r="Y231">
        <f xml:space="preserve"> [1]Gilchrist_Zak!C63</f>
        <v>-0.2429</v>
      </c>
      <c r="Z231">
        <f xml:space="preserve"> [1]Sims_Zha!B234</f>
        <v>-0.36897999999999997</v>
      </c>
      <c r="AK231">
        <v>6.83</v>
      </c>
      <c r="AL231">
        <f xml:space="preserve"> LN([1]misc!B250)</f>
        <v>5.8150256534721825</v>
      </c>
      <c r="AM231">
        <f xml:space="preserve"> LN([1]misc!D250)</f>
        <v>7.1589030267059446</v>
      </c>
      <c r="AN231">
        <f xml:space="preserve"> LN([1]misc!G355)</f>
        <v>3.315276319154516</v>
      </c>
      <c r="AO231">
        <f xml:space="preserve"> LN([1]misc!J261 + [1]misc!L261)</f>
        <v>2.9525637781526122</v>
      </c>
      <c r="AP231">
        <f xml:space="preserve"> [1]Factors!B231</f>
        <v>0.104312286</v>
      </c>
      <c r="AQ231">
        <f xml:space="preserve"> [1]Factors!C231</f>
        <v>0.40214027200000002</v>
      </c>
      <c r="AR231">
        <f xml:space="preserve"> [1]Factors!D231</f>
        <v>8.4412754899999998E-2</v>
      </c>
      <c r="AS231">
        <f xml:space="preserve"> [1]Factors!E231</f>
        <v>-0.22793951300000001</v>
      </c>
      <c r="AT231">
        <f xml:space="preserve"> [1]Factors!F231</f>
        <v>0.43330330099999997</v>
      </c>
    </row>
    <row r="232" spans="1:46" x14ac:dyDescent="0.25">
      <c r="A232">
        <f t="shared" si="16"/>
        <v>1978.1666666666547</v>
      </c>
      <c r="B232" s="1">
        <v>28550</v>
      </c>
      <c r="C232" s="7">
        <f t="shared" si="13"/>
        <v>1978</v>
      </c>
      <c r="D232" s="7">
        <f t="shared" si="14"/>
        <v>3</v>
      </c>
      <c r="E232" s="7">
        <f t="shared" si="15"/>
        <v>1</v>
      </c>
      <c r="F232">
        <f xml:space="preserve"> [1]Coibion_update!O238</f>
        <v>3.923753928303845</v>
      </c>
      <c r="G232">
        <f xml:space="preserve"> [1]Coibion_update!P238</f>
        <v>6.3</v>
      </c>
      <c r="H232">
        <f xml:space="preserve"> [1]Coibion_update!Q238</f>
        <v>4.1494638614431798</v>
      </c>
      <c r="I232">
        <f xml:space="preserve"> [1]Coibion_update!W238</f>
        <v>6.79</v>
      </c>
      <c r="J232">
        <f xml:space="preserve"> [1]Coibion_update!X238</f>
        <v>5.4221708287150348</v>
      </c>
      <c r="K232">
        <f xml:space="preserve"> [1]Coibion_update!Y238</f>
        <v>3.1620514728704396</v>
      </c>
      <c r="L232">
        <f xml:space="preserve"> [1]Coibion_update!Z238</f>
        <v>3.9034866744058596</v>
      </c>
      <c r="M232">
        <f xml:space="preserve"> [1]Coibion_update!AA238</f>
        <v>3.6832637153283008</v>
      </c>
      <c r="N232">
        <f xml:space="preserve"> [1]Coibion_update!AB238</f>
        <v>-1.4195E-3</v>
      </c>
      <c r="O232">
        <f xml:space="preserve"> [1]Coibion_update!AC238</f>
        <v>-6.9035853000000005</v>
      </c>
      <c r="P232">
        <f xml:space="preserve"> [1]Coibion_update!AD238</f>
        <v>-5.8583221000000005</v>
      </c>
      <c r="X232" s="5">
        <f xml:space="preserve"> [1]misc!N315</f>
        <v>7.31</v>
      </c>
      <c r="Y232">
        <f xml:space="preserve"> [1]Gilchrist_Zak!C64</f>
        <v>-0.2266</v>
      </c>
      <c r="Z232">
        <f xml:space="preserve"> [1]Sims_Zha!B235</f>
        <v>-1.2115</v>
      </c>
      <c r="AK232">
        <v>6.97</v>
      </c>
      <c r="AL232">
        <f xml:space="preserve"> LN([1]misc!B251)</f>
        <v>5.8200829303523616</v>
      </c>
      <c r="AM232">
        <f xml:space="preserve"> LN([1]misc!D251)</f>
        <v>7.1641014711240647</v>
      </c>
      <c r="AN232">
        <f xml:space="preserve"> LN([1]misc!G356)</f>
        <v>3.300713843083833</v>
      </c>
      <c r="AO232">
        <f xml:space="preserve"> LN([1]misc!J262 + [1]misc!L262)</f>
        <v>2.9422260060308498</v>
      </c>
      <c r="AP232">
        <f xml:space="preserve"> [1]Factors!B232</f>
        <v>-0.41811618699999997</v>
      </c>
      <c r="AQ232">
        <f xml:space="preserve"> [1]Factors!C232</f>
        <v>0.116514114</v>
      </c>
      <c r="AR232">
        <f xml:space="preserve"> [1]Factors!D232</f>
        <v>-6.0181261299999997E-2</v>
      </c>
      <c r="AS232">
        <f xml:space="preserve"> [1]Factors!E232</f>
        <v>6.1956767400000001E-2</v>
      </c>
      <c r="AT232">
        <f xml:space="preserve"> [1]Factors!F232</f>
        <v>-0.114453341</v>
      </c>
    </row>
    <row r="233" spans="1:46" x14ac:dyDescent="0.25">
      <c r="A233">
        <f t="shared" si="16"/>
        <v>1978.2499999999879</v>
      </c>
      <c r="B233" s="1">
        <v>28581</v>
      </c>
      <c r="C233" s="7">
        <f t="shared" si="13"/>
        <v>1978</v>
      </c>
      <c r="D233" s="7">
        <f t="shared" si="14"/>
        <v>4</v>
      </c>
      <c r="E233" s="7">
        <f t="shared" si="15"/>
        <v>2</v>
      </c>
      <c r="F233">
        <f xml:space="preserve"> [1]Coibion_update!O239</f>
        <v>3.9443081848110202</v>
      </c>
      <c r="G233">
        <f xml:space="preserve"> [1]Coibion_update!P239</f>
        <v>6.1</v>
      </c>
      <c r="H233">
        <f xml:space="preserve"> [1]Coibion_update!Q239</f>
        <v>4.1573193613834887</v>
      </c>
      <c r="I233">
        <f xml:space="preserve"> [1]Coibion_update!W239</f>
        <v>6.89</v>
      </c>
      <c r="J233">
        <f xml:space="preserve"> [1]Coibion_update!X239</f>
        <v>5.4293456289544411</v>
      </c>
      <c r="K233">
        <f xml:space="preserve"> [1]Coibion_update!Y239</f>
        <v>3.1988771783615109</v>
      </c>
      <c r="L233">
        <f xml:space="preserve"> [1]Coibion_update!Z239</f>
        <v>3.8966047526997656</v>
      </c>
      <c r="M233">
        <f xml:space="preserve"> [1]Coibion_update!AA239</f>
        <v>3.6881541911743412</v>
      </c>
      <c r="N233">
        <f xml:space="preserve"> [1]Coibion_update!AB239</f>
        <v>-9.2141899999999999E-2</v>
      </c>
      <c r="O233">
        <f xml:space="preserve"> [1]Coibion_update!AC239</f>
        <v>-6.9957272000000001</v>
      </c>
      <c r="P233">
        <f xml:space="preserve"> [1]Coibion_update!AD239</f>
        <v>-5.924269100000001</v>
      </c>
      <c r="X233" s="5">
        <f xml:space="preserve"> [1]misc!N316</f>
        <v>7.45</v>
      </c>
      <c r="Y233">
        <f xml:space="preserve"> [1]Gilchrist_Zak!C65</f>
        <v>-0.1779</v>
      </c>
      <c r="Z233">
        <f xml:space="preserve"> [1]Sims_Zha!B236</f>
        <v>-0.19105</v>
      </c>
      <c r="AK233">
        <v>7.25</v>
      </c>
      <c r="AL233">
        <f xml:space="preserve"> LN([1]misc!B252)</f>
        <v>5.8286514567020706</v>
      </c>
      <c r="AM233">
        <f xml:space="preserve"> LN([1]misc!D252)</f>
        <v>7.1704271884297501</v>
      </c>
      <c r="AN233">
        <f xml:space="preserve"> LN([1]misc!G357)</f>
        <v>3.3299161796571917</v>
      </c>
      <c r="AO233">
        <f xml:space="preserve"> LN([1]misc!J263 + [1]misc!L263)</f>
        <v>2.9365659628847749</v>
      </c>
      <c r="AP233">
        <f xml:space="preserve"> [1]Factors!B233</f>
        <v>-0.72789126100000001</v>
      </c>
      <c r="AQ233">
        <f xml:space="preserve"> [1]Factors!C233</f>
        <v>9.9951214799999993E-2</v>
      </c>
      <c r="AR233">
        <f xml:space="preserve"> [1]Factors!D233</f>
        <v>-0.112278609</v>
      </c>
      <c r="AS233">
        <f xml:space="preserve"> [1]Factors!E233</f>
        <v>0.26589068500000002</v>
      </c>
      <c r="AT233">
        <f xml:space="preserve"> [1]Factors!F233</f>
        <v>-0.34542521500000001</v>
      </c>
    </row>
    <row r="234" spans="1:46" x14ac:dyDescent="0.25">
      <c r="A234">
        <f t="shared" si="16"/>
        <v>1978.3333333333212</v>
      </c>
      <c r="B234" s="1">
        <v>28611</v>
      </c>
      <c r="C234" s="7">
        <f t="shared" si="13"/>
        <v>1978</v>
      </c>
      <c r="D234" s="7">
        <f t="shared" si="14"/>
        <v>5</v>
      </c>
      <c r="E234" s="7">
        <f t="shared" si="15"/>
        <v>2</v>
      </c>
      <c r="F234">
        <f xml:space="preserve"> [1]Coibion_update!O240</f>
        <v>3.9477472283622506</v>
      </c>
      <c r="G234">
        <f xml:space="preserve"> [1]Coibion_update!P240</f>
        <v>6</v>
      </c>
      <c r="H234">
        <f xml:space="preserve"> [1]Coibion_update!Q240</f>
        <v>4.1666652238017265</v>
      </c>
      <c r="I234">
        <f xml:space="preserve"> [1]Coibion_update!W240</f>
        <v>7.36</v>
      </c>
      <c r="J234">
        <f xml:space="preserve"> [1]Coibion_update!X240</f>
        <v>5.4297841292903426</v>
      </c>
      <c r="K234">
        <f xml:space="preserve"> [1]Coibion_update!Y240</f>
        <v>3.2092698347229658</v>
      </c>
      <c r="L234">
        <f xml:space="preserve"> [1]Coibion_update!Z240</f>
        <v>3.9031638789948215</v>
      </c>
      <c r="M234">
        <f xml:space="preserve"> [1]Coibion_update!AA240</f>
        <v>3.6887544463007851</v>
      </c>
      <c r="N234">
        <f xml:space="preserve"> [1]Coibion_update!AB240</f>
        <v>-0.23910219999999999</v>
      </c>
      <c r="O234">
        <f xml:space="preserve"> [1]Coibion_update!AC240</f>
        <v>-7.2348293999999997</v>
      </c>
      <c r="P234">
        <f xml:space="preserve"> [1]Coibion_update!AD240</f>
        <v>-6.1394669000000013</v>
      </c>
      <c r="X234" s="5">
        <f xml:space="preserve"> [1]misc!N317</f>
        <v>7.82</v>
      </c>
      <c r="Y234">
        <f xml:space="preserve"> [1]Gilchrist_Zak!C66</f>
        <v>-0.12180000000000001</v>
      </c>
      <c r="Z234">
        <f xml:space="preserve"> [1]Sims_Zha!B237</f>
        <v>0.91535</v>
      </c>
      <c r="AK234">
        <v>7.43</v>
      </c>
      <c r="AL234">
        <f xml:space="preserve"> LN([1]misc!B253)</f>
        <v>5.8432545199427954</v>
      </c>
      <c r="AM234">
        <f xml:space="preserve"> LN([1]misc!D253)</f>
        <v>7.1781640227634611</v>
      </c>
      <c r="AN234">
        <f xml:space="preserve"> LN([1]misc!G358)</f>
        <v>3.3297013799570854</v>
      </c>
      <c r="AO234">
        <f xml:space="preserve"> LN([1]misc!J264 + [1]misc!L264)</f>
        <v>2.9146848947006689</v>
      </c>
      <c r="AP234">
        <f xml:space="preserve"> [1]Factors!B234</f>
        <v>-0.87956489199999999</v>
      </c>
      <c r="AQ234">
        <f xml:space="preserve"> [1]Factors!C234</f>
        <v>0.294133429</v>
      </c>
      <c r="AR234">
        <f xml:space="preserve"> [1]Factors!D234</f>
        <v>-0.11240731700000001</v>
      </c>
      <c r="AS234">
        <f xml:space="preserve"> [1]Factors!E234</f>
        <v>0.263751448</v>
      </c>
      <c r="AT234">
        <f xml:space="preserve"> [1]Factors!F234</f>
        <v>-0.17686274399999999</v>
      </c>
    </row>
    <row r="235" spans="1:46" x14ac:dyDescent="0.25">
      <c r="A235">
        <f t="shared" si="16"/>
        <v>1978.4166666666545</v>
      </c>
      <c r="B235" s="1">
        <v>28642</v>
      </c>
      <c r="C235" s="7">
        <f t="shared" si="13"/>
        <v>1978</v>
      </c>
      <c r="D235" s="7">
        <f t="shared" si="14"/>
        <v>6</v>
      </c>
      <c r="E235" s="7">
        <f t="shared" si="15"/>
        <v>2</v>
      </c>
      <c r="F235">
        <f xml:space="preserve"> [1]Coibion_update!O241</f>
        <v>3.9546916139068737</v>
      </c>
      <c r="G235">
        <f xml:space="preserve"> [1]Coibion_update!P241</f>
        <v>5.9</v>
      </c>
      <c r="H235">
        <f xml:space="preserve"> [1]Coibion_update!Q241</f>
        <v>4.1743872698956368</v>
      </c>
      <c r="I235">
        <f xml:space="preserve"> [1]Coibion_update!W241</f>
        <v>7.6</v>
      </c>
      <c r="J235">
        <f xml:space="preserve"> [1]Coibion_update!X241</f>
        <v>5.4365564107718027</v>
      </c>
      <c r="K235">
        <f xml:space="preserve"> [1]Coibion_update!Y241</f>
        <v>3.2085426207284091</v>
      </c>
      <c r="L235">
        <f xml:space="preserve"> [1]Coibion_update!Z241</f>
        <v>3.9046962300416852</v>
      </c>
      <c r="M235">
        <f xml:space="preserve"> [1]Coibion_update!AA241</f>
        <v>3.6941654585431736</v>
      </c>
      <c r="N235">
        <f xml:space="preserve"> [1]Coibion_update!AB241</f>
        <v>0.19889570000000001</v>
      </c>
      <c r="O235">
        <f xml:space="preserve"> [1]Coibion_update!AC241</f>
        <v>-7.0359336999999993</v>
      </c>
      <c r="P235">
        <f xml:space="preserve"> [1]Coibion_update!AD241</f>
        <v>-5.8972620000000013</v>
      </c>
      <c r="X235" s="5">
        <f xml:space="preserve"> [1]misc!N318</f>
        <v>8.09</v>
      </c>
      <c r="Y235">
        <f xml:space="preserve"> [1]Gilchrist_Zak!C67</f>
        <v>-0.3669</v>
      </c>
      <c r="Z235">
        <f xml:space="preserve"> [1]Sims_Zha!B238</f>
        <v>-0.85551999999999995</v>
      </c>
      <c r="AK235">
        <v>8.01</v>
      </c>
      <c r="AL235">
        <f xml:space="preserve"> LN([1]misc!B254)</f>
        <v>5.8490365539757043</v>
      </c>
      <c r="AM235">
        <f xml:space="preserve"> LN([1]misc!D254)</f>
        <v>7.1842500057933414</v>
      </c>
      <c r="AN235">
        <f xml:space="preserve"> LN([1]misc!G359)</f>
        <v>3.3305603020627146</v>
      </c>
      <c r="AO235">
        <f xml:space="preserve"> LN([1]misc!J265 + [1]misc!L265)</f>
        <v>2.9324729339148004</v>
      </c>
      <c r="AP235">
        <f xml:space="preserve"> [1]Factors!B235</f>
        <v>-0.46087382199999999</v>
      </c>
      <c r="AQ235">
        <f xml:space="preserve"> [1]Factors!C235</f>
        <v>0.41039906999999998</v>
      </c>
      <c r="AR235">
        <f xml:space="preserve"> [1]Factors!D235</f>
        <v>9.4635268700000007E-3</v>
      </c>
      <c r="AS235">
        <f xml:space="preserve"> [1]Factors!E235</f>
        <v>5.0515458800000001E-3</v>
      </c>
      <c r="AT235">
        <f xml:space="preserve"> [1]Factors!F235</f>
        <v>0.14933589</v>
      </c>
    </row>
    <row r="236" spans="1:46" x14ac:dyDescent="0.25">
      <c r="A236">
        <f t="shared" si="16"/>
        <v>1978.4999999999877</v>
      </c>
      <c r="B236" s="1">
        <v>28672</v>
      </c>
      <c r="C236" s="7">
        <f t="shared" si="13"/>
        <v>1978</v>
      </c>
      <c r="D236" s="7">
        <f t="shared" si="14"/>
        <v>7</v>
      </c>
      <c r="E236" s="7">
        <f t="shared" si="15"/>
        <v>3</v>
      </c>
      <c r="F236">
        <f xml:space="preserve"> [1]Coibion_update!O242</f>
        <v>3.9544117719199328</v>
      </c>
      <c r="G236">
        <f xml:space="preserve"> [1]Coibion_update!P242</f>
        <v>6.2</v>
      </c>
      <c r="H236">
        <f xml:space="preserve"> [1]Coibion_update!Q242</f>
        <v>4.1820501426412067</v>
      </c>
      <c r="I236">
        <f xml:space="preserve"> [1]Coibion_update!W242</f>
        <v>7.81</v>
      </c>
      <c r="J236">
        <f xml:space="preserve"> [1]Coibion_update!X242</f>
        <v>5.4331541567702475</v>
      </c>
      <c r="K236">
        <f xml:space="preserve"> [1]Coibion_update!Y242</f>
        <v>3.1906820904974187</v>
      </c>
      <c r="L236">
        <f xml:space="preserve"> [1]Coibion_update!Z242</f>
        <v>3.9020938743502613</v>
      </c>
      <c r="M236">
        <f xml:space="preserve"> [1]Coibion_update!AA242</f>
        <v>3.6918500375587691</v>
      </c>
      <c r="N236">
        <f xml:space="preserve"> [1]Coibion_update!AB242</f>
        <v>-0.15078800000000001</v>
      </c>
      <c r="O236">
        <f xml:space="preserve"> [1]Coibion_update!AC242</f>
        <v>-7.1867216999999997</v>
      </c>
      <c r="P236">
        <f xml:space="preserve"> [1]Coibion_update!AD242</f>
        <v>-6.0409553000000011</v>
      </c>
      <c r="X236" s="5">
        <f xml:space="preserve"> [1]misc!N319</f>
        <v>8.39</v>
      </c>
      <c r="Y236">
        <f xml:space="preserve"> [1]Gilchrist_Zak!C68</f>
        <v>-0.25919999999999999</v>
      </c>
      <c r="Z236">
        <f xml:space="preserve"> [1]Sims_Zha!B239</f>
        <v>-1.6285000000000001</v>
      </c>
      <c r="AK236">
        <v>8</v>
      </c>
      <c r="AL236">
        <f xml:space="preserve"> LN([1]misc!B255)</f>
        <v>5.8510523933912371</v>
      </c>
      <c r="AM236">
        <f xml:space="preserve"> LN([1]misc!D255)</f>
        <v>7.1884882623457109</v>
      </c>
      <c r="AN236">
        <f xml:space="preserve"> LN([1]misc!G360)</f>
        <v>3.3568971227655755</v>
      </c>
      <c r="AO236">
        <f xml:space="preserve"> LN([1]misc!J266 + [1]misc!L266)</f>
        <v>2.933910059910648</v>
      </c>
      <c r="AP236">
        <f xml:space="preserve"> [1]Factors!B236</f>
        <v>-0.67976822999999997</v>
      </c>
      <c r="AQ236">
        <f xml:space="preserve"> [1]Factors!C236</f>
        <v>0.345790023</v>
      </c>
      <c r="AR236">
        <f xml:space="preserve"> [1]Factors!D236</f>
        <v>-1.2853561600000001E-2</v>
      </c>
      <c r="AS236">
        <f xml:space="preserve"> [1]Factors!E236</f>
        <v>0.10524890000000001</v>
      </c>
      <c r="AT236">
        <f xml:space="preserve"> [1]Factors!F236</f>
        <v>4.4355131800000003E-2</v>
      </c>
    </row>
    <row r="237" spans="1:46" x14ac:dyDescent="0.25">
      <c r="A237">
        <f t="shared" si="16"/>
        <v>1978.583333333321</v>
      </c>
      <c r="B237" s="1">
        <v>28703</v>
      </c>
      <c r="C237" s="7">
        <f t="shared" si="13"/>
        <v>1978</v>
      </c>
      <c r="D237" s="7">
        <f t="shared" si="14"/>
        <v>8</v>
      </c>
      <c r="E237" s="7">
        <f t="shared" si="15"/>
        <v>3</v>
      </c>
      <c r="F237">
        <f xml:space="preserve"> [1]Coibion_update!O243</f>
        <v>3.9579538475343967</v>
      </c>
      <c r="G237">
        <f xml:space="preserve"> [1]Coibion_update!P243</f>
        <v>5.9</v>
      </c>
      <c r="H237">
        <f xml:space="preserve"> [1]Coibion_update!Q243</f>
        <v>4.1881384415084613</v>
      </c>
      <c r="I237">
        <f xml:space="preserve"> [1]Coibion_update!W243</f>
        <v>8.0399999999999991</v>
      </c>
      <c r="J237">
        <f xml:space="preserve"> [1]Coibion_update!X243</f>
        <v>5.4650175424390346</v>
      </c>
      <c r="K237">
        <f xml:space="preserve"> [1]Coibion_update!Y243</f>
        <v>3.2150284331393069</v>
      </c>
      <c r="L237">
        <f xml:space="preserve"> [1]Coibion_update!Z243</f>
        <v>3.9068094383752587</v>
      </c>
      <c r="M237">
        <f xml:space="preserve"> [1]Coibion_update!AA243</f>
        <v>3.6989287899669376</v>
      </c>
      <c r="N237">
        <f xml:space="preserve"> [1]Coibion_update!AB243</f>
        <v>-9.5032900000000003E-2</v>
      </c>
      <c r="O237">
        <f xml:space="preserve"> [1]Coibion_update!AC243</f>
        <v>-7.2817545999999993</v>
      </c>
      <c r="P237">
        <f xml:space="preserve"> [1]Coibion_update!AD243</f>
        <v>-6.1042961000000009</v>
      </c>
      <c r="X237" s="5">
        <f xml:space="preserve"> [1]misc!N320</f>
        <v>8.31</v>
      </c>
      <c r="Y237">
        <f xml:space="preserve"> [1]Gilchrist_Zak!C69</f>
        <v>-0.30659999999999998</v>
      </c>
      <c r="Z237">
        <f xml:space="preserve"> [1]Sims_Zha!B240</f>
        <v>-4.6899999999999997E-2</v>
      </c>
      <c r="AK237">
        <v>8.4</v>
      </c>
      <c r="AL237">
        <f xml:space="preserve"> LN([1]misc!B256)</f>
        <v>5.8567896437813802</v>
      </c>
      <c r="AM237">
        <f xml:space="preserve"> LN([1]misc!D256)</f>
        <v>7.1955623436220693</v>
      </c>
      <c r="AN237">
        <f xml:space="preserve"> LN([1]misc!G361)</f>
        <v>3.3339529807093209</v>
      </c>
      <c r="AO237">
        <f xml:space="preserve"> LN([1]misc!J267 + [1]misc!L267)</f>
        <v>2.9323663979321712</v>
      </c>
      <c r="AP237">
        <f xml:space="preserve"> [1]Factors!B237</f>
        <v>-0.271468135</v>
      </c>
      <c r="AQ237">
        <f xml:space="preserve"> [1]Factors!C237</f>
        <v>0.33761848799999999</v>
      </c>
      <c r="AR237">
        <f xml:space="preserve"> [1]Factors!D237</f>
        <v>-5.7638060499999996E-3</v>
      </c>
      <c r="AS237">
        <f xml:space="preserve"> [1]Factors!E237</f>
        <v>-3.5178626400000003E-2</v>
      </c>
      <c r="AT237">
        <f xml:space="preserve"> [1]Factors!F237</f>
        <v>0.24728508699999999</v>
      </c>
    </row>
    <row r="238" spans="1:46" x14ac:dyDescent="0.25">
      <c r="A238">
        <f t="shared" si="16"/>
        <v>1978.6666666666542</v>
      </c>
      <c r="B238" s="1">
        <v>28734</v>
      </c>
      <c r="C238" s="7">
        <f t="shared" si="13"/>
        <v>1978</v>
      </c>
      <c r="D238" s="7">
        <f t="shared" si="14"/>
        <v>9</v>
      </c>
      <c r="E238" s="7">
        <f t="shared" si="15"/>
        <v>3</v>
      </c>
      <c r="F238">
        <f xml:space="preserve"> [1]Coibion_update!O244</f>
        <v>3.9606112444501629</v>
      </c>
      <c r="G238">
        <f xml:space="preserve"> [1]Coibion_update!P244</f>
        <v>6</v>
      </c>
      <c r="H238">
        <f xml:space="preserve"> [1]Coibion_update!Q244</f>
        <v>4.1972019476618083</v>
      </c>
      <c r="I238">
        <f xml:space="preserve"> [1]Coibion_update!W244</f>
        <v>8.4499999999999993</v>
      </c>
      <c r="J238">
        <f xml:space="preserve"> [1]Coibion_update!X244</f>
        <v>5.4932671834914641</v>
      </c>
      <c r="K238">
        <f xml:space="preserve"> [1]Coibion_update!Y244</f>
        <v>3.1698116231539104</v>
      </c>
      <c r="L238">
        <f xml:space="preserve"> [1]Coibion_update!Z244</f>
        <v>3.9187006601813867</v>
      </c>
      <c r="M238">
        <f xml:space="preserve"> [1]Coibion_update!AA244</f>
        <v>3.7015735421728211</v>
      </c>
      <c r="N238">
        <f xml:space="preserve"> [1]Coibion_update!AB244</f>
        <v>-0.17525379999999999</v>
      </c>
      <c r="O238">
        <f xml:space="preserve"> [1]Coibion_update!AC244</f>
        <v>-7.4570083999999994</v>
      </c>
      <c r="P238">
        <f xml:space="preserve"> [1]Coibion_update!AD244</f>
        <v>-6.2620704000000007</v>
      </c>
      <c r="X238" s="5">
        <f xml:space="preserve"> [1]misc!N321</f>
        <v>8.64</v>
      </c>
      <c r="Y238">
        <f xml:space="preserve"> [1]Gilchrist_Zak!C70</f>
        <v>-0.23860000000000001</v>
      </c>
      <c r="Z238">
        <f xml:space="preserve"> [1]Sims_Zha!B241</f>
        <v>0.71423000000000003</v>
      </c>
      <c r="AK238">
        <v>8.9</v>
      </c>
      <c r="AL238">
        <f xml:space="preserve"> LN([1]misc!B257)</f>
        <v>5.8641991960621054</v>
      </c>
      <c r="AM238">
        <f xml:space="preserve"> LN([1]misc!D257)</f>
        <v>7.2041492920359396</v>
      </c>
      <c r="AN238">
        <f xml:space="preserve"> LN([1]misc!G362)</f>
        <v>3.3391446572591454</v>
      </c>
      <c r="AO238">
        <f xml:space="preserve"> LN([1]misc!J268 + [1]misc!L268)</f>
        <v>2.9409592477066995</v>
      </c>
      <c r="AP238">
        <f xml:space="preserve"> [1]Factors!B238</f>
        <v>-0.39092486399999998</v>
      </c>
      <c r="AQ238">
        <f xml:space="preserve"> [1]Factors!C238</f>
        <v>0.15801028</v>
      </c>
      <c r="AR238">
        <f xml:space="preserve"> [1]Factors!D238</f>
        <v>-0.27654411699999998</v>
      </c>
      <c r="AS238">
        <f xml:space="preserve"> [1]Factors!E238</f>
        <v>0.23567711099999999</v>
      </c>
      <c r="AT238">
        <f xml:space="preserve"> [1]Factors!F238</f>
        <v>0.14129903599999999</v>
      </c>
    </row>
    <row r="239" spans="1:46" x14ac:dyDescent="0.25">
      <c r="A239">
        <f t="shared" si="16"/>
        <v>1978.7499999999875</v>
      </c>
      <c r="B239" s="1">
        <v>28764</v>
      </c>
      <c r="C239" s="7">
        <f t="shared" si="13"/>
        <v>1978</v>
      </c>
      <c r="D239" s="7">
        <f t="shared" si="14"/>
        <v>10</v>
      </c>
      <c r="E239" s="7">
        <f t="shared" si="15"/>
        <v>4</v>
      </c>
      <c r="F239">
        <f xml:space="preserve"> [1]Coibion_update!O245</f>
        <v>3.9687095301681667</v>
      </c>
      <c r="G239">
        <f xml:space="preserve"> [1]Coibion_update!P245</f>
        <v>5.8</v>
      </c>
      <c r="H239">
        <f xml:space="preserve"> [1]Coibion_update!Q245</f>
        <v>4.2061840439776361</v>
      </c>
      <c r="I239">
        <f xml:space="preserve"> [1]Coibion_update!W245</f>
        <v>8.9600000000000009</v>
      </c>
      <c r="J239">
        <f xml:space="preserve"> [1]Coibion_update!X245</f>
        <v>5.5256122889847221</v>
      </c>
      <c r="K239">
        <f xml:space="preserve"> [1]Coibion_update!Y245</f>
        <v>3.1965075090061923</v>
      </c>
      <c r="L239">
        <f xml:space="preserve"> [1]Coibion_update!Z245</f>
        <v>3.9115228803864639</v>
      </c>
      <c r="M239">
        <f xml:space="preserve"> [1]Coibion_update!AA245</f>
        <v>3.7015735421728211</v>
      </c>
      <c r="N239">
        <f xml:space="preserve"> [1]Coibion_update!AB245</f>
        <v>0.12440379999999999</v>
      </c>
      <c r="O239">
        <f xml:space="preserve"> [1]Coibion_update!AC245</f>
        <v>-7.3326045999999998</v>
      </c>
      <c r="P239">
        <f xml:space="preserve"> [1]Coibion_update!AD245</f>
        <v>-6.1306789000000004</v>
      </c>
      <c r="X239" s="5">
        <f xml:space="preserve"> [1]misc!N322</f>
        <v>9.14</v>
      </c>
      <c r="Y239">
        <f xml:space="preserve"> [1]Gilchrist_Zak!C71</f>
        <v>-0.45710000000000001</v>
      </c>
      <c r="Z239">
        <f xml:space="preserve"> [1]Sims_Zha!B242</f>
        <v>2.7242000000000002</v>
      </c>
      <c r="AK239">
        <v>9.35</v>
      </c>
      <c r="AL239">
        <f xml:space="preserve"> LN([1]misc!B258)</f>
        <v>5.8673175543650995</v>
      </c>
      <c r="AM239">
        <f xml:space="preserve"> LN([1]misc!D258)</f>
        <v>7.2095621254793141</v>
      </c>
      <c r="AN239">
        <f xml:space="preserve"> LN([1]misc!G363)</f>
        <v>3.357663379638427</v>
      </c>
      <c r="AO239">
        <f xml:space="preserve"> LN([1]misc!J269 + [1]misc!L269)</f>
        <v>2.9355575505179208</v>
      </c>
      <c r="AP239">
        <f xml:space="preserve"> [1]Factors!B239</f>
        <v>-0.40727645299999998</v>
      </c>
      <c r="AQ239">
        <f xml:space="preserve"> [1]Factors!C239</f>
        <v>0.35656565400000001</v>
      </c>
      <c r="AR239">
        <f xml:space="preserve"> [1]Factors!D239</f>
        <v>0.101486011</v>
      </c>
      <c r="AS239">
        <f xml:space="preserve"> [1]Factors!E239</f>
        <v>1.9604896300000001E-2</v>
      </c>
      <c r="AT239">
        <f xml:space="preserve"> [1]Factors!F239</f>
        <v>3.8991245699999998E-3</v>
      </c>
    </row>
    <row r="240" spans="1:46" x14ac:dyDescent="0.25">
      <c r="A240">
        <f t="shared" si="16"/>
        <v>1978.8333333333208</v>
      </c>
      <c r="B240" s="1">
        <v>28795</v>
      </c>
      <c r="C240" s="7">
        <f t="shared" si="13"/>
        <v>1978</v>
      </c>
      <c r="D240" s="7">
        <f t="shared" si="14"/>
        <v>11</v>
      </c>
      <c r="E240" s="7">
        <f t="shared" si="15"/>
        <v>4</v>
      </c>
      <c r="F240">
        <f xml:space="preserve"> [1]Coibion_update!O246</f>
        <v>3.9759963668930709</v>
      </c>
      <c r="G240">
        <f xml:space="preserve"> [1]Coibion_update!P246</f>
        <v>5.9</v>
      </c>
      <c r="H240">
        <f xml:space="preserve"> [1]Coibion_update!Q246</f>
        <v>4.2121275978784842</v>
      </c>
      <c r="I240">
        <f xml:space="preserve"> [1]Coibion_update!W246</f>
        <v>9.76</v>
      </c>
      <c r="J240">
        <f xml:space="preserve"> [1]Coibion_update!X246</f>
        <v>5.5302224235308195</v>
      </c>
      <c r="K240">
        <f xml:space="preserve"> [1]Coibion_update!Y246</f>
        <v>3.1997337793398342</v>
      </c>
      <c r="L240">
        <f xml:space="preserve"> [1]Coibion_update!Z246</f>
        <v>3.9220129394574941</v>
      </c>
      <c r="M240">
        <f xml:space="preserve"> [1]Coibion_update!AA246</f>
        <v>3.7012032038027685</v>
      </c>
      <c r="N240">
        <f xml:space="preserve"> [1]Coibion_update!AB246</f>
        <v>0.14845059999999999</v>
      </c>
      <c r="O240">
        <f xml:space="preserve"> [1]Coibion_update!AC246</f>
        <v>-7.1841539999999995</v>
      </c>
      <c r="P240">
        <f xml:space="preserve"> [1]Coibion_update!AD246</f>
        <v>-5.9638349000000002</v>
      </c>
      <c r="X240" s="5">
        <f xml:space="preserve"> [1]misc!N323</f>
        <v>10.01</v>
      </c>
      <c r="Y240">
        <f xml:space="preserve"> [1]Gilchrist_Zak!C72</f>
        <v>-0.21579999999999999</v>
      </c>
      <c r="Z240">
        <f xml:space="preserve"> [1]Sims_Zha!B243</f>
        <v>2.9266999999999999</v>
      </c>
      <c r="AK240">
        <v>9.94</v>
      </c>
      <c r="AL240">
        <f xml:space="preserve"> LN([1]misc!B259)</f>
        <v>5.8732439157205505</v>
      </c>
      <c r="AM240">
        <f xml:space="preserve"> LN([1]misc!D259)</f>
        <v>7.2145779949613011</v>
      </c>
      <c r="AN240">
        <f xml:space="preserve"> LN([1]misc!G364)</f>
        <v>3.396184839838611</v>
      </c>
      <c r="AO240">
        <f xml:space="preserve"> LN([1]misc!J270 + [1]misc!L270)</f>
        <v>2.9532943908560232</v>
      </c>
      <c r="AP240">
        <f xml:space="preserve"> [1]Factors!B240</f>
        <v>-0.62414447900000003</v>
      </c>
      <c r="AQ240">
        <f xml:space="preserve"> [1]Factors!C240</f>
        <v>0.43564778100000001</v>
      </c>
      <c r="AR240">
        <f xml:space="preserve"> [1]Factors!D240</f>
        <v>6.1709659299999997E-2</v>
      </c>
      <c r="AS240">
        <f xml:space="preserve"> [1]Factors!E240</f>
        <v>-3.2553591E-2</v>
      </c>
      <c r="AT240">
        <f xml:space="preserve"> [1]Factors!F240</f>
        <v>3.1771298000000003E-2</v>
      </c>
    </row>
    <row r="241" spans="1:46" x14ac:dyDescent="0.25">
      <c r="A241">
        <f t="shared" si="16"/>
        <v>1978.916666666654</v>
      </c>
      <c r="B241" s="1">
        <v>28825</v>
      </c>
      <c r="C241" s="7">
        <f t="shared" si="13"/>
        <v>1978</v>
      </c>
      <c r="D241" s="7">
        <f t="shared" si="14"/>
        <v>12</v>
      </c>
      <c r="E241" s="7">
        <f t="shared" si="15"/>
        <v>4</v>
      </c>
      <c r="F241">
        <f xml:space="preserve"> [1]Coibion_update!O247</f>
        <v>3.9815807839917117</v>
      </c>
      <c r="G241">
        <f xml:space="preserve"> [1]Coibion_update!P247</f>
        <v>6</v>
      </c>
      <c r="H241">
        <f xml:space="preserve"> [1]Coibion_update!Q247</f>
        <v>4.2180360345646504</v>
      </c>
      <c r="I241">
        <f xml:space="preserve"> [1]Coibion_update!W247</f>
        <v>10.029999999999999</v>
      </c>
      <c r="J241">
        <f xml:space="preserve"> [1]Coibion_update!X247</f>
        <v>5.5244564268420451</v>
      </c>
      <c r="K241">
        <f xml:space="preserve"> [1]Coibion_update!Y247</f>
        <v>3.2033966380197407</v>
      </c>
      <c r="L241">
        <f xml:space="preserve"> [1]Coibion_update!Z247</f>
        <v>3.9324528869396542</v>
      </c>
      <c r="M241">
        <f xml:space="preserve"> [1]Coibion_update!AA247</f>
        <v>3.705121829659801</v>
      </c>
      <c r="N241">
        <f xml:space="preserve"> [1]Coibion_update!AB247</f>
        <v>-6.0163700000000001E-2</v>
      </c>
      <c r="O241">
        <f xml:space="preserve"> [1]Coibion_update!AC247</f>
        <v>-7.2443176999999999</v>
      </c>
      <c r="P241">
        <f xml:space="preserve"> [1]Coibion_update!AD247</f>
        <v>-6.0068871000000001</v>
      </c>
      <c r="X241" s="5">
        <f xml:space="preserve"> [1]misc!N324</f>
        <v>10.3</v>
      </c>
      <c r="Y241">
        <f xml:space="preserve"> [1]Gilchrist_Zak!C73</f>
        <v>-0.36830000000000002</v>
      </c>
      <c r="Z241">
        <f xml:space="preserve"> [1]Sims_Zha!B244</f>
        <v>-0.14616000000000001</v>
      </c>
      <c r="AK241">
        <v>10.84</v>
      </c>
      <c r="AL241">
        <f xml:space="preserve"> LN([1]misc!B260)</f>
        <v>5.878575765029364</v>
      </c>
      <c r="AM241">
        <f xml:space="preserve"> LN([1]misc!D260)</f>
        <v>7.2196420401307355</v>
      </c>
      <c r="AN241">
        <f xml:space="preserve"> LN([1]misc!G365)</f>
        <v>3.4451185687200834</v>
      </c>
      <c r="AO241">
        <f xml:space="preserve"> LN([1]misc!J271 + [1]misc!L271)</f>
        <v>2.9383679561644205</v>
      </c>
      <c r="AP241">
        <f xml:space="preserve"> [1]Factors!B241</f>
        <v>-0.70464647199999997</v>
      </c>
      <c r="AQ241">
        <f xml:space="preserve"> [1]Factors!C241</f>
        <v>0.31147018500000001</v>
      </c>
      <c r="AR241">
        <f xml:space="preserve"> [1]Factors!D241</f>
        <v>7.5460735500000001E-2</v>
      </c>
      <c r="AS241">
        <f xml:space="preserve"> [1]Factors!E241</f>
        <v>-0.27352486500000001</v>
      </c>
      <c r="AT241">
        <f xml:space="preserve"> [1]Factors!F241</f>
        <v>2.7805197300000001E-2</v>
      </c>
    </row>
    <row r="242" spans="1:46" x14ac:dyDescent="0.25">
      <c r="A242">
        <f t="shared" si="16"/>
        <v>1978.9999999999873</v>
      </c>
      <c r="B242" s="1">
        <v>28856</v>
      </c>
      <c r="C242" s="7">
        <f t="shared" si="13"/>
        <v>1979</v>
      </c>
      <c r="D242" s="7">
        <f t="shared" si="14"/>
        <v>1</v>
      </c>
      <c r="E242" s="7">
        <f t="shared" si="15"/>
        <v>1</v>
      </c>
      <c r="F242">
        <f xml:space="preserve"> [1]Coibion_update!O248</f>
        <v>3.9750353625696708</v>
      </c>
      <c r="G242">
        <f xml:space="preserve"> [1]Coibion_update!P248</f>
        <v>5.9</v>
      </c>
      <c r="H242">
        <f xml:space="preserve"> [1]Coibion_update!Q248</f>
        <v>4.2268337452681797</v>
      </c>
      <c r="I242">
        <f xml:space="preserve"> [1]Coibion_update!W248</f>
        <v>10.07</v>
      </c>
      <c r="J242">
        <f xml:space="preserve"> [1]Coibion_update!X248</f>
        <v>5.5425959903922051</v>
      </c>
      <c r="K242">
        <f xml:space="preserve"> [1]Coibion_update!Y248</f>
        <v>3.18333154534331</v>
      </c>
      <c r="L242">
        <f xml:space="preserve"> [1]Coibion_update!Z248</f>
        <v>3.9245047829302018</v>
      </c>
      <c r="M242">
        <f xml:space="preserve"> [1]Coibion_update!AA248</f>
        <v>3.7085840373882717</v>
      </c>
      <c r="N242">
        <f xml:space="preserve"> [1]Coibion_update!AB248</f>
        <v>0</v>
      </c>
      <c r="O242">
        <f xml:space="preserve"> [1]Coibion_update!AC248</f>
        <v>-7.2443176999999999</v>
      </c>
      <c r="P242">
        <f xml:space="preserve"> [1]Coibion_update!AD248</f>
        <v>-6.0068871000000001</v>
      </c>
      <c r="X242" s="5">
        <f xml:space="preserve"> [1]misc!N325</f>
        <v>10.41</v>
      </c>
      <c r="Y242">
        <f xml:space="preserve"> [1]Gilchrist_Zak!C74</f>
        <v>-0.23680000000000001</v>
      </c>
      <c r="Z242">
        <f xml:space="preserve"> [1]Sims_Zha!B245</f>
        <v>-0.65246999999999999</v>
      </c>
      <c r="AK242">
        <v>10.57</v>
      </c>
      <c r="AL242">
        <f xml:space="preserve"> LN([1]misc!B261)</f>
        <v>5.8822075611710325</v>
      </c>
      <c r="AM242">
        <f xml:space="preserve"> LN([1]misc!D261)</f>
        <v>7.2237332205887652</v>
      </c>
      <c r="AN242">
        <f xml:space="preserve"> LN([1]misc!G366)</f>
        <v>3.4654233539614268</v>
      </c>
      <c r="AO242">
        <f xml:space="preserve"> LN([1]misc!J272 + [1]misc!L272)</f>
        <v>2.9348138585845738</v>
      </c>
      <c r="AP242">
        <f xml:space="preserve"> [1]Factors!B242</f>
        <v>-0.43949440499999998</v>
      </c>
      <c r="AQ242">
        <f xml:space="preserve"> [1]Factors!C242</f>
        <v>0.224523163</v>
      </c>
      <c r="AR242">
        <f xml:space="preserve"> [1]Factors!D242</f>
        <v>2.2260551900000002E-2</v>
      </c>
      <c r="AS242">
        <f xml:space="preserve"> [1]Factors!E242</f>
        <v>-5.0078007100000002E-2</v>
      </c>
      <c r="AT242">
        <f xml:space="preserve"> [1]Factors!F242</f>
        <v>8.1082120300000005E-2</v>
      </c>
    </row>
    <row r="243" spans="1:46" x14ac:dyDescent="0.25">
      <c r="A243">
        <f t="shared" si="16"/>
        <v>1979.0833333333205</v>
      </c>
      <c r="B243" s="1">
        <v>28887</v>
      </c>
      <c r="C243" s="7">
        <f t="shared" si="13"/>
        <v>1979</v>
      </c>
      <c r="D243" s="7">
        <f t="shared" si="14"/>
        <v>2</v>
      </c>
      <c r="E243" s="7">
        <f t="shared" si="15"/>
        <v>1</v>
      </c>
      <c r="F243">
        <f xml:space="preserve"> [1]Coibion_update!O249</f>
        <v>3.9803786072352354</v>
      </c>
      <c r="G243">
        <f xml:space="preserve"> [1]Coibion_update!P249</f>
        <v>5.9</v>
      </c>
      <c r="H243">
        <f xml:space="preserve"> [1]Coibion_update!Q249</f>
        <v>4.2370008626236242</v>
      </c>
      <c r="I243">
        <f xml:space="preserve"> [1]Coibion_update!W249</f>
        <v>10.06</v>
      </c>
      <c r="J243">
        <f xml:space="preserve"> [1]Coibion_update!X249</f>
        <v>5.5911735302735464</v>
      </c>
      <c r="K243">
        <f xml:space="preserve"> [1]Coibion_update!Y249</f>
        <v>3.1901470780353289</v>
      </c>
      <c r="L243">
        <f xml:space="preserve"> [1]Coibion_update!Z249</f>
        <v>3.9267145541711357</v>
      </c>
      <c r="M243">
        <f xml:space="preserve"> [1]Coibion_update!AA249</f>
        <v>3.7144009913440139</v>
      </c>
      <c r="N243">
        <f xml:space="preserve"> [1]Coibion_update!AB249</f>
        <v>-0.18177650000000001</v>
      </c>
      <c r="O243">
        <f xml:space="preserve"> [1]Coibion_update!AC249</f>
        <v>-7.4260941999999996</v>
      </c>
      <c r="P243">
        <f xml:space="preserve"> [1]Coibion_update!AD249</f>
        <v>-6.1581399000000001</v>
      </c>
      <c r="X243" s="5">
        <f xml:space="preserve"> [1]misc!N326</f>
        <v>10.24</v>
      </c>
      <c r="Y243">
        <f xml:space="preserve"> [1]Gilchrist_Zak!C75</f>
        <v>-0.30199999999999999</v>
      </c>
      <c r="Z243">
        <f xml:space="preserve"> [1]Sims_Zha!B246</f>
        <v>-0.53742000000000001</v>
      </c>
      <c r="AK243">
        <v>10.24</v>
      </c>
      <c r="AL243">
        <f xml:space="preserve"> LN([1]misc!B262)</f>
        <v>5.8858262150849852</v>
      </c>
      <c r="AM243">
        <f xml:space="preserve"> LN([1]misc!D262)</f>
        <v>7.2282433031590951</v>
      </c>
      <c r="AN243">
        <f xml:space="preserve"> LN([1]misc!G367)</f>
        <v>3.4218493213930161</v>
      </c>
      <c r="AO243">
        <f xml:space="preserve"> LN([1]misc!J273 + [1]misc!L273)</f>
        <v>2.9135998840153716</v>
      </c>
      <c r="AP243">
        <f xml:space="preserve"> [1]Factors!B243</f>
        <v>-0.15996834900000001</v>
      </c>
      <c r="AQ243">
        <f xml:space="preserve"> [1]Factors!C243</f>
        <v>0.47195920899999999</v>
      </c>
      <c r="AR243">
        <f xml:space="preserve"> [1]Factors!D243</f>
        <v>9.5471431900000001E-2</v>
      </c>
      <c r="AS243">
        <f xml:space="preserve"> [1]Factors!E243</f>
        <v>-9.2764866399999996E-3</v>
      </c>
      <c r="AT243">
        <f xml:space="preserve"> [1]Factors!F243</f>
        <v>0.22641591899999999</v>
      </c>
    </row>
    <row r="244" spans="1:46" x14ac:dyDescent="0.25">
      <c r="A244">
        <f t="shared" si="16"/>
        <v>1979.1666666666538</v>
      </c>
      <c r="B244" s="1">
        <v>28915</v>
      </c>
      <c r="C244" s="7">
        <f t="shared" si="13"/>
        <v>1979</v>
      </c>
      <c r="D244" s="7">
        <f t="shared" si="14"/>
        <v>3</v>
      </c>
      <c r="E244" s="7">
        <f t="shared" si="15"/>
        <v>1</v>
      </c>
      <c r="F244">
        <f xml:space="preserve"> [1]Coibion_update!O250</f>
        <v>3.9837276633629908</v>
      </c>
      <c r="G244">
        <f xml:space="preserve"> [1]Coibion_update!P250</f>
        <v>5.8</v>
      </c>
      <c r="H244">
        <f xml:space="preserve"> [1]Coibion_update!Q250</f>
        <v>4.2470656492397643</v>
      </c>
      <c r="I244">
        <f xml:space="preserve"> [1]Coibion_update!W250</f>
        <v>10.09</v>
      </c>
      <c r="J244">
        <f xml:space="preserve"> [1]Coibion_update!X250</f>
        <v>5.6252802465012435</v>
      </c>
      <c r="K244">
        <f xml:space="preserve"> [1]Coibion_update!Y250</f>
        <v>3.1904351972363507</v>
      </c>
      <c r="L244">
        <f xml:space="preserve"> [1]Coibion_update!Z250</f>
        <v>3.9280931856056407</v>
      </c>
      <c r="M244">
        <f xml:space="preserve"> [1]Coibion_update!AA250</f>
        <v>3.7153266241287848</v>
      </c>
      <c r="N244">
        <f xml:space="preserve"> [1]Coibion_update!AB250</f>
        <v>7.3706199999999999E-2</v>
      </c>
      <c r="O244">
        <f xml:space="preserve"> [1]Coibion_update!AC250</f>
        <v>-7.3523879999999995</v>
      </c>
      <c r="P244">
        <f xml:space="preserve"> [1]Coibion_update!AD250</f>
        <v>-6.0261852999999999</v>
      </c>
      <c r="X244" s="5">
        <f xml:space="preserve"> [1]misc!N327</f>
        <v>10.25</v>
      </c>
      <c r="Y244">
        <f xml:space="preserve"> [1]Gilchrist_Zak!C76</f>
        <v>-0.10199999999999999</v>
      </c>
      <c r="Z244">
        <f xml:space="preserve"> [1]Sims_Zha!B247</f>
        <v>-0.44729999999999998</v>
      </c>
      <c r="AK244">
        <v>10.07</v>
      </c>
      <c r="AL244">
        <f xml:space="preserve"> LN([1]misc!B263)</f>
        <v>5.8930244742947293</v>
      </c>
      <c r="AM244">
        <f xml:space="preserve"> LN([1]misc!D263)</f>
        <v>7.2354750384654487</v>
      </c>
      <c r="AN244">
        <f xml:space="preserve"> LN([1]misc!G368)</f>
        <v>3.4157246809426929</v>
      </c>
      <c r="AO244">
        <f xml:space="preserve"> LN([1]misc!J274 + [1]misc!L274)</f>
        <v>2.9144679867230274</v>
      </c>
      <c r="AP244">
        <f xml:space="preserve"> [1]Factors!B244</f>
        <v>-0.32245275099999998</v>
      </c>
      <c r="AQ244">
        <f xml:space="preserve"> [1]Factors!C244</f>
        <v>0.45359757899999997</v>
      </c>
      <c r="AR244">
        <f xml:space="preserve"> [1]Factors!D244</f>
        <v>5.5551110299999998E-2</v>
      </c>
      <c r="AS244">
        <f xml:space="preserve"> [1]Factors!E244</f>
        <v>0.194243206</v>
      </c>
      <c r="AT244">
        <f xml:space="preserve"> [1]Factors!F244</f>
        <v>0.110539944</v>
      </c>
    </row>
    <row r="245" spans="1:46" x14ac:dyDescent="0.25">
      <c r="A245">
        <f t="shared" si="16"/>
        <v>1979.249999999987</v>
      </c>
      <c r="B245" s="1">
        <v>28946</v>
      </c>
      <c r="C245" s="7">
        <f t="shared" si="13"/>
        <v>1979</v>
      </c>
      <c r="D245" s="7">
        <f t="shared" si="14"/>
        <v>4</v>
      </c>
      <c r="E245" s="7">
        <f t="shared" si="15"/>
        <v>2</v>
      </c>
      <c r="F245">
        <f xml:space="preserve"> [1]Coibion_update!O251</f>
        <v>3.972805732392362</v>
      </c>
      <c r="G245">
        <f xml:space="preserve"> [1]Coibion_update!P251</f>
        <v>5.8</v>
      </c>
      <c r="H245">
        <f xml:space="preserve"> [1]Coibion_update!Q251</f>
        <v>4.257030144499196</v>
      </c>
      <c r="I245">
        <f xml:space="preserve"> [1]Coibion_update!W251</f>
        <v>10.01</v>
      </c>
      <c r="J245">
        <f xml:space="preserve"> [1]Coibion_update!X251</f>
        <v>5.6214872319293709</v>
      </c>
      <c r="K245">
        <f xml:space="preserve"> [1]Coibion_update!Y251</f>
        <v>3.170735449540266</v>
      </c>
      <c r="L245">
        <f xml:space="preserve"> [1]Coibion_update!Z251</f>
        <v>3.9143802250018243</v>
      </c>
      <c r="M245">
        <f xml:space="preserve"> [1]Coibion_update!AA251</f>
        <v>3.7183897114878772</v>
      </c>
      <c r="N245">
        <f xml:space="preserve"> [1]Coibion_update!AB251</f>
        <v>-0.1019559</v>
      </c>
      <c r="O245">
        <f xml:space="preserve"> [1]Coibion_update!AC251</f>
        <v>-7.4543438999999996</v>
      </c>
      <c r="P245">
        <f xml:space="preserve"> [1]Coibion_update!AD251</f>
        <v>-6.0899901999999999</v>
      </c>
      <c r="X245" s="5">
        <f xml:space="preserve"> [1]misc!N328</f>
        <v>10.119999999999999</v>
      </c>
      <c r="Y245">
        <f xml:space="preserve"> [1]Gilchrist_Zak!C77</f>
        <v>-0.1779</v>
      </c>
      <c r="Z245">
        <f xml:space="preserve"> [1]Sims_Zha!B248</f>
        <v>-1.2083999999999999</v>
      </c>
      <c r="AK245">
        <v>10.43</v>
      </c>
      <c r="AL245">
        <f xml:space="preserve"> LN([1]misc!B264)</f>
        <v>5.9080829381689313</v>
      </c>
      <c r="AM245">
        <f xml:space="preserve"> LN([1]misc!D264)</f>
        <v>7.2457263917270858</v>
      </c>
      <c r="AN245">
        <f xml:space="preserve"> LN([1]misc!G369)</f>
        <v>3.4334386669691734</v>
      </c>
      <c r="AO245">
        <f xml:space="preserve"> LN([1]misc!J275 + [1]misc!L275)</f>
        <v>2.9224624116262157</v>
      </c>
      <c r="AP245">
        <f xml:space="preserve"> [1]Factors!B245</f>
        <v>-0.47858974999999998</v>
      </c>
      <c r="AQ245">
        <f xml:space="preserve"> [1]Factors!C245</f>
        <v>0.47847832000000001</v>
      </c>
      <c r="AR245">
        <f xml:space="preserve"> [1]Factors!D245</f>
        <v>2.6104563899999999E-2</v>
      </c>
      <c r="AS245">
        <f xml:space="preserve"> [1]Factors!E245</f>
        <v>0.20220525</v>
      </c>
      <c r="AT245">
        <f xml:space="preserve"> [1]Factors!F245</f>
        <v>5.8925814100000001E-2</v>
      </c>
    </row>
    <row r="246" spans="1:46" x14ac:dyDescent="0.25">
      <c r="A246">
        <f t="shared" si="16"/>
        <v>1979.3333333333203</v>
      </c>
      <c r="B246" s="1">
        <v>28976</v>
      </c>
      <c r="C246" s="7">
        <f t="shared" si="13"/>
        <v>1979</v>
      </c>
      <c r="D246" s="7">
        <f t="shared" si="14"/>
        <v>5</v>
      </c>
      <c r="E246" s="7">
        <f t="shared" si="15"/>
        <v>2</v>
      </c>
      <c r="F246">
        <f xml:space="preserve"> [1]Coibion_update!O252</f>
        <v>3.9805336273181173</v>
      </c>
      <c r="G246">
        <f xml:space="preserve"> [1]Coibion_update!P252</f>
        <v>5.6</v>
      </c>
      <c r="H246">
        <f xml:space="preserve"> [1]Coibion_update!Q252</f>
        <v>4.2682978693455391</v>
      </c>
      <c r="I246">
        <f xml:space="preserve"> [1]Coibion_update!W252</f>
        <v>10.24</v>
      </c>
      <c r="J246">
        <f xml:space="preserve"> [1]Coibion_update!X252</f>
        <v>5.6244506253740703</v>
      </c>
      <c r="K246">
        <f xml:space="preserve"> [1]Coibion_update!Y252</f>
        <v>3.1750911124971788</v>
      </c>
      <c r="L246">
        <f xml:space="preserve"> [1]Coibion_update!Z252</f>
        <v>3.9230420719105794</v>
      </c>
      <c r="M246">
        <f xml:space="preserve"> [1]Coibion_update!AA252</f>
        <v>3.7173940220121375</v>
      </c>
      <c r="N246">
        <f xml:space="preserve"> [1]Coibion_update!AB252</f>
        <v>6.8625500000000006E-2</v>
      </c>
      <c r="O246">
        <f xml:space="preserve"> [1]Coibion_update!AC252</f>
        <v>-7.3857184</v>
      </c>
      <c r="P246">
        <f xml:space="preserve"> [1]Coibion_update!AD252</f>
        <v>-5.9840089000000001</v>
      </c>
      <c r="X246" s="5">
        <f xml:space="preserve"> [1]misc!N329</f>
        <v>10.119999999999999</v>
      </c>
      <c r="Y246">
        <f xml:space="preserve"> [1]Gilchrist_Zak!C78</f>
        <v>-0.26929999999999998</v>
      </c>
      <c r="Z246">
        <f xml:space="preserve"> [1]Sims_Zha!B249</f>
        <v>1.7432000000000001</v>
      </c>
      <c r="AK246">
        <v>10.31</v>
      </c>
      <c r="AL246">
        <f xml:space="preserve"> LN([1]misc!B265)</f>
        <v>5.9124213397675289</v>
      </c>
      <c r="AM246">
        <f xml:space="preserve"> LN([1]misc!D265)</f>
        <v>7.25148681728494</v>
      </c>
      <c r="AN246">
        <f xml:space="preserve"> LN([1]misc!G370)</f>
        <v>3.4074776196193057</v>
      </c>
      <c r="AO246">
        <f xml:space="preserve"> LN([1]misc!J276 + [1]misc!L276)</f>
        <v>2.87852407264845</v>
      </c>
      <c r="AP246">
        <f xml:space="preserve"> [1]Factors!B246</f>
        <v>0.26959620299999998</v>
      </c>
      <c r="AQ246">
        <f xml:space="preserve"> [1]Factors!C246</f>
        <v>0.83064516200000005</v>
      </c>
      <c r="AR246">
        <f xml:space="preserve"> [1]Factors!D246</f>
        <v>9.1320564300000004E-2</v>
      </c>
      <c r="AS246">
        <f xml:space="preserve"> [1]Factors!E246</f>
        <v>3.9432895099999997E-3</v>
      </c>
      <c r="AT246">
        <f xml:space="preserve"> [1]Factors!F246</f>
        <v>0.45688668599999999</v>
      </c>
    </row>
    <row r="247" spans="1:46" x14ac:dyDescent="0.25">
      <c r="A247">
        <f t="shared" si="16"/>
        <v>1979.4166666666536</v>
      </c>
      <c r="B247" s="1">
        <v>29007</v>
      </c>
      <c r="C247" s="7">
        <f t="shared" si="13"/>
        <v>1979</v>
      </c>
      <c r="D247" s="7">
        <f t="shared" si="14"/>
        <v>6</v>
      </c>
      <c r="E247" s="7">
        <f t="shared" si="15"/>
        <v>2</v>
      </c>
      <c r="F247">
        <f xml:space="preserve"> [1]Coibion_update!O253</f>
        <v>3.9802814739739283</v>
      </c>
      <c r="G247">
        <f xml:space="preserve"> [1]Coibion_update!P253</f>
        <v>5.7</v>
      </c>
      <c r="H247">
        <f xml:space="preserve"> [1]Coibion_update!Q253</f>
        <v>4.2794400458987809</v>
      </c>
      <c r="I247">
        <f xml:space="preserve"> [1]Coibion_update!W253</f>
        <v>10.29</v>
      </c>
      <c r="J247">
        <f xml:space="preserve"> [1]Coibion_update!X253</f>
        <v>5.6278009536335727</v>
      </c>
      <c r="K247">
        <f xml:space="preserve"> [1]Coibion_update!Y253</f>
        <v>3.1493542422095553</v>
      </c>
      <c r="L247">
        <f xml:space="preserve"> [1]Coibion_update!Z253</f>
        <v>3.9359738795839325</v>
      </c>
      <c r="M247">
        <f xml:space="preserve"> [1]Coibion_update!AA253</f>
        <v>3.7212014255760608</v>
      </c>
      <c r="N247">
        <f xml:space="preserve"> [1]Coibion_update!AB253</f>
        <v>0</v>
      </c>
      <c r="O247">
        <f xml:space="preserve"> [1]Coibion_update!AC253</f>
        <v>-7.3857184</v>
      </c>
      <c r="P247">
        <f xml:space="preserve"> [1]Coibion_update!AD253</f>
        <v>-5.9840089000000001</v>
      </c>
      <c r="X247" s="5">
        <f xml:space="preserve"> [1]misc!N330</f>
        <v>9.57</v>
      </c>
      <c r="Y247">
        <f xml:space="preserve"> [1]Gilchrist_Zak!C79</f>
        <v>-0.161</v>
      </c>
      <c r="Z247">
        <f xml:space="preserve"> [1]Sims_Zha!B250</f>
        <v>-1.6524000000000001</v>
      </c>
      <c r="AK247">
        <v>10.54</v>
      </c>
      <c r="AL247">
        <f xml:space="preserve"> LN([1]misc!B266)</f>
        <v>5.9226502311076219</v>
      </c>
      <c r="AM247">
        <f xml:space="preserve"> LN([1]misc!D266)</f>
        <v>7.2605225980898522</v>
      </c>
      <c r="AN247">
        <f xml:space="preserve"> LN([1]misc!G371)</f>
        <v>3.3995293245614584</v>
      </c>
      <c r="AO247">
        <f xml:space="preserve"> LN([1]misc!J277 + [1]misc!L277)</f>
        <v>2.9118070386162298</v>
      </c>
      <c r="AP247">
        <f xml:space="preserve"> [1]Factors!B247</f>
        <v>-0.58402094199999999</v>
      </c>
      <c r="AQ247">
        <f xml:space="preserve"> [1]Factors!C247</f>
        <v>0.54524724099999999</v>
      </c>
      <c r="AR247">
        <f xml:space="preserve"> [1]Factors!D247</f>
        <v>0.168325154</v>
      </c>
      <c r="AS247">
        <f xml:space="preserve"> [1]Factors!E247</f>
        <v>0.219641904</v>
      </c>
      <c r="AT247">
        <f xml:space="preserve"> [1]Factors!F247</f>
        <v>-0.285417115</v>
      </c>
    </row>
    <row r="248" spans="1:46" x14ac:dyDescent="0.25">
      <c r="A248">
        <f t="shared" si="16"/>
        <v>1979.4999999999868</v>
      </c>
      <c r="B248" s="1">
        <v>29037</v>
      </c>
      <c r="C248" s="7">
        <f t="shared" si="13"/>
        <v>1979</v>
      </c>
      <c r="D248" s="7">
        <f t="shared" si="14"/>
        <v>7</v>
      </c>
      <c r="E248" s="7">
        <f t="shared" si="15"/>
        <v>3</v>
      </c>
      <c r="F248">
        <f xml:space="preserve"> [1]Coibion_update!O254</f>
        <v>3.9788794630740392</v>
      </c>
      <c r="G248">
        <f xml:space="preserve"> [1]Coibion_update!P254</f>
        <v>5.7</v>
      </c>
      <c r="H248">
        <f xml:space="preserve"> [1]Coibion_update!Q254</f>
        <v>4.290459441148391</v>
      </c>
      <c r="I248">
        <f xml:space="preserve"> [1]Coibion_update!W254</f>
        <v>10.47</v>
      </c>
      <c r="J248">
        <f xml:space="preserve"> [1]Coibion_update!X254</f>
        <v>5.639208397330961</v>
      </c>
      <c r="K248">
        <f xml:space="preserve"> [1]Coibion_update!Y254</f>
        <v>3.175508928162988</v>
      </c>
      <c r="L248">
        <f xml:space="preserve"> [1]Coibion_update!Z254</f>
        <v>3.9237736948608077</v>
      </c>
      <c r="M248">
        <f xml:space="preserve"> [1]Coibion_update!AA254</f>
        <v>3.7199419795657542</v>
      </c>
      <c r="N248">
        <f xml:space="preserve"> [1]Coibion_update!AB254</f>
        <v>0.69753030000000005</v>
      </c>
      <c r="O248">
        <f xml:space="preserve"> [1]Coibion_update!AC254</f>
        <v>-6.6881880999999996</v>
      </c>
      <c r="P248">
        <f xml:space="preserve"> [1]Coibion_update!AD254</f>
        <v>-5.2198102000000004</v>
      </c>
      <c r="X248" s="5">
        <f xml:space="preserve"> [1]misc!N331</f>
        <v>9.64</v>
      </c>
      <c r="Y248">
        <f xml:space="preserve"> [1]Gilchrist_Zak!C80</f>
        <v>-0.22189999999999999</v>
      </c>
      <c r="Z248">
        <f xml:space="preserve"> [1]Sims_Zha!B251</f>
        <v>0.68654000000000004</v>
      </c>
      <c r="AK248">
        <v>10.81</v>
      </c>
      <c r="AL248">
        <f xml:space="preserve"> LN([1]misc!B267)</f>
        <v>5.9327755507593025</v>
      </c>
      <c r="AM248">
        <f xml:space="preserve"> LN([1]misc!D267)</f>
        <v>7.2687807456581277</v>
      </c>
      <c r="AN248">
        <f xml:space="preserve"> LN([1]misc!G372)</f>
        <v>3.412928304537854</v>
      </c>
      <c r="AO248">
        <f xml:space="preserve"> LN([1]misc!J278 + [1]misc!L278)</f>
        <v>2.9350263984365959</v>
      </c>
      <c r="AP248">
        <f xml:space="preserve"> [1]Factors!B248</f>
        <v>-0.193445439</v>
      </c>
      <c r="AQ248">
        <f xml:space="preserve"> [1]Factors!C248</f>
        <v>0.58272096299999998</v>
      </c>
      <c r="AR248">
        <f xml:space="preserve"> [1]Factors!D248</f>
        <v>-0.26114176700000002</v>
      </c>
      <c r="AS248">
        <f xml:space="preserve"> [1]Factors!E248</f>
        <v>0.33099526099999999</v>
      </c>
      <c r="AT248">
        <f xml:space="preserve"> [1]Factors!F248</f>
        <v>0.13658376699999999</v>
      </c>
    </row>
    <row r="249" spans="1:46" x14ac:dyDescent="0.25">
      <c r="A249">
        <f t="shared" si="16"/>
        <v>1979.5833333333201</v>
      </c>
      <c r="B249" s="1">
        <v>29068</v>
      </c>
      <c r="C249" s="7">
        <f t="shared" si="13"/>
        <v>1979</v>
      </c>
      <c r="D249" s="7">
        <f t="shared" si="14"/>
        <v>8</v>
      </c>
      <c r="E249" s="7">
        <f t="shared" si="15"/>
        <v>3</v>
      </c>
      <c r="F249">
        <f xml:space="preserve"> [1]Coibion_update!O255</f>
        <v>3.9720978290744382</v>
      </c>
      <c r="G249">
        <f xml:space="preserve"> [1]Coibion_update!P255</f>
        <v>6</v>
      </c>
      <c r="H249">
        <f xml:space="preserve"> [1]Coibion_update!Q255</f>
        <v>4.3000027991952914</v>
      </c>
      <c r="I249">
        <f xml:space="preserve"> [1]Coibion_update!W255</f>
        <v>10.94</v>
      </c>
      <c r="J249">
        <f xml:space="preserve"> [1]Coibion_update!X255</f>
        <v>5.6328233857157075</v>
      </c>
      <c r="K249">
        <f xml:space="preserve"> [1]Coibion_update!Y255</f>
        <v>3.1947060755609957</v>
      </c>
      <c r="L249">
        <f xml:space="preserve"> [1]Coibion_update!Z255</f>
        <v>3.9409796846824499</v>
      </c>
      <c r="M249">
        <f xml:space="preserve"> [1]Coibion_update!AA255</f>
        <v>3.724584378734713</v>
      </c>
      <c r="N249">
        <f xml:space="preserve"> [1]Coibion_update!AB255</f>
        <v>0.35981590000000002</v>
      </c>
      <c r="O249">
        <f xml:space="preserve"> [1]Coibion_update!AC255</f>
        <v>-6.3283721999999996</v>
      </c>
      <c r="P249">
        <f xml:space="preserve"> [1]Coibion_update!AD255</f>
        <v>-4.8993259</v>
      </c>
      <c r="X249" s="5">
        <f xml:space="preserve"> [1]misc!N332</f>
        <v>9.98</v>
      </c>
      <c r="Y249">
        <f xml:space="preserve"> [1]Gilchrist_Zak!C81</f>
        <v>-0.31509999999999999</v>
      </c>
      <c r="Z249">
        <f xml:space="preserve"> [1]Sims_Zha!B252</f>
        <v>2.5123000000000002</v>
      </c>
      <c r="AK249">
        <v>11.29</v>
      </c>
      <c r="AL249">
        <f xml:space="preserve"> LN([1]misc!B268)</f>
        <v>5.9370083613119231</v>
      </c>
      <c r="AM249">
        <f xml:space="preserve"> LN([1]misc!D268)</f>
        <v>7.2769712544151801</v>
      </c>
      <c r="AN249">
        <f xml:space="preserve"> LN([1]misc!G373)</f>
        <v>3.4075107437187473</v>
      </c>
      <c r="AO249">
        <f xml:space="preserve"> LN([1]misc!J279 + [1]misc!L279)</f>
        <v>2.9403781134219131</v>
      </c>
      <c r="AP249">
        <f xml:space="preserve"> [1]Factors!B249</f>
        <v>-8.3788032900000003E-2</v>
      </c>
      <c r="AQ249">
        <f xml:space="preserve"> [1]Factors!C249</f>
        <v>0.69011031300000003</v>
      </c>
      <c r="AR249">
        <f xml:space="preserve"> [1]Factors!D249</f>
        <v>1.1105490000000001E-2</v>
      </c>
      <c r="AS249">
        <f xml:space="preserve"> [1]Factors!E249</f>
        <v>0.169891131</v>
      </c>
      <c r="AT249">
        <f xml:space="preserve"> [1]Factors!F249</f>
        <v>0.12250549500000001</v>
      </c>
    </row>
    <row r="250" spans="1:46" x14ac:dyDescent="0.25">
      <c r="A250">
        <f t="shared" si="16"/>
        <v>1979.6666666666533</v>
      </c>
      <c r="B250" s="1">
        <v>29099</v>
      </c>
      <c r="C250" s="7">
        <f t="shared" si="13"/>
        <v>1979</v>
      </c>
      <c r="D250" s="7">
        <f t="shared" si="14"/>
        <v>9</v>
      </c>
      <c r="E250" s="7">
        <f t="shared" si="15"/>
        <v>3</v>
      </c>
      <c r="F250">
        <f xml:space="preserve"> [1]Coibion_update!O256</f>
        <v>3.9731632589895631</v>
      </c>
      <c r="G250">
        <f xml:space="preserve"> [1]Coibion_update!P256</f>
        <v>5.9</v>
      </c>
      <c r="H250">
        <f xml:space="preserve"> [1]Coibion_update!Q256</f>
        <v>4.3094559418390466</v>
      </c>
      <c r="I250">
        <f xml:space="preserve"> [1]Coibion_update!W256</f>
        <v>11.43</v>
      </c>
      <c r="J250">
        <f xml:space="preserve"> [1]Coibion_update!X256</f>
        <v>5.6387816244387867</v>
      </c>
      <c r="K250">
        <f xml:space="preserve"> [1]Coibion_update!Y256</f>
        <v>3.2073294209678287</v>
      </c>
      <c r="L250">
        <f xml:space="preserve"> [1]Coibion_update!Z256</f>
        <v>3.9435798103323636</v>
      </c>
      <c r="M250">
        <f xml:space="preserve"> [1]Coibion_update!AA256</f>
        <v>3.7243913751152959</v>
      </c>
      <c r="N250">
        <f xml:space="preserve"> [1]Coibion_update!AB256</f>
        <v>-0.1433239</v>
      </c>
      <c r="O250">
        <f xml:space="preserve"> [1]Coibion_update!AC256</f>
        <v>-6.4716961</v>
      </c>
      <c r="P250">
        <f xml:space="preserve"> [1]Coibion_update!AD256</f>
        <v>-5.1222611999999996</v>
      </c>
      <c r="X250" s="5">
        <f xml:space="preserve"> [1]misc!N333</f>
        <v>10.84</v>
      </c>
      <c r="Y250">
        <f xml:space="preserve"> [1]Gilchrist_Zak!C82</f>
        <v>-8.6900000000000005E-2</v>
      </c>
      <c r="Z250">
        <f xml:space="preserve"> [1]Sims_Zha!B253</f>
        <v>3.4112</v>
      </c>
      <c r="AK250">
        <v>12.16</v>
      </c>
      <c r="AL250">
        <f xml:space="preserve"> LN([1]misc!B269)</f>
        <v>5.938327448694853</v>
      </c>
      <c r="AM250">
        <f xml:space="preserve"> LN([1]misc!D269)</f>
        <v>7.2821424315194401</v>
      </c>
      <c r="AN250">
        <f xml:space="preserve"> LN([1]misc!G374)</f>
        <v>3.4120384048400303</v>
      </c>
      <c r="AO250">
        <f xml:space="preserve"> LN([1]misc!J280 + [1]misc!L280)</f>
        <v>2.92675725905046</v>
      </c>
      <c r="AP250">
        <f xml:space="preserve"> [1]Factors!B250</f>
        <v>0.14842829699999999</v>
      </c>
      <c r="AQ250">
        <f xml:space="preserve"> [1]Factors!C250</f>
        <v>0.76034794800000005</v>
      </c>
      <c r="AR250">
        <f xml:space="preserve"> [1]Factors!D250</f>
        <v>4.2741974600000003E-2</v>
      </c>
      <c r="AS250">
        <f xml:space="preserve"> [1]Factors!E250</f>
        <v>-5.9532882099999997E-2</v>
      </c>
      <c r="AT250">
        <f xml:space="preserve"> [1]Factors!F250</f>
        <v>6.9161404499999996E-2</v>
      </c>
    </row>
    <row r="251" spans="1:46" x14ac:dyDescent="0.25">
      <c r="A251">
        <f t="shared" si="16"/>
        <v>1979.7499999999866</v>
      </c>
      <c r="B251" s="1">
        <v>29129</v>
      </c>
      <c r="C251" s="7">
        <f t="shared" si="13"/>
        <v>1979</v>
      </c>
      <c r="D251" s="7">
        <f t="shared" si="14"/>
        <v>10</v>
      </c>
      <c r="E251" s="7">
        <f t="shared" si="15"/>
        <v>4</v>
      </c>
      <c r="F251">
        <f xml:space="preserve"> [1]Coibion_update!O257</f>
        <v>3.9784378900941237</v>
      </c>
      <c r="G251">
        <f xml:space="preserve"> [1]Coibion_update!P257</f>
        <v>6</v>
      </c>
      <c r="H251">
        <f xml:space="preserve"> [1]Coibion_update!Q257</f>
        <v>4.3201512309557941</v>
      </c>
      <c r="I251">
        <f xml:space="preserve"> [1]Coibion_update!W257</f>
        <v>13.77</v>
      </c>
      <c r="J251">
        <f xml:space="preserve"> [1]Coibion_update!X257</f>
        <v>5.6484106991212144</v>
      </c>
      <c r="K251">
        <f xml:space="preserve"> [1]Coibion_update!Y257</f>
        <v>3.1701896552911437</v>
      </c>
      <c r="L251">
        <f xml:space="preserve"> [1]Coibion_update!Z257</f>
        <v>3.939774349958971</v>
      </c>
      <c r="M251">
        <f xml:space="preserve"> [1]Coibion_update!AA257</f>
        <v>3.7303332490062968</v>
      </c>
      <c r="N251">
        <f xml:space="preserve"> [1]Coibion_update!AB257</f>
        <v>0</v>
      </c>
      <c r="O251">
        <f xml:space="preserve"> [1]Coibion_update!AC257</f>
        <v>-6.4716961</v>
      </c>
      <c r="P251">
        <f xml:space="preserve"> [1]Coibion_update!AD257</f>
        <v>-5.1222611999999996</v>
      </c>
      <c r="X251" s="5">
        <f xml:space="preserve"> [1]misc!N334</f>
        <v>12.44</v>
      </c>
      <c r="Y251">
        <f xml:space="preserve"> [1]Gilchrist_Zak!C83</f>
        <v>-0.91290000000000004</v>
      </c>
      <c r="Z251">
        <f xml:space="preserve"> [1]Sims_Zha!B254</f>
        <v>15.856999999999999</v>
      </c>
      <c r="AK251">
        <v>14.82</v>
      </c>
      <c r="AL251">
        <f xml:space="preserve"> LN([1]misc!B270)</f>
        <v>5.9422743029172107</v>
      </c>
      <c r="AM251">
        <f xml:space="preserve"> LN([1]misc!D270)</f>
        <v>7.2864656497814817</v>
      </c>
      <c r="AN251">
        <f xml:space="preserve"> LN([1]misc!G375)</f>
        <v>3.4530938274506573</v>
      </c>
      <c r="AO251">
        <f xml:space="preserve"> LN([1]misc!J281 + [1]misc!L281)</f>
        <v>2.9097930488763351</v>
      </c>
      <c r="AP251">
        <f xml:space="preserve"> [1]Factors!B251</f>
        <v>-0.29488833599999997</v>
      </c>
      <c r="AQ251">
        <f xml:space="preserve"> [1]Factors!C251</f>
        <v>0.62501056300000002</v>
      </c>
      <c r="AR251">
        <f xml:space="preserve"> [1]Factors!D251</f>
        <v>0.38268072199999997</v>
      </c>
      <c r="AS251">
        <f xml:space="preserve"> [1]Factors!E251</f>
        <v>-2.6734829599999999E-2</v>
      </c>
      <c r="AT251">
        <f xml:space="preserve"> [1]Factors!F251</f>
        <v>-0.13645946</v>
      </c>
    </row>
    <row r="252" spans="1:46" x14ac:dyDescent="0.25">
      <c r="A252">
        <f t="shared" si="16"/>
        <v>1979.8333333333198</v>
      </c>
      <c r="B252" s="1">
        <v>29160</v>
      </c>
      <c r="C252" s="7">
        <f t="shared" si="13"/>
        <v>1979</v>
      </c>
      <c r="D252" s="7">
        <f t="shared" si="14"/>
        <v>11</v>
      </c>
      <c r="E252" s="7">
        <f t="shared" si="15"/>
        <v>4</v>
      </c>
      <c r="F252">
        <f xml:space="preserve"> [1]Coibion_update!O258</f>
        <v>3.9776759054148965</v>
      </c>
      <c r="G252">
        <f xml:space="preserve"> [1]Coibion_update!P258</f>
        <v>5.9</v>
      </c>
      <c r="H252">
        <f xml:space="preserve"> [1]Coibion_update!Q258</f>
        <v>4.3307333402863311</v>
      </c>
      <c r="I252">
        <f xml:space="preserve"> [1]Coibion_update!W258</f>
        <v>13.18</v>
      </c>
      <c r="J252">
        <f xml:space="preserve"> [1]Coibion_update!X258</f>
        <v>5.6384614252009717</v>
      </c>
      <c r="K252">
        <f xml:space="preserve"> [1]Coibion_update!Y258</f>
        <v>3.1660234209639726</v>
      </c>
      <c r="L252">
        <f xml:space="preserve"> [1]Coibion_update!Z258</f>
        <v>3.9450321590350916</v>
      </c>
      <c r="M252">
        <f xml:space="preserve"> [1]Coibion_update!AA258</f>
        <v>3.7330159496020214</v>
      </c>
      <c r="N252">
        <f xml:space="preserve"> [1]Coibion_update!AB258</f>
        <v>0.1038529</v>
      </c>
      <c r="O252">
        <f xml:space="preserve"> [1]Coibion_update!AC258</f>
        <v>-6.3678432000000003</v>
      </c>
      <c r="P252">
        <f xml:space="preserve"> [1]Coibion_update!AD258</f>
        <v>-5.0760777999999993</v>
      </c>
      <c r="X252" s="5">
        <f xml:space="preserve"> [1]misc!N335</f>
        <v>12.39</v>
      </c>
      <c r="Y252">
        <f xml:space="preserve"> [1]Gilchrist_Zak!C84</f>
        <v>-0.16270000000000001</v>
      </c>
      <c r="Z252">
        <f xml:space="preserve"> [1]Sims_Zha!B255</f>
        <v>-6.4656000000000002</v>
      </c>
      <c r="AK252">
        <v>13.96</v>
      </c>
      <c r="AL252">
        <f xml:space="preserve"> LN([1]misc!B271)</f>
        <v>5.9422743029172107</v>
      </c>
      <c r="AM252">
        <f xml:space="preserve"> LN([1]misc!D271)</f>
        <v>7.2902246672959858</v>
      </c>
      <c r="AN252">
        <f xml:space="preserve"> LN([1]misc!G376)</f>
        <v>3.4738280726970627</v>
      </c>
      <c r="AO252">
        <f xml:space="preserve"> LN([1]misc!J282 + [1]misc!L282)</f>
        <v>2.9173382061259789</v>
      </c>
      <c r="AP252">
        <f xml:space="preserve"> [1]Factors!B252</f>
        <v>-0.33763698399999997</v>
      </c>
      <c r="AQ252">
        <f xml:space="preserve"> [1]Factors!C252</f>
        <v>0.76749622500000003</v>
      </c>
      <c r="AR252">
        <f xml:space="preserve"> [1]Factors!D252</f>
        <v>0.49880353599999999</v>
      </c>
      <c r="AS252">
        <f xml:space="preserve"> [1]Factors!E252</f>
        <v>-0.58680623499999995</v>
      </c>
      <c r="AT252">
        <f xml:space="preserve"> [1]Factors!F252</f>
        <v>-0.188850769</v>
      </c>
    </row>
    <row r="253" spans="1:46" x14ac:dyDescent="0.25">
      <c r="A253">
        <f t="shared" si="16"/>
        <v>1979.9166666666531</v>
      </c>
      <c r="B253" s="1">
        <v>29190</v>
      </c>
      <c r="C253" s="7">
        <f t="shared" si="13"/>
        <v>1979</v>
      </c>
      <c r="D253" s="7">
        <f t="shared" si="14"/>
        <v>12</v>
      </c>
      <c r="E253" s="7">
        <f t="shared" si="15"/>
        <v>4</v>
      </c>
      <c r="F253">
        <f xml:space="preserve"> [1]Coibion_update!O259</f>
        <v>3.9785426877692087</v>
      </c>
      <c r="G253">
        <f xml:space="preserve"> [1]Coibion_update!P259</f>
        <v>6</v>
      </c>
      <c r="H253">
        <f xml:space="preserve"> [1]Coibion_update!Q259</f>
        <v>4.3425058765115985</v>
      </c>
      <c r="I253">
        <f xml:space="preserve"> [1]Coibion_update!W259</f>
        <v>13.78</v>
      </c>
      <c r="J253">
        <f xml:space="preserve"> [1]Coibion_update!X259</f>
        <v>5.6555371620282067</v>
      </c>
      <c r="K253">
        <f xml:space="preserve"> [1]Coibion_update!Y259</f>
        <v>3.1633208307458811</v>
      </c>
      <c r="L253">
        <f xml:space="preserve"> [1]Coibion_update!Z259</f>
        <v>3.9394436010041383</v>
      </c>
      <c r="M253">
        <f xml:space="preserve"> [1]Coibion_update!AA259</f>
        <v>3.7315317725689137</v>
      </c>
      <c r="N253">
        <f xml:space="preserve"> [1]Coibion_update!AB259</f>
        <v>0</v>
      </c>
      <c r="O253">
        <f xml:space="preserve"> [1]Coibion_update!AC259</f>
        <v>-6.3678432000000003</v>
      </c>
      <c r="P253">
        <f xml:space="preserve"> [1]Coibion_update!AD259</f>
        <v>-5.0760777999999993</v>
      </c>
      <c r="X253" s="5">
        <f xml:space="preserve"> [1]misc!N336</f>
        <v>11.98</v>
      </c>
      <c r="Y253">
        <f xml:space="preserve"> [1]Gilchrist_Zak!C85</f>
        <v>0.1323</v>
      </c>
      <c r="Z253">
        <f xml:space="preserve"> [1]Sims_Zha!B256</f>
        <v>3.2317</v>
      </c>
      <c r="AK253">
        <v>14.77</v>
      </c>
      <c r="AL253">
        <f xml:space="preserve"> LN([1]misc!B272)</f>
        <v>5.9448969112916474</v>
      </c>
      <c r="AM253">
        <f xml:space="preserve"> LN([1]misc!D272)</f>
        <v>7.2955315242192169</v>
      </c>
      <c r="AN253">
        <f xml:space="preserve"> LN([1]misc!G377)</f>
        <v>3.4866408634796229</v>
      </c>
      <c r="AO253">
        <f xml:space="preserve"> LN([1]misc!J283 + [1]misc!L283)</f>
        <v>2.9574071592323232</v>
      </c>
      <c r="AP253">
        <f xml:space="preserve"> [1]Factors!B253</f>
        <v>-6.0167493000000002E-2</v>
      </c>
      <c r="AQ253">
        <f xml:space="preserve"> [1]Factors!C253</f>
        <v>0.66852635800000004</v>
      </c>
      <c r="AR253">
        <f xml:space="preserve"> [1]Factors!D253</f>
        <v>0.24866798800000001</v>
      </c>
      <c r="AS253">
        <f xml:space="preserve"> [1]Factors!E253</f>
        <v>-0.12148637800000001</v>
      </c>
      <c r="AT253">
        <f xml:space="preserve"> [1]Factors!F253</f>
        <v>-9.5769307999999997E-2</v>
      </c>
    </row>
    <row r="254" spans="1:46" x14ac:dyDescent="0.25">
      <c r="A254">
        <f t="shared" si="16"/>
        <v>1979.9999999999864</v>
      </c>
      <c r="B254" s="1">
        <v>29221</v>
      </c>
      <c r="C254" s="7">
        <f t="shared" si="13"/>
        <v>1980</v>
      </c>
      <c r="D254" s="7">
        <f t="shared" si="14"/>
        <v>1</v>
      </c>
      <c r="E254" s="7">
        <f t="shared" si="15"/>
        <v>1</v>
      </c>
      <c r="F254">
        <f xml:space="preserve"> [1]Coibion_update!O260</f>
        <v>3.9831373583145697</v>
      </c>
      <c r="G254">
        <f xml:space="preserve"> [1]Coibion_update!P260</f>
        <v>6.3</v>
      </c>
      <c r="H254">
        <f xml:space="preserve"> [1]Coibion_update!Q260</f>
        <v>4.3567088266895917</v>
      </c>
      <c r="I254">
        <f xml:space="preserve"> [1]Coibion_update!W260</f>
        <v>13.82</v>
      </c>
      <c r="J254">
        <f xml:space="preserve"> [1]Coibion_update!X260</f>
        <v>5.6582270729966986</v>
      </c>
      <c r="K254">
        <f xml:space="preserve"> [1]Coibion_update!Y260</f>
        <v>3.1939271795042359</v>
      </c>
      <c r="L254">
        <f xml:space="preserve"> [1]Coibion_update!Z260</f>
        <v>3.9432503178447185</v>
      </c>
      <c r="M254">
        <f xml:space="preserve"> [1]Coibion_update!AA260</f>
        <v>3.7360492585903264</v>
      </c>
      <c r="N254">
        <f xml:space="preserve"> [1]Coibion_update!AB260</f>
        <v>8.47353E-2</v>
      </c>
      <c r="O254">
        <f xml:space="preserve"> [1]Coibion_update!AC260</f>
        <v>-6.2831079000000001</v>
      </c>
      <c r="P254">
        <f xml:space="preserve"> [1]Coibion_update!AD260</f>
        <v>-5.0889508999999995</v>
      </c>
      <c r="X254" s="5">
        <f xml:space="preserve"> [1]misc!N337</f>
        <v>12.06</v>
      </c>
      <c r="Y254">
        <f xml:space="preserve"> [1]Gilchrist_Zak!C86</f>
        <v>-9.9500000000000005E-2</v>
      </c>
      <c r="Z254">
        <f xml:space="preserve"> [1]Sims_Zha!B257</f>
        <v>-0.15351000000000001</v>
      </c>
      <c r="AK254">
        <v>13.4</v>
      </c>
      <c r="AL254">
        <f xml:space="preserve"> LN([1]misc!B273)</f>
        <v>5.9553191004716286</v>
      </c>
      <c r="AM254">
        <f xml:space="preserve"> LN([1]misc!D273)</f>
        <v>7.3016200290239803</v>
      </c>
      <c r="AN254">
        <f xml:space="preserve"> LN([1]misc!G378)</f>
        <v>3.4937157893066839</v>
      </c>
      <c r="AO254">
        <f xml:space="preserve"> LN([1]misc!J284 + [1]misc!L284)</f>
        <v>2.9679498925415393</v>
      </c>
      <c r="AP254">
        <f xml:space="preserve"> [1]Factors!B254</f>
        <v>4.5158446499999998E-2</v>
      </c>
      <c r="AQ254">
        <f xml:space="preserve"> [1]Factors!C254</f>
        <v>0.68767937700000004</v>
      </c>
      <c r="AR254">
        <f xml:space="preserve"> [1]Factors!D254</f>
        <v>-3.47188301E-2</v>
      </c>
      <c r="AS254">
        <f xml:space="preserve"> [1]Factors!E254</f>
        <v>0.35537296699999998</v>
      </c>
      <c r="AT254">
        <f xml:space="preserve"> [1]Factors!F254</f>
        <v>-0.20155118899999999</v>
      </c>
    </row>
    <row r="255" spans="1:46" x14ac:dyDescent="0.25">
      <c r="A255">
        <f t="shared" si="16"/>
        <v>1980.0833333333196</v>
      </c>
      <c r="B255" s="1">
        <v>29252</v>
      </c>
      <c r="C255" s="7">
        <f t="shared" si="13"/>
        <v>1980</v>
      </c>
      <c r="D255" s="7">
        <f t="shared" si="14"/>
        <v>2</v>
      </c>
      <c r="E255" s="7">
        <f t="shared" si="15"/>
        <v>1</v>
      </c>
      <c r="F255">
        <f xml:space="preserve"> [1]Coibion_update!O261</f>
        <v>3.9833683077786386</v>
      </c>
      <c r="G255">
        <f xml:space="preserve"> [1]Coibion_update!P261</f>
        <v>6.3</v>
      </c>
      <c r="H255">
        <f xml:space="preserve"> [1]Coibion_update!Q261</f>
        <v>4.3694478524670215</v>
      </c>
      <c r="I255">
        <f xml:space="preserve"> [1]Coibion_update!W261</f>
        <v>14.13</v>
      </c>
      <c r="J255">
        <f xml:space="preserve"> [1]Coibion_update!X261</f>
        <v>5.6839878473280212</v>
      </c>
      <c r="K255">
        <f xml:space="preserve"> [1]Coibion_update!Y261</f>
        <v>3.153504957426533</v>
      </c>
      <c r="L255">
        <f xml:space="preserve"> [1]Coibion_update!Z261</f>
        <v>3.9436573222014073</v>
      </c>
      <c r="M255">
        <f xml:space="preserve"> [1]Coibion_update!AA261</f>
        <v>3.7305251093325684</v>
      </c>
      <c r="N255">
        <f xml:space="preserve"> [1]Coibion_update!AB261</f>
        <v>0.2826824</v>
      </c>
      <c r="O255">
        <f xml:space="preserve"> [1]Coibion_update!AC261</f>
        <v>-6.0004255000000004</v>
      </c>
      <c r="P255">
        <f xml:space="preserve"> [1]Coibion_update!AD261</f>
        <v>-4.8941266999999993</v>
      </c>
      <c r="X255" s="5">
        <f xml:space="preserve"> [1]misc!N338</f>
        <v>13.92</v>
      </c>
      <c r="Y255">
        <f xml:space="preserve"> [1]Gilchrist_Zak!C87</f>
        <v>-0.58579999999999999</v>
      </c>
      <c r="Z255">
        <f xml:space="preserve"> [1]Sims_Zha!B258</f>
        <v>2.2262</v>
      </c>
      <c r="AK255">
        <v>16.329999999999998</v>
      </c>
      <c r="AL255">
        <f xml:space="preserve"> LN([1]misc!B274)</f>
        <v>5.9664031165126108</v>
      </c>
      <c r="AM255">
        <f xml:space="preserve"> LN([1]misc!D274)</f>
        <v>7.3096138914961895</v>
      </c>
      <c r="AN255">
        <f xml:space="preserve"> LN([1]misc!G379)</f>
        <v>3.4697590490828838</v>
      </c>
      <c r="AO255">
        <f xml:space="preserve"> LN([1]misc!J285 + [1]misc!L285)</f>
        <v>2.9458590230582637</v>
      </c>
      <c r="AP255">
        <f xml:space="preserve"> [1]Factors!B255</f>
        <v>-0.152108875</v>
      </c>
      <c r="AQ255">
        <f xml:space="preserve"> [1]Factors!C255</f>
        <v>0.96208473500000002</v>
      </c>
      <c r="AR255">
        <f xml:space="preserve"> [1]Factors!D255</f>
        <v>0.22306422300000001</v>
      </c>
      <c r="AS255">
        <f xml:space="preserve"> [1]Factors!E255</f>
        <v>0.27717208700000001</v>
      </c>
      <c r="AT255">
        <f xml:space="preserve"> [1]Factors!F255</f>
        <v>-0.19339883399999999</v>
      </c>
    </row>
    <row r="256" spans="1:46" x14ac:dyDescent="0.25">
      <c r="A256">
        <f t="shared" si="16"/>
        <v>1980.1666666666529</v>
      </c>
      <c r="B256" s="1">
        <v>29281</v>
      </c>
      <c r="C256" s="7">
        <f t="shared" si="13"/>
        <v>1980</v>
      </c>
      <c r="D256" s="7">
        <f t="shared" si="14"/>
        <v>3</v>
      </c>
      <c r="E256" s="7">
        <f t="shared" si="15"/>
        <v>1</v>
      </c>
      <c r="F256">
        <f xml:space="preserve"> [1]Coibion_update!O262</f>
        <v>3.9802123541771506</v>
      </c>
      <c r="G256">
        <f xml:space="preserve"> [1]Coibion_update!P262</f>
        <v>6.3</v>
      </c>
      <c r="H256">
        <f xml:space="preserve"> [1]Coibion_update!Q262</f>
        <v>4.3832758540743137</v>
      </c>
      <c r="I256">
        <f xml:space="preserve"> [1]Coibion_update!W262</f>
        <v>17.190000000000001</v>
      </c>
      <c r="J256">
        <f xml:space="preserve"> [1]Coibion_update!X262</f>
        <v>5.6537865838905113</v>
      </c>
      <c r="K256">
        <f xml:space="preserve"> [1]Coibion_update!Y262</f>
        <v>3.1024768309839788</v>
      </c>
      <c r="L256">
        <f xml:space="preserve"> [1]Coibion_update!Z262</f>
        <v>3.9358371835274011</v>
      </c>
      <c r="M256">
        <f xml:space="preserve"> [1]Coibion_update!AA262</f>
        <v>3.7327767151511195</v>
      </c>
      <c r="N256">
        <f xml:space="preserve"> [1]Coibion_update!AB262</f>
        <v>1.4334549999999999</v>
      </c>
      <c r="O256">
        <f xml:space="preserve"> [1]Coibion_update!AC262</f>
        <v>-4.5669705</v>
      </c>
      <c r="P256">
        <f xml:space="preserve"> [1]Coibion_update!AD262</f>
        <v>-3.4715006999999991</v>
      </c>
      <c r="X256" s="5">
        <f xml:space="preserve"> [1]misc!N339</f>
        <v>15.82</v>
      </c>
      <c r="Y256">
        <f xml:space="preserve"> [1]Gilchrist_Zak!C88</f>
        <v>0.2606</v>
      </c>
      <c r="Z256">
        <f xml:space="preserve"> [1]Sims_Zha!B259</f>
        <v>21.341000000000001</v>
      </c>
      <c r="AK256">
        <v>19.850000000000001</v>
      </c>
      <c r="AL256">
        <f xml:space="preserve"> LN([1]misc!B275)</f>
        <v>5.9620357364171701</v>
      </c>
      <c r="AM256">
        <f xml:space="preserve"> LN([1]misc!D275)</f>
        <v>7.3130870448672889</v>
      </c>
      <c r="AN256">
        <f xml:space="preserve"> LN([1]misc!G380)</f>
        <v>3.4779732204642051</v>
      </c>
      <c r="AO256">
        <f xml:space="preserve"> LN([1]misc!J286 + [1]misc!L286)</f>
        <v>2.8891487881512075</v>
      </c>
      <c r="AP256">
        <f xml:space="preserve"> [1]Factors!B256</f>
        <v>-0.27274537399999998</v>
      </c>
      <c r="AQ256">
        <f xml:space="preserve"> [1]Factors!C256</f>
        <v>0.90069792800000004</v>
      </c>
      <c r="AR256">
        <f xml:space="preserve"> [1]Factors!D256</f>
        <v>0.91352046899999995</v>
      </c>
      <c r="AS256">
        <f xml:space="preserve"> [1]Factors!E256</f>
        <v>-0.37739968000000002</v>
      </c>
      <c r="AT256">
        <f xml:space="preserve"> [1]Factors!F256</f>
        <v>-0.15627988100000001</v>
      </c>
    </row>
    <row r="257" spans="1:46" x14ac:dyDescent="0.25">
      <c r="A257">
        <f t="shared" si="16"/>
        <v>1980.2499999999861</v>
      </c>
      <c r="B257" s="1">
        <v>29312</v>
      </c>
      <c r="C257" s="7">
        <f t="shared" si="13"/>
        <v>1980</v>
      </c>
      <c r="D257" s="7">
        <f t="shared" si="14"/>
        <v>4</v>
      </c>
      <c r="E257" s="7">
        <f t="shared" si="15"/>
        <v>2</v>
      </c>
      <c r="F257">
        <f xml:space="preserve"> [1]Coibion_update!O263</f>
        <v>3.9597764419048982</v>
      </c>
      <c r="G257">
        <f xml:space="preserve"> [1]Coibion_update!P263</f>
        <v>6.9</v>
      </c>
      <c r="H257">
        <f xml:space="preserve"> [1]Coibion_update!Q263</f>
        <v>4.3932138240644463</v>
      </c>
      <c r="I257">
        <f xml:space="preserve"> [1]Coibion_update!W263</f>
        <v>17.61</v>
      </c>
      <c r="J257">
        <f xml:space="preserve"> [1]Coibion_update!X263</f>
        <v>5.6077853923216745</v>
      </c>
      <c r="K257">
        <f xml:space="preserve"> [1]Coibion_update!Y263</f>
        <v>3.0442366826136058</v>
      </c>
      <c r="L257">
        <f xml:space="preserve"> [1]Coibion_update!Z263</f>
        <v>3.9309625152475407</v>
      </c>
      <c r="M257">
        <f xml:space="preserve"> [1]Coibion_update!AA263</f>
        <v>3.725886179743032</v>
      </c>
      <c r="N257">
        <f xml:space="preserve"> [1]Coibion_update!AB263</f>
        <v>-3.2502490000000002</v>
      </c>
      <c r="O257">
        <f xml:space="preserve"> [1]Coibion_update!AC263</f>
        <v>-7.8172195000000002</v>
      </c>
      <c r="P257">
        <f xml:space="preserve"> [1]Coibion_update!AD263</f>
        <v>-6.6908516999999996</v>
      </c>
      <c r="X257" s="5">
        <f xml:space="preserve"> [1]misc!N340</f>
        <v>13.3</v>
      </c>
      <c r="Y257">
        <f xml:space="preserve"> [1]Gilchrist_Zak!C89</f>
        <v>-0.73319999999999996</v>
      </c>
      <c r="Z257">
        <f xml:space="preserve"> [1]Sims_Zha!B260</f>
        <v>0.99917999999999996</v>
      </c>
      <c r="AK257">
        <v>14.64</v>
      </c>
      <c r="AL257">
        <f xml:space="preserve"> LN([1]misc!B276)</f>
        <v>5.9501215835735994</v>
      </c>
      <c r="AM257">
        <f xml:space="preserve"> LN([1]misc!D276)</f>
        <v>7.3146859792519114</v>
      </c>
      <c r="AN257">
        <f xml:space="preserve"> LN([1]misc!G381)</f>
        <v>3.5265957910564891</v>
      </c>
      <c r="AO257">
        <f xml:space="preserve"> LN([1]misc!J287 + [1]misc!L287)</f>
        <v>2.9299129325166975</v>
      </c>
      <c r="AP257">
        <f xml:space="preserve"> [1]Factors!B257</f>
        <v>-1.0342996300000001E-2</v>
      </c>
      <c r="AQ257">
        <f xml:space="preserve"> [1]Factors!C257</f>
        <v>1.0302123400000001</v>
      </c>
      <c r="AR257">
        <f xml:space="preserve"> [1]Factors!D257</f>
        <v>0.90779629900000003</v>
      </c>
      <c r="AS257">
        <f xml:space="preserve"> [1]Factors!E257</f>
        <v>-0.69434645399999995</v>
      </c>
      <c r="AT257">
        <f xml:space="preserve"> [1]Factors!F257</f>
        <v>-0.28672013099999999</v>
      </c>
    </row>
    <row r="258" spans="1:46" x14ac:dyDescent="0.25">
      <c r="A258">
        <f t="shared" si="16"/>
        <v>1980.3333333333194</v>
      </c>
      <c r="B258" s="1">
        <v>29342</v>
      </c>
      <c r="C258" s="7">
        <f t="shared" si="13"/>
        <v>1980</v>
      </c>
      <c r="D258" s="7">
        <f t="shared" si="14"/>
        <v>5</v>
      </c>
      <c r="E258" s="7">
        <f t="shared" si="15"/>
        <v>2</v>
      </c>
      <c r="F258">
        <f xml:space="preserve"> [1]Coibion_update!O264</f>
        <v>3.9352140033544463</v>
      </c>
      <c r="G258">
        <f xml:space="preserve"> [1]Coibion_update!P264</f>
        <v>7.5</v>
      </c>
      <c r="H258">
        <f xml:space="preserve"> [1]Coibion_update!Q264</f>
        <v>4.4030540018659572</v>
      </c>
      <c r="I258">
        <f xml:space="preserve"> [1]Coibion_update!W264</f>
        <v>10.98</v>
      </c>
      <c r="J258">
        <f xml:space="preserve"> [1]Coibion_update!X264</f>
        <v>5.5753807598516767</v>
      </c>
      <c r="K258">
        <f xml:space="preserve"> [1]Coibion_update!Y264</f>
        <v>3.0209125720842893</v>
      </c>
      <c r="L258">
        <f xml:space="preserve"> [1]Coibion_update!Z264</f>
        <v>3.927856983730674</v>
      </c>
      <c r="M258">
        <f xml:space="preserve"> [1]Coibion_update!AA264</f>
        <v>3.7241017998236972</v>
      </c>
      <c r="N258">
        <f xml:space="preserve"> [1]Coibion_update!AB264</f>
        <v>-0.79619989999999996</v>
      </c>
      <c r="O258">
        <f xml:space="preserve"> [1]Coibion_update!AC264</f>
        <v>-8.6134193999999997</v>
      </c>
      <c r="P258">
        <f xml:space="preserve"> [1]Coibion_update!AD264</f>
        <v>-7.4568898999999993</v>
      </c>
      <c r="X258" s="5">
        <f xml:space="preserve"> [1]misc!N341</f>
        <v>9.39</v>
      </c>
      <c r="Y258">
        <f xml:space="preserve"> [1]Gilchrist_Zak!C90</f>
        <v>2.3900000000000001E-2</v>
      </c>
      <c r="Z258">
        <f xml:space="preserve"> [1]Sims_Zha!B261</f>
        <v>-45.37</v>
      </c>
      <c r="AK258">
        <v>11.06</v>
      </c>
      <c r="AL258">
        <f xml:space="preserve"> LN([1]misc!B277)</f>
        <v>5.9527237187915514</v>
      </c>
      <c r="AM258">
        <f xml:space="preserve"> LN([1]misc!D277)</f>
        <v>7.321386949756695</v>
      </c>
      <c r="AN258">
        <f xml:space="preserve"> LN([1]misc!G382)</f>
        <v>3.4959619581065784</v>
      </c>
      <c r="AO258">
        <f xml:space="preserve"> LN([1]misc!J288 + [1]misc!L288)</f>
        <v>3.0038988362203844</v>
      </c>
      <c r="AP258">
        <f xml:space="preserve"> [1]Factors!B258</f>
        <v>1.3001317999999999</v>
      </c>
      <c r="AQ258">
        <f xml:space="preserve"> [1]Factors!C258</f>
        <v>0.90755745300000001</v>
      </c>
      <c r="AR258">
        <f xml:space="preserve"> [1]Factors!D258</f>
        <v>-0.68068083800000001</v>
      </c>
      <c r="AS258">
        <f xml:space="preserve"> [1]Factors!E258</f>
        <v>0.44152897099999999</v>
      </c>
      <c r="AT258">
        <f xml:space="preserve"> [1]Factors!F258</f>
        <v>4.6483838200000002E-2</v>
      </c>
    </row>
    <row r="259" spans="1:46" x14ac:dyDescent="0.25">
      <c r="A259">
        <f t="shared" si="16"/>
        <v>1980.4166666666526</v>
      </c>
      <c r="B259" s="1">
        <v>29373</v>
      </c>
      <c r="C259" s="7">
        <f t="shared" ref="C259:C322" si="17">YEAR(B259)</f>
        <v>1980</v>
      </c>
      <c r="D259" s="7">
        <f t="shared" ref="D259:D322" si="18">MONTH(B259)</f>
        <v>6</v>
      </c>
      <c r="E259" s="7">
        <f t="shared" ref="E259:E322" si="19">ROUNDUP(D259/3,0)</f>
        <v>2</v>
      </c>
      <c r="F259">
        <f xml:space="preserve"> [1]Coibion_update!O265</f>
        <v>3.9228758991459132</v>
      </c>
      <c r="G259">
        <f xml:space="preserve"> [1]Coibion_update!P265</f>
        <v>7.6</v>
      </c>
      <c r="H259">
        <f xml:space="preserve"> [1]Coibion_update!Q265</f>
        <v>4.4127982933406349</v>
      </c>
      <c r="I259">
        <f xml:space="preserve"> [1]Coibion_update!W265</f>
        <v>9.4700000000000006</v>
      </c>
      <c r="J259">
        <f xml:space="preserve"> [1]Coibion_update!X265</f>
        <v>5.5618348120005194</v>
      </c>
      <c r="K259">
        <f xml:space="preserve"> [1]Coibion_update!Y265</f>
        <v>3.0442366826136058</v>
      </c>
      <c r="L259">
        <f xml:space="preserve"> [1]Coibion_update!Z265</f>
        <v>3.9230618525433623</v>
      </c>
      <c r="M259">
        <f xml:space="preserve"> [1]Coibion_update!AA265</f>
        <v>3.7302373050375008</v>
      </c>
      <c r="N259">
        <f xml:space="preserve"> [1]Coibion_update!AB265</f>
        <v>0</v>
      </c>
      <c r="O259">
        <f xml:space="preserve"> [1]Coibion_update!AC265</f>
        <v>-8.6134193999999997</v>
      </c>
      <c r="P259">
        <f xml:space="preserve"> [1]Coibion_update!AD265</f>
        <v>-7.4568898999999993</v>
      </c>
      <c r="X259" s="5">
        <f xml:space="preserve"> [1]misc!N342</f>
        <v>8.16</v>
      </c>
      <c r="Y259">
        <f xml:space="preserve"> [1]Gilchrist_Zak!C91</f>
        <v>-8.2199999999999995E-2</v>
      </c>
      <c r="Z259">
        <f xml:space="preserve"> [1]Sims_Zha!B262</f>
        <v>-1.4354</v>
      </c>
      <c r="AK259">
        <v>10.44</v>
      </c>
      <c r="AL259">
        <f xml:space="preserve"> LN([1]misc!B278)</f>
        <v>5.9638363799905081</v>
      </c>
      <c r="AM259">
        <f xml:space="preserve"> LN([1]misc!D278)</f>
        <v>7.3325000018222575</v>
      </c>
      <c r="AN259">
        <f xml:space="preserve"> LN([1]misc!G383)</f>
        <v>3.4766449323702284</v>
      </c>
      <c r="AO259">
        <f xml:space="preserve"> LN([1]misc!J289 + [1]misc!L289)</f>
        <v>3.0205712169009096</v>
      </c>
      <c r="AP259">
        <f xml:space="preserve"> [1]Factors!B259</f>
        <v>1.7817468999999999</v>
      </c>
      <c r="AQ259">
        <f xml:space="preserve"> [1]Factors!C259</f>
        <v>0.67467509000000003</v>
      </c>
      <c r="AR259">
        <f xml:space="preserve"> [1]Factors!D259</f>
        <v>-1.11073888</v>
      </c>
      <c r="AS259">
        <f xml:space="preserve"> [1]Factors!E259</f>
        <v>1.5131875299999999</v>
      </c>
      <c r="AT259">
        <f xml:space="preserve"> [1]Factors!F259</f>
        <v>0.20114093199999999</v>
      </c>
    </row>
    <row r="260" spans="1:46" x14ac:dyDescent="0.25">
      <c r="A260">
        <f t="shared" si="16"/>
        <v>1980.4999999999859</v>
      </c>
      <c r="B260" s="1">
        <v>29403</v>
      </c>
      <c r="C260" s="7">
        <f t="shared" si="17"/>
        <v>1980</v>
      </c>
      <c r="D260" s="7">
        <f t="shared" si="18"/>
        <v>7</v>
      </c>
      <c r="E260" s="7">
        <f t="shared" si="19"/>
        <v>3</v>
      </c>
      <c r="F260">
        <f xml:space="preserve"> [1]Coibion_update!O266</f>
        <v>3.9150005680853948</v>
      </c>
      <c r="G260">
        <f xml:space="preserve"> [1]Coibion_update!P266</f>
        <v>7.8</v>
      </c>
      <c r="H260">
        <f xml:space="preserve"> [1]Coibion_update!Q266</f>
        <v>4.4140096805269327</v>
      </c>
      <c r="I260">
        <f xml:space="preserve"> [1]Coibion_update!W266</f>
        <v>9.0299999999999994</v>
      </c>
      <c r="J260">
        <f xml:space="preserve"> [1]Coibion_update!X266</f>
        <v>5.6153154933338705</v>
      </c>
      <c r="K260">
        <f xml:space="preserve"> [1]Coibion_update!Y266</f>
        <v>3.0951250174320259</v>
      </c>
      <c r="L260">
        <f xml:space="preserve"> [1]Coibion_update!Z266</f>
        <v>3.9225870093316226</v>
      </c>
      <c r="M260">
        <f xml:space="preserve"> [1]Coibion_update!AA266</f>
        <v>3.7342590469866463</v>
      </c>
      <c r="N260">
        <f xml:space="preserve"> [1]Coibion_update!AB266</f>
        <v>0.4034276</v>
      </c>
      <c r="O260">
        <f xml:space="preserve"> [1]Coibion_update!AC266</f>
        <v>-8.2099917999999992</v>
      </c>
      <c r="P260">
        <f xml:space="preserve"> [1]Coibion_update!AD266</f>
        <v>-7.0527244999999992</v>
      </c>
      <c r="X260" s="5">
        <f xml:space="preserve"> [1]misc!N343</f>
        <v>8.65</v>
      </c>
      <c r="Y260">
        <f xml:space="preserve"> [1]Gilchrist_Zak!C92</f>
        <v>9.6699999999999994E-2</v>
      </c>
      <c r="Z260">
        <f xml:space="preserve"> [1]Sims_Zha!B263</f>
        <v>5.1973000000000003</v>
      </c>
      <c r="AK260">
        <v>9.93</v>
      </c>
      <c r="AL260">
        <f xml:space="preserve"> LN([1]misc!B279)</f>
        <v>5.9763509092979339</v>
      </c>
      <c r="AM260">
        <f xml:space="preserve"> LN([1]misc!D279)</f>
        <v>7.3431027615721707</v>
      </c>
      <c r="AN260">
        <f xml:space="preserve"> LN([1]misc!G384)</f>
        <v>3.4527773016353347</v>
      </c>
      <c r="AO260">
        <f xml:space="preserve"> LN([1]misc!J290 + [1]misc!L290)</f>
        <v>3.0279090052492124</v>
      </c>
      <c r="AP260">
        <f xml:space="preserve"> [1]Factors!B260</f>
        <v>1.0024173000000001</v>
      </c>
      <c r="AQ260">
        <f xml:space="preserve"> [1]Factors!C260</f>
        <v>0.60289187200000005</v>
      </c>
      <c r="AR260">
        <f xml:space="preserve"> [1]Factors!D260</f>
        <v>-0.30614453899999999</v>
      </c>
      <c r="AS260">
        <f xml:space="preserve"> [1]Factors!E260</f>
        <v>0.65359853599999995</v>
      </c>
      <c r="AT260">
        <f xml:space="preserve"> [1]Factors!F260</f>
        <v>-0.274434809</v>
      </c>
    </row>
    <row r="261" spans="1:46" x14ac:dyDescent="0.25">
      <c r="A261">
        <f t="shared" si="16"/>
        <v>1980.5833333333192</v>
      </c>
      <c r="B261" s="1">
        <v>29434</v>
      </c>
      <c r="C261" s="7">
        <f t="shared" si="17"/>
        <v>1980</v>
      </c>
      <c r="D261" s="7">
        <f t="shared" si="18"/>
        <v>8</v>
      </c>
      <c r="E261" s="7">
        <f t="shared" si="19"/>
        <v>3</v>
      </c>
      <c r="F261">
        <f xml:space="preserve"> [1]Coibion_update!O267</f>
        <v>3.9189191721159875</v>
      </c>
      <c r="G261">
        <f xml:space="preserve"> [1]Coibion_update!P267</f>
        <v>7.7</v>
      </c>
      <c r="H261">
        <f xml:space="preserve"> [1]Coibion_update!Q267</f>
        <v>4.4212473478271628</v>
      </c>
      <c r="I261">
        <f xml:space="preserve"> [1]Coibion_update!W267</f>
        <v>9.61</v>
      </c>
      <c r="J261">
        <f xml:space="preserve"> [1]Coibion_update!X267</f>
        <v>5.665388086668889</v>
      </c>
      <c r="K261">
        <f xml:space="preserve"> [1]Coibion_update!Y267</f>
        <v>3.0734337812178429</v>
      </c>
      <c r="L261">
        <f xml:space="preserve"> [1]Coibion_update!Z267</f>
        <v>3.9293126739651068</v>
      </c>
      <c r="M261">
        <f xml:space="preserve"> [1]Coibion_update!AA267</f>
        <v>3.7373362293821306</v>
      </c>
      <c r="N261">
        <f xml:space="preserve"> [1]Coibion_update!AB267</f>
        <v>-8.7841799999999998E-2</v>
      </c>
      <c r="O261">
        <f xml:space="preserve"> [1]Coibion_update!AC267</f>
        <v>-8.2978335999999988</v>
      </c>
      <c r="P261">
        <f xml:space="preserve"> [1]Coibion_update!AD267</f>
        <v>-7.2524307999999991</v>
      </c>
      <c r="X261" s="5">
        <f xml:space="preserve"> [1]misc!N344</f>
        <v>10.24</v>
      </c>
      <c r="Y261">
        <f xml:space="preserve"> [1]Gilchrist_Zak!C93</f>
        <v>-3.7900000000000003E-2</v>
      </c>
      <c r="Z261">
        <f xml:space="preserve"> [1]Sims_Zha!B264</f>
        <v>9.2972000000000001</v>
      </c>
      <c r="AK261">
        <v>10.74</v>
      </c>
      <c r="AL261">
        <f xml:space="preserve"> LN([1]misc!B280)</f>
        <v>5.9894625444373091</v>
      </c>
      <c r="AM261">
        <f xml:space="preserve"> LN([1]misc!D280)</f>
        <v>7.353402176723133</v>
      </c>
      <c r="AN261">
        <f xml:space="preserve"> LN([1]misc!G385)</f>
        <v>3.3715282400001079</v>
      </c>
      <c r="AO261">
        <f xml:space="preserve"> LN([1]misc!J291 + [1]misc!L291)</f>
        <v>3.0249512122232112</v>
      </c>
      <c r="AP261">
        <f xml:space="preserve"> [1]Factors!B261</f>
        <v>0.56921381900000001</v>
      </c>
      <c r="AQ261">
        <f xml:space="preserve"> [1]Factors!C261</f>
        <v>0.28196012500000001</v>
      </c>
      <c r="AR261">
        <f xml:space="preserve"> [1]Factors!D261</f>
        <v>0.47604039399999998</v>
      </c>
      <c r="AS261">
        <f xml:space="preserve"> [1]Factors!E261</f>
        <v>-2.3170115799999998E-2</v>
      </c>
      <c r="AT261">
        <f xml:space="preserve"> [1]Factors!F261</f>
        <v>-0.28934322200000001</v>
      </c>
    </row>
    <row r="262" spans="1:46" x14ac:dyDescent="0.25">
      <c r="A262">
        <f t="shared" si="16"/>
        <v>1980.6666666666524</v>
      </c>
      <c r="B262" s="1">
        <v>29465</v>
      </c>
      <c r="C262" s="7">
        <f t="shared" si="17"/>
        <v>1980</v>
      </c>
      <c r="D262" s="7">
        <f t="shared" si="18"/>
        <v>9</v>
      </c>
      <c r="E262" s="7">
        <f t="shared" si="19"/>
        <v>3</v>
      </c>
      <c r="F262">
        <f xml:space="preserve"> [1]Coibion_update!O268</f>
        <v>3.9349892506547581</v>
      </c>
      <c r="G262">
        <f xml:space="preserve"> [1]Coibion_update!P268</f>
        <v>7.5</v>
      </c>
      <c r="H262">
        <f xml:space="preserve"> [1]Coibion_update!Q268</f>
        <v>4.4296256134731609</v>
      </c>
      <c r="I262">
        <f xml:space="preserve"> [1]Coibion_update!W268</f>
        <v>10.87</v>
      </c>
      <c r="J262">
        <f xml:space="preserve"> [1]Coibion_update!X268</f>
        <v>5.6794214737432656</v>
      </c>
      <c r="K262">
        <f xml:space="preserve"> [1]Coibion_update!Y268</f>
        <v>3.0710252575894224</v>
      </c>
      <c r="L262">
        <f xml:space="preserve"> [1]Coibion_update!Z268</f>
        <v>3.9225870093316226</v>
      </c>
      <c r="M262">
        <f xml:space="preserve"> [1]Coibion_update!AA268</f>
        <v>3.7420172962767886</v>
      </c>
      <c r="N262">
        <f xml:space="preserve"> [1]Coibion_update!AB268</f>
        <v>0.86276059999999999</v>
      </c>
      <c r="O262">
        <f xml:space="preserve"> [1]Coibion_update!AC268</f>
        <v>-7.4350729999999992</v>
      </c>
      <c r="P262">
        <f xml:space="preserve"> [1]Coibion_update!AD268</f>
        <v>-6.4809054999999987</v>
      </c>
      <c r="X262" s="5">
        <f xml:space="preserve"> [1]misc!N345</f>
        <v>11.52</v>
      </c>
      <c r="Y262">
        <f xml:space="preserve"> [1]Gilchrist_Zak!C94</f>
        <v>-7.1999999999999995E-2</v>
      </c>
      <c r="Z262">
        <f xml:space="preserve"> [1]Sims_Zha!B265</f>
        <v>9.9337</v>
      </c>
      <c r="AK262">
        <v>13.19</v>
      </c>
      <c r="AL262">
        <f xml:space="preserve"> LN([1]misc!B281)</f>
        <v>6.003393117973256</v>
      </c>
      <c r="AM262">
        <f xml:space="preserve"> LN([1]misc!D281)</f>
        <v>7.3613754289773485</v>
      </c>
      <c r="AN262">
        <f xml:space="preserve"> LN([1]misc!G386)</f>
        <v>3.3798034889744826</v>
      </c>
      <c r="AO262">
        <f xml:space="preserve"> LN([1]misc!J292 + [1]misc!L292)</f>
        <v>2.9963320936259588</v>
      </c>
      <c r="AP262">
        <f xml:space="preserve"> [1]Factors!B262</f>
        <v>-0.35067231999999998</v>
      </c>
      <c r="AQ262">
        <f xml:space="preserve"> [1]Factors!C262</f>
        <v>0.28144720699999998</v>
      </c>
      <c r="AR262">
        <f xml:space="preserve"> [1]Factors!D262</f>
        <v>0.75548451100000003</v>
      </c>
      <c r="AS262">
        <f xml:space="preserve"> [1]Factors!E262</f>
        <v>-0.18251347300000001</v>
      </c>
      <c r="AT262">
        <f xml:space="preserve"> [1]Factors!F262</f>
        <v>-0.33342691099999999</v>
      </c>
    </row>
    <row r="263" spans="1:46" x14ac:dyDescent="0.25">
      <c r="A263">
        <f t="shared" si="16"/>
        <v>1980.7499999999857</v>
      </c>
      <c r="B263" s="1">
        <v>29495</v>
      </c>
      <c r="C263" s="7">
        <f t="shared" si="17"/>
        <v>1980</v>
      </c>
      <c r="D263" s="7">
        <f t="shared" si="18"/>
        <v>10</v>
      </c>
      <c r="E263" s="7">
        <f t="shared" si="19"/>
        <v>4</v>
      </c>
      <c r="F263">
        <f xml:space="preserve"> [1]Coibion_update!O269</f>
        <v>3.9473631218731735</v>
      </c>
      <c r="G263">
        <f xml:space="preserve"> [1]Coibion_update!P269</f>
        <v>7.5</v>
      </c>
      <c r="H263">
        <f xml:space="preserve"> [1]Coibion_update!Q269</f>
        <v>4.4391156016580089</v>
      </c>
      <c r="I263">
        <f xml:space="preserve"> [1]Coibion_update!W269</f>
        <v>12.81</v>
      </c>
      <c r="J263">
        <f xml:space="preserve"> [1]Coibion_update!X269</f>
        <v>5.6923844297038322</v>
      </c>
      <c r="K263">
        <f xml:space="preserve"> [1]Coibion_update!Y269</f>
        <v>3.1156463702193284</v>
      </c>
      <c r="L263">
        <f xml:space="preserve"> [1]Coibion_update!Z269</f>
        <v>3.9301772160081883</v>
      </c>
      <c r="M263">
        <f xml:space="preserve"> [1]Coibion_update!AA269</f>
        <v>3.749339356482515</v>
      </c>
      <c r="N263">
        <f xml:space="preserve"> [1]Coibion_update!AB269</f>
        <v>1.2827059999999999</v>
      </c>
      <c r="O263">
        <f xml:space="preserve"> [1]Coibion_update!AC269</f>
        <v>-6.152366999999999</v>
      </c>
      <c r="P263">
        <f xml:space="preserve"> [1]Coibion_update!AD269</f>
        <v>-5.2645944999999985</v>
      </c>
      <c r="X263" s="5">
        <f xml:space="preserve"> [1]misc!N346</f>
        <v>12.49</v>
      </c>
      <c r="Y263">
        <f xml:space="preserve"> [1]Gilchrist_Zak!C95</f>
        <v>-0.29770000000000002</v>
      </c>
      <c r="Z263">
        <f xml:space="preserve"> [1]Sims_Zha!B266</f>
        <v>11.499000000000001</v>
      </c>
      <c r="AK263">
        <v>13.77</v>
      </c>
      <c r="AL263">
        <f xml:space="preserve"> LN([1]misc!B282)</f>
        <v>6.0137151560428022</v>
      </c>
      <c r="AM263">
        <f xml:space="preserve"> LN([1]misc!D282)</f>
        <v>7.3682134953843414</v>
      </c>
      <c r="AN263">
        <f xml:space="preserve"> LN([1]misc!G387)</f>
        <v>3.4024299550647008</v>
      </c>
      <c r="AO263">
        <f xml:space="preserve"> LN([1]misc!J293 + [1]misc!L293)</f>
        <v>2.9875488807459716</v>
      </c>
      <c r="AP263">
        <f xml:space="preserve"> [1]Factors!B263</f>
        <v>-0.45327979400000001</v>
      </c>
      <c r="AQ263">
        <f xml:space="preserve"> [1]Factors!C263</f>
        <v>0.28206073999999998</v>
      </c>
      <c r="AR263">
        <f xml:space="preserve"> [1]Factors!D263</f>
        <v>0.63123225400000005</v>
      </c>
      <c r="AS263">
        <f xml:space="preserve"> [1]Factors!E263</f>
        <v>-3.8762094900000002E-2</v>
      </c>
      <c r="AT263">
        <f xml:space="preserve"> [1]Factors!F263</f>
        <v>-0.49416437800000002</v>
      </c>
    </row>
    <row r="264" spans="1:46" x14ac:dyDescent="0.25">
      <c r="A264">
        <f t="shared" si="16"/>
        <v>1980.8333333333189</v>
      </c>
      <c r="B264" s="1">
        <v>29526</v>
      </c>
      <c r="C264" s="7">
        <f t="shared" si="17"/>
        <v>1980</v>
      </c>
      <c r="D264" s="7">
        <f t="shared" si="18"/>
        <v>11</v>
      </c>
      <c r="E264" s="7">
        <f t="shared" si="19"/>
        <v>4</v>
      </c>
      <c r="F264">
        <f xml:space="preserve"> [1]Coibion_update!O270</f>
        <v>3.9644807216134228</v>
      </c>
      <c r="G264">
        <f xml:space="preserve"> [1]Coibion_update!P270</f>
        <v>7.5</v>
      </c>
      <c r="H264">
        <f xml:space="preserve"> [1]Coibion_update!Q270</f>
        <v>4.4496852831476961</v>
      </c>
      <c r="I264">
        <f xml:space="preserve"> [1]Coibion_update!W270</f>
        <v>15.85</v>
      </c>
      <c r="J264">
        <f xml:space="preserve"> [1]Coibion_update!X270</f>
        <v>5.6986024146146592</v>
      </c>
      <c r="K264">
        <f xml:space="preserve"> [1]Coibion_update!Y270</f>
        <v>3.1105330890311684</v>
      </c>
      <c r="L264">
        <f xml:space="preserve"> [1]Coibion_update!Z270</f>
        <v>3.924445525426703</v>
      </c>
      <c r="M264">
        <f xml:space="preserve"> [1]Coibion_update!AA270</f>
        <v>3.7488685799279073</v>
      </c>
      <c r="N264">
        <f xml:space="preserve"> [1]Coibion_update!AB270</f>
        <v>1.875421</v>
      </c>
      <c r="O264">
        <f xml:space="preserve"> [1]Coibion_update!AC270</f>
        <v>-4.2769459999999988</v>
      </c>
      <c r="P264">
        <f xml:space="preserve"> [1]Coibion_update!AD270</f>
        <v>-3.3897514999999983</v>
      </c>
      <c r="X264" s="5">
        <f xml:space="preserve"> [1]misc!N347</f>
        <v>14.15</v>
      </c>
      <c r="Y264">
        <f xml:space="preserve"> [1]Gilchrist_Zak!C96</f>
        <v>0.26729999999999998</v>
      </c>
      <c r="Z264">
        <f xml:space="preserve"> [1]Sims_Zha!B267</f>
        <v>16.483000000000001</v>
      </c>
      <c r="AK264">
        <v>18.559999999999999</v>
      </c>
      <c r="AL264">
        <f xml:space="preserve"> LN([1]misc!B283)</f>
        <v>6.0178630209625128</v>
      </c>
      <c r="AM264">
        <f xml:space="preserve"> LN([1]misc!D283)</f>
        <v>7.3751304568741807</v>
      </c>
      <c r="AN264">
        <f xml:space="preserve"> LN([1]misc!G388)</f>
        <v>3.3648445521963568</v>
      </c>
      <c r="AO264">
        <f xml:space="preserve"> LN([1]misc!J294 + [1]misc!L294)</f>
        <v>3.0002719535960227</v>
      </c>
      <c r="AP264">
        <f xml:space="preserve"> [1]Factors!B264</f>
        <v>-0.60778249500000003</v>
      </c>
      <c r="AQ264">
        <f xml:space="preserve"> [1]Factors!C264</f>
        <v>0.31520868600000002</v>
      </c>
      <c r="AR264">
        <f xml:space="preserve"> [1]Factors!D264</f>
        <v>0.42460916100000001</v>
      </c>
      <c r="AS264">
        <f xml:space="preserve"> [1]Factors!E264</f>
        <v>8.9594821600000006E-3</v>
      </c>
      <c r="AT264">
        <f xml:space="preserve"> [1]Factors!F264</f>
        <v>-0.41958451600000002</v>
      </c>
    </row>
    <row r="265" spans="1:46" x14ac:dyDescent="0.25">
      <c r="A265">
        <f t="shared" si="16"/>
        <v>1980.9166666666522</v>
      </c>
      <c r="B265" s="1">
        <v>29556</v>
      </c>
      <c r="C265" s="7">
        <f t="shared" si="17"/>
        <v>1980</v>
      </c>
      <c r="D265" s="7">
        <f t="shared" si="18"/>
        <v>12</v>
      </c>
      <c r="E265" s="7">
        <f t="shared" si="19"/>
        <v>4</v>
      </c>
      <c r="F265">
        <f xml:space="preserve"> [1]Coibion_update!O271</f>
        <v>3.970331535408675</v>
      </c>
      <c r="G265">
        <f xml:space="preserve"> [1]Coibion_update!P271</f>
        <v>7.2</v>
      </c>
      <c r="H265">
        <f xml:space="preserve"> [1]Coibion_update!Q271</f>
        <v>4.4589876758100102</v>
      </c>
      <c r="I265">
        <f xml:space="preserve"> [1]Coibion_update!W271</f>
        <v>18.899999999999999</v>
      </c>
      <c r="J265">
        <f xml:space="preserve"> [1]Coibion_update!X271</f>
        <v>5.661501082399595</v>
      </c>
      <c r="K265">
        <f xml:space="preserve"> [1]Coibion_update!Y271</f>
        <v>3.1035996444229981</v>
      </c>
      <c r="L265">
        <f xml:space="preserve"> [1]Coibion_update!Z271</f>
        <v>3.931570698270515</v>
      </c>
      <c r="M265">
        <f xml:space="preserve"> [1]Coibion_update!AA271</f>
        <v>3.7595009985927077</v>
      </c>
      <c r="N265">
        <f xml:space="preserve"> [1]Coibion_update!AB271</f>
        <v>-0.64430989999999999</v>
      </c>
      <c r="O265">
        <f xml:space="preserve"> [1]Coibion_update!AC271</f>
        <v>-4.9212558999999985</v>
      </c>
      <c r="P265">
        <f xml:space="preserve"> [1]Coibion_update!AD271</f>
        <v>-4.0234319999999979</v>
      </c>
      <c r="X265" s="5">
        <f xml:space="preserve"> [1]misc!N348</f>
        <v>14.88</v>
      </c>
      <c r="Y265">
        <f xml:space="preserve"> [1]Gilchrist_Zak!C97</f>
        <v>-9.9299999999999999E-2</v>
      </c>
      <c r="Z265">
        <f xml:space="preserve"> [1]Sims_Zha!B268</f>
        <v>16.678000000000001</v>
      </c>
      <c r="AK265">
        <v>22</v>
      </c>
      <c r="AL265">
        <f xml:space="preserve"> LN([1]misc!B284)</f>
        <v>6.0124919143000577</v>
      </c>
      <c r="AM265">
        <f xml:space="preserve"> LN([1]misc!D284)</f>
        <v>7.3776339004147218</v>
      </c>
      <c r="AN265">
        <f xml:space="preserve"> LN([1]misc!G389)</f>
        <v>3.3088627704593594</v>
      </c>
      <c r="AO265">
        <f xml:space="preserve"> LN([1]misc!J295 + [1]misc!L295)</f>
        <v>3.0119992460178628</v>
      </c>
      <c r="AP265">
        <f xml:space="preserve"> [1]Factors!B265</f>
        <v>-0.710632229</v>
      </c>
      <c r="AQ265">
        <f xml:space="preserve"> [1]Factors!C265</f>
        <v>0.44299776800000001</v>
      </c>
      <c r="AR265">
        <f xml:space="preserve"> [1]Factors!D265</f>
        <v>0.69390232500000004</v>
      </c>
      <c r="AS265">
        <f xml:space="preserve"> [1]Factors!E265</f>
        <v>-0.36234864100000003</v>
      </c>
      <c r="AT265">
        <f xml:space="preserve"> [1]Factors!F265</f>
        <v>-0.44052307800000001</v>
      </c>
    </row>
    <row r="266" spans="1:46" x14ac:dyDescent="0.25">
      <c r="A266">
        <f t="shared" si="16"/>
        <v>1980.9999999999854</v>
      </c>
      <c r="B266" s="1">
        <v>29587</v>
      </c>
      <c r="C266" s="7">
        <f t="shared" si="17"/>
        <v>1981</v>
      </c>
      <c r="D266" s="7">
        <f t="shared" si="18"/>
        <v>1</v>
      </c>
      <c r="E266" s="7">
        <f t="shared" si="19"/>
        <v>1</v>
      </c>
      <c r="F266">
        <f xml:space="preserve"> [1]Coibion_update!O272</f>
        <v>3.9647881161624365</v>
      </c>
      <c r="G266">
        <f xml:space="preserve"> [1]Coibion_update!P272</f>
        <v>7.5</v>
      </c>
      <c r="H266">
        <f xml:space="preserve"> [1]Coibion_update!Q272</f>
        <v>4.4682043309149337</v>
      </c>
      <c r="I266">
        <f xml:space="preserve"> [1]Coibion_update!W272</f>
        <v>19.079999999999998</v>
      </c>
      <c r="J266">
        <f xml:space="preserve"> [1]Coibion_update!X272</f>
        <v>5.640842674882327</v>
      </c>
      <c r="K266">
        <f xml:space="preserve"> [1]Coibion_update!Y272</f>
        <v>3.116577283246194</v>
      </c>
      <c r="L266">
        <f xml:space="preserve"> [1]Coibion_update!Z272</f>
        <v>3.9433860043702857</v>
      </c>
      <c r="M266">
        <f xml:space="preserve"> [1]Coibion_update!AA272</f>
        <v>3.7528631338554841</v>
      </c>
      <c r="N266">
        <f xml:space="preserve"> [1]Coibion_update!AB272</f>
        <v>0</v>
      </c>
      <c r="O266">
        <f xml:space="preserve"> [1]Coibion_update!AC272</f>
        <v>-4.9212558999999985</v>
      </c>
      <c r="P266">
        <f xml:space="preserve"> [1]Coibion_update!AD272</f>
        <v>-4.0234319999999979</v>
      </c>
      <c r="X266" s="5">
        <f xml:space="preserve"> [1]misc!N349</f>
        <v>14.08</v>
      </c>
      <c r="Y266">
        <f xml:space="preserve"> [1]Gilchrist_Zak!C98</f>
        <v>0.32869999999999999</v>
      </c>
      <c r="Z266">
        <f xml:space="preserve"> [1]Sims_Zha!B269</f>
        <v>-3.6705000000000001</v>
      </c>
      <c r="AK266">
        <v>17.25</v>
      </c>
      <c r="AL266">
        <f xml:space="preserve"> LN([1]misc!B285)</f>
        <v>6.0193228752363783</v>
      </c>
      <c r="AM266">
        <f xml:space="preserve"> LN([1]misc!D285)</f>
        <v>7.3820621360477077</v>
      </c>
      <c r="AN266">
        <f xml:space="preserve"> LN([1]misc!G390)</f>
        <v>3.30395199722332</v>
      </c>
      <c r="AO266">
        <f xml:space="preserve"> LN([1]misc!J296 + [1]misc!L296)</f>
        <v>3.0129826269605187</v>
      </c>
      <c r="AP266">
        <f xml:space="preserve"> [1]Factors!B266</f>
        <v>-0.31503743099999998</v>
      </c>
      <c r="AQ266">
        <f xml:space="preserve"> [1]Factors!C266</f>
        <v>0.56208700199999995</v>
      </c>
      <c r="AR266">
        <f xml:space="preserve"> [1]Factors!D266</f>
        <v>0.30403382400000001</v>
      </c>
      <c r="AS266">
        <f xml:space="preserve"> [1]Factors!E266</f>
        <v>-0.41033062799999998</v>
      </c>
      <c r="AT266">
        <f xml:space="preserve"> [1]Factors!F266</f>
        <v>-0.21408102800000001</v>
      </c>
    </row>
    <row r="267" spans="1:46" x14ac:dyDescent="0.25">
      <c r="A267">
        <f t="shared" si="16"/>
        <v>1981.0833333333187</v>
      </c>
      <c r="B267" s="1">
        <v>29618</v>
      </c>
      <c r="C267" s="7">
        <f t="shared" si="17"/>
        <v>1981</v>
      </c>
      <c r="D267" s="7">
        <f t="shared" si="18"/>
        <v>2</v>
      </c>
      <c r="E267" s="7">
        <f t="shared" si="19"/>
        <v>1</v>
      </c>
      <c r="F267">
        <f xml:space="preserve"> [1]Coibion_update!O273</f>
        <v>3.9599175305373926</v>
      </c>
      <c r="G267">
        <f xml:space="preserve"> [1]Coibion_update!P273</f>
        <v>7.4</v>
      </c>
      <c r="H267">
        <f xml:space="preserve"> [1]Coibion_update!Q273</f>
        <v>4.4773368144782069</v>
      </c>
      <c r="I267">
        <f xml:space="preserve"> [1]Coibion_update!W273</f>
        <v>15.93</v>
      </c>
      <c r="J267">
        <f xml:space="preserve"> [1]Coibion_update!X273</f>
        <v>5.6111187897927817</v>
      </c>
      <c r="K267">
        <f xml:space="preserve"> [1]Coibion_update!Y273</f>
        <v>3.1421675517835368</v>
      </c>
      <c r="L267">
        <f xml:space="preserve"> [1]Coibion_update!Z273</f>
        <v>3.9360129321682424</v>
      </c>
      <c r="M267">
        <f xml:space="preserve"> [1]Coibion_update!AA273</f>
        <v>3.7470304307559665</v>
      </c>
      <c r="N267">
        <f xml:space="preserve"> [1]Coibion_update!AB273</f>
        <v>-0.74530169999999996</v>
      </c>
      <c r="O267">
        <f xml:space="preserve"> [1]Coibion_update!AC273</f>
        <v>-5.6665575999999982</v>
      </c>
      <c r="P267">
        <f xml:space="preserve"> [1]Coibion_update!AD273</f>
        <v>-4.8022977999999981</v>
      </c>
      <c r="X267" s="5">
        <f xml:space="preserve"> [1]misc!N350</f>
        <v>14.57</v>
      </c>
      <c r="Y267">
        <f xml:space="preserve"> [1]Gilchrist_Zak!C99</f>
        <v>0.1061</v>
      </c>
      <c r="Z267">
        <f xml:space="preserve"> [1]Sims_Zha!B270</f>
        <v>-21.706</v>
      </c>
      <c r="AK267">
        <v>15.53</v>
      </c>
      <c r="AL267">
        <f xml:space="preserve"> LN([1]misc!B286)</f>
        <v>6.0277964763553724</v>
      </c>
      <c r="AM267">
        <f xml:space="preserve"> LN([1]misc!D286)</f>
        <v>7.3893786369399148</v>
      </c>
      <c r="AN267">
        <f xml:space="preserve"> LN([1]misc!G391)</f>
        <v>3.2836518178071117</v>
      </c>
      <c r="AO267">
        <f xml:space="preserve"> LN([1]misc!J297 + [1]misc!L297)</f>
        <v>3.0232015155435361</v>
      </c>
      <c r="AP267">
        <f xml:space="preserve"> [1]Factors!B267</f>
        <v>0.196486045</v>
      </c>
      <c r="AQ267">
        <f xml:space="preserve"> [1]Factors!C267</f>
        <v>0.81724402500000004</v>
      </c>
      <c r="AR267">
        <f xml:space="preserve"> [1]Factors!D267</f>
        <v>-0.38156834499999998</v>
      </c>
      <c r="AS267">
        <f xml:space="preserve"> [1]Factors!E267</f>
        <v>0.432322716</v>
      </c>
      <c r="AT267">
        <f xml:space="preserve"> [1]Factors!F267</f>
        <v>-8.5799543699999994E-2</v>
      </c>
    </row>
    <row r="268" spans="1:46" x14ac:dyDescent="0.25">
      <c r="A268">
        <f t="shared" ref="A268:A331" si="20" xml:space="preserve"> A267 + 1/12</f>
        <v>1981.166666666652</v>
      </c>
      <c r="B268" s="1">
        <v>29646</v>
      </c>
      <c r="C268" s="7">
        <f t="shared" si="17"/>
        <v>1981</v>
      </c>
      <c r="D268" s="7">
        <f t="shared" si="18"/>
        <v>3</v>
      </c>
      <c r="E268" s="7">
        <f t="shared" si="19"/>
        <v>1</v>
      </c>
      <c r="F268">
        <f xml:space="preserve"> [1]Coibion_update!O274</f>
        <v>3.9651561063332847</v>
      </c>
      <c r="G268">
        <f xml:space="preserve"> [1]Coibion_update!P274</f>
        <v>7.4</v>
      </c>
      <c r="H268">
        <f xml:space="preserve"> [1]Coibion_update!Q274</f>
        <v>4.4841318576110352</v>
      </c>
      <c r="I268">
        <f xml:space="preserve"> [1]Coibion_update!W274</f>
        <v>14.7</v>
      </c>
      <c r="J268">
        <f xml:space="preserve"> [1]Coibion_update!X274</f>
        <v>5.6172073661240107</v>
      </c>
      <c r="K268">
        <f xml:space="preserve"> [1]Coibion_update!Y274</f>
        <v>3.1546572525415497</v>
      </c>
      <c r="L268">
        <f xml:space="preserve"> [1]Coibion_update!Z274</f>
        <v>3.9331972406595526</v>
      </c>
      <c r="M268">
        <f xml:space="preserve"> [1]Coibion_update!AA274</f>
        <v>3.751102797294068</v>
      </c>
      <c r="N268">
        <f xml:space="preserve"> [1]Coibion_update!AB274</f>
        <v>0.30915510000000002</v>
      </c>
      <c r="O268">
        <f xml:space="preserve"> [1]Coibion_update!AC274</f>
        <v>-5.3574024999999983</v>
      </c>
      <c r="P268">
        <f xml:space="preserve"> [1]Coibion_update!AD274</f>
        <v>-4.4970117999999983</v>
      </c>
      <c r="X268" s="5">
        <f xml:space="preserve"> [1]misc!N351</f>
        <v>13.71</v>
      </c>
      <c r="Y268">
        <f xml:space="preserve"> [1]Gilchrist_Zak!C100</f>
        <v>-3.6799999999999999E-2</v>
      </c>
      <c r="Z268">
        <f xml:space="preserve"> [1]Sims_Zha!B271</f>
        <v>-4.2336999999999998</v>
      </c>
      <c r="AK268">
        <v>14.63</v>
      </c>
      <c r="AL268">
        <f xml:space="preserve"> LN([1]misc!B287)</f>
        <v>6.0378709199221374</v>
      </c>
      <c r="AM268">
        <f xml:space="preserve"> LN([1]misc!D287)</f>
        <v>7.400376198093281</v>
      </c>
      <c r="AN268">
        <f xml:space="preserve"> LN([1]misc!G392)</f>
        <v>3.2856742904066163</v>
      </c>
      <c r="AO268">
        <f xml:space="preserve"> LN([1]misc!J298 + [1]misc!L298)</f>
        <v>3.048656736861878</v>
      </c>
      <c r="AP268">
        <f xml:space="preserve"> [1]Factors!B268</f>
        <v>0.13377699200000001</v>
      </c>
      <c r="AQ268">
        <f xml:space="preserve"> [1]Factors!C268</f>
        <v>0.57057021600000002</v>
      </c>
      <c r="AR268">
        <f xml:space="preserve"> [1]Factors!D268</f>
        <v>0.35497253000000001</v>
      </c>
      <c r="AS268">
        <f xml:space="preserve"> [1]Factors!E268</f>
        <v>3.1637473499999999E-2</v>
      </c>
      <c r="AT268">
        <f xml:space="preserve"> [1]Factors!F268</f>
        <v>-5.3166996900000001E-3</v>
      </c>
    </row>
    <row r="269" spans="1:46" x14ac:dyDescent="0.25">
      <c r="A269">
        <f t="shared" si="20"/>
        <v>1981.2499999999852</v>
      </c>
      <c r="B269" s="1">
        <v>29677</v>
      </c>
      <c r="C269" s="7">
        <f t="shared" si="17"/>
        <v>1981</v>
      </c>
      <c r="D269" s="7">
        <f t="shared" si="18"/>
        <v>4</v>
      </c>
      <c r="E269" s="7">
        <f t="shared" si="19"/>
        <v>2</v>
      </c>
      <c r="F269">
        <f xml:space="preserve"> [1]Coibion_update!O275</f>
        <v>3.960735071309891</v>
      </c>
      <c r="G269">
        <f xml:space="preserve"> [1]Coibion_update!P275</f>
        <v>7.2</v>
      </c>
      <c r="H269">
        <f xml:space="preserve"> [1]Coibion_update!Q275</f>
        <v>4.4897593344767639</v>
      </c>
      <c r="I269">
        <f xml:space="preserve"> [1]Coibion_update!W275</f>
        <v>15.72</v>
      </c>
      <c r="J269">
        <f xml:space="preserve"> [1]Coibion_update!X275</f>
        <v>5.6204008657171496</v>
      </c>
      <c r="K269">
        <f xml:space="preserve"> [1]Coibion_update!Y275</f>
        <v>3.1085251010291133</v>
      </c>
      <c r="L269">
        <f xml:space="preserve"> [1]Coibion_update!Z275</f>
        <v>3.9393657618198534</v>
      </c>
      <c r="M269">
        <f xml:space="preserve"> [1]Coibion_update!AA275</f>
        <v>3.7514785958704562</v>
      </c>
      <c r="N269">
        <f xml:space="preserve"> [1]Coibion_update!AB275</f>
        <v>0</v>
      </c>
      <c r="O269">
        <f xml:space="preserve"> [1]Coibion_update!AC275</f>
        <v>-5.3574024999999983</v>
      </c>
      <c r="P269">
        <f xml:space="preserve"> [1]Coibion_update!AD275</f>
        <v>-4.4970117999999983</v>
      </c>
      <c r="X269" s="5">
        <f xml:space="preserve"> [1]misc!N352</f>
        <v>14.32</v>
      </c>
      <c r="Y269">
        <f xml:space="preserve"> [1]Gilchrist_Zak!C101</f>
        <v>0.50270000000000004</v>
      </c>
      <c r="Z269">
        <f xml:space="preserve"> [1]Sims_Zha!B272</f>
        <v>11.648999999999999</v>
      </c>
      <c r="AK269">
        <v>18.920000000000002</v>
      </c>
      <c r="AL269">
        <f xml:space="preserve"> LN([1]misc!B288)</f>
        <v>6.0577203428850472</v>
      </c>
      <c r="AM269">
        <f xml:space="preserve"> LN([1]misc!D288)</f>
        <v>7.4140908374752632</v>
      </c>
      <c r="AN269">
        <f xml:space="preserve"> LN([1]misc!G393)</f>
        <v>3.3076922384652954</v>
      </c>
      <c r="AO269">
        <f xml:space="preserve"> LN([1]misc!J299 + [1]misc!L299)</f>
        <v>3.0376896233144981</v>
      </c>
      <c r="AP269">
        <f xml:space="preserve"> [1]Factors!B269</f>
        <v>4.18998706E-2</v>
      </c>
      <c r="AQ269">
        <f xml:space="preserve"> [1]Factors!C269</f>
        <v>0.21162694200000001</v>
      </c>
      <c r="AR269">
        <f xml:space="preserve"> [1]Factors!D269</f>
        <v>-5.9131327900000002E-2</v>
      </c>
      <c r="AS269">
        <f xml:space="preserve"> [1]Factors!E269</f>
        <v>0.57420748799999999</v>
      </c>
      <c r="AT269">
        <f xml:space="preserve"> [1]Factors!F269</f>
        <v>-6.9829685799999999E-2</v>
      </c>
    </row>
    <row r="270" spans="1:46" x14ac:dyDescent="0.25">
      <c r="A270">
        <f t="shared" si="20"/>
        <v>1981.3333333333185</v>
      </c>
      <c r="B270" s="1">
        <v>29707</v>
      </c>
      <c r="C270" s="7">
        <f t="shared" si="17"/>
        <v>1981</v>
      </c>
      <c r="D270" s="7">
        <f t="shared" si="18"/>
        <v>5</v>
      </c>
      <c r="E270" s="7">
        <f t="shared" si="19"/>
        <v>2</v>
      </c>
      <c r="F270">
        <f xml:space="preserve"> [1]Coibion_update!O276</f>
        <v>3.9668425751922527</v>
      </c>
      <c r="G270">
        <f xml:space="preserve"> [1]Coibion_update!P276</f>
        <v>7.5</v>
      </c>
      <c r="H270">
        <f xml:space="preserve"> [1]Coibion_update!Q276</f>
        <v>4.4964707690647501</v>
      </c>
      <c r="I270">
        <f xml:space="preserve"> [1]Coibion_update!W276</f>
        <v>18.52</v>
      </c>
      <c r="J270">
        <f xml:space="preserve"> [1]Coibion_update!X276</f>
        <v>5.5995324532824018</v>
      </c>
      <c r="K270">
        <f xml:space="preserve"> [1]Coibion_update!Y276</f>
        <v>3.0921781718222432</v>
      </c>
      <c r="L270">
        <f xml:space="preserve"> [1]Coibion_update!Z276</f>
        <v>3.9389375379690277</v>
      </c>
      <c r="M270">
        <f xml:space="preserve"> [1]Coibion_update!AA276</f>
        <v>3.7559771976464305</v>
      </c>
      <c r="N270">
        <f xml:space="preserve"> [1]Coibion_update!AB276</f>
        <v>1.508348</v>
      </c>
      <c r="O270">
        <f xml:space="preserve"> [1]Coibion_update!AC276</f>
        <v>-3.8490544999999985</v>
      </c>
      <c r="P270">
        <f xml:space="preserve"> [1]Coibion_update!AD276</f>
        <v>-2.9839347999999983</v>
      </c>
      <c r="X270" s="5">
        <f xml:space="preserve"> [1]misc!N353</f>
        <v>16.2</v>
      </c>
      <c r="Y270">
        <f xml:space="preserve"> [1]Gilchrist_Zak!C102</f>
        <v>0.26550000000000001</v>
      </c>
      <c r="Z270">
        <f xml:space="preserve"> [1]Sims_Zha!B273</f>
        <v>22.766999999999999</v>
      </c>
      <c r="AK270">
        <v>17.559999999999999</v>
      </c>
      <c r="AL270">
        <f xml:space="preserve"> LN([1]misc!B289)</f>
        <v>6.0513830373192254</v>
      </c>
      <c r="AM270">
        <f xml:space="preserve"> LN([1]misc!D289)</f>
        <v>7.4170998064663296</v>
      </c>
      <c r="AN270">
        <f xml:space="preserve"> LN([1]misc!G394)</f>
        <v>3.2952440977593493</v>
      </c>
      <c r="AO270">
        <f xml:space="preserve"> LN([1]misc!J300 + [1]misc!L300)</f>
        <v>3.0069194629445555</v>
      </c>
      <c r="AP270">
        <f xml:space="preserve"> [1]Factors!B270</f>
        <v>-0.120624224</v>
      </c>
      <c r="AQ270">
        <f xml:space="preserve"> [1]Factors!C270</f>
        <v>0.25325624699999999</v>
      </c>
      <c r="AR270">
        <f xml:space="preserve"> [1]Factors!D270</f>
        <v>0.26874995499999998</v>
      </c>
      <c r="AS270">
        <f xml:space="preserve"> [1]Factors!E270</f>
        <v>-0.136618974</v>
      </c>
      <c r="AT270">
        <f xml:space="preserve"> [1]Factors!F270</f>
        <v>-0.14470923899999999</v>
      </c>
    </row>
    <row r="271" spans="1:46" x14ac:dyDescent="0.25">
      <c r="A271">
        <f t="shared" si="20"/>
        <v>1981.4166666666517</v>
      </c>
      <c r="B271" s="1">
        <v>29738</v>
      </c>
      <c r="C271" s="7">
        <f t="shared" si="17"/>
        <v>1981</v>
      </c>
      <c r="D271" s="7">
        <f t="shared" si="18"/>
        <v>6</v>
      </c>
      <c r="E271" s="7">
        <f t="shared" si="19"/>
        <v>2</v>
      </c>
      <c r="F271">
        <f xml:space="preserve"> [1]Coibion_update!O277</f>
        <v>3.9713630378068721</v>
      </c>
      <c r="G271">
        <f xml:space="preserve"> [1]Coibion_update!P277</f>
        <v>7.5</v>
      </c>
      <c r="H271">
        <f xml:space="preserve"> [1]Coibion_update!Q277</f>
        <v>4.5053498507058807</v>
      </c>
      <c r="I271">
        <f xml:space="preserve"> [1]Coibion_update!W277</f>
        <v>19.100000000000001</v>
      </c>
      <c r="J271">
        <f xml:space="preserve"> [1]Coibion_update!X277</f>
        <v>5.5899416582324415</v>
      </c>
      <c r="K271">
        <f xml:space="preserve"> [1]Coibion_update!Y277</f>
        <v>3.0939473210509458</v>
      </c>
      <c r="L271">
        <f xml:space="preserve"> [1]Coibion_update!Z277</f>
        <v>3.947583180826697</v>
      </c>
      <c r="M271">
        <f xml:space="preserve"> [1]Coibion_update!AA277</f>
        <v>3.7624319148569043</v>
      </c>
      <c r="N271">
        <f xml:space="preserve"> [1]Coibion_update!AB277</f>
        <v>0</v>
      </c>
      <c r="O271">
        <f xml:space="preserve"> [1]Coibion_update!AC277</f>
        <v>-3.8490544999999985</v>
      </c>
      <c r="P271">
        <f xml:space="preserve"> [1]Coibion_update!AD277</f>
        <v>-2.9839347999999983</v>
      </c>
      <c r="X271" s="5">
        <f xml:space="preserve"> [1]misc!N354</f>
        <v>14.86</v>
      </c>
      <c r="Y271">
        <f xml:space="preserve"> [1]Gilchrist_Zak!C103</f>
        <v>0.42580000000000001</v>
      </c>
      <c r="Z271">
        <f xml:space="preserve"> [1]Sims_Zha!B274</f>
        <v>3.9731000000000001</v>
      </c>
      <c r="AK271">
        <v>18.64</v>
      </c>
      <c r="AL271">
        <f xml:space="preserve"> LN([1]misc!B290)</f>
        <v>6.0525596464677927</v>
      </c>
      <c r="AM271">
        <f xml:space="preserve"> LN([1]misc!D290)</f>
        <v>7.4207585299959016</v>
      </c>
      <c r="AN271">
        <f xml:space="preserve"> LN([1]misc!G395)</f>
        <v>3.2819257385793126</v>
      </c>
      <c r="AO271">
        <f xml:space="preserve"> LN([1]misc!J301 + [1]misc!L301)</f>
        <v>3.010423822296981</v>
      </c>
      <c r="AP271">
        <f xml:space="preserve"> [1]Factors!B271</f>
        <v>-0.29060105800000002</v>
      </c>
      <c r="AQ271">
        <f xml:space="preserve"> [1]Factors!C271</f>
        <v>0.35940750100000002</v>
      </c>
      <c r="AR271">
        <f xml:space="preserve"> [1]Factors!D271</f>
        <v>0.72609348100000004</v>
      </c>
      <c r="AS271">
        <f xml:space="preserve"> [1]Factors!E271</f>
        <v>-0.63700121200000004</v>
      </c>
      <c r="AT271">
        <f xml:space="preserve"> [1]Factors!F271</f>
        <v>-0.39385716199999998</v>
      </c>
    </row>
    <row r="272" spans="1:46" x14ac:dyDescent="0.25">
      <c r="A272">
        <f t="shared" si="20"/>
        <v>1981.499999999985</v>
      </c>
      <c r="B272" s="1">
        <v>29768</v>
      </c>
      <c r="C272" s="7">
        <f t="shared" si="17"/>
        <v>1981</v>
      </c>
      <c r="D272" s="7">
        <f t="shared" si="18"/>
        <v>7</v>
      </c>
      <c r="E272" s="7">
        <f t="shared" si="19"/>
        <v>3</v>
      </c>
      <c r="F272">
        <f xml:space="preserve"> [1]Coibion_update!O278</f>
        <v>3.9779118644490086</v>
      </c>
      <c r="G272">
        <f xml:space="preserve"> [1]Coibion_update!P278</f>
        <v>7.2</v>
      </c>
      <c r="H272">
        <f xml:space="preserve"> [1]Coibion_update!Q278</f>
        <v>4.516338972281476</v>
      </c>
      <c r="I272">
        <f xml:space="preserve"> [1]Coibion_update!W278</f>
        <v>19.04</v>
      </c>
      <c r="J272">
        <f xml:space="preserve"> [1]Coibion_update!X278</f>
        <v>5.6147690949958982</v>
      </c>
      <c r="K272">
        <f xml:space="preserve"> [1]Coibion_update!Y278</f>
        <v>3.105348719877314</v>
      </c>
      <c r="L272">
        <f xml:space="preserve"> [1]Coibion_update!Z278</f>
        <v>3.9438898217665179</v>
      </c>
      <c r="M272">
        <f xml:space="preserve"> [1]Coibion_update!AA278</f>
        <v>3.757868992261999</v>
      </c>
      <c r="N272">
        <f xml:space="preserve"> [1]Coibion_update!AB278</f>
        <v>-0.66479129999999997</v>
      </c>
      <c r="O272">
        <f xml:space="preserve"> [1]Coibion_update!AC278</f>
        <v>-4.5138457999999986</v>
      </c>
      <c r="P272">
        <f xml:space="preserve"> [1]Coibion_update!AD278</f>
        <v>-3.5974531999999986</v>
      </c>
      <c r="X272" s="5">
        <f xml:space="preserve"> [1]misc!N355</f>
        <v>15.72</v>
      </c>
      <c r="Y272">
        <f xml:space="preserve"> [1]Gilchrist_Zak!C104</f>
        <v>0.41220000000000001</v>
      </c>
      <c r="Z272">
        <f xml:space="preserve"> [1]Sims_Zha!B275</f>
        <v>-0.24623999999999999</v>
      </c>
      <c r="AK272">
        <v>17.46</v>
      </c>
      <c r="AL272">
        <f xml:space="preserve"> LN([1]misc!B291)</f>
        <v>6.0565497937639163</v>
      </c>
      <c r="AM272">
        <f xml:space="preserve"> LN([1]misc!D291)</f>
        <v>7.4276793857333869</v>
      </c>
      <c r="AN272">
        <f xml:space="preserve"> LN([1]misc!G396)</f>
        <v>3.2997551055938241</v>
      </c>
      <c r="AO272">
        <f xml:space="preserve"> LN([1]misc!J302 + [1]misc!L302)</f>
        <v>3.0278605873055127</v>
      </c>
      <c r="AP272">
        <f xml:space="preserve"> [1]Factors!B272</f>
        <v>0.33603403999999998</v>
      </c>
      <c r="AQ272">
        <f xml:space="preserve"> [1]Factors!C272</f>
        <v>0.52381388799999995</v>
      </c>
      <c r="AR272">
        <f xml:space="preserve"> [1]Factors!D272</f>
        <v>-0.44977903800000002</v>
      </c>
      <c r="AS272">
        <f xml:space="preserve"> [1]Factors!E272</f>
        <v>0.483741323</v>
      </c>
      <c r="AT272">
        <f xml:space="preserve"> [1]Factors!F272</f>
        <v>-0.118204854</v>
      </c>
    </row>
    <row r="273" spans="1:46" x14ac:dyDescent="0.25">
      <c r="A273">
        <f t="shared" si="20"/>
        <v>1981.5833333333183</v>
      </c>
      <c r="B273" s="1">
        <v>29799</v>
      </c>
      <c r="C273" s="7">
        <f t="shared" si="17"/>
        <v>1981</v>
      </c>
      <c r="D273" s="7">
        <f t="shared" si="18"/>
        <v>8</v>
      </c>
      <c r="E273" s="7">
        <f t="shared" si="19"/>
        <v>3</v>
      </c>
      <c r="F273">
        <f xml:space="preserve"> [1]Coibion_update!O279</f>
        <v>3.9775260612525445</v>
      </c>
      <c r="G273">
        <f xml:space="preserve"> [1]Coibion_update!P279</f>
        <v>7.4</v>
      </c>
      <c r="H273">
        <f xml:space="preserve"> [1]Coibion_update!Q279</f>
        <v>4.5239601305625481</v>
      </c>
      <c r="I273">
        <f xml:space="preserve"> [1]Coibion_update!W279</f>
        <v>17.82</v>
      </c>
      <c r="J273">
        <f xml:space="preserve"> [1]Coibion_update!X279</f>
        <v>5.6074184063731174</v>
      </c>
      <c r="K273">
        <f xml:space="preserve"> [1]Coibion_update!Y279</f>
        <v>3.16145855399825</v>
      </c>
      <c r="L273">
        <f xml:space="preserve"> [1]Coibion_update!Z279</f>
        <v>3.9453417206209713</v>
      </c>
      <c r="M273">
        <f xml:space="preserve"> [1]Coibion_update!AA279</f>
        <v>3.7549714554760247</v>
      </c>
      <c r="N273">
        <f xml:space="preserve"> [1]Coibion_update!AB279</f>
        <v>-8.0223600000000006E-2</v>
      </c>
      <c r="O273">
        <f xml:space="preserve"> [1]Coibion_update!AC279</f>
        <v>-4.5940693999999986</v>
      </c>
      <c r="P273">
        <f xml:space="preserve"> [1]Coibion_update!AD279</f>
        <v>-3.6415115999999985</v>
      </c>
      <c r="X273" s="5">
        <f xml:space="preserve"> [1]misc!N356</f>
        <v>16.72</v>
      </c>
      <c r="Y273">
        <f xml:space="preserve"> [1]Gilchrist_Zak!C105</f>
        <v>0.2397</v>
      </c>
      <c r="Z273">
        <f xml:space="preserve"> [1]Sims_Zha!B276</f>
        <v>-8.1491000000000007</v>
      </c>
      <c r="AK273">
        <v>16.829999999999998</v>
      </c>
      <c r="AL273">
        <f xml:space="preserve"> LN([1]misc!B292)</f>
        <v>6.0565497937639163</v>
      </c>
      <c r="AM273">
        <f xml:space="preserve"> LN([1]misc!D292)</f>
        <v>7.4350249551640601</v>
      </c>
      <c r="AN273">
        <f xml:space="preserve"> LN([1]misc!G397)</f>
        <v>3.2951329145849551</v>
      </c>
      <c r="AO273">
        <f xml:space="preserve"> LN([1]misc!J303 + [1]misc!L303)</f>
        <v>3.0452840523832387</v>
      </c>
      <c r="AP273">
        <f xml:space="preserve"> [1]Factors!B273</f>
        <v>-0.10168152900000001</v>
      </c>
      <c r="AQ273">
        <f xml:space="preserve"> [1]Factors!C273</f>
        <v>0.62009840900000002</v>
      </c>
      <c r="AR273">
        <f xml:space="preserve"> [1]Factors!D273</f>
        <v>0.22644956199999999</v>
      </c>
      <c r="AS273">
        <f xml:space="preserve"> [1]Factors!E273</f>
        <v>-0.18317766999999999</v>
      </c>
      <c r="AT273">
        <f xml:space="preserve"> [1]Factors!F273</f>
        <v>-0.47257672299999998</v>
      </c>
    </row>
    <row r="274" spans="1:46" x14ac:dyDescent="0.25">
      <c r="A274">
        <f t="shared" si="20"/>
        <v>1981.6666666666515</v>
      </c>
      <c r="B274" s="1">
        <v>29830</v>
      </c>
      <c r="C274" s="7">
        <f t="shared" si="17"/>
        <v>1981</v>
      </c>
      <c r="D274" s="7">
        <f t="shared" si="18"/>
        <v>9</v>
      </c>
      <c r="E274" s="7">
        <f t="shared" si="19"/>
        <v>3</v>
      </c>
      <c r="F274">
        <f xml:space="preserve"> [1]Coibion_update!O280</f>
        <v>3.9712801043759813</v>
      </c>
      <c r="G274">
        <f xml:space="preserve"> [1]Coibion_update!P280</f>
        <v>7.6</v>
      </c>
      <c r="H274">
        <f xml:space="preserve"> [1]Coibion_update!Q280</f>
        <v>4.5336741842830213</v>
      </c>
      <c r="I274">
        <f xml:space="preserve"> [1]Coibion_update!W280</f>
        <v>15.87</v>
      </c>
      <c r="J274">
        <f xml:space="preserve"> [1]Coibion_update!X280</f>
        <v>5.5848863197123455</v>
      </c>
      <c r="K274">
        <f xml:space="preserve"> [1]Coibion_update!Y280</f>
        <v>3.1169316889558356</v>
      </c>
      <c r="L274">
        <f xml:space="preserve"> [1]Coibion_update!Z280</f>
        <v>3.9433278552565585</v>
      </c>
      <c r="M274">
        <f xml:space="preserve"> [1]Coibion_update!AA280</f>
        <v>3.7543160093981105</v>
      </c>
      <c r="N274">
        <f xml:space="preserve"> [1]Coibion_update!AB280</f>
        <v>0</v>
      </c>
      <c r="O274">
        <f xml:space="preserve"> [1]Coibion_update!AC280</f>
        <v>-4.5940693999999986</v>
      </c>
      <c r="P274">
        <f xml:space="preserve"> [1]Coibion_update!AD280</f>
        <v>-3.6415115999999985</v>
      </c>
      <c r="X274" s="5">
        <f xml:space="preserve"> [1]misc!N357</f>
        <v>16.52</v>
      </c>
      <c r="Y274">
        <f xml:space="preserve"> [1]Gilchrist_Zak!C106</f>
        <v>0.39439999999999997</v>
      </c>
      <c r="Z274">
        <f xml:space="preserve"> [1]Sims_Zha!B277</f>
        <v>-11.651999999999999</v>
      </c>
      <c r="AK274">
        <v>16.579999999999998</v>
      </c>
      <c r="AL274">
        <f xml:space="preserve"> LN([1]misc!B293)</f>
        <v>6.0567840132286248</v>
      </c>
      <c r="AM274">
        <f xml:space="preserve"> LN([1]misc!D293)</f>
        <v>7.4419067280516247</v>
      </c>
      <c r="AN274">
        <f xml:space="preserve"> LN([1]misc!G398)</f>
        <v>3.238560798184599</v>
      </c>
      <c r="AO274">
        <f xml:space="preserve"> LN([1]misc!J304 + [1]misc!L304)</f>
        <v>3.0602082927383556</v>
      </c>
      <c r="AP274">
        <f xml:space="preserve"> [1]Factors!B274</f>
        <v>0.11023319400000001</v>
      </c>
      <c r="AQ274">
        <f xml:space="preserve"> [1]Factors!C274</f>
        <v>0.311142382</v>
      </c>
      <c r="AR274">
        <f xml:space="preserve"> [1]Factors!D274</f>
        <v>0.48756501899999999</v>
      </c>
      <c r="AS274">
        <f xml:space="preserve"> [1]Factors!E274</f>
        <v>-0.176330608</v>
      </c>
      <c r="AT274">
        <f xml:space="preserve"> [1]Factors!F274</f>
        <v>-0.25974640599999999</v>
      </c>
    </row>
    <row r="275" spans="1:46" x14ac:dyDescent="0.25">
      <c r="A275">
        <f t="shared" si="20"/>
        <v>1981.7499999999848</v>
      </c>
      <c r="B275" s="1">
        <v>29860</v>
      </c>
      <c r="C275" s="7">
        <f t="shared" si="17"/>
        <v>1981</v>
      </c>
      <c r="D275" s="7">
        <f t="shared" si="18"/>
        <v>10</v>
      </c>
      <c r="E275" s="7">
        <f t="shared" si="19"/>
        <v>4</v>
      </c>
      <c r="F275">
        <f xml:space="preserve"> [1]Coibion_update!O281</f>
        <v>3.9644067051077081</v>
      </c>
      <c r="G275">
        <f xml:space="preserve"> [1]Coibion_update!P281</f>
        <v>7.9</v>
      </c>
      <c r="H275">
        <f xml:space="preserve"> [1]Coibion_update!Q281</f>
        <v>4.536891345234797</v>
      </c>
      <c r="I275">
        <f xml:space="preserve"> [1]Coibion_update!W281</f>
        <v>15.08</v>
      </c>
      <c r="J275">
        <f xml:space="preserve"> [1]Coibion_update!X281</f>
        <v>5.561488997315319</v>
      </c>
      <c r="K275">
        <f xml:space="preserve"> [1]Coibion_update!Y281</f>
        <v>3.0589417869518751</v>
      </c>
      <c r="L275">
        <f xml:space="preserve"> [1]Coibion_update!Z281</f>
        <v>3.9457672113923068</v>
      </c>
      <c r="M275">
        <f xml:space="preserve"> [1]Coibion_update!AA281</f>
        <v>3.7559070624022728</v>
      </c>
      <c r="N275">
        <f xml:space="preserve"> [1]Coibion_update!AB281</f>
        <v>-0.54621699999999995</v>
      </c>
      <c r="O275">
        <f xml:space="preserve"> [1]Coibion_update!AC281</f>
        <v>-5.140286399999999</v>
      </c>
      <c r="P275">
        <f xml:space="preserve"> [1]Coibion_update!AD281</f>
        <v>-4.2146972999999983</v>
      </c>
      <c r="X275" s="5">
        <f xml:space="preserve"> [1]misc!N358</f>
        <v>15.38</v>
      </c>
      <c r="Y275">
        <f xml:space="preserve"> [1]Gilchrist_Zak!C107</f>
        <v>0.56989999999999996</v>
      </c>
      <c r="Z275">
        <f xml:space="preserve"> [1]Sims_Zha!B278</f>
        <v>-2.3218000000000001</v>
      </c>
      <c r="AK275">
        <v>14.44</v>
      </c>
      <c r="AL275">
        <f xml:space="preserve"> LN([1]misc!B294)</f>
        <v>6.0600573385735936</v>
      </c>
      <c r="AM275">
        <f xml:space="preserve"> LN([1]misc!D294)</f>
        <v>7.4511255342238538</v>
      </c>
      <c r="AN275">
        <f xml:space="preserve"> LN([1]misc!G399)</f>
        <v>3.2460628847121646</v>
      </c>
      <c r="AO275">
        <f xml:space="preserve"> LN([1]misc!J305 + [1]misc!L305)</f>
        <v>3.0705150179976766</v>
      </c>
      <c r="AP275">
        <f xml:space="preserve"> [1]Factors!B275</f>
        <v>0.51651883499999995</v>
      </c>
      <c r="AQ275">
        <f xml:space="preserve"> [1]Factors!C275</f>
        <v>0.33607778999999999</v>
      </c>
      <c r="AR275">
        <f xml:space="preserve"> [1]Factors!D275</f>
        <v>0.39827370000000001</v>
      </c>
      <c r="AS275">
        <f xml:space="preserve"> [1]Factors!E275</f>
        <v>0.16221893100000001</v>
      </c>
      <c r="AT275">
        <f xml:space="preserve"> [1]Factors!F275</f>
        <v>-1.3417862799999999E-2</v>
      </c>
    </row>
    <row r="276" spans="1:46" x14ac:dyDescent="0.25">
      <c r="A276">
        <f t="shared" si="20"/>
        <v>1981.833333333318</v>
      </c>
      <c r="B276" s="1">
        <v>29891</v>
      </c>
      <c r="C276" s="7">
        <f t="shared" si="17"/>
        <v>1981</v>
      </c>
      <c r="D276" s="7">
        <f t="shared" si="18"/>
        <v>11</v>
      </c>
      <c r="E276" s="7">
        <f t="shared" si="19"/>
        <v>4</v>
      </c>
      <c r="F276">
        <f xml:space="preserve"> [1]Coibion_update!O282</f>
        <v>3.9529192371927486</v>
      </c>
      <c r="G276">
        <f xml:space="preserve"> [1]Coibion_update!P282</f>
        <v>8.3000000000000007</v>
      </c>
      <c r="H276">
        <f xml:space="preserve"> [1]Coibion_update!Q282</f>
        <v>4.5411648560121787</v>
      </c>
      <c r="I276">
        <f xml:space="preserve"> [1]Coibion_update!W282</f>
        <v>13.31</v>
      </c>
      <c r="J276">
        <f xml:space="preserve"> [1]Coibion_update!X282</f>
        <v>5.5413027600757854</v>
      </c>
      <c r="K276">
        <f xml:space="preserve"> [1]Coibion_update!Y282</f>
        <v>3.0536709384744372</v>
      </c>
      <c r="L276">
        <f xml:space="preserve"> [1]Coibion_update!Z282</f>
        <v>3.94495475366312</v>
      </c>
      <c r="M276">
        <f xml:space="preserve"> [1]Coibion_update!AA282</f>
        <v>3.7536367013292149</v>
      </c>
      <c r="N276">
        <f xml:space="preserve"> [1]Coibion_update!AB282</f>
        <v>-0.40944390000000003</v>
      </c>
      <c r="O276">
        <f xml:space="preserve"> [1]Coibion_update!AC282</f>
        <v>-5.5497302999999993</v>
      </c>
      <c r="P276">
        <f xml:space="preserve"> [1]Coibion_update!AD282</f>
        <v>-4.5691349999999984</v>
      </c>
      <c r="X276" s="5">
        <f xml:space="preserve"> [1]misc!N359</f>
        <v>12.41</v>
      </c>
      <c r="Y276">
        <f xml:space="preserve"> [1]Gilchrist_Zak!C108</f>
        <v>0.155</v>
      </c>
      <c r="Z276">
        <f xml:space="preserve"> [1]Sims_Zha!B279</f>
        <v>-8.2824000000000009</v>
      </c>
      <c r="AK276">
        <v>12.44</v>
      </c>
      <c r="AL276">
        <f xml:space="preserve"> LN([1]misc!B295)</f>
        <v>6.0668039036537973</v>
      </c>
      <c r="AM276">
        <f xml:space="preserve"> LN([1]misc!D295)</f>
        <v>7.4593964972479023</v>
      </c>
      <c r="AN276">
        <f xml:space="preserve"> LN([1]misc!G400)</f>
        <v>3.2538567937634464</v>
      </c>
      <c r="AO276">
        <f xml:space="preserve"> LN([1]misc!J306 + [1]misc!L306)</f>
        <v>3.0837431508767041</v>
      </c>
      <c r="AP276">
        <f xml:space="preserve"> [1]Factors!B276</f>
        <v>0.71332262400000002</v>
      </c>
      <c r="AQ276">
        <f xml:space="preserve"> [1]Factors!C276</f>
        <v>1.0679601900000001E-3</v>
      </c>
      <c r="AR276">
        <f xml:space="preserve"> [1]Factors!D276</f>
        <v>1.99850019E-2</v>
      </c>
      <c r="AS276">
        <f xml:space="preserve"> [1]Factors!E276</f>
        <v>0.39767306200000002</v>
      </c>
      <c r="AT276">
        <f xml:space="preserve"> [1]Factors!F276</f>
        <v>-0.102662564</v>
      </c>
    </row>
    <row r="277" spans="1:46" x14ac:dyDescent="0.25">
      <c r="A277">
        <f t="shared" si="20"/>
        <v>1981.9166666666513</v>
      </c>
      <c r="B277" s="1">
        <v>29921</v>
      </c>
      <c r="C277" s="7">
        <f t="shared" si="17"/>
        <v>1981</v>
      </c>
      <c r="D277" s="7">
        <f t="shared" si="18"/>
        <v>12</v>
      </c>
      <c r="E277" s="7">
        <f t="shared" si="19"/>
        <v>4</v>
      </c>
      <c r="F277">
        <f xml:space="preserve"> [1]Coibion_update!O283</f>
        <v>3.9417720808287409</v>
      </c>
      <c r="G277">
        <f xml:space="preserve"> [1]Coibion_update!P283</f>
        <v>8.5</v>
      </c>
      <c r="H277">
        <f xml:space="preserve"> [1]Coibion_update!Q283</f>
        <v>4.5443580465913342</v>
      </c>
      <c r="I277">
        <f xml:space="preserve"> [1]Coibion_update!W283</f>
        <v>12.37</v>
      </c>
      <c r="J277">
        <f xml:space="preserve"> [1]Coibion_update!X283</f>
        <v>5.5179748485774143</v>
      </c>
      <c r="K277">
        <f xml:space="preserve"> [1]Coibion_update!Y283</f>
        <v>3.0483721608781704</v>
      </c>
      <c r="L277">
        <f xml:space="preserve"> [1]Coibion_update!Z283</f>
        <v>3.9532801052763475</v>
      </c>
      <c r="M277">
        <f xml:space="preserve"> [1]Coibion_update!AA283</f>
        <v>3.7603625557358007</v>
      </c>
      <c r="N277">
        <f xml:space="preserve"> [1]Coibion_update!AB283</f>
        <v>0.1070532</v>
      </c>
      <c r="O277">
        <f xml:space="preserve"> [1]Coibion_update!AC283</f>
        <v>-5.4426770999999992</v>
      </c>
      <c r="P277">
        <f xml:space="preserve"> [1]Coibion_update!AD283</f>
        <v>-4.4681484999999981</v>
      </c>
      <c r="X277" s="5">
        <f xml:space="preserve"> [1]misc!N360</f>
        <v>12.85</v>
      </c>
      <c r="Y277">
        <f xml:space="preserve"> [1]Gilchrist_Zak!C109</f>
        <v>0.54110000000000003</v>
      </c>
      <c r="Z277">
        <f xml:space="preserve"> [1]Sims_Zha!B280</f>
        <v>-1.256</v>
      </c>
      <c r="AK277">
        <v>13.13</v>
      </c>
      <c r="AL277">
        <f xml:space="preserve"> LN([1]misc!B296)</f>
        <v>6.0792464604915155</v>
      </c>
      <c r="AM277">
        <f xml:space="preserve"> LN([1]misc!D296)</f>
        <v>7.4705089956084869</v>
      </c>
      <c r="AN277">
        <f xml:space="preserve"> LN([1]misc!G401)</f>
        <v>3.2644990748926177</v>
      </c>
      <c r="AO277">
        <f xml:space="preserve"> LN([1]misc!J307 + [1]misc!L307)</f>
        <v>3.0889949040136808</v>
      </c>
      <c r="AP277">
        <f xml:space="preserve"> [1]Factors!B277</f>
        <v>1.20379776</v>
      </c>
      <c r="AQ277">
        <f xml:space="preserve"> [1]Factors!C277</f>
        <v>0.114113114</v>
      </c>
      <c r="AR277">
        <f xml:space="preserve"> [1]Factors!D277</f>
        <v>-0.67203933199999999</v>
      </c>
      <c r="AS277">
        <f xml:space="preserve"> [1]Factors!E277</f>
        <v>1.1478011699999999</v>
      </c>
      <c r="AT277">
        <f xml:space="preserve"> [1]Factors!F277</f>
        <v>-2.75686565E-2</v>
      </c>
    </row>
    <row r="278" spans="1:46" x14ac:dyDescent="0.25">
      <c r="A278">
        <f t="shared" si="20"/>
        <v>1981.9999999999845</v>
      </c>
      <c r="B278" s="1">
        <v>29952</v>
      </c>
      <c r="C278" s="7">
        <f t="shared" si="17"/>
        <v>1982</v>
      </c>
      <c r="D278" s="7">
        <f t="shared" si="18"/>
        <v>1</v>
      </c>
      <c r="E278" s="7">
        <f t="shared" si="19"/>
        <v>1</v>
      </c>
      <c r="F278">
        <f xml:space="preserve"> [1]Coibion_update!O284</f>
        <v>3.9218763018706575</v>
      </c>
      <c r="G278">
        <f xml:space="preserve"> [1]Coibion_update!P284</f>
        <v>8.6</v>
      </c>
      <c r="H278">
        <f xml:space="preserve"> [1]Coibion_update!Q284</f>
        <v>4.5475410731514554</v>
      </c>
      <c r="I278">
        <f xml:space="preserve"> [1]Coibion_update!W284</f>
        <v>13.22</v>
      </c>
      <c r="J278">
        <f xml:space="preserve"> [1]Coibion_update!X284</f>
        <v>5.5300638066695145</v>
      </c>
      <c r="K278">
        <f xml:space="preserve"> [1]Coibion_update!Y284</f>
        <v>3.0643250650196028</v>
      </c>
      <c r="L278">
        <f xml:space="preserve"> [1]Coibion_update!Z284</f>
        <v>3.9465017238443885</v>
      </c>
      <c r="M278">
        <f xml:space="preserve"> [1]Coibion_update!AA284</f>
        <v>3.7569585749245307</v>
      </c>
      <c r="N278">
        <f xml:space="preserve"> [1]Coibion_update!AB284</f>
        <v>0</v>
      </c>
      <c r="O278">
        <f xml:space="preserve"> [1]Coibion_update!AC284</f>
        <v>-5.4426770999999992</v>
      </c>
      <c r="P278">
        <f xml:space="preserve"> [1]Coibion_update!AD284</f>
        <v>-4.4681484999999981</v>
      </c>
      <c r="X278" s="5">
        <f xml:space="preserve"> [1]misc!N361</f>
        <v>14.32</v>
      </c>
      <c r="Y278">
        <f xml:space="preserve"> [1]Gilchrist_Zak!C110</f>
        <v>0.75570000000000004</v>
      </c>
      <c r="Z278">
        <f xml:space="preserve"> [1]Sims_Zha!B281</f>
        <v>10.657999999999999</v>
      </c>
      <c r="AK278">
        <v>14.21</v>
      </c>
      <c r="AL278">
        <f xml:space="preserve"> LN([1]misc!B297)</f>
        <v>6.0928923397380954</v>
      </c>
      <c r="AM278">
        <f xml:space="preserve"> LN([1]misc!D297)</f>
        <v>7.4789607887368401</v>
      </c>
      <c r="AN278">
        <f xml:space="preserve"> LN([1]misc!G402)</f>
        <v>3.2851129026413535</v>
      </c>
      <c r="AO278">
        <f xml:space="preserve"> LN([1]misc!J308 + [1]misc!L308)</f>
        <v>3.0610049001701869</v>
      </c>
      <c r="AP278">
        <f xml:space="preserve"> [1]Factors!B278</f>
        <v>0.91443017299999996</v>
      </c>
      <c r="AQ278">
        <f xml:space="preserve"> [1]Factors!C278</f>
        <v>4.0547093399999998E-2</v>
      </c>
      <c r="AR278">
        <f xml:space="preserve"> [1]Factors!D278</f>
        <v>0.360542947</v>
      </c>
      <c r="AS278">
        <f xml:space="preserve"> [1]Factors!E278</f>
        <v>-4.0903373799999997E-2</v>
      </c>
      <c r="AT278">
        <f xml:space="preserve"> [1]Factors!F278</f>
        <v>-4.67263594E-2</v>
      </c>
    </row>
    <row r="279" spans="1:46" x14ac:dyDescent="0.25">
      <c r="A279">
        <f t="shared" si="20"/>
        <v>1982.0833333333178</v>
      </c>
      <c r="B279" s="1">
        <v>29983</v>
      </c>
      <c r="C279" s="7">
        <f t="shared" si="17"/>
        <v>1982</v>
      </c>
      <c r="D279" s="7">
        <f t="shared" si="18"/>
        <v>2</v>
      </c>
      <c r="E279" s="7">
        <f t="shared" si="19"/>
        <v>1</v>
      </c>
      <c r="F279">
        <f xml:space="preserve"> [1]Coibion_update!O285</f>
        <v>3.9416439416616642</v>
      </c>
      <c r="G279">
        <f xml:space="preserve"> [1]Coibion_update!P285</f>
        <v>8.9</v>
      </c>
      <c r="H279">
        <f xml:space="preserve"> [1]Coibion_update!Q285</f>
        <v>4.5507140001920323</v>
      </c>
      <c r="I279">
        <f xml:space="preserve"> [1]Coibion_update!W285</f>
        <v>14.78</v>
      </c>
      <c r="J279">
        <f xml:space="preserve"> [1]Coibion_update!X285</f>
        <v>5.5326382184523712</v>
      </c>
      <c r="K279">
        <f xml:space="preserve"> [1]Coibion_update!Y285</f>
        <v>3.0963917566531682</v>
      </c>
      <c r="L279">
        <f xml:space="preserve"> [1]Coibion_update!Z285</f>
        <v>3.9539324085053558</v>
      </c>
      <c r="M279">
        <f xml:space="preserve"> [1]Coibion_update!AA285</f>
        <v>3.7617348564151851</v>
      </c>
      <c r="N279">
        <f xml:space="preserve"> [1]Coibion_update!AB285</f>
        <v>1.0144770000000001</v>
      </c>
      <c r="O279">
        <f xml:space="preserve"> [1]Coibion_update!AC285</f>
        <v>-4.4282000999999989</v>
      </c>
      <c r="P279">
        <f xml:space="preserve"> [1]Coibion_update!AD285</f>
        <v>-3.4483414999999979</v>
      </c>
      <c r="X279" s="5">
        <f xml:space="preserve"> [1]misc!N362</f>
        <v>14.73</v>
      </c>
      <c r="Y279">
        <f xml:space="preserve"> [1]Gilchrist_Zak!C111</f>
        <v>0.45229999999999998</v>
      </c>
      <c r="Z279">
        <f xml:space="preserve"> [1]Sims_Zha!B282</f>
        <v>14.804</v>
      </c>
      <c r="AK279">
        <v>13.74</v>
      </c>
      <c r="AL279">
        <f xml:space="preserve"> LN([1]misc!B298)</f>
        <v>6.0910836121366945</v>
      </c>
      <c r="AM279">
        <f xml:space="preserve"> LN([1]misc!D298)</f>
        <v>7.4812739720865515</v>
      </c>
      <c r="AN279">
        <f xml:space="preserve"> LN([1]misc!G403)</f>
        <v>3.2568650107722354</v>
      </c>
      <c r="AO279">
        <f xml:space="preserve"> LN([1]misc!J309 + [1]misc!L309)</f>
        <v>3.0442366826136058</v>
      </c>
      <c r="AP279">
        <f xml:space="preserve"> [1]Factors!B279</f>
        <v>0.87235154599999998</v>
      </c>
      <c r="AQ279">
        <f xml:space="preserve"> [1]Factors!C279</f>
        <v>0.251289655</v>
      </c>
      <c r="AR279">
        <f xml:space="preserve"> [1]Factors!D279</f>
        <v>0.96812606800000001</v>
      </c>
      <c r="AS279">
        <f xml:space="preserve"> [1]Factors!E279</f>
        <v>-0.55867206800000002</v>
      </c>
      <c r="AT279">
        <f xml:space="preserve"> [1]Factors!F279</f>
        <v>-0.105290645</v>
      </c>
    </row>
    <row r="280" spans="1:46" x14ac:dyDescent="0.25">
      <c r="A280">
        <f t="shared" si="20"/>
        <v>1982.1666666666511</v>
      </c>
      <c r="B280" s="1">
        <v>30011</v>
      </c>
      <c r="C280" s="7">
        <f t="shared" si="17"/>
        <v>1982</v>
      </c>
      <c r="D280" s="7">
        <f t="shared" si="18"/>
        <v>3</v>
      </c>
      <c r="E280" s="7">
        <f t="shared" si="19"/>
        <v>1</v>
      </c>
      <c r="F280">
        <f xml:space="preserve"> [1]Coibion_update!O286</f>
        <v>3.9340819089470922</v>
      </c>
      <c r="G280">
        <f xml:space="preserve"> [1]Coibion_update!P286</f>
        <v>9</v>
      </c>
      <c r="H280">
        <f xml:space="preserve"> [1]Coibion_update!Q286</f>
        <v>4.5507140001920323</v>
      </c>
      <c r="I280">
        <f xml:space="preserve"> [1]Coibion_update!W286</f>
        <v>14.68</v>
      </c>
      <c r="J280">
        <f xml:space="preserve"> [1]Coibion_update!X286</f>
        <v>5.51128936254075</v>
      </c>
      <c r="K280">
        <f xml:space="preserve"> [1]Coibion_update!Y286</f>
        <v>3.0945816375961601</v>
      </c>
      <c r="L280">
        <f xml:space="preserve"> [1]Coibion_update!Z286</f>
        <v>3.9491068216580083</v>
      </c>
      <c r="M280">
        <f xml:space="preserve"> [1]Coibion_update!AA286</f>
        <v>3.7630820646464485</v>
      </c>
      <c r="N280">
        <f xml:space="preserve"> [1]Coibion_update!AB286</f>
        <v>-0.41202620000000001</v>
      </c>
      <c r="O280">
        <f xml:space="preserve"> [1]Coibion_update!AC286</f>
        <v>-4.8402262999999985</v>
      </c>
      <c r="P280">
        <f xml:space="preserve"> [1]Coibion_update!AD286</f>
        <v>-3.8885501999999978</v>
      </c>
      <c r="X280" s="5">
        <f xml:space="preserve"> [1]misc!N363</f>
        <v>13.95</v>
      </c>
      <c r="Y280">
        <f xml:space="preserve"> [1]Gilchrist_Zak!C112</f>
        <v>0.90749999999999997</v>
      </c>
      <c r="Z280">
        <f xml:space="preserve"> [1]Sims_Zha!B283</f>
        <v>-5.0542999999999998E-2</v>
      </c>
      <c r="AK280">
        <v>16.8</v>
      </c>
      <c r="AL280">
        <f xml:space="preserve"> LN([1]misc!B299)</f>
        <v>6.0928923397380954</v>
      </c>
      <c r="AM280">
        <f xml:space="preserve"> LN([1]misc!D299)</f>
        <v>7.4880136774634645</v>
      </c>
      <c r="AN280">
        <f xml:space="preserve"> LN([1]misc!G404)</f>
        <v>3.1884578536466681</v>
      </c>
      <c r="AO280">
        <f xml:space="preserve"> LN([1]misc!J310 + [1]misc!L310)</f>
        <v>3.0542841605036064</v>
      </c>
      <c r="AP280">
        <f xml:space="preserve"> [1]Factors!B280</f>
        <v>-4.14001435E-2</v>
      </c>
      <c r="AQ280">
        <f xml:space="preserve"> [1]Factors!C280</f>
        <v>-0.30206221599999999</v>
      </c>
      <c r="AR280">
        <f xml:space="preserve"> [1]Factors!D280</f>
        <v>0.56407269800000004</v>
      </c>
      <c r="AS280">
        <f xml:space="preserve"> [1]Factors!E280</f>
        <v>4.3222784299999997E-2</v>
      </c>
      <c r="AT280">
        <f xml:space="preserve"> [1]Factors!F280</f>
        <v>-0.83570495</v>
      </c>
    </row>
    <row r="281" spans="1:46" x14ac:dyDescent="0.25">
      <c r="A281">
        <f t="shared" si="20"/>
        <v>1982.2499999999843</v>
      </c>
      <c r="B281" s="1">
        <v>30042</v>
      </c>
      <c r="C281" s="7">
        <f t="shared" si="17"/>
        <v>1982</v>
      </c>
      <c r="D281" s="7">
        <f t="shared" si="18"/>
        <v>4</v>
      </c>
      <c r="E281" s="7">
        <f t="shared" si="19"/>
        <v>2</v>
      </c>
      <c r="F281">
        <f xml:space="preserve"> [1]Coibion_update!O287</f>
        <v>3.9251682271778332</v>
      </c>
      <c r="G281">
        <f xml:space="preserve"> [1]Coibion_update!P287</f>
        <v>9.3000000000000007</v>
      </c>
      <c r="H281">
        <f xml:space="preserve"> [1]Coibion_update!Q287</f>
        <v>4.5538768916005408</v>
      </c>
      <c r="I281">
        <f xml:space="preserve"> [1]Coibion_update!W287</f>
        <v>14.94</v>
      </c>
      <c r="J281">
        <f xml:space="preserve"> [1]Coibion_update!X287</f>
        <v>5.5045181971319348</v>
      </c>
      <c r="K281">
        <f xml:space="preserve"> [1]Coibion_update!Y287</f>
        <v>3.0752363746665901</v>
      </c>
      <c r="L281">
        <f xml:space="preserve"> [1]Coibion_update!Z287</f>
        <v>3.9537789636684733</v>
      </c>
      <c r="M281">
        <f xml:space="preserve"> [1]Coibion_update!AA287</f>
        <v>3.7661645168234785</v>
      </c>
      <c r="N281">
        <f xml:space="preserve"> [1]Coibion_update!AB287</f>
        <v>0</v>
      </c>
      <c r="O281">
        <f xml:space="preserve"> [1]Coibion_update!AC287</f>
        <v>-4.8402262999999985</v>
      </c>
      <c r="P281">
        <f xml:space="preserve"> [1]Coibion_update!AD287</f>
        <v>-3.8885501999999978</v>
      </c>
      <c r="X281" s="5">
        <f xml:space="preserve"> [1]misc!N364</f>
        <v>13.98</v>
      </c>
      <c r="Y281">
        <f xml:space="preserve"> [1]Gilchrist_Zak!C113</f>
        <v>0.69550000000000001</v>
      </c>
      <c r="Z281">
        <f xml:space="preserve"> [1]Sims_Zha!B284</f>
        <v>3.8805000000000001</v>
      </c>
      <c r="AK281">
        <v>15.28</v>
      </c>
      <c r="AL281">
        <f xml:space="preserve"> LN([1]misc!B300)</f>
        <v>6.102782283239935</v>
      </c>
      <c r="AM281">
        <f xml:space="preserve"> LN([1]misc!D300)</f>
        <v>7.4977062667136325</v>
      </c>
      <c r="AN281">
        <f xml:space="preserve"> LN([1]misc!G405)</f>
        <v>3.2012819564671529</v>
      </c>
      <c r="AO281">
        <f xml:space="preserve"> LN([1]misc!J311 + [1]misc!L311)</f>
        <v>3.0451888822665834</v>
      </c>
      <c r="AP281">
        <f xml:space="preserve"> [1]Factors!B281</f>
        <v>0.93605775099999999</v>
      </c>
      <c r="AQ281">
        <f xml:space="preserve"> [1]Factors!C281</f>
        <v>-0.17935008499999999</v>
      </c>
      <c r="AR281">
        <f xml:space="preserve"> [1]Factors!D281</f>
        <v>-0.15076782399999999</v>
      </c>
      <c r="AS281">
        <f xml:space="preserve"> [1]Factors!E281</f>
        <v>0.30086330500000003</v>
      </c>
      <c r="AT281">
        <f xml:space="preserve"> [1]Factors!F281</f>
        <v>-0.21873904899999999</v>
      </c>
    </row>
    <row r="282" spans="1:46" x14ac:dyDescent="0.25">
      <c r="A282">
        <f t="shared" si="20"/>
        <v>1982.3333333333176</v>
      </c>
      <c r="B282" s="1">
        <v>30072</v>
      </c>
      <c r="C282" s="7">
        <f t="shared" si="17"/>
        <v>1982</v>
      </c>
      <c r="D282" s="7">
        <f t="shared" si="18"/>
        <v>5</v>
      </c>
      <c r="E282" s="7">
        <f t="shared" si="19"/>
        <v>2</v>
      </c>
      <c r="F282">
        <f xml:space="preserve"> [1]Coibion_update!O288</f>
        <v>3.9189390344698758</v>
      </c>
      <c r="G282">
        <f xml:space="preserve"> [1]Coibion_update!P288</f>
        <v>9.4</v>
      </c>
      <c r="H282">
        <f xml:space="preserve"> [1]Coibion_update!Q288</f>
        <v>4.5633059818893926</v>
      </c>
      <c r="I282">
        <f xml:space="preserve"> [1]Coibion_update!W288</f>
        <v>14.45</v>
      </c>
      <c r="J282">
        <f xml:space="preserve"> [1]Coibion_update!X288</f>
        <v>5.5153623594003767</v>
      </c>
      <c r="K282">
        <f xml:space="preserve"> [1]Coibion_update!Y288</f>
        <v>3.1180383979379589</v>
      </c>
      <c r="L282">
        <f xml:space="preserve"> [1]Coibion_update!Z288</f>
        <v>3.9499351704980072</v>
      </c>
      <c r="M282">
        <f xml:space="preserve"> [1]Coibion_update!AA288</f>
        <v>3.7648909705200317</v>
      </c>
      <c r="N282">
        <f xml:space="preserve"> [1]Coibion_update!AB288</f>
        <v>-9.7880999999999996E-2</v>
      </c>
      <c r="O282">
        <f xml:space="preserve"> [1]Coibion_update!AC288</f>
        <v>-4.9381072999999986</v>
      </c>
      <c r="P282">
        <f xml:space="preserve"> [1]Coibion_update!AD288</f>
        <v>-3.9476841999999976</v>
      </c>
      <c r="X282" s="5">
        <f xml:space="preserve"> [1]misc!N365</f>
        <v>13.34</v>
      </c>
      <c r="Y282">
        <f xml:space="preserve"> [1]Gilchrist_Zak!C114</f>
        <v>0.7107</v>
      </c>
      <c r="Z282">
        <f xml:space="preserve"> [1]Sims_Zha!B285</f>
        <v>-0.70987</v>
      </c>
      <c r="AK282">
        <v>13.38</v>
      </c>
      <c r="AL282">
        <f xml:space="preserve"> LN([1]misc!B301)</f>
        <v>6.1018872283580734</v>
      </c>
      <c r="AM282">
        <f xml:space="preserve"> LN([1]misc!D301)</f>
        <v>7.504061108092527</v>
      </c>
      <c r="AN282">
        <f xml:space="preserve"> LN([1]misc!G406)</f>
        <v>3.186517908760075</v>
      </c>
      <c r="AO282">
        <f xml:space="preserve"> LN([1]misc!J312 + [1]misc!L312)</f>
        <v>3.0662373344393448</v>
      </c>
      <c r="AP282">
        <f xml:space="preserve"> [1]Factors!B282</f>
        <v>0.80592905699999995</v>
      </c>
      <c r="AQ282">
        <f xml:space="preserve"> [1]Factors!C282</f>
        <v>1.1943146700000001E-2</v>
      </c>
      <c r="AR282">
        <f xml:space="preserve"> [1]Factors!D282</f>
        <v>0.186923706</v>
      </c>
      <c r="AS282">
        <f xml:space="preserve"> [1]Factors!E282</f>
        <v>5.0161070100000003E-2</v>
      </c>
      <c r="AT282">
        <f xml:space="preserve"> [1]Factors!F282</f>
        <v>-0.35846896700000003</v>
      </c>
    </row>
    <row r="283" spans="1:46" x14ac:dyDescent="0.25">
      <c r="A283">
        <f t="shared" si="20"/>
        <v>1982.4166666666508</v>
      </c>
      <c r="B283" s="1">
        <v>30103</v>
      </c>
      <c r="C283" s="7">
        <f t="shared" si="17"/>
        <v>1982</v>
      </c>
      <c r="D283" s="7">
        <f t="shared" si="18"/>
        <v>6</v>
      </c>
      <c r="E283" s="7">
        <f t="shared" si="19"/>
        <v>2</v>
      </c>
      <c r="F283">
        <f xml:space="preserve"> [1]Coibion_update!O289</f>
        <v>3.9156563966605669</v>
      </c>
      <c r="G283">
        <f xml:space="preserve"> [1]Coibion_update!P289</f>
        <v>9.6</v>
      </c>
      <c r="H283">
        <f xml:space="preserve"> [1]Coibion_update!Q289</f>
        <v>4.5747109785033828</v>
      </c>
      <c r="I283">
        <f xml:space="preserve"> [1]Coibion_update!W289</f>
        <v>14.15</v>
      </c>
      <c r="J283">
        <f xml:space="preserve"> [1]Coibion_update!X289</f>
        <v>5.4785116623258174</v>
      </c>
      <c r="K283">
        <f xml:space="preserve"> [1]Coibion_update!Y289</f>
        <v>3.0726470173221165</v>
      </c>
      <c r="L283">
        <f xml:space="preserve"> [1]Coibion_update!Z289</f>
        <v>3.9406104622800586</v>
      </c>
      <c r="M283">
        <f xml:space="preserve"> [1]Coibion_update!AA289</f>
        <v>3.7708741016665637</v>
      </c>
      <c r="N283">
        <f xml:space="preserve"> [1]Coibion_update!AB289</f>
        <v>0</v>
      </c>
      <c r="O283">
        <f xml:space="preserve"> [1]Coibion_update!AC289</f>
        <v>-4.9381072999999986</v>
      </c>
      <c r="P283">
        <f xml:space="preserve"> [1]Coibion_update!AD289</f>
        <v>-3.9476841999999976</v>
      </c>
      <c r="X283" s="5">
        <f xml:space="preserve"> [1]misc!N366</f>
        <v>14.07</v>
      </c>
      <c r="Y283">
        <f xml:space="preserve"> [1]Gilchrist_Zak!C115</f>
        <v>0.64090000000000003</v>
      </c>
      <c r="Z283">
        <f xml:space="preserve"> [1]Sims_Zha!B286</f>
        <v>1.2423999999999999</v>
      </c>
      <c r="AK283">
        <v>14.58</v>
      </c>
      <c r="AL283">
        <f xml:space="preserve"> LN([1]misc!B302)</f>
        <v>6.10367653771491</v>
      </c>
      <c r="AM283">
        <f xml:space="preserve"> LN([1]misc!D302)</f>
        <v>7.5098830611549134</v>
      </c>
      <c r="AN283">
        <f xml:space="preserve"> LN([1]misc!G407)</f>
        <v>3.1793030497483774</v>
      </c>
      <c r="AO283">
        <f xml:space="preserve"> LN([1]misc!J313 + [1]misc!L313)</f>
        <v>3.057203595642092</v>
      </c>
      <c r="AP283">
        <f xml:space="preserve"> [1]Factors!B283</f>
        <v>0.58941548499999996</v>
      </c>
      <c r="AQ283">
        <f xml:space="preserve"> [1]Factors!C283</f>
        <v>0.35895091400000001</v>
      </c>
      <c r="AR283">
        <f xml:space="preserve"> [1]Factors!D283</f>
        <v>0.100038972</v>
      </c>
      <c r="AS283">
        <f xml:space="preserve"> [1]Factors!E283</f>
        <v>0.46413700299999999</v>
      </c>
      <c r="AT283">
        <f xml:space="preserve"> [1]Factors!F283</f>
        <v>-0.39491137700000001</v>
      </c>
    </row>
    <row r="284" spans="1:46" x14ac:dyDescent="0.25">
      <c r="A284">
        <f t="shared" si="20"/>
        <v>1982.4999999999841</v>
      </c>
      <c r="B284" s="1">
        <v>30133</v>
      </c>
      <c r="C284" s="7">
        <f t="shared" si="17"/>
        <v>1982</v>
      </c>
      <c r="D284" s="7">
        <f t="shared" si="18"/>
        <v>7</v>
      </c>
      <c r="E284" s="7">
        <f t="shared" si="19"/>
        <v>3</v>
      </c>
      <c r="F284">
        <f xml:space="preserve"> [1]Coibion_update!O290</f>
        <v>3.9126707955668012</v>
      </c>
      <c r="G284">
        <f xml:space="preserve"> [1]Coibion_update!P290</f>
        <v>9.8000000000000007</v>
      </c>
      <c r="H284">
        <f xml:space="preserve"> [1]Coibion_update!Q290</f>
        <v>4.5798523780038014</v>
      </c>
      <c r="I284">
        <f xml:space="preserve"> [1]Coibion_update!W290</f>
        <v>12.59</v>
      </c>
      <c r="J284">
        <f xml:space="preserve"> [1]Coibion_update!X290</f>
        <v>5.4855020790079791</v>
      </c>
      <c r="K284">
        <f xml:space="preserve"> [1]Coibion_update!Y290</f>
        <v>3.0778190445521001</v>
      </c>
      <c r="L284">
        <f xml:space="preserve"> [1]Coibion_update!Z290</f>
        <v>3.9555230108739972</v>
      </c>
      <c r="M284">
        <f xml:space="preserve"> [1]Coibion_update!AA290</f>
        <v>3.7724160510417284</v>
      </c>
      <c r="N284">
        <f xml:space="preserve"> [1]Coibion_update!AB290</f>
        <v>-0.1981146</v>
      </c>
      <c r="O284">
        <f xml:space="preserve"> [1]Coibion_update!AC290</f>
        <v>-5.1362218999999989</v>
      </c>
      <c r="P284">
        <f xml:space="preserve"> [1]Coibion_update!AD290</f>
        <v>-4.1449481999999973</v>
      </c>
      <c r="X284" s="5">
        <f xml:space="preserve"> [1]misc!N367</f>
        <v>13.24</v>
      </c>
      <c r="Y284">
        <f xml:space="preserve"> [1]Gilchrist_Zak!C116</f>
        <v>0.60860000000000003</v>
      </c>
      <c r="Z284">
        <f xml:space="preserve"> [1]Sims_Zha!B287</f>
        <v>-6.9039999999999999</v>
      </c>
      <c r="AK284">
        <v>11.41</v>
      </c>
      <c r="AL284">
        <f xml:space="preserve"> LN([1]misc!B303)</f>
        <v>6.1047932324149849</v>
      </c>
      <c r="AM284">
        <f xml:space="preserve"> LN([1]misc!D303)</f>
        <v>7.5130543689688869</v>
      </c>
      <c r="AN284">
        <f xml:space="preserve"> LN([1]misc!G408)</f>
        <v>3.1892822220211223</v>
      </c>
      <c r="AO284">
        <f xml:space="preserve"> LN([1]misc!J314 + [1]misc!L314)</f>
        <v>3.0699116717282426</v>
      </c>
      <c r="AP284">
        <f xml:space="preserve"> [1]Factors!B284</f>
        <v>0.56091492700000001</v>
      </c>
      <c r="AQ284">
        <f xml:space="preserve"> [1]Factors!C284</f>
        <v>0.47641707</v>
      </c>
      <c r="AR284">
        <f xml:space="preserve"> [1]Factors!D284</f>
        <v>0.84924630800000001</v>
      </c>
      <c r="AS284">
        <f xml:space="preserve"> [1]Factors!E284</f>
        <v>-8.7320245599999999E-2</v>
      </c>
      <c r="AT284">
        <f xml:space="preserve"> [1]Factors!F284</f>
        <v>-0.47442589600000001</v>
      </c>
    </row>
    <row r="285" spans="1:46" x14ac:dyDescent="0.25">
      <c r="A285">
        <f t="shared" si="20"/>
        <v>1982.5833333333173</v>
      </c>
      <c r="B285" s="1">
        <v>30164</v>
      </c>
      <c r="C285" s="7">
        <f t="shared" si="17"/>
        <v>1982</v>
      </c>
      <c r="D285" s="7">
        <f t="shared" si="18"/>
        <v>8</v>
      </c>
      <c r="E285" s="7">
        <f t="shared" si="19"/>
        <v>3</v>
      </c>
      <c r="F285">
        <f xml:space="preserve"> [1]Coibion_update!O291</f>
        <v>3.9041077623783322</v>
      </c>
      <c r="G285">
        <f xml:space="preserve"> [1]Coibion_update!P291</f>
        <v>9.8000000000000007</v>
      </c>
      <c r="H285">
        <f xml:space="preserve"> [1]Coibion_update!Q291</f>
        <v>4.5819015590487373</v>
      </c>
      <c r="I285">
        <f xml:space="preserve"> [1]Coibion_update!W291</f>
        <v>10.119999999999999</v>
      </c>
      <c r="J285">
        <f xml:space="preserve"> [1]Coibion_update!X291</f>
        <v>5.473656267914107</v>
      </c>
      <c r="K285">
        <f xml:space="preserve"> [1]Coibion_update!Y291</f>
        <v>3.0840178384213512</v>
      </c>
      <c r="L285">
        <f xml:space="preserve"> [1]Coibion_update!Z291</f>
        <v>3.948663469523138</v>
      </c>
      <c r="M285">
        <f xml:space="preserve"> [1]Coibion_update!AA291</f>
        <v>3.7767300621839626</v>
      </c>
      <c r="N285">
        <f xml:space="preserve"> [1]Coibion_update!AB291</f>
        <v>-0.2438593</v>
      </c>
      <c r="O285">
        <f xml:space="preserve"> [1]Coibion_update!AC291</f>
        <v>-5.3800811999999993</v>
      </c>
      <c r="P285">
        <f xml:space="preserve"> [1]Coibion_update!AD291</f>
        <v>-4.3545790999999969</v>
      </c>
      <c r="X285" s="5">
        <f xml:space="preserve"> [1]misc!N368</f>
        <v>11.43</v>
      </c>
      <c r="Y285">
        <f xml:space="preserve"> [1]Gilchrist_Zak!C117</f>
        <v>-0.12859999999999999</v>
      </c>
      <c r="Z285">
        <f xml:space="preserve"> [1]Sims_Zha!B288</f>
        <v>-12.595000000000001</v>
      </c>
      <c r="AK285">
        <v>10.63</v>
      </c>
      <c r="AL285">
        <f xml:space="preserve"> LN([1]misc!B304)</f>
        <v>6.1123538643834356</v>
      </c>
      <c r="AM285">
        <f xml:space="preserve"> LN([1]misc!D304)</f>
        <v>7.5205597068595438</v>
      </c>
      <c r="AN285">
        <f xml:space="preserve"> LN([1]misc!G409)</f>
        <v>3.1975296068486023</v>
      </c>
      <c r="AO285">
        <f xml:space="preserve"> LN([1]misc!J315 + [1]misc!L315)</f>
        <v>3.0877187541663642</v>
      </c>
      <c r="AP285">
        <f xml:space="preserve"> [1]Factors!B285</f>
        <v>0.70426107299999996</v>
      </c>
      <c r="AQ285">
        <f xml:space="preserve"> [1]Factors!C285</f>
        <v>2.0414029300000001E-2</v>
      </c>
      <c r="AR285">
        <f xml:space="preserve"> [1]Factors!D285</f>
        <v>0.26948007000000002</v>
      </c>
      <c r="AS285">
        <f xml:space="preserve"> [1]Factors!E285</f>
        <v>0.50563244600000001</v>
      </c>
      <c r="AT285">
        <f xml:space="preserve"> [1]Factors!F285</f>
        <v>-0.35249978700000001</v>
      </c>
    </row>
    <row r="286" spans="1:46" x14ac:dyDescent="0.25">
      <c r="A286">
        <f t="shared" si="20"/>
        <v>1982.6666666666506</v>
      </c>
      <c r="B286" s="1">
        <v>30195</v>
      </c>
      <c r="C286" s="7">
        <f t="shared" si="17"/>
        <v>1982</v>
      </c>
      <c r="D286" s="7">
        <f t="shared" si="18"/>
        <v>9</v>
      </c>
      <c r="E286" s="7">
        <f t="shared" si="19"/>
        <v>3</v>
      </c>
      <c r="F286">
        <f xml:space="preserve"> [1]Coibion_update!O292</f>
        <v>3.9009398131296966</v>
      </c>
      <c r="G286">
        <f xml:space="preserve"> [1]Coibion_update!P292</f>
        <v>10.1</v>
      </c>
      <c r="H286">
        <f xml:space="preserve"> [1]Coibion_update!Q292</f>
        <v>4.5819015590487373</v>
      </c>
      <c r="I286">
        <f xml:space="preserve"> [1]Coibion_update!W292</f>
        <v>10.31</v>
      </c>
      <c r="J286">
        <f xml:space="preserve"> [1]Coibion_update!X292</f>
        <v>5.4723547037542941</v>
      </c>
      <c r="K286">
        <f xml:space="preserve"> [1]Coibion_update!Y292</f>
        <v>3.1281192615973166</v>
      </c>
      <c r="L286">
        <f xml:space="preserve"> [1]Coibion_update!Z292</f>
        <v>3.9529537940301105</v>
      </c>
      <c r="M286">
        <f xml:space="preserve"> [1]Coibion_update!AA292</f>
        <v>3.7812535095387987</v>
      </c>
      <c r="N286">
        <f xml:space="preserve"> [1]Coibion_update!AB292</f>
        <v>0</v>
      </c>
      <c r="O286">
        <f xml:space="preserve"> [1]Coibion_update!AC292</f>
        <v>-5.3800811999999993</v>
      </c>
      <c r="P286">
        <f xml:space="preserve"> [1]Coibion_update!AD292</f>
        <v>-4.3545790999999969</v>
      </c>
      <c r="X286" s="5">
        <f xml:space="preserve"> [1]misc!N369</f>
        <v>10.85</v>
      </c>
      <c r="Y286">
        <f xml:space="preserve"> [1]Gilchrist_Zak!C118</f>
        <v>0.47039999999999998</v>
      </c>
      <c r="Z286">
        <f xml:space="preserve"> [1]Sims_Zha!B289</f>
        <v>6.9499000000000004</v>
      </c>
      <c r="AK286">
        <v>12.17</v>
      </c>
      <c r="AL286">
        <f xml:space="preserve"> LN([1]misc!B305)</f>
        <v>6.1244645485692262</v>
      </c>
      <c r="AM286">
        <f xml:space="preserve"> LN([1]misc!D305)</f>
        <v>7.5276863972108234</v>
      </c>
      <c r="AN286">
        <f xml:space="preserve"> LN([1]misc!G410)</f>
        <v>3.1519664955846274</v>
      </c>
      <c r="AO286">
        <f xml:space="preserve"> LN([1]misc!J316 + [1]misc!L316)</f>
        <v>3.0851615583804151</v>
      </c>
      <c r="AP286">
        <f xml:space="preserve"> [1]Factors!B286</f>
        <v>1.0468048999999999</v>
      </c>
      <c r="AQ286">
        <f xml:space="preserve"> [1]Factors!C286</f>
        <v>-0.19800010600000001</v>
      </c>
      <c r="AR286">
        <f xml:space="preserve"> [1]Factors!D286</f>
        <v>-0.33813933499999999</v>
      </c>
      <c r="AS286">
        <f xml:space="preserve"> [1]Factors!E286</f>
        <v>0.86465462699999995</v>
      </c>
      <c r="AT286">
        <f xml:space="preserve"> [1]Factors!F286</f>
        <v>-7.4675573100000003E-2</v>
      </c>
    </row>
    <row r="287" spans="1:46" x14ac:dyDescent="0.25">
      <c r="A287">
        <f t="shared" si="20"/>
        <v>1982.7499999999839</v>
      </c>
      <c r="B287" s="1">
        <v>30225</v>
      </c>
      <c r="C287" s="7">
        <f t="shared" si="17"/>
        <v>1982</v>
      </c>
      <c r="D287" s="7">
        <f t="shared" si="18"/>
        <v>10</v>
      </c>
      <c r="E287" s="7">
        <f t="shared" si="19"/>
        <v>4</v>
      </c>
      <c r="F287">
        <f xml:space="preserve"> [1]Coibion_update!O293</f>
        <v>3.8920712870184389</v>
      </c>
      <c r="G287">
        <f xml:space="preserve"> [1]Coibion_update!P293</f>
        <v>10.4</v>
      </c>
      <c r="H287">
        <f xml:space="preserve"> [1]Coibion_update!Q293</f>
        <v>4.5859873665713176</v>
      </c>
      <c r="I287">
        <f xml:space="preserve"> [1]Coibion_update!W293</f>
        <v>9.7100000000000009</v>
      </c>
      <c r="J287">
        <f xml:space="preserve"> [1]Coibion_update!X293</f>
        <v>5.450566239085699</v>
      </c>
      <c r="K287">
        <f xml:space="preserve"> [1]Coibion_update!Y293</f>
        <v>3.1012627747634549</v>
      </c>
      <c r="L287">
        <f xml:space="preserve"> [1]Coibion_update!Z293</f>
        <v>3.9615938171938909</v>
      </c>
      <c r="M287">
        <f xml:space="preserve"> [1]Coibion_update!AA293</f>
        <v>3.7904427695233776</v>
      </c>
      <c r="N287">
        <f xml:space="preserve"> [1]Coibion_update!AB293</f>
        <v>-0.25935229999999998</v>
      </c>
      <c r="O287">
        <f xml:space="preserve"> [1]Coibion_update!AC293</f>
        <v>-5.6394334999999991</v>
      </c>
      <c r="P287">
        <f xml:space="preserve"> [1]Coibion_update!AD293</f>
        <v>-4.5950620999999972</v>
      </c>
      <c r="X287" s="5">
        <f xml:space="preserve"> [1]misc!N370</f>
        <v>9.32</v>
      </c>
      <c r="Y287">
        <f xml:space="preserve"> [1]Gilchrist_Zak!C119</f>
        <v>0.1178</v>
      </c>
      <c r="Z287">
        <f xml:space="preserve"> [1]Sims_Zha!B290</f>
        <v>-0.33051000000000003</v>
      </c>
      <c r="AK287">
        <v>9.41</v>
      </c>
      <c r="AL287">
        <f xml:space="preserve"> LN([1]misc!B306)</f>
        <v>6.1409615582538928</v>
      </c>
      <c r="AM287">
        <f xml:space="preserve"> LN([1]misc!D306)</f>
        <v>7.5337471843546746</v>
      </c>
      <c r="AN287">
        <f xml:space="preserve"> LN([1]misc!G411)</f>
        <v>3.1884990882094844</v>
      </c>
      <c r="AO287">
        <f xml:space="preserve"> LN([1]misc!J317 + [1]misc!L317)</f>
        <v>3.1158680947939712</v>
      </c>
      <c r="AP287">
        <f xml:space="preserve"> [1]Factors!B287</f>
        <v>0.74938046400000002</v>
      </c>
      <c r="AQ287">
        <f xml:space="preserve"> [1]Factors!C287</f>
        <v>-0.239198509</v>
      </c>
      <c r="AR287">
        <f xml:space="preserve"> [1]Factors!D287</f>
        <v>-1.8338724899999999E-2</v>
      </c>
      <c r="AS287">
        <f xml:space="preserve"> [1]Factors!E287</f>
        <v>0.50491392800000001</v>
      </c>
      <c r="AT287">
        <f xml:space="preserve"> [1]Factors!F287</f>
        <v>-0.25180915100000001</v>
      </c>
    </row>
    <row r="288" spans="1:46" x14ac:dyDescent="0.25">
      <c r="A288">
        <f t="shared" si="20"/>
        <v>1982.8333333333171</v>
      </c>
      <c r="B288" s="1">
        <v>30256</v>
      </c>
      <c r="C288" s="7">
        <f t="shared" si="17"/>
        <v>1982</v>
      </c>
      <c r="D288" s="7">
        <f t="shared" si="18"/>
        <v>11</v>
      </c>
      <c r="E288" s="7">
        <f t="shared" si="19"/>
        <v>4</v>
      </c>
      <c r="F288">
        <f xml:space="preserve"> [1]Coibion_update!O294</f>
        <v>3.8881277748442273</v>
      </c>
      <c r="G288">
        <f xml:space="preserve"> [1]Coibion_update!P294</f>
        <v>10.8</v>
      </c>
      <c r="H288">
        <f xml:space="preserve"> [1]Coibion_update!Q294</f>
        <v>4.5849674786705723</v>
      </c>
      <c r="I288">
        <f xml:space="preserve"> [1]Coibion_update!W294</f>
        <v>9.1999999999999993</v>
      </c>
      <c r="J288">
        <f xml:space="preserve"> [1]Coibion_update!X294</f>
        <v>5.4303977069052447</v>
      </c>
      <c r="K288">
        <f xml:space="preserve"> [1]Coibion_update!Y294</f>
        <v>3.1564044989428894</v>
      </c>
      <c r="L288">
        <f xml:space="preserve"> [1]Coibion_update!Z294</f>
        <v>3.9589256751143655</v>
      </c>
      <c r="M288">
        <f xml:space="preserve"> [1]Coibion_update!AA294</f>
        <v>3.7943649619599138</v>
      </c>
      <c r="N288">
        <f xml:space="preserve"> [1]Coibion_update!AB294</f>
        <v>8.9975399999999997E-2</v>
      </c>
      <c r="O288">
        <f xml:space="preserve"> [1]Coibion_update!AC294</f>
        <v>-5.549458099999999</v>
      </c>
      <c r="P288">
        <f xml:space="preserve"> [1]Coibion_update!AD294</f>
        <v>-4.4683188999999972</v>
      </c>
      <c r="X288" s="5">
        <f xml:space="preserve"> [1]misc!N371</f>
        <v>9.16</v>
      </c>
      <c r="Y288">
        <f xml:space="preserve"> [1]Gilchrist_Zak!C120</f>
        <v>0.49709999999999999</v>
      </c>
      <c r="Z288">
        <f xml:space="preserve"> [1]Sims_Zha!B291</f>
        <v>-0.39853</v>
      </c>
      <c r="AK288">
        <v>8.93</v>
      </c>
      <c r="AL288">
        <f xml:space="preserve"> LN([1]misc!B307)</f>
        <v>6.1559191020735122</v>
      </c>
      <c r="AM288">
        <f xml:space="preserve"> LN([1]misc!D307)</f>
        <v>7.5412055322839553</v>
      </c>
      <c r="AN288">
        <f xml:space="preserve"> LN([1]misc!G412)</f>
        <v>3.2029903156379773</v>
      </c>
      <c r="AO288">
        <f xml:space="preserve"> LN([1]misc!J318 + [1]misc!L318)</f>
        <v>3.1320535209122293</v>
      </c>
      <c r="AP288">
        <f xml:space="preserve"> [1]Factors!B288</f>
        <v>1.01469012</v>
      </c>
      <c r="AQ288">
        <f xml:space="preserve"> [1]Factors!C288</f>
        <v>0.10048716100000001</v>
      </c>
      <c r="AR288">
        <f xml:space="preserve"> [1]Factors!D288</f>
        <v>-0.231650944</v>
      </c>
      <c r="AS288">
        <f xml:space="preserve"> [1]Factors!E288</f>
        <v>0.69003899000000002</v>
      </c>
      <c r="AT288">
        <f xml:space="preserve"> [1]Factors!F288</f>
        <v>-0.25791641399999998</v>
      </c>
    </row>
    <row r="289" spans="1:46" x14ac:dyDescent="0.25">
      <c r="A289">
        <f t="shared" si="20"/>
        <v>1982.9166666666504</v>
      </c>
      <c r="B289" s="1">
        <v>30286</v>
      </c>
      <c r="C289" s="7">
        <f t="shared" si="17"/>
        <v>1982</v>
      </c>
      <c r="D289" s="7">
        <f t="shared" si="18"/>
        <v>12</v>
      </c>
      <c r="E289" s="7">
        <f t="shared" si="19"/>
        <v>4</v>
      </c>
      <c r="F289">
        <f xml:space="preserve"> [1]Coibion_update!O295</f>
        <v>3.8809945637954684</v>
      </c>
      <c r="G289">
        <f xml:space="preserve"> [1]Coibion_update!P295</f>
        <v>10.8</v>
      </c>
      <c r="H289">
        <f xml:space="preserve"> [1]Coibion_update!Q295</f>
        <v>4.5819015590487373</v>
      </c>
      <c r="I289">
        <f xml:space="preserve"> [1]Coibion_update!W295</f>
        <v>8.9499999999999993</v>
      </c>
      <c r="J289">
        <f xml:space="preserve"> [1]Coibion_update!X295</f>
        <v>5.4239362879721948</v>
      </c>
      <c r="K289">
        <f xml:space="preserve"> [1]Coibion_update!Y295</f>
        <v>3.1657703631810952</v>
      </c>
      <c r="L289">
        <f xml:space="preserve"> [1]Coibion_update!Z295</f>
        <v>3.9672495544182684</v>
      </c>
      <c r="M289">
        <f xml:space="preserve"> [1]Coibion_update!AA295</f>
        <v>3.7954217711693148</v>
      </c>
      <c r="N289">
        <f xml:space="preserve"> [1]Coibion_update!AB295</f>
        <v>0.63151409999999997</v>
      </c>
      <c r="O289">
        <f xml:space="preserve"> [1]Coibion_update!AC295</f>
        <v>-4.9179439999999985</v>
      </c>
      <c r="P289">
        <f xml:space="preserve"> [1]Coibion_update!AD295</f>
        <v>-3.8163025999999971</v>
      </c>
      <c r="X289" s="5">
        <f xml:space="preserve"> [1]misc!N372</f>
        <v>8.91</v>
      </c>
      <c r="Y289">
        <f xml:space="preserve"> [1]Gilchrist_Zak!C121</f>
        <v>0.69979999999999998</v>
      </c>
      <c r="Z289">
        <f xml:space="preserve"> [1]Sims_Zha!B292</f>
        <v>1.0843</v>
      </c>
      <c r="AK289">
        <v>11.2</v>
      </c>
      <c r="AL289">
        <f xml:space="preserve"> LN([1]misc!B308)</f>
        <v>6.1628936627355131</v>
      </c>
      <c r="AM289">
        <f xml:space="preserve"> LN([1]misc!D308)</f>
        <v>7.552971925784532</v>
      </c>
      <c r="AN289">
        <f xml:space="preserve"> LN([1]misc!G413)</f>
        <v>3.2110855593931378</v>
      </c>
      <c r="AO289">
        <f xml:space="preserve"> LN([1]misc!J319 + [1]misc!L319)</f>
        <v>3.1420811698891282</v>
      </c>
      <c r="AP289">
        <f xml:space="preserve"> [1]Factors!B289</f>
        <v>0.68213455000000001</v>
      </c>
      <c r="AQ289">
        <f xml:space="preserve"> [1]Factors!C289</f>
        <v>-0.16138429700000001</v>
      </c>
      <c r="AR289">
        <f xml:space="preserve"> [1]Factors!D289</f>
        <v>5.3547864100000002E-2</v>
      </c>
      <c r="AS289">
        <f xml:space="preserve"> [1]Factors!E289</f>
        <v>0.235743758</v>
      </c>
      <c r="AT289">
        <f xml:space="preserve"> [1]Factors!F289</f>
        <v>-0.30752137299999999</v>
      </c>
    </row>
    <row r="290" spans="1:46" x14ac:dyDescent="0.25">
      <c r="A290">
        <f t="shared" si="20"/>
        <v>1982.9999999999836</v>
      </c>
      <c r="B290" s="1">
        <v>30317</v>
      </c>
      <c r="C290" s="7">
        <f t="shared" si="17"/>
        <v>1983</v>
      </c>
      <c r="D290" s="7">
        <f t="shared" si="18"/>
        <v>1</v>
      </c>
      <c r="E290" s="7">
        <f t="shared" si="19"/>
        <v>1</v>
      </c>
      <c r="F290">
        <f xml:space="preserve"> [1]Coibion_update!O296</f>
        <v>3.899903864405533</v>
      </c>
      <c r="G290">
        <f xml:space="preserve"> [1]Coibion_update!P296</f>
        <v>10.4</v>
      </c>
      <c r="H290">
        <f xml:space="preserve"> [1]Coibion_update!Q296</f>
        <v>4.5839465495364644</v>
      </c>
      <c r="I290">
        <f xml:space="preserve"> [1]Coibion_update!W296</f>
        <v>8.68</v>
      </c>
      <c r="J290">
        <f xml:space="preserve"> [1]Coibion_update!X296</f>
        <v>5.4402942454435861</v>
      </c>
      <c r="K290">
        <f xml:space="preserve"> [1]Coibion_update!Y296</f>
        <v>3.1517954091855787</v>
      </c>
      <c r="L290">
        <f xml:space="preserve"> [1]Coibion_update!Z296</f>
        <v>3.9611940494345954</v>
      </c>
      <c r="M290">
        <f xml:space="preserve"> [1]Coibion_update!AA296</f>
        <v>3.8032120995699663</v>
      </c>
      <c r="N290">
        <f xml:space="preserve"> [1]Coibion_update!AB296</f>
        <v>0</v>
      </c>
      <c r="O290">
        <f xml:space="preserve"> [1]Coibion_update!AC296</f>
        <v>-4.9179439999999985</v>
      </c>
      <c r="P290">
        <f xml:space="preserve"> [1]Coibion_update!AD296</f>
        <v>-3.8163025999999971</v>
      </c>
      <c r="X290" s="5">
        <f xml:space="preserve"> [1]misc!N373</f>
        <v>8.6199999999999992</v>
      </c>
      <c r="Y290">
        <f xml:space="preserve"> [1]Gilchrist_Zak!C122</f>
        <v>0.33100000000000002</v>
      </c>
      <c r="Z290">
        <f xml:space="preserve"> [1]Sims_Zha!B293</f>
        <v>0.65471000000000001</v>
      </c>
      <c r="AA290">
        <f xml:space="preserve"> [1]Coibion_update!AI296</f>
        <v>0</v>
      </c>
      <c r="AB290">
        <v>0</v>
      </c>
      <c r="AC290">
        <v>0</v>
      </c>
      <c r="AK290">
        <v>8.56</v>
      </c>
      <c r="AL290">
        <f xml:space="preserve"> LN([1]misc!B309)</f>
        <v>6.1679356902237608</v>
      </c>
      <c r="AM290">
        <f xml:space="preserve"> LN([1]misc!D309)</f>
        <v>7.5805977062017185</v>
      </c>
      <c r="AN290">
        <f xml:space="preserve"> LN([1]misc!G414)</f>
        <v>3.1958937484762764</v>
      </c>
      <c r="AO290">
        <f xml:space="preserve"> LN([1]misc!J320 + [1]misc!L320)</f>
        <v>3.1291261567245221</v>
      </c>
      <c r="AP290">
        <f xml:space="preserve"> [1]Factors!B290</f>
        <v>0.52271267300000002</v>
      </c>
      <c r="AQ290">
        <f xml:space="preserve"> [1]Factors!C290</f>
        <v>-0.3574851</v>
      </c>
      <c r="AR290">
        <f xml:space="preserve"> [1]Factors!D290</f>
        <v>2.2449246700000001E-2</v>
      </c>
      <c r="AS290">
        <f xml:space="preserve"> [1]Factors!E290</f>
        <v>0.18929000500000001</v>
      </c>
      <c r="AT290">
        <f xml:space="preserve"> [1]Factors!F290</f>
        <v>-0.107004446</v>
      </c>
    </row>
    <row r="291" spans="1:46" x14ac:dyDescent="0.25">
      <c r="A291">
        <f t="shared" si="20"/>
        <v>1983.0833333333169</v>
      </c>
      <c r="B291" s="1">
        <v>30348</v>
      </c>
      <c r="C291" s="7">
        <f t="shared" si="17"/>
        <v>1983</v>
      </c>
      <c r="D291" s="7">
        <f t="shared" si="18"/>
        <v>2</v>
      </c>
      <c r="E291" s="7">
        <f t="shared" si="19"/>
        <v>1</v>
      </c>
      <c r="F291">
        <f xml:space="preserve"> [1]Coibion_update!O297</f>
        <v>3.8937347908299667</v>
      </c>
      <c r="G291">
        <f xml:space="preserve"> [1]Coibion_update!P297</f>
        <v>10.4</v>
      </c>
      <c r="H291">
        <f xml:space="preserve"> [1]Coibion_update!Q297</f>
        <v>4.5849674786705723</v>
      </c>
      <c r="I291">
        <f xml:space="preserve"> [1]Coibion_update!W297</f>
        <v>8.51</v>
      </c>
      <c r="J291">
        <f xml:space="preserve"> [1]Coibion_update!X297</f>
        <v>5.4765053920603846</v>
      </c>
      <c r="K291">
        <f xml:space="preserve"> [1]Coibion_update!Y297</f>
        <v>3.1435486482482098</v>
      </c>
      <c r="L291">
        <f xml:space="preserve"> [1]Coibion_update!Z297</f>
        <v>3.960927448781749</v>
      </c>
      <c r="M291">
        <f xml:space="preserve"> [1]Coibion_update!AA297</f>
        <v>3.8043932503262767</v>
      </c>
      <c r="N291">
        <f xml:space="preserve"> [1]Coibion_update!AB297</f>
        <v>0.2108304</v>
      </c>
      <c r="O291">
        <f xml:space="preserve"> [1]Coibion_update!AC297</f>
        <v>-4.7071135999999987</v>
      </c>
      <c r="P291">
        <f xml:space="preserve"> [1]Coibion_update!AD297</f>
        <v>-3.6282944999999973</v>
      </c>
      <c r="X291" s="5">
        <f xml:space="preserve"> [1]misc!N374</f>
        <v>8.92</v>
      </c>
      <c r="Y291">
        <f xml:space="preserve"> [1]Gilchrist_Zak!C123</f>
        <v>0.27089999999999997</v>
      </c>
      <c r="Z291">
        <f xml:space="preserve"> [1]Sims_Zha!B294</f>
        <v>-0.59033999999999998</v>
      </c>
      <c r="AA291">
        <f xml:space="preserve"> [1]Coibion_update!AI297</f>
        <v>0.19391949999999999</v>
      </c>
      <c r="AB291">
        <f xml:space="preserve"> AB290 + AA291</f>
        <v>0.19391949999999999</v>
      </c>
      <c r="AC291">
        <v>0.19391949999999999</v>
      </c>
      <c r="AK291">
        <v>8.5299999999999994</v>
      </c>
      <c r="AL291">
        <f xml:space="preserve"> LN([1]misc!B310)</f>
        <v>6.1827045494091832</v>
      </c>
      <c r="AM291">
        <f xml:space="preserve"> LN([1]misc!D310)</f>
        <v>7.5995014786264541</v>
      </c>
      <c r="AN291">
        <f xml:space="preserve"> LN([1]misc!G415)</f>
        <v>3.1583611970022094</v>
      </c>
      <c r="AO291">
        <f xml:space="preserve"> LN([1]misc!J321 + [1]misc!L321)</f>
        <v>3.1611619626777276</v>
      </c>
      <c r="AP291">
        <f xml:space="preserve"> [1]Factors!B291</f>
        <v>-0.11394478299999999</v>
      </c>
      <c r="AQ291">
        <f xml:space="preserve"> [1]Factors!C291</f>
        <v>-0.35380738</v>
      </c>
      <c r="AR291">
        <f xml:space="preserve"> [1]Factors!D291</f>
        <v>-0.16673162799999999</v>
      </c>
      <c r="AS291">
        <f xml:space="preserve"> [1]Factors!E291</f>
        <v>0.52756241999999998</v>
      </c>
      <c r="AT291">
        <f xml:space="preserve"> [1]Factors!F291</f>
        <v>-0.61093978900000001</v>
      </c>
    </row>
    <row r="292" spans="1:46" x14ac:dyDescent="0.25">
      <c r="A292">
        <f t="shared" si="20"/>
        <v>1983.1666666666501</v>
      </c>
      <c r="B292" s="1">
        <v>30376</v>
      </c>
      <c r="C292" s="7">
        <f t="shared" si="17"/>
        <v>1983</v>
      </c>
      <c r="D292" s="7">
        <f t="shared" si="18"/>
        <v>3</v>
      </c>
      <c r="E292" s="7">
        <f t="shared" si="19"/>
        <v>1</v>
      </c>
      <c r="F292">
        <f xml:space="preserve"> [1]Coibion_update!O298</f>
        <v>3.9017888142904593</v>
      </c>
      <c r="G292">
        <f xml:space="preserve"> [1]Coibion_update!P298</f>
        <v>10.3</v>
      </c>
      <c r="H292">
        <f xml:space="preserve"> [1]Coibion_update!Q298</f>
        <v>4.5859873665713176</v>
      </c>
      <c r="I292">
        <f xml:space="preserve"> [1]Coibion_update!W298</f>
        <v>8.77</v>
      </c>
      <c r="J292">
        <f xml:space="preserve"> [1]Coibion_update!X298</f>
        <v>5.4940897210661142</v>
      </c>
      <c r="K292">
        <f xml:space="preserve"> [1]Coibion_update!Y298</f>
        <v>3.1592107425464655</v>
      </c>
      <c r="L292">
        <f xml:space="preserve"> [1]Coibion_update!Z298</f>
        <v>3.9752982289411873</v>
      </c>
      <c r="M292">
        <f xml:space="preserve"> [1]Coibion_update!AA298</f>
        <v>3.8113846561056488</v>
      </c>
      <c r="N292">
        <f xml:space="preserve"> [1]Coibion_update!AB298</f>
        <v>0.13741929999999999</v>
      </c>
      <c r="O292">
        <f xml:space="preserve"> [1]Coibion_update!AC298</f>
        <v>-4.5696942999999983</v>
      </c>
      <c r="P292">
        <f xml:space="preserve"> [1]Coibion_update!AD298</f>
        <v>-3.4827363999999972</v>
      </c>
      <c r="X292" s="5">
        <f xml:space="preserve"> [1]misc!N375</f>
        <v>9.0399999999999991</v>
      </c>
      <c r="Y292">
        <f xml:space="preserve"> [1]Gilchrist_Zak!C124</f>
        <v>0.219</v>
      </c>
      <c r="Z292">
        <f xml:space="preserve"> [1]Sims_Zha!B295</f>
        <v>2.3761000000000001</v>
      </c>
      <c r="AA292">
        <f xml:space="preserve"> [1]Coibion_update!AI298</f>
        <v>0.18949759999999999</v>
      </c>
      <c r="AB292">
        <f t="shared" ref="AB292:AB355" si="21" xml:space="preserve"> AB291 + AA292</f>
        <v>0.38341709999999996</v>
      </c>
      <c r="AC292">
        <v>0.18949759999999999</v>
      </c>
      <c r="AK292">
        <v>10.81</v>
      </c>
      <c r="AL292">
        <f xml:space="preserve"> LN([1]misc!B311)</f>
        <v>6.195629131824389</v>
      </c>
      <c r="AM292">
        <f xml:space="preserve"> LN([1]misc!D311)</f>
        <v>7.6086225825572207</v>
      </c>
      <c r="AN292">
        <f xml:space="preserve"> LN([1]misc!G416)</f>
        <v>3.0984242317775368</v>
      </c>
      <c r="AO292">
        <f xml:space="preserve"> LN([1]misc!J322 + [1]misc!L322)</f>
        <v>3.1754671544511788</v>
      </c>
      <c r="AP292">
        <f xml:space="preserve"> [1]Factors!B292</f>
        <v>0.248784069</v>
      </c>
      <c r="AQ292">
        <f xml:space="preserve"> [1]Factors!C292</f>
        <v>-0.20840322</v>
      </c>
      <c r="AR292">
        <f xml:space="preserve"> [1]Factors!D292</f>
        <v>0.30058855899999998</v>
      </c>
      <c r="AS292">
        <f xml:space="preserve"> [1]Factors!E292</f>
        <v>-0.201369565</v>
      </c>
      <c r="AT292">
        <f xml:space="preserve"> [1]Factors!F292</f>
        <v>-2.5473217100000001E-2</v>
      </c>
    </row>
    <row r="293" spans="1:46" x14ac:dyDescent="0.25">
      <c r="A293">
        <f t="shared" si="20"/>
        <v>1983.2499999999834</v>
      </c>
      <c r="B293" s="1">
        <v>30407</v>
      </c>
      <c r="C293" s="7">
        <f t="shared" si="17"/>
        <v>1983</v>
      </c>
      <c r="D293" s="7">
        <f t="shared" si="18"/>
        <v>4</v>
      </c>
      <c r="E293" s="7">
        <f t="shared" si="19"/>
        <v>2</v>
      </c>
      <c r="F293">
        <f xml:space="preserve"> [1]Coibion_update!O299</f>
        <v>3.913815398132185</v>
      </c>
      <c r="G293">
        <f xml:space="preserve"> [1]Coibion_update!P299</f>
        <v>10.199999999999999</v>
      </c>
      <c r="H293">
        <f xml:space="preserve"> [1]Coibion_update!Q299</f>
        <v>4.5930976047538223</v>
      </c>
      <c r="I293">
        <f xml:space="preserve"> [1]Coibion_update!W299</f>
        <v>8.8000000000000007</v>
      </c>
      <c r="J293">
        <f xml:space="preserve"> [1]Coibion_update!X299</f>
        <v>5.5184965283982308</v>
      </c>
      <c r="K293">
        <f xml:space="preserve"> [1]Coibion_update!Y299</f>
        <v>3.1946650961531424</v>
      </c>
      <c r="L293">
        <f xml:space="preserve"> [1]Coibion_update!Z299</f>
        <v>3.9708955049390902</v>
      </c>
      <c r="M293">
        <f xml:space="preserve"> [1]Coibion_update!AA299</f>
        <v>3.8162387132503097</v>
      </c>
      <c r="N293">
        <f xml:space="preserve"> [1]Coibion_update!AB299</f>
        <v>0</v>
      </c>
      <c r="O293">
        <f xml:space="preserve"> [1]Coibion_update!AC299</f>
        <v>-4.5696942999999983</v>
      </c>
      <c r="P293">
        <f xml:space="preserve"> [1]Coibion_update!AD299</f>
        <v>-3.4827363999999972</v>
      </c>
      <c r="X293" s="5">
        <f xml:space="preserve"> [1]misc!N376</f>
        <v>8.98</v>
      </c>
      <c r="Y293">
        <f xml:space="preserve"> [1]Gilchrist_Zak!C125</f>
        <v>0.12139999999999999</v>
      </c>
      <c r="Z293">
        <f xml:space="preserve"> [1]Sims_Zha!B296</f>
        <v>-0.20285</v>
      </c>
      <c r="AA293">
        <f xml:space="preserve"> [1]Coibion_update!AI299</f>
        <v>0</v>
      </c>
      <c r="AB293">
        <f t="shared" si="21"/>
        <v>0.38341709999999996</v>
      </c>
      <c r="AC293">
        <v>0</v>
      </c>
      <c r="AK293">
        <v>8.84</v>
      </c>
      <c r="AL293">
        <f xml:space="preserve"> LN([1]misc!B312)</f>
        <v>6.2009147712901891</v>
      </c>
      <c r="AM293">
        <f xml:space="preserve"> LN([1]misc!D312)</f>
        <v>7.6152490532490038</v>
      </c>
      <c r="AN293">
        <f xml:space="preserve"> LN([1]misc!G417)</f>
        <v>3.1164443487162541</v>
      </c>
      <c r="AO293">
        <f xml:space="preserve"> LN([1]misc!J323 + [1]misc!L323)</f>
        <v>3.1902705678578664</v>
      </c>
      <c r="AP293">
        <f xml:space="preserve"> [1]Factors!B293</f>
        <v>-8.1825699700000004E-2</v>
      </c>
      <c r="AQ293">
        <f xml:space="preserve"> [1]Factors!C293</f>
        <v>-0.37774677499999998</v>
      </c>
      <c r="AR293">
        <f xml:space="preserve"> [1]Factors!D293</f>
        <v>0.17340236000000001</v>
      </c>
      <c r="AS293">
        <f xml:space="preserve"> [1]Factors!E293</f>
        <v>0.10394677400000001</v>
      </c>
      <c r="AT293">
        <f xml:space="preserve"> [1]Factors!F293</f>
        <v>-0.19746359199999999</v>
      </c>
    </row>
    <row r="294" spans="1:46" x14ac:dyDescent="0.25">
      <c r="A294">
        <f t="shared" si="20"/>
        <v>1983.3333333333167</v>
      </c>
      <c r="B294" s="1">
        <v>30437</v>
      </c>
      <c r="C294" s="7">
        <f t="shared" si="17"/>
        <v>1983</v>
      </c>
      <c r="D294" s="7">
        <f t="shared" si="18"/>
        <v>5</v>
      </c>
      <c r="E294" s="7">
        <f t="shared" si="19"/>
        <v>2</v>
      </c>
      <c r="F294">
        <f xml:space="preserve"> [1]Coibion_update!O300</f>
        <v>3.9207726157047951</v>
      </c>
      <c r="G294">
        <f xml:space="preserve"> [1]Coibion_update!P300</f>
        <v>10.1</v>
      </c>
      <c r="H294">
        <f xml:space="preserve"> [1]Coibion_update!Q300</f>
        <v>4.5971380142908274</v>
      </c>
      <c r="I294">
        <f xml:space="preserve"> [1]Coibion_update!W300</f>
        <v>8.6300000000000008</v>
      </c>
      <c r="J294">
        <f xml:space="preserve"> [1]Coibion_update!X300</f>
        <v>5.5165287748166838</v>
      </c>
      <c r="K294">
        <f xml:space="preserve"> [1]Coibion_update!Y300</f>
        <v>3.2200751054436827</v>
      </c>
      <c r="L294">
        <f xml:space="preserve"> [1]Coibion_update!Z300</f>
        <v>3.9755985630651556</v>
      </c>
      <c r="M294">
        <f xml:space="preserve"> [1]Coibion_update!AA300</f>
        <v>3.8181298212112136</v>
      </c>
      <c r="N294">
        <f xml:space="preserve"> [1]Coibion_update!AB300</f>
        <v>-3.8653100000000003E-2</v>
      </c>
      <c r="O294">
        <f xml:space="preserve"> [1]Coibion_update!AC300</f>
        <v>-4.6083473999999987</v>
      </c>
      <c r="P294">
        <f xml:space="preserve"> [1]Coibion_update!AD300</f>
        <v>-3.5029108999999972</v>
      </c>
      <c r="X294" s="5">
        <f xml:space="preserve"> [1]misc!N377</f>
        <v>8.9</v>
      </c>
      <c r="Y294">
        <f xml:space="preserve"> [1]Gilchrist_Zak!C126</f>
        <v>-7.8899999999999998E-2</v>
      </c>
      <c r="Z294">
        <f xml:space="preserve"> [1]Sims_Zha!B297</f>
        <v>-1.7293000000000001</v>
      </c>
      <c r="AA294">
        <f xml:space="preserve"> [1]Coibion_update!AI300</f>
        <v>0.13404540000000001</v>
      </c>
      <c r="AB294">
        <f t="shared" si="21"/>
        <v>0.51746249999999994</v>
      </c>
      <c r="AC294">
        <v>0.13404540000000001</v>
      </c>
      <c r="AK294">
        <v>8.94</v>
      </c>
      <c r="AL294">
        <f xml:space="preserve"> LN([1]misc!B313)</f>
        <v>6.2146080984221914</v>
      </c>
      <c r="AM294">
        <f xml:space="preserve"> LN([1]misc!D313)</f>
        <v>7.6223703661573232</v>
      </c>
      <c r="AN294">
        <f xml:space="preserve"> LN([1]misc!G418)</f>
        <v>3.0914968955383704</v>
      </c>
      <c r="AO294">
        <f xml:space="preserve"> LN([1]misc!J324 + [1]misc!L324)</f>
        <v>3.1954024686825586</v>
      </c>
      <c r="AP294">
        <f xml:space="preserve"> [1]Factors!B294</f>
        <v>-0.324828177</v>
      </c>
      <c r="AQ294">
        <f xml:space="preserve"> [1]Factors!C294</f>
        <v>-2.9394255000000001E-2</v>
      </c>
      <c r="AR294">
        <f xml:space="preserve"> [1]Factors!D294</f>
        <v>0.15967399800000001</v>
      </c>
      <c r="AS294">
        <f xml:space="preserve"> [1]Factors!E294</f>
        <v>0.40605865499999999</v>
      </c>
      <c r="AT294">
        <f xml:space="preserve"> [1]Factors!F294</f>
        <v>-0.258054913</v>
      </c>
    </row>
    <row r="295" spans="1:46" x14ac:dyDescent="0.25">
      <c r="A295">
        <f t="shared" si="20"/>
        <v>1983.4166666666499</v>
      </c>
      <c r="B295" s="1">
        <v>30468</v>
      </c>
      <c r="C295" s="7">
        <f t="shared" si="17"/>
        <v>1983</v>
      </c>
      <c r="D295" s="7">
        <f t="shared" si="18"/>
        <v>6</v>
      </c>
      <c r="E295" s="7">
        <f t="shared" si="19"/>
        <v>2</v>
      </c>
      <c r="F295">
        <f xml:space="preserve"> [1]Coibion_update!O301</f>
        <v>3.9264287427357472</v>
      </c>
      <c r="G295">
        <f xml:space="preserve"> [1]Coibion_update!P301</f>
        <v>10.1</v>
      </c>
      <c r="H295">
        <f xml:space="preserve"> [1]Coibion_update!Q301</f>
        <v>4.5991521136625284</v>
      </c>
      <c r="I295">
        <f xml:space="preserve"> [1]Coibion_update!W301</f>
        <v>8.98</v>
      </c>
      <c r="J295">
        <f xml:space="preserve"> [1]Coibion_update!X301</f>
        <v>5.5130254390411446</v>
      </c>
      <c r="K295">
        <f xml:space="preserve"> [1]Coibion_update!Y301</f>
        <v>3.2502194411481309</v>
      </c>
      <c r="L295">
        <f xml:space="preserve"> [1]Coibion_update!Z301</f>
        <v>3.9860538317490617</v>
      </c>
      <c r="M295">
        <f xml:space="preserve"> [1]Coibion_update!AA301</f>
        <v>3.8223608454884173</v>
      </c>
      <c r="N295">
        <f xml:space="preserve"> [1]Coibion_update!AB301</f>
        <v>0</v>
      </c>
      <c r="O295">
        <f xml:space="preserve"> [1]Coibion_update!AC301</f>
        <v>-4.6083473999999987</v>
      </c>
      <c r="P295">
        <f xml:space="preserve"> [1]Coibion_update!AD301</f>
        <v>-3.5029108999999972</v>
      </c>
      <c r="X295" s="5">
        <f xml:space="preserve"> [1]misc!N378</f>
        <v>9.66</v>
      </c>
      <c r="Y295">
        <f xml:space="preserve"> [1]Gilchrist_Zak!C127</f>
        <v>8.9300000000000004E-2</v>
      </c>
      <c r="Z295">
        <f xml:space="preserve"> [1]Sims_Zha!B298</f>
        <v>2.0724</v>
      </c>
      <c r="AA295">
        <f xml:space="preserve"> [1]Coibion_update!AI301</f>
        <v>0</v>
      </c>
      <c r="AB295">
        <f t="shared" si="21"/>
        <v>0.51746249999999994</v>
      </c>
      <c r="AC295">
        <v>0</v>
      </c>
      <c r="AK295">
        <v>10.06</v>
      </c>
      <c r="AL295">
        <f xml:space="preserve"> LN([1]misc!B314)</f>
        <v>6.2225762680713688</v>
      </c>
      <c r="AM295">
        <f xml:space="preserve"> LN([1]misc!D314)</f>
        <v>7.6274470147641944</v>
      </c>
      <c r="AN295">
        <f xml:space="preserve"> LN([1]misc!G419)</f>
        <v>3.0822310191706079</v>
      </c>
      <c r="AO295">
        <f xml:space="preserve"> LN([1]misc!J325 + [1]misc!L325)</f>
        <v>3.2027057917055628</v>
      </c>
      <c r="AP295">
        <f xml:space="preserve"> [1]Factors!B295</f>
        <v>-0.27711844499999999</v>
      </c>
      <c r="AQ295">
        <f xml:space="preserve"> [1]Factors!C295</f>
        <v>-0.161254961</v>
      </c>
      <c r="AR295">
        <f xml:space="preserve"> [1]Factors!D295</f>
        <v>0.102346728</v>
      </c>
      <c r="AS295">
        <f xml:space="preserve"> [1]Factors!E295</f>
        <v>0.35690628800000002</v>
      </c>
      <c r="AT295">
        <f xml:space="preserve"> [1]Factors!F295</f>
        <v>-9.0451626300000004E-2</v>
      </c>
    </row>
    <row r="296" spans="1:46" x14ac:dyDescent="0.25">
      <c r="A296">
        <f t="shared" si="20"/>
        <v>1983.4999999999832</v>
      </c>
      <c r="B296" s="1">
        <v>30498</v>
      </c>
      <c r="C296" s="7">
        <f t="shared" si="17"/>
        <v>1983</v>
      </c>
      <c r="D296" s="7">
        <f t="shared" si="18"/>
        <v>7</v>
      </c>
      <c r="E296" s="7">
        <f t="shared" si="19"/>
        <v>3</v>
      </c>
      <c r="F296">
        <f xml:space="preserve"> [1]Coibion_update!O302</f>
        <v>3.941665299329796</v>
      </c>
      <c r="G296">
        <f xml:space="preserve"> [1]Coibion_update!P302</f>
        <v>9.4</v>
      </c>
      <c r="H296">
        <f xml:space="preserve"> [1]Coibion_update!Q302</f>
        <v>4.6031681833174183</v>
      </c>
      <c r="I296">
        <f xml:space="preserve"> [1]Coibion_update!W302</f>
        <v>9.3699999999999992</v>
      </c>
      <c r="J296">
        <f xml:space="preserve"> [1]Coibion_update!X302</f>
        <v>5.5274032273178761</v>
      </c>
      <c r="K296">
        <f xml:space="preserve"> [1]Coibion_update!Y302</f>
        <v>3.2645755041191911</v>
      </c>
      <c r="L296">
        <f xml:space="preserve"> [1]Coibion_update!Z302</f>
        <v>3.990334985487082</v>
      </c>
      <c r="M296">
        <f xml:space="preserve"> [1]Coibion_update!AA302</f>
        <v>3.8284457251727986</v>
      </c>
      <c r="N296">
        <f xml:space="preserve"> [1]Coibion_update!AB302</f>
        <v>3.1968799999999999E-2</v>
      </c>
      <c r="O296">
        <f xml:space="preserve"> [1]Coibion_update!AC302</f>
        <v>-4.5763785999999991</v>
      </c>
      <c r="P296">
        <f xml:space="preserve"> [1]Coibion_update!AD302</f>
        <v>-3.5096286999999973</v>
      </c>
      <c r="X296" s="5">
        <f xml:space="preserve"> [1]misc!N379</f>
        <v>10.199999999999999</v>
      </c>
      <c r="Y296">
        <f xml:space="preserve"> [1]Gilchrist_Zak!C128</f>
        <v>-7.8899999999999998E-2</v>
      </c>
      <c r="Z296">
        <f xml:space="preserve"> [1]Sims_Zha!B299</f>
        <v>2.0339</v>
      </c>
      <c r="AA296">
        <f xml:space="preserve"> [1]Coibion_update!AI302</f>
        <v>0.22899549999999999</v>
      </c>
      <c r="AB296">
        <f t="shared" si="21"/>
        <v>0.74645799999999995</v>
      </c>
      <c r="AC296">
        <v>0.22899549999999999</v>
      </c>
      <c r="AK296">
        <v>9.52</v>
      </c>
      <c r="AL296">
        <f xml:space="preserve"> LN([1]misc!B315)</f>
        <v>6.2300876692705778</v>
      </c>
      <c r="AM296">
        <f xml:space="preserve"> LN([1]misc!D315)</f>
        <v>7.6329339303727464</v>
      </c>
      <c r="AN296">
        <f xml:space="preserve"> LN([1]misc!G420)</f>
        <v>3.0973407591420878</v>
      </c>
      <c r="AO296">
        <f xml:space="preserve"> LN([1]misc!J326 + [1]misc!L326)</f>
        <v>3.1978973064830027</v>
      </c>
      <c r="AP296">
        <f xml:space="preserve"> [1]Factors!B296</f>
        <v>-0.475049526</v>
      </c>
      <c r="AQ296">
        <f xml:space="preserve"> [1]Factors!C296</f>
        <v>-0.124346951</v>
      </c>
      <c r="AR296">
        <f xml:space="preserve"> [1]Factors!D296</f>
        <v>0.35445773800000002</v>
      </c>
      <c r="AS296">
        <f xml:space="preserve"> [1]Factors!E296</f>
        <v>-8.0985835199999995E-2</v>
      </c>
      <c r="AT296">
        <f xml:space="preserve"> [1]Factors!F296</f>
        <v>-8.3887883299999993E-2</v>
      </c>
    </row>
    <row r="297" spans="1:46" x14ac:dyDescent="0.25">
      <c r="A297">
        <f t="shared" si="20"/>
        <v>1983.5833333333164</v>
      </c>
      <c r="B297" s="1">
        <v>30529</v>
      </c>
      <c r="C297" s="7">
        <f t="shared" si="17"/>
        <v>1983</v>
      </c>
      <c r="D297" s="7">
        <f t="shared" si="18"/>
        <v>8</v>
      </c>
      <c r="E297" s="7">
        <f t="shared" si="19"/>
        <v>3</v>
      </c>
      <c r="F297">
        <f xml:space="preserve"> [1]Coibion_update!O303</f>
        <v>3.9525275095536592</v>
      </c>
      <c r="G297">
        <f xml:space="preserve"> [1]Coibion_update!P303</f>
        <v>9.5</v>
      </c>
      <c r="H297">
        <f xml:space="preserve"> [1]Coibion_update!Q303</f>
        <v>4.6061696863211745</v>
      </c>
      <c r="I297">
        <f xml:space="preserve"> [1]Coibion_update!W303</f>
        <v>9.56</v>
      </c>
      <c r="J297">
        <f xml:space="preserve"> [1]Coibion_update!X303</f>
        <v>5.5884464426428693</v>
      </c>
      <c r="K297">
        <f xml:space="preserve"> [1]Coibion_update!Y303</f>
        <v>3.2560945353508091</v>
      </c>
      <c r="L297">
        <f xml:space="preserve"> [1]Coibion_update!Z303</f>
        <v>3.9916841018358262</v>
      </c>
      <c r="M297">
        <f xml:space="preserve"> [1]Coibion_update!AA303</f>
        <v>3.8341479467051802</v>
      </c>
      <c r="N297">
        <f xml:space="preserve"> [1]Coibion_update!AB303</f>
        <v>-0.23930290000000001</v>
      </c>
      <c r="O297">
        <f xml:space="preserve"> [1]Coibion_update!AC303</f>
        <v>-4.8156814999999993</v>
      </c>
      <c r="P297">
        <f xml:space="preserve"> [1]Coibion_update!AD303</f>
        <v>-3.7430944999999971</v>
      </c>
      <c r="X297" s="5">
        <f xml:space="preserve"> [1]misc!N380</f>
        <v>10.53</v>
      </c>
      <c r="Y297">
        <f xml:space="preserve"> [1]Gilchrist_Zak!C129</f>
        <v>-0.18099999999999999</v>
      </c>
      <c r="Z297">
        <f xml:space="preserve"> [1]Sims_Zha!B300</f>
        <v>-0.17377000000000001</v>
      </c>
      <c r="AA297">
        <f xml:space="preserve"> [1]Coibion_update!AI303</f>
        <v>-0.25873449999999998</v>
      </c>
      <c r="AB297">
        <f t="shared" si="21"/>
        <v>0.48772349999999998</v>
      </c>
      <c r="AC297">
        <v>-0.25873449999999998</v>
      </c>
      <c r="AK297">
        <v>9.59</v>
      </c>
      <c r="AL297">
        <f xml:space="preserve"> LN([1]misc!B316)</f>
        <v>6.2353906376047199</v>
      </c>
      <c r="AM297">
        <f xml:space="preserve"> LN([1]misc!D316)</f>
        <v>7.6373790263521002</v>
      </c>
      <c r="AN297">
        <f xml:space="preserve"> LN([1]misc!G421)</f>
        <v>3.0894502774277428</v>
      </c>
      <c r="AO297">
        <f xml:space="preserve"> LN([1]misc!J327 + [1]misc!L327)</f>
        <v>3.1913401746736798</v>
      </c>
      <c r="AP297">
        <f xml:space="preserve"> [1]Factors!B297</f>
        <v>-0.69904860700000004</v>
      </c>
      <c r="AQ297">
        <f xml:space="preserve"> [1]Factors!C297</f>
        <v>-0.17025987400000001</v>
      </c>
      <c r="AR297">
        <f xml:space="preserve"> [1]Factors!D297</f>
        <v>0.30067070400000001</v>
      </c>
      <c r="AS297">
        <f xml:space="preserve"> [1]Factors!E297</f>
        <v>5.96284433E-2</v>
      </c>
      <c r="AT297">
        <f xml:space="preserve"> [1]Factors!F297</f>
        <v>-0.18599478799999999</v>
      </c>
    </row>
    <row r="298" spans="1:46" x14ac:dyDescent="0.25">
      <c r="A298">
        <f t="shared" si="20"/>
        <v>1983.6666666666497</v>
      </c>
      <c r="B298" s="1">
        <v>30560</v>
      </c>
      <c r="C298" s="7">
        <f t="shared" si="17"/>
        <v>1983</v>
      </c>
      <c r="D298" s="7">
        <f t="shared" si="18"/>
        <v>9</v>
      </c>
      <c r="E298" s="7">
        <f t="shared" si="19"/>
        <v>3</v>
      </c>
      <c r="F298">
        <f xml:space="preserve"> [1]Coibion_update!O304</f>
        <v>3.9677358193362684</v>
      </c>
      <c r="G298">
        <f xml:space="preserve"> [1]Coibion_update!P304</f>
        <v>9.1999999999999993</v>
      </c>
      <c r="H298">
        <f xml:space="preserve"> [1]Coibion_update!Q304</f>
        <v>4.6091622072576293</v>
      </c>
      <c r="I298">
        <f xml:space="preserve"> [1]Coibion_update!W304</f>
        <v>9.4499999999999993</v>
      </c>
      <c r="J298">
        <f xml:space="preserve"> [1]Coibion_update!X304</f>
        <v>5.5945998492189881</v>
      </c>
      <c r="K298">
        <f xml:space="preserve"> [1]Coibion_update!Y304</f>
        <v>3.2581734581399768</v>
      </c>
      <c r="L298">
        <f xml:space="preserve"> [1]Coibion_update!Z304</f>
        <v>3.9958493154730013</v>
      </c>
      <c r="M298">
        <f xml:space="preserve"> [1]Coibion_update!AA304</f>
        <v>3.8360918337943231</v>
      </c>
      <c r="N298">
        <f xml:space="preserve"> [1]Coibion_update!AB304</f>
        <v>0</v>
      </c>
      <c r="O298">
        <f xml:space="preserve"> [1]Coibion_update!AC304</f>
        <v>-4.8156814999999993</v>
      </c>
      <c r="P298">
        <f xml:space="preserve"> [1]Coibion_update!AD304</f>
        <v>-3.7430944999999971</v>
      </c>
      <c r="X298" s="5">
        <f xml:space="preserve"> [1]misc!N381</f>
        <v>10.16</v>
      </c>
      <c r="Y298">
        <f xml:space="preserve"> [1]Gilchrist_Zak!C130</f>
        <v>-5.0099999999999999E-2</v>
      </c>
      <c r="Z298">
        <f xml:space="preserve"> [1]Sims_Zha!B301</f>
        <v>-1.7002999999999999</v>
      </c>
      <c r="AA298">
        <f xml:space="preserve"> [1]Coibion_update!AI304</f>
        <v>0</v>
      </c>
      <c r="AB298">
        <f t="shared" si="21"/>
        <v>0.48772349999999998</v>
      </c>
      <c r="AC298">
        <v>0</v>
      </c>
      <c r="AK298">
        <v>10.59</v>
      </c>
      <c r="AL298">
        <f xml:space="preserve"> LN([1]misc!B317)</f>
        <v>6.2398859056064602</v>
      </c>
      <c r="AM298">
        <f xml:space="preserve"> LN([1]misc!D317)</f>
        <v>7.6418044508625078</v>
      </c>
      <c r="AN298">
        <f xml:space="preserve"> LN([1]misc!G422)</f>
        <v>3.0245626552218678</v>
      </c>
      <c r="AO298">
        <f xml:space="preserve"> LN([1]misc!J328 + [1]misc!L328)</f>
        <v>3.1990403970340893</v>
      </c>
      <c r="AP298">
        <f xml:space="preserve"> [1]Factors!B298</f>
        <v>-0.32070025400000002</v>
      </c>
      <c r="AQ298">
        <f xml:space="preserve"> [1]Factors!C298</f>
        <v>-0.14302082799999999</v>
      </c>
      <c r="AR298">
        <f xml:space="preserve"> [1]Factors!D298</f>
        <v>0.38478886400000001</v>
      </c>
      <c r="AS298">
        <f xml:space="preserve"> [1]Factors!E298</f>
        <v>-4.1307874699999997E-2</v>
      </c>
      <c r="AT298">
        <f xml:space="preserve"> [1]Factors!F298</f>
        <v>-1.93128516E-2</v>
      </c>
    </row>
    <row r="299" spans="1:46" x14ac:dyDescent="0.25">
      <c r="A299">
        <f t="shared" si="20"/>
        <v>1983.7499999999829</v>
      </c>
      <c r="B299" s="1">
        <v>30590</v>
      </c>
      <c r="C299" s="7">
        <f t="shared" si="17"/>
        <v>1983</v>
      </c>
      <c r="D299" s="7">
        <f t="shared" si="18"/>
        <v>10</v>
      </c>
      <c r="E299" s="7">
        <f t="shared" si="19"/>
        <v>4</v>
      </c>
      <c r="F299">
        <f xml:space="preserve"> [1]Coibion_update!O305</f>
        <v>3.9757092885140115</v>
      </c>
      <c r="G299">
        <f xml:space="preserve"> [1]Coibion_update!P305</f>
        <v>8.8000000000000007</v>
      </c>
      <c r="H299">
        <f xml:space="preserve"> [1]Coibion_update!Q305</f>
        <v>4.6131383556372683</v>
      </c>
      <c r="I299">
        <f xml:space="preserve"> [1]Coibion_update!W305</f>
        <v>9.48</v>
      </c>
      <c r="J299">
        <f xml:space="preserve"> [1]Coibion_update!X305</f>
        <v>5.5823678527657679</v>
      </c>
      <c r="K299">
        <f xml:space="preserve"> [1]Coibion_update!Y305</f>
        <v>3.2927209053260715</v>
      </c>
      <c r="L299">
        <f xml:space="preserve"> [1]Coibion_update!Z305</f>
        <v>4.0001254536496917</v>
      </c>
      <c r="M299">
        <f xml:space="preserve"> [1]Coibion_update!AA305</f>
        <v>3.8397748412205219</v>
      </c>
      <c r="N299">
        <f xml:space="preserve"> [1]Coibion_update!AB305</f>
        <v>0.22521540000000001</v>
      </c>
      <c r="O299">
        <f xml:space="preserve"> [1]Coibion_update!AC305</f>
        <v>-4.5904660999999995</v>
      </c>
      <c r="P299">
        <f xml:space="preserve"> [1]Coibion_update!AD305</f>
        <v>-3.4612180999999973</v>
      </c>
      <c r="X299" s="5">
        <f xml:space="preserve"> [1]misc!N382</f>
        <v>9.81</v>
      </c>
      <c r="Y299">
        <f xml:space="preserve"> [1]Gilchrist_Zak!C131</f>
        <v>-6.8400000000000002E-2</v>
      </c>
      <c r="Z299">
        <f xml:space="preserve"> [1]Sims_Zha!B302</f>
        <v>-1.2749999999999999</v>
      </c>
      <c r="AA299">
        <f xml:space="preserve"> [1]Coibion_update!AI305</f>
        <v>-5.1345000000000002E-2</v>
      </c>
      <c r="AB299">
        <f t="shared" si="21"/>
        <v>0.4363785</v>
      </c>
      <c r="AC299">
        <v>-5.1345000000000002E-2</v>
      </c>
      <c r="AK299">
        <v>9.43</v>
      </c>
      <c r="AL299">
        <f xml:space="preserve"> LN([1]misc!B318)</f>
        <v>6.2484296468977023</v>
      </c>
      <c r="AM299">
        <f xml:space="preserve"> LN([1]misc!D318)</f>
        <v>7.6494545001242482</v>
      </c>
      <c r="AN299">
        <f xml:space="preserve"> LN([1]misc!G423)</f>
        <v>3.0473280221976413</v>
      </c>
      <c r="AO299">
        <f xml:space="preserve"> LN([1]misc!J329 + [1]misc!L329)</f>
        <v>3.2135014085307456</v>
      </c>
      <c r="AP299">
        <f xml:space="preserve"> [1]Factors!B299</f>
        <v>-0.81730277799999995</v>
      </c>
      <c r="AQ299">
        <f xml:space="preserve"> [1]Factors!C299</f>
        <v>-0.29986347299999999</v>
      </c>
      <c r="AR299">
        <f xml:space="preserve"> [1]Factors!D299</f>
        <v>-0.13244340600000001</v>
      </c>
      <c r="AS299">
        <f xml:space="preserve"> [1]Factors!E299</f>
        <v>0.44627857199999998</v>
      </c>
      <c r="AT299">
        <f xml:space="preserve"> [1]Factors!F299</f>
        <v>-8.1579953199999999E-2</v>
      </c>
    </row>
    <row r="300" spans="1:46" x14ac:dyDescent="0.25">
      <c r="A300">
        <f t="shared" si="20"/>
        <v>1983.8333333333162</v>
      </c>
      <c r="B300" s="1">
        <v>30621</v>
      </c>
      <c r="C300" s="7">
        <f t="shared" si="17"/>
        <v>1983</v>
      </c>
      <c r="D300" s="7">
        <f t="shared" si="18"/>
        <v>11</v>
      </c>
      <c r="E300" s="7">
        <f t="shared" si="19"/>
        <v>4</v>
      </c>
      <c r="F300">
        <f xml:space="preserve"> [1]Coibion_update!O306</f>
        <v>3.9790571598807341</v>
      </c>
      <c r="G300">
        <f xml:space="preserve"> [1]Coibion_update!P306</f>
        <v>8.5</v>
      </c>
      <c r="H300">
        <f xml:space="preserve"> [1]Coibion_update!Q306</f>
        <v>4.6161101260264257</v>
      </c>
      <c r="I300">
        <f xml:space="preserve"> [1]Coibion_update!W306</f>
        <v>9.34</v>
      </c>
      <c r="J300">
        <f xml:space="preserve"> [1]Coibion_update!X306</f>
        <v>5.591621107767871</v>
      </c>
      <c r="K300">
        <f xml:space="preserve"> [1]Coibion_update!Y306</f>
        <v>3.2960960916617141</v>
      </c>
      <c r="L300">
        <f xml:space="preserve"> [1]Coibion_update!Z306</f>
        <v>4.0052400871392795</v>
      </c>
      <c r="M300">
        <f xml:space="preserve"> [1]Coibion_update!AA306</f>
        <v>3.8402691831647555</v>
      </c>
      <c r="N300">
        <f xml:space="preserve"> [1]Coibion_update!AB306</f>
        <v>-0.14890619999999999</v>
      </c>
      <c r="O300">
        <f xml:space="preserve"> [1]Coibion_update!AC306</f>
        <v>-4.7393722999999994</v>
      </c>
      <c r="P300">
        <f xml:space="preserve"> [1]Coibion_update!AD306</f>
        <v>-3.6317903999999972</v>
      </c>
      <c r="X300" s="5">
        <f xml:space="preserve"> [1]misc!N383</f>
        <v>9.94</v>
      </c>
      <c r="Y300">
        <f xml:space="preserve"> [1]Gilchrist_Zak!C132</f>
        <v>4.4900000000000002E-2</v>
      </c>
      <c r="Z300">
        <f xml:space="preserve"> [1]Sims_Zha!B303</f>
        <v>-1.5542</v>
      </c>
      <c r="AA300">
        <f xml:space="preserve"> [1]Coibion_update!AI306</f>
        <v>-0.2007999</v>
      </c>
      <c r="AB300">
        <f t="shared" si="21"/>
        <v>0.2355786</v>
      </c>
      <c r="AC300">
        <v>-0.2007999</v>
      </c>
      <c r="AK300">
        <v>9.34</v>
      </c>
      <c r="AL300">
        <f xml:space="preserve"> LN([1]misc!B319)</f>
        <v>6.2519038831658884</v>
      </c>
      <c r="AM300">
        <f xml:space="preserve"> LN([1]misc!D319)</f>
        <v>7.6556746953890622</v>
      </c>
      <c r="AN300">
        <f xml:space="preserve"> LN([1]misc!G424)</f>
        <v>3.041804461656374</v>
      </c>
      <c r="AO300">
        <f xml:space="preserve"> LN([1]misc!J330 + [1]misc!L330)</f>
        <v>3.1985506610736012</v>
      </c>
      <c r="AP300">
        <f xml:space="preserve"> [1]Factors!B300</f>
        <v>-0.37224954199999999</v>
      </c>
      <c r="AQ300">
        <f xml:space="preserve"> [1]Factors!C300</f>
        <v>-0.25730191499999999</v>
      </c>
      <c r="AR300">
        <f xml:space="preserve"> [1]Factors!D300</f>
        <v>-5.5246517199999998E-2</v>
      </c>
      <c r="AS300">
        <f xml:space="preserve"> [1]Factors!E300</f>
        <v>0.31693405099999999</v>
      </c>
      <c r="AT300">
        <f xml:space="preserve"> [1]Factors!F300</f>
        <v>0.171138081</v>
      </c>
    </row>
    <row r="301" spans="1:46" x14ac:dyDescent="0.25">
      <c r="A301">
        <f t="shared" si="20"/>
        <v>1983.9166666666495</v>
      </c>
      <c r="B301" s="1">
        <v>30651</v>
      </c>
      <c r="C301" s="7">
        <f t="shared" si="17"/>
        <v>1983</v>
      </c>
      <c r="D301" s="7">
        <f t="shared" si="18"/>
        <v>12</v>
      </c>
      <c r="E301" s="7">
        <f t="shared" si="19"/>
        <v>4</v>
      </c>
      <c r="F301">
        <f xml:space="preserve"> [1]Coibion_update!O307</f>
        <v>3.9841036382031634</v>
      </c>
      <c r="G301">
        <f xml:space="preserve"> [1]Coibion_update!P307</f>
        <v>8.3000000000000007</v>
      </c>
      <c r="H301">
        <f xml:space="preserve"> [1]Coibion_update!Q307</f>
        <v>4.619073091157083</v>
      </c>
      <c r="I301">
        <f xml:space="preserve"> [1]Coibion_update!W307</f>
        <v>9.4700000000000006</v>
      </c>
      <c r="J301">
        <f xml:space="preserve"> [1]Coibion_update!X307</f>
        <v>5.6098380284796594</v>
      </c>
      <c r="K301">
        <f xml:space="preserve"> [1]Coibion_update!Y307</f>
        <v>3.3339886319687055</v>
      </c>
      <c r="L301">
        <f xml:space="preserve"> [1]Coibion_update!Z307</f>
        <v>4.0088411386081599</v>
      </c>
      <c r="M301">
        <f xml:space="preserve"> [1]Coibion_update!AA307</f>
        <v>3.8486571298063263</v>
      </c>
      <c r="N301">
        <f xml:space="preserve"> [1]Coibion_update!AB307</f>
        <v>0.18640909999999999</v>
      </c>
      <c r="O301">
        <f xml:space="preserve"> [1]Coibion_update!AC307</f>
        <v>-4.5529631999999998</v>
      </c>
      <c r="P301">
        <f xml:space="preserve"> [1]Coibion_update!AD307</f>
        <v>-3.4147150999999973</v>
      </c>
      <c r="X301" s="5">
        <f xml:space="preserve"> [1]misc!N384</f>
        <v>10.11</v>
      </c>
      <c r="Y301">
        <f xml:space="preserve"> [1]Gilchrist_Zak!C133</f>
        <v>0.12740000000000001</v>
      </c>
      <c r="Z301">
        <f xml:space="preserve"> [1]Sims_Zha!B304</f>
        <v>-0.60167000000000004</v>
      </c>
      <c r="AA301">
        <f xml:space="preserve"> [1]Coibion_update!AI307</f>
        <v>-2.4641E-2</v>
      </c>
      <c r="AB301">
        <f t="shared" si="21"/>
        <v>0.2109376</v>
      </c>
      <c r="AC301">
        <v>-2.4641E-2</v>
      </c>
      <c r="AK301">
        <v>9.92</v>
      </c>
      <c r="AL301">
        <f xml:space="preserve"> LN([1]misc!B320)</f>
        <v>6.2565175014994017</v>
      </c>
      <c r="AM301">
        <f xml:space="preserve"> LN([1]misc!D320)</f>
        <v>7.6609622159697457</v>
      </c>
      <c r="AN301">
        <f xml:space="preserve"> LN([1]misc!G425)</f>
        <v>3.0438555487357193</v>
      </c>
      <c r="AO301">
        <f xml:space="preserve"> LN([1]misc!J331 + [1]misc!L331)</f>
        <v>3.2025431702473033</v>
      </c>
      <c r="AP301">
        <f xml:space="preserve"> [1]Factors!B301</f>
        <v>-0.43850302000000002</v>
      </c>
      <c r="AQ301">
        <f xml:space="preserve"> [1]Factors!C301</f>
        <v>-0.21970519999999999</v>
      </c>
      <c r="AR301">
        <f xml:space="preserve"> [1]Factors!D301</f>
        <v>7.4611838599999994E-2</v>
      </c>
      <c r="AS301">
        <f xml:space="preserve"> [1]Factors!E301</f>
        <v>-4.1681829699999999E-2</v>
      </c>
      <c r="AT301">
        <f xml:space="preserve"> [1]Factors!F301</f>
        <v>0.14224231900000001</v>
      </c>
    </row>
    <row r="302" spans="1:46" x14ac:dyDescent="0.25">
      <c r="A302">
        <f t="shared" si="20"/>
        <v>1983.9999999999827</v>
      </c>
      <c r="B302" s="1">
        <v>30682</v>
      </c>
      <c r="C302" s="7">
        <f t="shared" si="17"/>
        <v>1984</v>
      </c>
      <c r="D302" s="7">
        <f t="shared" si="18"/>
        <v>1</v>
      </c>
      <c r="E302" s="7">
        <f t="shared" si="19"/>
        <v>1</v>
      </c>
      <c r="F302">
        <f xml:space="preserve"> [1]Coibion_update!O308</f>
        <v>4.0040897491576537</v>
      </c>
      <c r="G302">
        <f xml:space="preserve"> [1]Coibion_update!P308</f>
        <v>8</v>
      </c>
      <c r="H302">
        <f xml:space="preserve"> [1]Coibion_update!Q308</f>
        <v>4.6259527251706194</v>
      </c>
      <c r="I302">
        <f xml:space="preserve"> [1]Coibion_update!W308</f>
        <v>9.56</v>
      </c>
      <c r="J302">
        <f xml:space="preserve"> [1]Coibion_update!X308</f>
        <v>5.6337176002079143</v>
      </c>
      <c r="K302">
        <f xml:space="preserve"> [1]Coibion_update!Y308</f>
        <v>3.3609654907742765</v>
      </c>
      <c r="L302">
        <f xml:space="preserve"> [1]Coibion_update!Z308</f>
        <v>4.0168153597128633</v>
      </c>
      <c r="M302">
        <f xml:space="preserve"> [1]Coibion_update!AA308</f>
        <v>3.8493174700120214</v>
      </c>
      <c r="N302">
        <f xml:space="preserve"> [1]Coibion_update!AB308</f>
        <v>0.21665870000000001</v>
      </c>
      <c r="O302">
        <f xml:space="preserve"> [1]Coibion_update!AC308</f>
        <v>-4.3363044999999998</v>
      </c>
      <c r="P302">
        <f xml:space="preserve"> [1]Coibion_update!AD308</f>
        <v>-3.1564572999999974</v>
      </c>
      <c r="U302">
        <f xml:space="preserve"> [1]Gertler_Karadi!E56</f>
        <v>0</v>
      </c>
      <c r="V302">
        <f xml:space="preserve"> [1]Gertler_Karadi!F56</f>
        <v>0</v>
      </c>
      <c r="W302">
        <f xml:space="preserve"> [1]Gertler_Karadi!G56</f>
        <v>0</v>
      </c>
      <c r="X302" s="5">
        <f xml:space="preserve"> [1]misc!N385</f>
        <v>9.9</v>
      </c>
      <c r="Y302">
        <f xml:space="preserve"> [1]Gilchrist_Zak!C134</f>
        <v>5.5100000000000003E-2</v>
      </c>
      <c r="Z302">
        <f xml:space="preserve"> [1]Sims_Zha!B305</f>
        <v>-0.84536</v>
      </c>
      <c r="AA302">
        <f xml:space="preserve"> [1]Coibion_update!AI308</f>
        <v>-5.0992200000000001E-2</v>
      </c>
      <c r="AB302">
        <f t="shared" si="21"/>
        <v>0.15994540000000002</v>
      </c>
      <c r="AC302">
        <v>-5.0992200000000001E-2</v>
      </c>
      <c r="AJ302">
        <v>-5.1142999999999996E-3</v>
      </c>
      <c r="AK302">
        <v>9.35</v>
      </c>
      <c r="AL302">
        <f xml:space="preserve"> LN([1]misc!B321)</f>
        <v>6.2635887206438134</v>
      </c>
      <c r="AM302">
        <f xml:space="preserve"> LN([1]misc!D321)</f>
        <v>7.6678599276669637</v>
      </c>
      <c r="AN302">
        <f xml:space="preserve"> LN([1]misc!G426)</f>
        <v>3.0598800933777426</v>
      </c>
      <c r="AO302">
        <f xml:space="preserve"> LN([1]misc!J332 + [1]misc!L332)</f>
        <v>3.208421366964342</v>
      </c>
      <c r="AP302">
        <f xml:space="preserve"> [1]Factors!B302</f>
        <v>-0.47982971499999999</v>
      </c>
      <c r="AQ302">
        <f xml:space="preserve"> [1]Factors!C302</f>
        <v>-0.31202637599999999</v>
      </c>
      <c r="AR302">
        <f xml:space="preserve"> [1]Factors!D302</f>
        <v>0.14428049800000001</v>
      </c>
      <c r="AS302">
        <f xml:space="preserve"> [1]Factors!E302</f>
        <v>-1.20703071E-2</v>
      </c>
      <c r="AT302">
        <f xml:space="preserve"> [1]Factors!F302</f>
        <v>0.21683470499999999</v>
      </c>
    </row>
    <row r="303" spans="1:46" x14ac:dyDescent="0.25">
      <c r="A303">
        <f t="shared" si="20"/>
        <v>1984.083333333316</v>
      </c>
      <c r="B303" s="1">
        <v>30713</v>
      </c>
      <c r="C303" s="7">
        <f t="shared" si="17"/>
        <v>1984</v>
      </c>
      <c r="D303" s="7">
        <f t="shared" si="18"/>
        <v>2</v>
      </c>
      <c r="E303" s="7">
        <f t="shared" si="19"/>
        <v>1</v>
      </c>
      <c r="F303">
        <f xml:space="preserve"> [1]Coibion_update!O309</f>
        <v>4.0086468674285856</v>
      </c>
      <c r="G303">
        <f xml:space="preserve"> [1]Coibion_update!P309</f>
        <v>7.8</v>
      </c>
      <c r="H303">
        <f xml:space="preserve"> [1]Coibion_update!Q309</f>
        <v>4.6308379327366689</v>
      </c>
      <c r="I303">
        <f xml:space="preserve"> [1]Coibion_update!W309</f>
        <v>9.59</v>
      </c>
      <c r="J303">
        <f xml:space="preserve"> [1]Coibion_update!X309</f>
        <v>5.6271173897207154</v>
      </c>
      <c r="K303">
        <f xml:space="preserve"> [1]Coibion_update!Y309</f>
        <v>3.3370854361949109</v>
      </c>
      <c r="L303">
        <f xml:space="preserve"> [1]Coibion_update!Z309</f>
        <v>3.998622630993125</v>
      </c>
      <c r="M303">
        <f xml:space="preserve"> [1]Coibion_update!AA309</f>
        <v>3.8413429972404054</v>
      </c>
      <c r="N303">
        <f xml:space="preserve"> [1]Coibion_update!AB309</f>
        <v>0</v>
      </c>
      <c r="O303">
        <f xml:space="preserve"> [1]Coibion_update!AC309</f>
        <v>-4.3363044999999998</v>
      </c>
      <c r="P303">
        <f xml:space="preserve"> [1]Coibion_update!AD309</f>
        <v>-3.1564572999999974</v>
      </c>
      <c r="U303">
        <f xml:space="preserve"> [1]Gertler_Karadi!E57</f>
        <v>0.01</v>
      </c>
      <c r="V303">
        <f xml:space="preserve"> [1]Gertler_Karadi!F57</f>
        <v>0</v>
      </c>
      <c r="W303">
        <f xml:space="preserve"> [1]Gertler_Karadi!G57</f>
        <v>-0.01</v>
      </c>
      <c r="X303" s="5">
        <f xml:space="preserve"> [1]misc!N386</f>
        <v>10.039999999999999</v>
      </c>
      <c r="Y303">
        <f xml:space="preserve"> [1]Gilchrist_Zak!C135</f>
        <v>-5.3600000000000002E-2</v>
      </c>
      <c r="Z303">
        <f xml:space="preserve"> [1]Sims_Zha!B306</f>
        <v>-1.1105</v>
      </c>
      <c r="AA303">
        <f xml:space="preserve"> [1]Coibion_update!AI309</f>
        <v>0</v>
      </c>
      <c r="AB303">
        <f t="shared" si="21"/>
        <v>0.15994540000000002</v>
      </c>
      <c r="AC303">
        <v>0</v>
      </c>
      <c r="AG303">
        <v>0.01</v>
      </c>
      <c r="AJ303">
        <v>0</v>
      </c>
      <c r="AK303">
        <v>9.4499999999999993</v>
      </c>
      <c r="AL303">
        <f xml:space="preserve"> LN([1]misc!B322)</f>
        <v>6.2681488653502218</v>
      </c>
      <c r="AM303">
        <f xml:space="preserve"> LN([1]misc!D322)</f>
        <v>7.6772151423912458</v>
      </c>
      <c r="AN303">
        <f xml:space="preserve"> LN([1]misc!G427)</f>
        <v>2.9114263245007348</v>
      </c>
      <c r="AO303">
        <f xml:space="preserve"> LN([1]misc!J333 + [1]misc!L333)</f>
        <v>3.2294991965053317</v>
      </c>
      <c r="AP303">
        <f xml:space="preserve"> [1]Factors!B303</f>
        <v>-0.67537657200000001</v>
      </c>
      <c r="AQ303">
        <f xml:space="preserve"> [1]Factors!C303</f>
        <v>-0.173377425</v>
      </c>
      <c r="AR303">
        <f xml:space="preserve"> [1]Factors!D303</f>
        <v>-1.81736264E-2</v>
      </c>
      <c r="AS303">
        <f xml:space="preserve"> [1]Factors!E303</f>
        <v>0.435840434</v>
      </c>
      <c r="AT303">
        <f xml:space="preserve"> [1]Factors!F303</f>
        <v>-0.15085923100000001</v>
      </c>
    </row>
    <row r="304" spans="1:46" x14ac:dyDescent="0.25">
      <c r="A304">
        <f t="shared" si="20"/>
        <v>1984.1666666666492</v>
      </c>
      <c r="B304" s="1">
        <v>30742</v>
      </c>
      <c r="C304" s="7">
        <f t="shared" si="17"/>
        <v>1984</v>
      </c>
      <c r="D304" s="7">
        <f t="shared" si="18"/>
        <v>3</v>
      </c>
      <c r="E304" s="7">
        <f t="shared" si="19"/>
        <v>1</v>
      </c>
      <c r="F304">
        <f xml:space="preserve"> [1]Coibion_update!O310</f>
        <v>4.0133369447283336</v>
      </c>
      <c r="G304">
        <f xml:space="preserve"> [1]Coibion_update!P310</f>
        <v>7.8</v>
      </c>
      <c r="H304">
        <f xml:space="preserve"> [1]Coibion_update!Q310</f>
        <v>4.6337576428400036</v>
      </c>
      <c r="I304">
        <f xml:space="preserve"> [1]Coibion_update!W310</f>
        <v>9.91</v>
      </c>
      <c r="J304">
        <f xml:space="preserve"> [1]Coibion_update!X310</f>
        <v>5.6545572158468227</v>
      </c>
      <c r="K304">
        <f xml:space="preserve"> [1]Coibion_update!Y310</f>
        <v>3.3361609588143195</v>
      </c>
      <c r="L304">
        <f xml:space="preserve"> [1]Coibion_update!Z310</f>
        <v>4.0063144847150651</v>
      </c>
      <c r="M304">
        <f xml:space="preserve"> [1]Coibion_update!AA310</f>
        <v>3.8522730010223722</v>
      </c>
      <c r="N304">
        <f xml:space="preserve"> [1]Coibion_update!AB310</f>
        <v>-7.8293100000000004E-2</v>
      </c>
      <c r="O304">
        <f xml:space="preserve"> [1]Coibion_update!AC310</f>
        <v>-4.4145975999999996</v>
      </c>
      <c r="P304">
        <f xml:space="preserve"> [1]Coibion_update!AD310</f>
        <v>-3.2584422999999973</v>
      </c>
      <c r="U304">
        <f xml:space="preserve"> [1]Gertler_Karadi!E58</f>
        <v>0</v>
      </c>
      <c r="V304">
        <f xml:space="preserve"> [1]Gertler_Karadi!F58</f>
        <v>0</v>
      </c>
      <c r="W304">
        <f xml:space="preserve"> [1]Gertler_Karadi!G58</f>
        <v>-1.2903000000000001E-3</v>
      </c>
      <c r="X304" s="5">
        <f xml:space="preserve"> [1]misc!N387</f>
        <v>10.59</v>
      </c>
      <c r="Y304">
        <f xml:space="preserve"> [1]Gilchrist_Zak!C136</f>
        <v>2.7199999999999998E-2</v>
      </c>
      <c r="Z304">
        <f xml:space="preserve"> [1]Sims_Zha!B307</f>
        <v>1.1422000000000001</v>
      </c>
      <c r="AA304">
        <f xml:space="preserve"> [1]Coibion_update!AI310</f>
        <v>-0.11856999999999999</v>
      </c>
      <c r="AB304">
        <f t="shared" si="21"/>
        <v>4.137540000000002E-2</v>
      </c>
      <c r="AC304">
        <v>-0.11856999999999999</v>
      </c>
      <c r="AG304">
        <v>0</v>
      </c>
      <c r="AJ304">
        <v>-6.7559099999999997E-2</v>
      </c>
      <c r="AK304">
        <v>10.24</v>
      </c>
      <c r="AL304">
        <f xml:space="preserve"> LN([1]misc!B323)</f>
        <v>6.2755150333257133</v>
      </c>
      <c r="AM304">
        <f xml:space="preserve"> LN([1]misc!D323)</f>
        <v>7.6850138021607348</v>
      </c>
      <c r="AN304">
        <f xml:space="preserve"> LN([1]misc!G428)</f>
        <v>2.967538539183209</v>
      </c>
      <c r="AO304">
        <f xml:space="preserve"> LN([1]misc!J334 + [1]misc!L334)</f>
        <v>3.212414998605964</v>
      </c>
      <c r="AP304">
        <f xml:space="preserve"> [1]Factors!B304</f>
        <v>-0.55824708099999998</v>
      </c>
      <c r="AQ304">
        <f xml:space="preserve"> [1]Factors!C304</f>
        <v>-4.2297000799999998E-2</v>
      </c>
      <c r="AR304">
        <f xml:space="preserve"> [1]Factors!D304</f>
        <v>-1.73880971E-2</v>
      </c>
      <c r="AS304">
        <f xml:space="preserve"> [1]Factors!E304</f>
        <v>0.12068325000000001</v>
      </c>
      <c r="AT304">
        <f xml:space="preserve"> [1]Factors!F304</f>
        <v>0.198212043</v>
      </c>
    </row>
    <row r="305" spans="1:46" x14ac:dyDescent="0.25">
      <c r="A305">
        <f t="shared" si="20"/>
        <v>1984.2499999999825</v>
      </c>
      <c r="B305" s="1">
        <v>30773</v>
      </c>
      <c r="C305" s="7">
        <f t="shared" si="17"/>
        <v>1984</v>
      </c>
      <c r="D305" s="7">
        <f t="shared" si="18"/>
        <v>4</v>
      </c>
      <c r="E305" s="7">
        <f t="shared" si="19"/>
        <v>2</v>
      </c>
      <c r="F305">
        <f xml:space="preserve"> [1]Coibion_update!O311</f>
        <v>4.019814962734527</v>
      </c>
      <c r="G305">
        <f xml:space="preserve"> [1]Coibion_update!P311</f>
        <v>7.7</v>
      </c>
      <c r="H305">
        <f xml:space="preserve"> [1]Coibion_update!Q311</f>
        <v>4.6376373761255927</v>
      </c>
      <c r="I305">
        <f xml:space="preserve"> [1]Coibion_update!W311</f>
        <v>10.29</v>
      </c>
      <c r="J305">
        <f xml:space="preserve"> [1]Coibion_update!X311</f>
        <v>5.6594822157596214</v>
      </c>
      <c r="K305">
        <f xml:space="preserve"> [1]Coibion_update!Y311</f>
        <v>3.3527071725017215</v>
      </c>
      <c r="L305">
        <f xml:space="preserve"> [1]Coibion_update!Z311</f>
        <v>4.0193336184095863</v>
      </c>
      <c r="M305">
        <f xml:space="preserve"> [1]Coibion_update!AA311</f>
        <v>3.8537792969866556</v>
      </c>
      <c r="N305">
        <f xml:space="preserve"> [1]Coibion_update!AB311</f>
        <v>0</v>
      </c>
      <c r="O305">
        <f xml:space="preserve"> [1]Coibion_update!AC311</f>
        <v>-4.4145975999999996</v>
      </c>
      <c r="P305">
        <f xml:space="preserve"> [1]Coibion_update!AD311</f>
        <v>-3.2584422999999973</v>
      </c>
      <c r="U305">
        <f xml:space="preserve"> [1]Gertler_Karadi!E59</f>
        <v>0</v>
      </c>
      <c r="V305">
        <f xml:space="preserve"> [1]Gertler_Karadi!F59</f>
        <v>0</v>
      </c>
      <c r="W305">
        <f xml:space="preserve"> [1]Gertler_Karadi!G59</f>
        <v>-8.7097000000000008E-3</v>
      </c>
      <c r="X305" s="5">
        <f xml:space="preserve"> [1]misc!N388</f>
        <v>10.9</v>
      </c>
      <c r="Y305">
        <f xml:space="preserve"> [1]Gilchrist_Zak!C137</f>
        <v>0.14430000000000001</v>
      </c>
      <c r="Z305">
        <f xml:space="preserve"> [1]Sims_Zha!B308</f>
        <v>1.4258</v>
      </c>
      <c r="AA305">
        <f xml:space="preserve"> [1]Coibion_update!AI311</f>
        <v>0</v>
      </c>
      <c r="AB305">
        <f t="shared" si="21"/>
        <v>4.137540000000002E-2</v>
      </c>
      <c r="AC305">
        <v>0</v>
      </c>
      <c r="AG305">
        <v>0</v>
      </c>
      <c r="AJ305">
        <v>0</v>
      </c>
      <c r="AK305">
        <v>10.9</v>
      </c>
      <c r="AL305">
        <f xml:space="preserve"> LN([1]misc!B324)</f>
        <v>6.2822667468960063</v>
      </c>
      <c r="AM305">
        <f xml:space="preserve"> LN([1]misc!D324)</f>
        <v>7.6926152674652819</v>
      </c>
      <c r="AN305">
        <f xml:space="preserve"> LN([1]misc!G429)</f>
        <v>3.0127860281198187</v>
      </c>
      <c r="AO305">
        <f xml:space="preserve"> LN([1]misc!J335 + [1]misc!L335)</f>
        <v>3.1987139330442482</v>
      </c>
      <c r="AP305">
        <f xml:space="preserve"> [1]Factors!B305</f>
        <v>-0.39985894300000002</v>
      </c>
      <c r="AQ305">
        <f xml:space="preserve"> [1]Factors!C305</f>
        <v>-0.146785469</v>
      </c>
      <c r="AR305">
        <f xml:space="preserve"> [1]Factors!D305</f>
        <v>0.296851637</v>
      </c>
      <c r="AS305">
        <f xml:space="preserve"> [1]Factors!E305</f>
        <v>-9.2252000000000001E-2</v>
      </c>
      <c r="AT305">
        <f xml:space="preserve"> [1]Factors!F305</f>
        <v>0.116068556</v>
      </c>
    </row>
    <row r="306" spans="1:46" x14ac:dyDescent="0.25">
      <c r="A306">
        <f t="shared" si="20"/>
        <v>1984.3333333333157</v>
      </c>
      <c r="B306" s="1">
        <v>30803</v>
      </c>
      <c r="C306" s="7">
        <f t="shared" si="17"/>
        <v>1984</v>
      </c>
      <c r="D306" s="7">
        <f t="shared" si="18"/>
        <v>5</v>
      </c>
      <c r="E306" s="7">
        <f t="shared" si="19"/>
        <v>2</v>
      </c>
      <c r="F306">
        <f xml:space="preserve"> [1]Coibion_update!O312</f>
        <v>4.0244191131626881</v>
      </c>
      <c r="G306">
        <f xml:space="preserve"> [1]Coibion_update!P312</f>
        <v>7.4</v>
      </c>
      <c r="H306">
        <f xml:space="preserve"> [1]Coibion_update!Q312</f>
        <v>4.6395716127054234</v>
      </c>
      <c r="I306">
        <f xml:space="preserve"> [1]Coibion_update!W312</f>
        <v>10.32</v>
      </c>
      <c r="J306">
        <f xml:space="preserve"> [1]Coibion_update!X312</f>
        <v>5.6756915944896758</v>
      </c>
      <c r="K306">
        <f xml:space="preserve"> [1]Coibion_update!Y312</f>
        <v>3.3691561674506918</v>
      </c>
      <c r="L306">
        <f xml:space="preserve"> [1]Coibion_update!Z312</f>
        <v>4.0259408028887895</v>
      </c>
      <c r="M306">
        <f xml:space="preserve"> [1]Coibion_update!AA312</f>
        <v>3.8564468685392943</v>
      </c>
      <c r="N306">
        <f xml:space="preserve"> [1]Coibion_update!AB312</f>
        <v>0.12631110000000001</v>
      </c>
      <c r="O306">
        <f xml:space="preserve"> [1]Coibion_update!AC312</f>
        <v>-4.2882864999999999</v>
      </c>
      <c r="P306">
        <f xml:space="preserve"> [1]Coibion_update!AD312</f>
        <v>-3.0872997999999972</v>
      </c>
      <c r="U306">
        <f xml:space="preserve"> [1]Gertler_Karadi!E60</f>
        <v>8.7097000000000008E-3</v>
      </c>
      <c r="V306">
        <f xml:space="preserve"> [1]Gertler_Karadi!F60</f>
        <v>1.1612900000000001E-2</v>
      </c>
      <c r="W306">
        <f xml:space="preserve"> [1]Gertler_Karadi!G60</f>
        <v>8.7097000000000008E-3</v>
      </c>
      <c r="X306" s="5">
        <f xml:space="preserve"> [1]misc!N389</f>
        <v>11.66</v>
      </c>
      <c r="Y306">
        <f xml:space="preserve"> [1]Gilchrist_Zak!C138</f>
        <v>-0.29239999999999999</v>
      </c>
      <c r="Z306">
        <f xml:space="preserve"> [1]Sims_Zha!B309</f>
        <v>-0.92998999999999998</v>
      </c>
      <c r="AA306">
        <f xml:space="preserve"> [1]Coibion_update!AI312</f>
        <v>-6.9210300000000002E-2</v>
      </c>
      <c r="AB306">
        <f t="shared" si="21"/>
        <v>-2.7834899999999982E-2</v>
      </c>
      <c r="AC306">
        <v>-6.9210300000000002E-2</v>
      </c>
      <c r="AG306">
        <v>0.03</v>
      </c>
      <c r="AJ306">
        <v>1.21867E-2</v>
      </c>
      <c r="AK306">
        <v>10.81</v>
      </c>
      <c r="AL306">
        <f xml:space="preserve"> LN([1]misc!B325)</f>
        <v>6.2854392791827829</v>
      </c>
      <c r="AM306">
        <f xml:space="preserve"> LN([1]misc!D325)</f>
        <v>7.698256004797992</v>
      </c>
      <c r="AN306">
        <f xml:space="preserve"> LN([1]misc!G430)</f>
        <v>2.9727706619166439</v>
      </c>
      <c r="AO306">
        <f xml:space="preserve"> LN([1]misc!J336 + [1]misc!L336)</f>
        <v>3.1324897069088506</v>
      </c>
      <c r="AP306">
        <f xml:space="preserve"> [1]Factors!B306</f>
        <v>-0.395279506</v>
      </c>
      <c r="AQ306">
        <f xml:space="preserve"> [1]Factors!C306</f>
        <v>-0.105483575</v>
      </c>
      <c r="AR306">
        <f xml:space="preserve"> [1]Factors!D306</f>
        <v>0.15547897899999999</v>
      </c>
      <c r="AS306">
        <f xml:space="preserve"> [1]Factors!E306</f>
        <v>-6.83631024E-2</v>
      </c>
      <c r="AT306">
        <f xml:space="preserve"> [1]Factors!F306</f>
        <v>4.6657396199999999E-2</v>
      </c>
    </row>
    <row r="307" spans="1:46" x14ac:dyDescent="0.25">
      <c r="A307">
        <f t="shared" si="20"/>
        <v>1984.416666666649</v>
      </c>
      <c r="B307" s="1">
        <v>30834</v>
      </c>
      <c r="C307" s="7">
        <f t="shared" si="17"/>
        <v>1984</v>
      </c>
      <c r="D307" s="7">
        <f t="shared" si="18"/>
        <v>6</v>
      </c>
      <c r="E307" s="7">
        <f t="shared" si="19"/>
        <v>2</v>
      </c>
      <c r="F307">
        <f xml:space="preserve"> [1]Coibion_update!O313</f>
        <v>4.0278895391005856</v>
      </c>
      <c r="G307">
        <f xml:space="preserve"> [1]Coibion_update!P313</f>
        <v>7.2</v>
      </c>
      <c r="H307">
        <f xml:space="preserve"> [1]Coibion_update!Q313</f>
        <v>4.6415021152354816</v>
      </c>
      <c r="I307">
        <f xml:space="preserve"> [1]Coibion_update!W313</f>
        <v>11.06</v>
      </c>
      <c r="J307">
        <f xml:space="preserve"> [1]Coibion_update!X313</f>
        <v>5.6594822157596214</v>
      </c>
      <c r="K307">
        <f xml:space="preserve"> [1]Coibion_update!Y313</f>
        <v>3.3811647279119192</v>
      </c>
      <c r="L307">
        <f xml:space="preserve"> [1]Coibion_update!Z313</f>
        <v>4.0412953411322849</v>
      </c>
      <c r="M307">
        <f xml:space="preserve"> [1]Coibion_update!AA313</f>
        <v>3.8576301755976008</v>
      </c>
      <c r="N307">
        <f xml:space="preserve"> [1]Coibion_update!AB313</f>
        <v>0</v>
      </c>
      <c r="O307">
        <f xml:space="preserve"> [1]Coibion_update!AC313</f>
        <v>-4.2882864999999999</v>
      </c>
      <c r="P307">
        <f xml:space="preserve"> [1]Coibion_update!AD313</f>
        <v>-3.0872997999999972</v>
      </c>
      <c r="U307">
        <f xml:space="preserve"> [1]Gertler_Karadi!E61</f>
        <v>2.1290300000000002E-2</v>
      </c>
      <c r="V307">
        <f xml:space="preserve"> [1]Gertler_Karadi!F61</f>
        <v>2.8387099999999998E-2</v>
      </c>
      <c r="W307">
        <f xml:space="preserve"> [1]Gertler_Karadi!G61</f>
        <v>2.1290300000000002E-2</v>
      </c>
      <c r="X307" s="5">
        <f xml:space="preserve"> [1]misc!N390</f>
        <v>12.08</v>
      </c>
      <c r="Y307">
        <f xml:space="preserve"> [1]Gilchrist_Zak!C139</f>
        <v>-9.9000000000000008E-3</v>
      </c>
      <c r="Z307">
        <f xml:space="preserve"> [1]Sims_Zha!B310</f>
        <v>3.7252999999999998</v>
      </c>
      <c r="AA307">
        <f xml:space="preserve"> [1]Coibion_update!AI313</f>
        <v>0</v>
      </c>
      <c r="AB307">
        <f t="shared" si="21"/>
        <v>-2.7834899999999982E-2</v>
      </c>
      <c r="AC307">
        <v>0</v>
      </c>
      <c r="AG307">
        <v>0</v>
      </c>
      <c r="AJ307">
        <v>0</v>
      </c>
      <c r="AK307">
        <v>10.85</v>
      </c>
      <c r="AL307">
        <f xml:space="preserve"> LN([1]misc!B326)</f>
        <v>6.2919394413585152</v>
      </c>
      <c r="AM307">
        <f xml:space="preserve"> LN([1]misc!D326)</f>
        <v>7.7031882530828328</v>
      </c>
      <c r="AN307">
        <f xml:space="preserve"> LN([1]misc!G431)</f>
        <v>3.0054845649966695</v>
      </c>
      <c r="AO307">
        <f xml:space="preserve"> LN([1]misc!J337 + [1]misc!L337)</f>
        <v>3.2054663179582668</v>
      </c>
      <c r="AP307">
        <f xml:space="preserve"> [1]Factors!B307</f>
        <v>-0.31207770899999998</v>
      </c>
      <c r="AQ307">
        <f xml:space="preserve"> [1]Factors!C307</f>
        <v>-0.25447855899999999</v>
      </c>
      <c r="AR307">
        <f xml:space="preserve"> [1]Factors!D307</f>
        <v>0.36229509100000001</v>
      </c>
      <c r="AS307">
        <f xml:space="preserve"> [1]Factors!E307</f>
        <v>-0.29107592399999999</v>
      </c>
      <c r="AT307">
        <f xml:space="preserve"> [1]Factors!F307</f>
        <v>9.2357632699999997E-2</v>
      </c>
    </row>
    <row r="308" spans="1:46" x14ac:dyDescent="0.25">
      <c r="A308">
        <f t="shared" si="20"/>
        <v>1984.4999999999823</v>
      </c>
      <c r="B308" s="1">
        <v>30864</v>
      </c>
      <c r="C308" s="7">
        <f t="shared" si="17"/>
        <v>1984</v>
      </c>
      <c r="D308" s="7">
        <f t="shared" si="18"/>
        <v>7</v>
      </c>
      <c r="E308" s="7">
        <f t="shared" si="19"/>
        <v>3</v>
      </c>
      <c r="F308">
        <f xml:space="preserve"> [1]Coibion_update!O314</f>
        <v>4.0313834629668683</v>
      </c>
      <c r="G308">
        <f xml:space="preserve"> [1]Coibion_update!P314</f>
        <v>7.5</v>
      </c>
      <c r="H308">
        <f xml:space="preserve"> [1]Coibion_update!Q314</f>
        <v>4.6453519756209234</v>
      </c>
      <c r="I308">
        <f xml:space="preserve"> [1]Coibion_update!W314</f>
        <v>11.23</v>
      </c>
      <c r="J308">
        <f xml:space="preserve"> [1]Coibion_update!X314</f>
        <v>5.6311759388851081</v>
      </c>
      <c r="K308">
        <f xml:space="preserve"> [1]Coibion_update!Y314</f>
        <v>3.3680886190944022</v>
      </c>
      <c r="L308">
        <f xml:space="preserve"> [1]Coibion_update!Z314</f>
        <v>4.0255123921077063</v>
      </c>
      <c r="M308">
        <f xml:space="preserve"> [1]Coibion_update!AA314</f>
        <v>3.8619920718225811</v>
      </c>
      <c r="N308">
        <f xml:space="preserve"> [1]Coibion_update!AB314</f>
        <v>0.33500839999999998</v>
      </c>
      <c r="O308">
        <f xml:space="preserve"> [1]Coibion_update!AC314</f>
        <v>-3.9532780999999999</v>
      </c>
      <c r="P308">
        <f xml:space="preserve"> [1]Coibion_update!AD314</f>
        <v>-2.761834699999997</v>
      </c>
      <c r="U308">
        <f xml:space="preserve"> [1]Gertler_Karadi!E62</f>
        <v>9.0323000000000001E-3</v>
      </c>
      <c r="V308">
        <f xml:space="preserve"> [1]Gertler_Karadi!F62</f>
        <v>4.5161000000000003E-3</v>
      </c>
      <c r="W308">
        <f xml:space="preserve"> [1]Gertler_Karadi!G62</f>
        <v>0</v>
      </c>
      <c r="X308" s="5">
        <f xml:space="preserve"> [1]misc!N391</f>
        <v>12.03</v>
      </c>
      <c r="Y308">
        <f xml:space="preserve"> [1]Gilchrist_Zak!C140</f>
        <v>-0.124</v>
      </c>
      <c r="Z308">
        <f xml:space="preserve"> [1]Sims_Zha!B311</f>
        <v>0.15554000000000001</v>
      </c>
      <c r="AA308">
        <f xml:space="preserve"> [1]Coibion_update!AI314</f>
        <v>0.25348480000000001</v>
      </c>
      <c r="AB308">
        <f t="shared" si="21"/>
        <v>0.22564990000000001</v>
      </c>
      <c r="AC308">
        <v>0.25348480000000001</v>
      </c>
      <c r="AG308">
        <v>0.02</v>
      </c>
      <c r="AJ308">
        <v>-6.5338999999999996E-3</v>
      </c>
      <c r="AK308">
        <v>11.83</v>
      </c>
      <c r="AL308">
        <f xml:space="preserve"> LN([1]misc!B327)</f>
        <v>6.2932344188773817</v>
      </c>
      <c r="AM308">
        <f xml:space="preserve"> LN([1]misc!D327)</f>
        <v>7.7070176903307841</v>
      </c>
      <c r="AN308">
        <f xml:space="preserve"> LN([1]misc!G432)</f>
        <v>2.9898147997899533</v>
      </c>
      <c r="AO308">
        <f xml:space="preserve"> LN([1]misc!J338 + [1]misc!L338)</f>
        <v>3.2214724507154666</v>
      </c>
      <c r="AP308">
        <f xml:space="preserve"> [1]Factors!B308</f>
        <v>-0.34093904800000002</v>
      </c>
      <c r="AQ308">
        <f xml:space="preserve"> [1]Factors!C308</f>
        <v>-0.28492385599999998</v>
      </c>
      <c r="AR308">
        <f xml:space="preserve"> [1]Factors!D308</f>
        <v>0.100872093</v>
      </c>
      <c r="AS308">
        <f xml:space="preserve"> [1]Factors!E308</f>
        <v>-7.9330010500000006E-2</v>
      </c>
      <c r="AT308">
        <f xml:space="preserve"> [1]Factors!F308</f>
        <v>0.14465314200000001</v>
      </c>
    </row>
    <row r="309" spans="1:46" x14ac:dyDescent="0.25">
      <c r="A309">
        <f t="shared" si="20"/>
        <v>1984.5833333333155</v>
      </c>
      <c r="B309" s="1">
        <v>30895</v>
      </c>
      <c r="C309" s="7">
        <f t="shared" si="17"/>
        <v>1984</v>
      </c>
      <c r="D309" s="7">
        <f t="shared" si="18"/>
        <v>8</v>
      </c>
      <c r="E309" s="7">
        <f t="shared" si="19"/>
        <v>3</v>
      </c>
      <c r="F309">
        <f xml:space="preserve"> [1]Coibion_update!O315</f>
        <v>4.0317916240648444</v>
      </c>
      <c r="G309">
        <f xml:space="preserve"> [1]Coibion_update!P315</f>
        <v>7.5</v>
      </c>
      <c r="H309">
        <f xml:space="preserve"> [1]Coibion_update!Q315</f>
        <v>4.6482296754485386</v>
      </c>
      <c r="I309">
        <f xml:space="preserve"> [1]Coibion_update!W315</f>
        <v>11.64</v>
      </c>
      <c r="J309">
        <f xml:space="preserve"> [1]Coibion_update!X315</f>
        <v>5.6131281063880705</v>
      </c>
      <c r="K309">
        <f xml:space="preserve"> [1]Coibion_update!Y315</f>
        <v>3.3614511971396399</v>
      </c>
      <c r="L309">
        <f xml:space="preserve"> [1]Coibion_update!Z315</f>
        <v>4.0253874043831237</v>
      </c>
      <c r="M309">
        <f xml:space="preserve"> [1]Coibion_update!AA315</f>
        <v>3.8706591974868383</v>
      </c>
      <c r="N309">
        <f xml:space="preserve"> [1]Coibion_update!AB315</f>
        <v>-6.5374699999999994E-2</v>
      </c>
      <c r="O309">
        <f xml:space="preserve"> [1]Coibion_update!AC315</f>
        <v>-4.0186527999999999</v>
      </c>
      <c r="P309">
        <f xml:space="preserve"> [1]Coibion_update!AD315</f>
        <v>-2.8271977999999969</v>
      </c>
      <c r="U309">
        <f xml:space="preserve"> [1]Gertler_Karadi!E63</f>
        <v>4.5161000000000003E-3</v>
      </c>
      <c r="V309">
        <f xml:space="preserve"> [1]Gertler_Karadi!F63</f>
        <v>2.2580999999999999E-3</v>
      </c>
      <c r="W309">
        <f xml:space="preserve"> [1]Gertler_Karadi!G63</f>
        <v>0</v>
      </c>
      <c r="X309" s="5">
        <f xml:space="preserve"> [1]misc!N392</f>
        <v>11.82</v>
      </c>
      <c r="Y309">
        <f xml:space="preserve"> [1]Gilchrist_Zak!C141</f>
        <v>0.22009999999999999</v>
      </c>
      <c r="Z309">
        <f xml:space="preserve"> [1]Sims_Zha!B312</f>
        <v>2.9607000000000001</v>
      </c>
      <c r="AA309">
        <f xml:space="preserve"> [1]Coibion_update!AI315</f>
        <v>-5.59978E-2</v>
      </c>
      <c r="AB309">
        <f t="shared" si="21"/>
        <v>0.16965210000000003</v>
      </c>
      <c r="AC309">
        <v>-5.59978E-2</v>
      </c>
      <c r="AG309">
        <v>-0.02</v>
      </c>
      <c r="AJ309">
        <v>-3.1963699999999998E-2</v>
      </c>
      <c r="AK309">
        <v>11.64</v>
      </c>
      <c r="AL309">
        <f xml:space="preserve"> LN([1]misc!B328)</f>
        <v>6.2934192788464811</v>
      </c>
      <c r="AM309">
        <f xml:space="preserve"> LN([1]misc!D328)</f>
        <v>7.7100707165427362</v>
      </c>
      <c r="AN309">
        <f xml:space="preserve"> LN([1]misc!G433)</f>
        <v>2.958549482426275</v>
      </c>
      <c r="AO309">
        <f xml:space="preserve"> LN([1]misc!J339 + [1]misc!L339)</f>
        <v>3.2215123461893307</v>
      </c>
      <c r="AP309">
        <f xml:space="preserve"> [1]Factors!B309</f>
        <v>-0.17887655799999999</v>
      </c>
      <c r="AQ309">
        <f xml:space="preserve"> [1]Factors!C309</f>
        <v>-0.16223911799999999</v>
      </c>
      <c r="AR309">
        <f xml:space="preserve"> [1]Factors!D309</f>
        <v>6.2769871300000002E-2</v>
      </c>
      <c r="AS309">
        <f xml:space="preserve"> [1]Factors!E309</f>
        <v>-1.87972535E-2</v>
      </c>
      <c r="AT309">
        <f xml:space="preserve"> [1]Factors!F309</f>
        <v>3.9710858199999997E-2</v>
      </c>
    </row>
    <row r="310" spans="1:46" x14ac:dyDescent="0.25">
      <c r="A310">
        <f t="shared" si="20"/>
        <v>1984.6666666666488</v>
      </c>
      <c r="B310" s="1">
        <v>30926</v>
      </c>
      <c r="C310" s="7">
        <f t="shared" si="17"/>
        <v>1984</v>
      </c>
      <c r="D310" s="7">
        <f t="shared" si="18"/>
        <v>9</v>
      </c>
      <c r="E310" s="7">
        <f t="shared" si="19"/>
        <v>3</v>
      </c>
      <c r="F310">
        <f xml:space="preserve"> [1]Coibion_update!O316</f>
        <v>4.0301455390041445</v>
      </c>
      <c r="G310">
        <f xml:space="preserve"> [1]Coibion_update!P316</f>
        <v>7.3</v>
      </c>
      <c r="H310">
        <f xml:space="preserve"> [1]Coibion_update!Q316</f>
        <v>4.6510991178764911</v>
      </c>
      <c r="I310">
        <f xml:space="preserve"> [1]Coibion_update!W316</f>
        <v>11.3</v>
      </c>
      <c r="J310">
        <f xml:space="preserve"> [1]Coibion_update!X316</f>
        <v>5.6053607924784377</v>
      </c>
      <c r="K310">
        <f xml:space="preserve"> [1]Coibion_update!Y316</f>
        <v>3.3745795837578632</v>
      </c>
      <c r="L310">
        <f xml:space="preserve"> [1]Coibion_update!Z316</f>
        <v>4.0380387260110062</v>
      </c>
      <c r="M310">
        <f xml:space="preserve"> [1]Coibion_update!AA316</f>
        <v>3.8739056833150181</v>
      </c>
      <c r="N310">
        <f xml:space="preserve"> [1]Coibion_update!AB316</f>
        <v>0</v>
      </c>
      <c r="O310">
        <f xml:space="preserve"> [1]Coibion_update!AC316</f>
        <v>-4.0186527999999999</v>
      </c>
      <c r="P310">
        <f xml:space="preserve"> [1]Coibion_update!AD316</f>
        <v>-2.8271977999999969</v>
      </c>
      <c r="U310">
        <f xml:space="preserve"> [1]Gertler_Karadi!E64</f>
        <v>-1.35484E-2</v>
      </c>
      <c r="V310">
        <f xml:space="preserve"> [1]Gertler_Karadi!F64</f>
        <v>-6.7742000000000002E-3</v>
      </c>
      <c r="W310">
        <f xml:space="preserve"> [1]Gertler_Karadi!G64</f>
        <v>0</v>
      </c>
      <c r="X310" s="5">
        <f xml:space="preserve"> [1]misc!N393</f>
        <v>11.58</v>
      </c>
      <c r="Y310">
        <f xml:space="preserve"> [1]Gilchrist_Zak!C142</f>
        <v>-2.1000000000000001E-2</v>
      </c>
      <c r="Z310">
        <f xml:space="preserve"> [1]Sims_Zha!B313</f>
        <v>-1.7503</v>
      </c>
      <c r="AA310">
        <f xml:space="preserve"> [1]Coibion_update!AI316</f>
        <v>0</v>
      </c>
      <c r="AB310">
        <f t="shared" si="21"/>
        <v>0.16965210000000003</v>
      </c>
      <c r="AC310">
        <v>0</v>
      </c>
      <c r="AG310">
        <v>0</v>
      </c>
      <c r="AJ310">
        <v>0</v>
      </c>
      <c r="AK310">
        <v>11.23</v>
      </c>
      <c r="AL310">
        <f xml:space="preserve"> LN([1]misc!B329)</f>
        <v>6.2972934650407995</v>
      </c>
      <c r="AM310">
        <f xml:space="preserve"> LN([1]misc!D329)</f>
        <v>7.7163717093481967</v>
      </c>
      <c r="AN310">
        <f xml:space="preserve"> LN([1]misc!G434)</f>
        <v>3.0019628233046269</v>
      </c>
      <c r="AO310">
        <f xml:space="preserve"> LN([1]misc!J340 + [1]misc!L340)</f>
        <v>3.2310810373065628</v>
      </c>
      <c r="AP310">
        <f xml:space="preserve"> [1]Factors!B310</f>
        <v>5.3690153900000002E-2</v>
      </c>
      <c r="AQ310">
        <f xml:space="preserve"> [1]Factors!C310</f>
        <v>-0.16918714400000001</v>
      </c>
      <c r="AR310">
        <f xml:space="preserve"> [1]Factors!D310</f>
        <v>-0.14419747699999999</v>
      </c>
      <c r="AS310">
        <f xml:space="preserve"> [1]Factors!E310</f>
        <v>0.28627407199999999</v>
      </c>
      <c r="AT310">
        <f xml:space="preserve"> [1]Factors!F310</f>
        <v>0.121543518</v>
      </c>
    </row>
    <row r="311" spans="1:46" x14ac:dyDescent="0.25">
      <c r="A311">
        <f t="shared" si="20"/>
        <v>1984.749999999982</v>
      </c>
      <c r="B311" s="1">
        <v>30956</v>
      </c>
      <c r="C311" s="7">
        <f t="shared" si="17"/>
        <v>1984</v>
      </c>
      <c r="D311" s="7">
        <f t="shared" si="18"/>
        <v>10</v>
      </c>
      <c r="E311" s="7">
        <f t="shared" si="19"/>
        <v>4</v>
      </c>
      <c r="F311">
        <f xml:space="preserve"> [1]Coibion_update!O317</f>
        <v>4.0287334660815572</v>
      </c>
      <c r="G311">
        <f xml:space="preserve"> [1]Coibion_update!P317</f>
        <v>7.4</v>
      </c>
      <c r="H311">
        <f xml:space="preserve"> [1]Coibion_update!Q317</f>
        <v>4.6549122778829055</v>
      </c>
      <c r="I311">
        <f xml:space="preserve"> [1]Coibion_update!W317</f>
        <v>9.99</v>
      </c>
      <c r="J311">
        <f xml:space="preserve"> [1]Coibion_update!X317</f>
        <v>5.5876231201159152</v>
      </c>
      <c r="K311">
        <f xml:space="preserve"> [1]Coibion_update!Y317</f>
        <v>3.3699130916223892</v>
      </c>
      <c r="L311">
        <f xml:space="preserve"> [1]Coibion_update!Z317</f>
        <v>4.0312982605044656</v>
      </c>
      <c r="M311">
        <f xml:space="preserve"> [1]Coibion_update!AA317</f>
        <v>3.8728454913417716</v>
      </c>
      <c r="N311">
        <f xml:space="preserve"> [1]Coibion_update!AB317</f>
        <v>-1.0341100000000001E-2</v>
      </c>
      <c r="O311">
        <f xml:space="preserve"> [1]Coibion_update!AC317</f>
        <v>-4.0289938999999997</v>
      </c>
      <c r="P311">
        <f xml:space="preserve"> [1]Coibion_update!AD317</f>
        <v>-2.794636299999997</v>
      </c>
      <c r="U311">
        <f xml:space="preserve"> [1]Gertler_Karadi!E65</f>
        <v>9.3547999999999999E-3</v>
      </c>
      <c r="V311">
        <f xml:space="preserve"> [1]Gertler_Karadi!F65</f>
        <v>0</v>
      </c>
      <c r="W311">
        <f xml:space="preserve"> [1]Gertler_Karadi!G65</f>
        <v>9.3547999999999999E-3</v>
      </c>
      <c r="X311" s="5">
        <f xml:space="preserve"> [1]misc!N394</f>
        <v>10.9</v>
      </c>
      <c r="Y311">
        <f xml:space="preserve"> [1]Gilchrist_Zak!C143</f>
        <v>-0.23830000000000001</v>
      </c>
      <c r="Z311">
        <f xml:space="preserve"> [1]Sims_Zha!B314</f>
        <v>-7.7378</v>
      </c>
      <c r="AA311">
        <f xml:space="preserve"> [1]Coibion_update!AI317</f>
        <v>-0.1253264</v>
      </c>
      <c r="AB311">
        <f t="shared" si="21"/>
        <v>4.4325700000000023E-2</v>
      </c>
      <c r="AC311">
        <v>-0.1253264</v>
      </c>
      <c r="AG311">
        <v>0.01</v>
      </c>
      <c r="AJ311">
        <v>4.2115399999999997E-2</v>
      </c>
      <c r="AK311">
        <v>9.99</v>
      </c>
      <c r="AL311">
        <f xml:space="preserve"> LN([1]misc!B330)</f>
        <v>6.2983976241518747</v>
      </c>
      <c r="AM311">
        <f xml:space="preserve"> LN([1]misc!D330)</f>
        <v>7.722766047298923</v>
      </c>
      <c r="AN311">
        <f xml:space="preserve"> LN([1]misc!G435)</f>
        <v>2.9984784992220161</v>
      </c>
      <c r="AO311">
        <f xml:space="preserve"> LN([1]misc!J341 + [1]misc!L341)</f>
        <v>3.2307648692606143</v>
      </c>
      <c r="AP311">
        <f xml:space="preserve"> [1]Factors!B311</f>
        <v>4.21424065E-2</v>
      </c>
      <c r="AQ311">
        <f xml:space="preserve"> [1]Factors!C311</f>
        <v>-0.17730537699999999</v>
      </c>
      <c r="AR311">
        <f xml:space="preserve"> [1]Factors!D311</f>
        <v>-0.124464855</v>
      </c>
      <c r="AS311">
        <f xml:space="preserve"> [1]Factors!E311</f>
        <v>8.7628092000000005E-2</v>
      </c>
      <c r="AT311">
        <f xml:space="preserve"> [1]Factors!F311</f>
        <v>5.4421091900000003E-2</v>
      </c>
    </row>
    <row r="312" spans="1:46" x14ac:dyDescent="0.25">
      <c r="A312">
        <f t="shared" si="20"/>
        <v>1984.8333333333153</v>
      </c>
      <c r="B312" s="1">
        <v>30987</v>
      </c>
      <c r="C312" s="7">
        <f t="shared" si="17"/>
        <v>1984</v>
      </c>
      <c r="D312" s="7">
        <f t="shared" si="18"/>
        <v>11</v>
      </c>
      <c r="E312" s="7">
        <f t="shared" si="19"/>
        <v>4</v>
      </c>
      <c r="F312">
        <f xml:space="preserve"> [1]Coibion_update!O318</f>
        <v>4.0326163107971507</v>
      </c>
      <c r="G312">
        <f xml:space="preserve"> [1]Coibion_update!P318</f>
        <v>7.2</v>
      </c>
      <c r="H312">
        <f xml:space="preserve"> [1]Coibion_update!Q318</f>
        <v>4.6568134191399295</v>
      </c>
      <c r="I312">
        <f xml:space="preserve"> [1]Coibion_update!W318</f>
        <v>9.43</v>
      </c>
      <c r="J312">
        <f xml:space="preserve"> [1]Coibion_update!X318</f>
        <v>5.5993474565193173</v>
      </c>
      <c r="K312">
        <f xml:space="preserve"> [1]Coibion_update!Y318</f>
        <v>3.4118735216593898</v>
      </c>
      <c r="L312">
        <f xml:space="preserve"> [1]Coibion_update!Z318</f>
        <v>4.0431740673119299</v>
      </c>
      <c r="M312">
        <f xml:space="preserve"> [1]Coibion_update!AA318</f>
        <v>3.8818730284772629</v>
      </c>
      <c r="N312">
        <f xml:space="preserve"> [1]Coibion_update!AB318</f>
        <v>-0.5609847</v>
      </c>
      <c r="O312">
        <f xml:space="preserve"> [1]Coibion_update!AC318</f>
        <v>-4.5899785999999994</v>
      </c>
      <c r="P312">
        <f xml:space="preserve"> [1]Coibion_update!AD318</f>
        <v>-3.342735599999997</v>
      </c>
      <c r="U312">
        <f xml:space="preserve"> [1]Gertler_Karadi!E66</f>
        <v>3.1311800000000001E-2</v>
      </c>
      <c r="V312">
        <f xml:space="preserve"> [1]Gertler_Karadi!F66</f>
        <v>1.5333299999999999E-2</v>
      </c>
      <c r="W312">
        <f xml:space="preserve"> [1]Gertler_Karadi!G66</f>
        <v>1.59785E-2</v>
      </c>
      <c r="X312" s="5">
        <f xml:space="preserve"> [1]misc!N395</f>
        <v>9.82</v>
      </c>
      <c r="Y312">
        <f xml:space="preserve"> [1]Gilchrist_Zak!C144</f>
        <v>-7.0900000000000005E-2</v>
      </c>
      <c r="Z312">
        <f xml:space="preserve"> [1]Sims_Zha!B315</f>
        <v>-1.4894000000000001</v>
      </c>
      <c r="AA312">
        <f xml:space="preserve"> [1]Coibion_update!AI318</f>
        <v>-0.68257489999999998</v>
      </c>
      <c r="AB312">
        <f t="shared" si="21"/>
        <v>-0.63824919999999996</v>
      </c>
      <c r="AC312">
        <v>-0.68257489999999998</v>
      </c>
      <c r="AG312">
        <v>0.04</v>
      </c>
      <c r="AJ312">
        <v>3.6464400000000001E-2</v>
      </c>
      <c r="AK312">
        <v>8.92</v>
      </c>
      <c r="AL312">
        <f xml:space="preserve"> LN([1]misc!B331)</f>
        <v>6.3053624616906561</v>
      </c>
      <c r="AM312">
        <f xml:space="preserve"> LN([1]misc!D331)</f>
        <v>7.7326760581515241</v>
      </c>
      <c r="AN312">
        <f xml:space="preserve"> LN([1]misc!G436)</f>
        <v>3.0347606605214694</v>
      </c>
      <c r="AO312">
        <f xml:space="preserve"> LN([1]misc!J342 + [1]misc!L342)</f>
        <v>3.2479684990714732</v>
      </c>
      <c r="AP312">
        <f xml:space="preserve"> [1]Factors!B312</f>
        <v>6.5937884299999999E-2</v>
      </c>
      <c r="AQ312">
        <f xml:space="preserve"> [1]Factors!C312</f>
        <v>-0.23814743799999999</v>
      </c>
      <c r="AR312">
        <f xml:space="preserve"> [1]Factors!D312</f>
        <v>-0.118847339</v>
      </c>
      <c r="AS312">
        <f xml:space="preserve"> [1]Factors!E312</f>
        <v>0.313447425</v>
      </c>
      <c r="AT312">
        <f xml:space="preserve"> [1]Factors!F312</f>
        <v>8.5774801999999994E-3</v>
      </c>
    </row>
    <row r="313" spans="1:46" x14ac:dyDescent="0.25">
      <c r="A313">
        <f t="shared" si="20"/>
        <v>1984.9166666666486</v>
      </c>
      <c r="B313" s="1">
        <v>31017</v>
      </c>
      <c r="C313" s="7">
        <f t="shared" si="17"/>
        <v>1984</v>
      </c>
      <c r="D313" s="7">
        <f t="shared" si="18"/>
        <v>12</v>
      </c>
      <c r="E313" s="7">
        <f t="shared" si="19"/>
        <v>4</v>
      </c>
      <c r="F313">
        <f xml:space="preserve"> [1]Coibion_update!O319</f>
        <v>4.033557218833896</v>
      </c>
      <c r="G313">
        <f xml:space="preserve"> [1]Coibion_update!P319</f>
        <v>7.3</v>
      </c>
      <c r="H313">
        <f xml:space="preserve"> [1]Coibion_update!Q319</f>
        <v>4.6587109529161213</v>
      </c>
      <c r="I313">
        <f xml:space="preserve"> [1]Coibion_update!W319</f>
        <v>8.3800000000000008</v>
      </c>
      <c r="J313">
        <f xml:space="preserve"> [1]Coibion_update!X319</f>
        <v>5.5664342835049778</v>
      </c>
      <c r="K313">
        <f xml:space="preserve"> [1]Coibion_update!Y319</f>
        <v>3.4175299429497152</v>
      </c>
      <c r="L313">
        <f xml:space="preserve"> [1]Coibion_update!Z319</f>
        <v>4.0374743421444581</v>
      </c>
      <c r="M313">
        <f xml:space="preserve"> [1]Coibion_update!AA319</f>
        <v>3.8860485716559103</v>
      </c>
      <c r="N313">
        <f xml:space="preserve"> [1]Coibion_update!AB319</f>
        <v>-0.17080100000000001</v>
      </c>
      <c r="O313">
        <f xml:space="preserve"> [1]Coibion_update!AC319</f>
        <v>-4.7607795999999993</v>
      </c>
      <c r="P313">
        <f xml:space="preserve"> [1]Coibion_update!AD319</f>
        <v>-3.4867567999999971</v>
      </c>
      <c r="U313">
        <f xml:space="preserve"> [1]Gertler_Karadi!E67</f>
        <v>-0.25131179999999997</v>
      </c>
      <c r="V313">
        <f xml:space="preserve"> [1]Gertler_Karadi!F67</f>
        <v>-0.23468820000000001</v>
      </c>
      <c r="W313">
        <f xml:space="preserve"> [1]Gertler_Karadi!G67</f>
        <v>-0.21404300000000001</v>
      </c>
      <c r="X313" s="5">
        <f xml:space="preserve"> [1]misc!N396</f>
        <v>9.33</v>
      </c>
      <c r="Y313">
        <f xml:space="preserve"> [1]Gilchrist_Zak!C145</f>
        <v>-1.6999999999999999E-3</v>
      </c>
      <c r="Z313">
        <f xml:space="preserve"> [1]Sims_Zha!B316</f>
        <v>-5.1501999999999999</v>
      </c>
      <c r="AA313">
        <f xml:space="preserve"> [1]Coibion_update!AI319</f>
        <v>-0.3126466</v>
      </c>
      <c r="AB313">
        <f t="shared" si="21"/>
        <v>-0.95089579999999996</v>
      </c>
      <c r="AC313">
        <v>-0.3126466</v>
      </c>
      <c r="AG313">
        <v>-0.72</v>
      </c>
      <c r="AJ313">
        <v>-4.6988000000000002E-2</v>
      </c>
      <c r="AK313">
        <v>8.74</v>
      </c>
      <c r="AL313">
        <f xml:space="preserve"> LN([1]misc!B332)</f>
        <v>6.3128231459191468</v>
      </c>
      <c r="AM313">
        <f xml:space="preserve"> LN([1]misc!D332)</f>
        <v>7.7436165617412573</v>
      </c>
      <c r="AN313">
        <f xml:space="preserve"> LN([1]misc!G437)</f>
        <v>3.0788778546406599</v>
      </c>
      <c r="AO313">
        <f xml:space="preserve"> LN([1]misc!J343 + [1]misc!L343)</f>
        <v>3.2707469522780901</v>
      </c>
      <c r="AP313">
        <f xml:space="preserve"> [1]Factors!B313</f>
        <v>-2.2686993400000001E-2</v>
      </c>
      <c r="AQ313">
        <f xml:space="preserve"> [1]Factors!C313</f>
        <v>-0.30350844599999999</v>
      </c>
      <c r="AR313">
        <f xml:space="preserve"> [1]Factors!D313</f>
        <v>-0.39957609999999999</v>
      </c>
      <c r="AS313">
        <f xml:space="preserve"> [1]Factors!E313</f>
        <v>0.53954574600000005</v>
      </c>
      <c r="AT313">
        <f xml:space="preserve"> [1]Factors!F313</f>
        <v>-3.11736759E-3</v>
      </c>
    </row>
    <row r="314" spans="1:46" x14ac:dyDescent="0.25">
      <c r="A314">
        <f t="shared" si="20"/>
        <v>1984.9999999999818</v>
      </c>
      <c r="B314" s="1">
        <v>31048</v>
      </c>
      <c r="C314" s="7">
        <f t="shared" si="17"/>
        <v>1985</v>
      </c>
      <c r="D314" s="7">
        <f t="shared" si="18"/>
        <v>1</v>
      </c>
      <c r="E314" s="7">
        <f t="shared" si="19"/>
        <v>1</v>
      </c>
      <c r="F314">
        <f xml:space="preserve"> [1]Coibion_update!O320</f>
        <v>4.0313071360996853</v>
      </c>
      <c r="G314">
        <f xml:space="preserve"> [1]Coibion_update!P320</f>
        <v>7.3</v>
      </c>
      <c r="H314">
        <f xml:space="preserve"> [1]Coibion_update!Q320</f>
        <v>4.6606048928761918</v>
      </c>
      <c r="I314">
        <f xml:space="preserve"> [1]Coibion_update!W320</f>
        <v>8.35</v>
      </c>
      <c r="J314">
        <f xml:space="preserve"> [1]Coibion_update!X320</f>
        <v>5.5442395047515856</v>
      </c>
      <c r="K314">
        <f xml:space="preserve"> [1]Coibion_update!Y320</f>
        <v>3.4316295887823571</v>
      </c>
      <c r="L314">
        <f xml:space="preserve"> [1]Coibion_update!Z320</f>
        <v>4.040416220196545</v>
      </c>
      <c r="M314">
        <f xml:space="preserve"> [1]Coibion_update!AA320</f>
        <v>3.8966047526997656</v>
      </c>
      <c r="N314">
        <f xml:space="preserve"> [1]Coibion_update!AB320</f>
        <v>0</v>
      </c>
      <c r="O314">
        <f xml:space="preserve"> [1]Coibion_update!AC320</f>
        <v>-4.7607795999999993</v>
      </c>
      <c r="P314">
        <f xml:space="preserve"> [1]Coibion_update!AD320</f>
        <v>-3.4867567999999971</v>
      </c>
      <c r="U314">
        <f xml:space="preserve"> [1]Gertler_Karadi!E68</f>
        <v>-0.45935480000000001</v>
      </c>
      <c r="V314">
        <f xml:space="preserve"> [1]Gertler_Karadi!F68</f>
        <v>-0.42064509999999999</v>
      </c>
      <c r="W314">
        <f xml:space="preserve"> [1]Gertler_Karadi!G68</f>
        <v>-0.38129030000000003</v>
      </c>
      <c r="X314" s="5">
        <f xml:space="preserve"> [1]misc!N397</f>
        <v>9.02</v>
      </c>
      <c r="Y314">
        <f xml:space="preserve"> [1]Gilchrist_Zak!C146</f>
        <v>-7.6300000000000007E-2</v>
      </c>
      <c r="Z314">
        <f xml:space="preserve"> [1]Sims_Zha!B317</f>
        <v>2.4403000000000001</v>
      </c>
      <c r="AA314">
        <f xml:space="preserve"> [1]Coibion_update!AI320</f>
        <v>0</v>
      </c>
      <c r="AB314">
        <f t="shared" si="21"/>
        <v>-0.95089579999999996</v>
      </c>
      <c r="AC314">
        <v>0</v>
      </c>
      <c r="AG314">
        <v>0</v>
      </c>
      <c r="AJ314">
        <v>0</v>
      </c>
      <c r="AK314">
        <v>8.73</v>
      </c>
      <c r="AL314">
        <f xml:space="preserve"> LN([1]misc!B333)</f>
        <v>6.3225652399272843</v>
      </c>
      <c r="AM314">
        <f xml:space="preserve"> LN([1]misc!D333)</f>
        <v>7.7547816739545103</v>
      </c>
      <c r="AN314">
        <f xml:space="preserve"> LN([1]misc!G438)</f>
        <v>3.0689362658124071</v>
      </c>
      <c r="AO314">
        <f xml:space="preserve"> LN([1]misc!J344 + [1]misc!L344)</f>
        <v>3.2858987572986926</v>
      </c>
      <c r="AP314">
        <f xml:space="preserve"> [1]Factors!B314</f>
        <v>0.115909047</v>
      </c>
      <c r="AQ314">
        <f xml:space="preserve"> [1]Factors!C314</f>
        <v>-0.34277543799999999</v>
      </c>
      <c r="AR314">
        <f xml:space="preserve"> [1]Factors!D314</f>
        <v>-6.0029807599999999E-2</v>
      </c>
      <c r="AS314">
        <f xml:space="preserve"> [1]Factors!E314</f>
        <v>0.138036301</v>
      </c>
      <c r="AT314">
        <f xml:space="preserve"> [1]Factors!F314</f>
        <v>-5.9417163299999999E-2</v>
      </c>
    </row>
    <row r="315" spans="1:46" x14ac:dyDescent="0.25">
      <c r="A315">
        <f t="shared" si="20"/>
        <v>1985.0833333333151</v>
      </c>
      <c r="B315" s="1">
        <v>31079</v>
      </c>
      <c r="C315" s="7">
        <f t="shared" si="17"/>
        <v>1985</v>
      </c>
      <c r="D315" s="7">
        <f t="shared" si="18"/>
        <v>2</v>
      </c>
      <c r="E315" s="7">
        <f t="shared" si="19"/>
        <v>1</v>
      </c>
      <c r="F315">
        <f xml:space="preserve"> [1]Coibion_update!O321</f>
        <v>4.0353992587276775</v>
      </c>
      <c r="G315">
        <f xml:space="preserve"> [1]Coibion_update!P321</f>
        <v>7.2</v>
      </c>
      <c r="H315">
        <f xml:space="preserve"> [1]Coibion_update!Q321</f>
        <v>4.6662652853479019</v>
      </c>
      <c r="I315">
        <f xml:space="preserve"> [1]Coibion_update!W321</f>
        <v>8.5</v>
      </c>
      <c r="J315">
        <f xml:space="preserve"> [1]Coibion_update!X321</f>
        <v>5.5383966945684486</v>
      </c>
      <c r="K315">
        <f xml:space="preserve"> [1]Coibion_update!Y321</f>
        <v>3.4242300807727282</v>
      </c>
      <c r="L315">
        <f xml:space="preserve"> [1]Coibion_update!Z321</f>
        <v>4.0478642283395594</v>
      </c>
      <c r="M315">
        <f xml:space="preserve"> [1]Coibion_update!AA321</f>
        <v>3.9011036051788688</v>
      </c>
      <c r="N315">
        <f xml:space="preserve"> [1]Coibion_update!AB321</f>
        <v>-0.1213873</v>
      </c>
      <c r="O315">
        <f xml:space="preserve"> [1]Coibion_update!AC321</f>
        <v>-4.8821668999999996</v>
      </c>
      <c r="P315">
        <f xml:space="preserve"> [1]Coibion_update!AD321</f>
        <v>-3.6431112999999971</v>
      </c>
      <c r="U315">
        <f xml:space="preserve"> [1]Gertler_Karadi!E69</f>
        <v>-1.28571E-2</v>
      </c>
      <c r="V315">
        <f xml:space="preserve"> [1]Gertler_Karadi!F69</f>
        <v>-1.28571E-2</v>
      </c>
      <c r="W315">
        <f xml:space="preserve"> [1]Gertler_Karadi!G69</f>
        <v>-1.28571E-2</v>
      </c>
      <c r="X315" s="5">
        <f xml:space="preserve"> [1]misc!N398</f>
        <v>9.2899999999999991</v>
      </c>
      <c r="Y315">
        <f xml:space="preserve"> [1]Gilchrist_Zak!C147</f>
        <v>-9.7699999999999995E-2</v>
      </c>
      <c r="Z315">
        <f xml:space="preserve"> [1]Sims_Zha!B318</f>
        <v>2.0150999999999999</v>
      </c>
      <c r="AA315">
        <f xml:space="preserve"> [1]Coibion_update!AI321</f>
        <v>-7.2862399999999994E-2</v>
      </c>
      <c r="AB315">
        <f t="shared" si="21"/>
        <v>-1.0237582000000001</v>
      </c>
      <c r="AC315">
        <v>-7.2862399999999994E-2</v>
      </c>
      <c r="AG315">
        <v>-0.01</v>
      </c>
      <c r="AJ315">
        <v>-4.6198099999999999E-2</v>
      </c>
      <c r="AK315">
        <v>8.74</v>
      </c>
      <c r="AL315">
        <f xml:space="preserve"> LN([1]misc!B334)</f>
        <v>6.3343447800245256</v>
      </c>
      <c r="AM315">
        <f xml:space="preserve"> LN([1]misc!D334)</f>
        <v>7.7640411969192629</v>
      </c>
      <c r="AN315">
        <f xml:space="preserve"> LN([1]misc!G439)</f>
        <v>3.0129826269605187</v>
      </c>
      <c r="AO315">
        <f xml:space="preserve"> LN([1]misc!J345 + [1]misc!L345)</f>
        <v>3.2999026635105739</v>
      </c>
      <c r="AP315">
        <f xml:space="preserve"> [1]Factors!B315</f>
        <v>0.117354167</v>
      </c>
      <c r="AQ315">
        <f xml:space="preserve"> [1]Factors!C315</f>
        <v>-0.14118726100000001</v>
      </c>
      <c r="AR315">
        <f xml:space="preserve"> [1]Factors!D315</f>
        <v>-7.0904158100000003E-2</v>
      </c>
      <c r="AS315">
        <f xml:space="preserve"> [1]Factors!E315</f>
        <v>0.10795768</v>
      </c>
      <c r="AT315">
        <f xml:space="preserve"> [1]Factors!F315</f>
        <v>5.18259836E-2</v>
      </c>
    </row>
    <row r="316" spans="1:46" x14ac:dyDescent="0.25">
      <c r="A316">
        <f t="shared" si="20"/>
        <v>1985.1666666666483</v>
      </c>
      <c r="B316" s="1">
        <v>31107</v>
      </c>
      <c r="C316" s="7">
        <f t="shared" si="17"/>
        <v>1985</v>
      </c>
      <c r="D316" s="7">
        <f t="shared" si="18"/>
        <v>3</v>
      </c>
      <c r="E316" s="7">
        <f t="shared" si="19"/>
        <v>1</v>
      </c>
      <c r="F316">
        <f xml:space="preserve"> [1]Coibion_update!O322</f>
        <v>4.0369343519782159</v>
      </c>
      <c r="G316">
        <f xml:space="preserve"> [1]Coibion_update!P322</f>
        <v>7.2</v>
      </c>
      <c r="H316">
        <f xml:space="preserve"> [1]Coibion_update!Q322</f>
        <v>4.6709579265260945</v>
      </c>
      <c r="I316">
        <f xml:space="preserve"> [1]Coibion_update!W322</f>
        <v>8.58</v>
      </c>
      <c r="J316">
        <f xml:space="preserve"> [1]Coibion_update!X322</f>
        <v>5.5341401950193196</v>
      </c>
      <c r="K316">
        <f xml:space="preserve"> [1]Coibion_update!Y322</f>
        <v>3.4464575130670201</v>
      </c>
      <c r="L316">
        <f xml:space="preserve"> [1]Coibion_update!Z322</f>
        <v>4.0419805193493419</v>
      </c>
      <c r="M316">
        <f xml:space="preserve"> [1]Coibion_update!AA322</f>
        <v>3.8970108853076426</v>
      </c>
      <c r="N316">
        <f xml:space="preserve"> [1]Coibion_update!AB322</f>
        <v>0.20776069999999999</v>
      </c>
      <c r="O316">
        <f xml:space="preserve"> [1]Coibion_update!AC322</f>
        <v>-4.6744062</v>
      </c>
      <c r="P316">
        <f xml:space="preserve"> [1]Coibion_update!AD322</f>
        <v>-3.4431188999999969</v>
      </c>
      <c r="U316">
        <f xml:space="preserve"> [1]Gertler_Karadi!E70</f>
        <v>1.2442E-3</v>
      </c>
      <c r="V316">
        <f xml:space="preserve"> [1]Gertler_Karadi!F70</f>
        <v>-3.6870000000000002E-4</v>
      </c>
      <c r="W316">
        <f xml:space="preserve"> [1]Gertler_Karadi!G70</f>
        <v>-6.8202999999999996E-3</v>
      </c>
      <c r="X316" s="5">
        <f xml:space="preserve"> [1]misc!N399</f>
        <v>9.86</v>
      </c>
      <c r="Y316">
        <f xml:space="preserve"> [1]Gilchrist_Zak!C148</f>
        <v>0.13619999999999999</v>
      </c>
      <c r="Z316">
        <f xml:space="preserve"> [1]Sims_Zha!B319</f>
        <v>1.1688000000000001</v>
      </c>
      <c r="AA316">
        <f xml:space="preserve"> [1]Coibion_update!AI322</f>
        <v>0.14267050000000001</v>
      </c>
      <c r="AB316">
        <f t="shared" si="21"/>
        <v>-0.88108770000000003</v>
      </c>
      <c r="AC316">
        <v>0.14267050000000001</v>
      </c>
      <c r="AG316">
        <v>-0.01</v>
      </c>
      <c r="AJ316">
        <v>-1.06807E-2</v>
      </c>
      <c r="AK316">
        <v>8.58</v>
      </c>
      <c r="AL316">
        <f xml:space="preserve"> LN([1]misc!B335)</f>
        <v>6.3396535873964162</v>
      </c>
      <c r="AM316">
        <f xml:space="preserve"> LN([1]misc!D335)</f>
        <v>7.7692096049504586</v>
      </c>
      <c r="AN316">
        <f xml:space="preserve"> LN([1]misc!G440)</f>
        <v>3.0894047494166261</v>
      </c>
      <c r="AO316">
        <f xml:space="preserve"> LN([1]misc!J346 + [1]misc!L346)</f>
        <v>3.2979457518516808</v>
      </c>
      <c r="AP316">
        <f xml:space="preserve"> [1]Factors!B316</f>
        <v>5.0859341400000001E-2</v>
      </c>
      <c r="AQ316">
        <f xml:space="preserve"> [1]Factors!C316</f>
        <v>-1.88029667E-2</v>
      </c>
      <c r="AR316">
        <f xml:space="preserve"> [1]Factors!D316</f>
        <v>0.292792261</v>
      </c>
      <c r="AS316">
        <f xml:space="preserve"> [1]Factors!E316</f>
        <v>-4.9404077099999999E-2</v>
      </c>
      <c r="AT316">
        <f xml:space="preserve"> [1]Factors!F316</f>
        <v>-0.202973496</v>
      </c>
    </row>
    <row r="317" spans="1:46" x14ac:dyDescent="0.25">
      <c r="A317">
        <f t="shared" si="20"/>
        <v>1985.2499999999816</v>
      </c>
      <c r="B317" s="1">
        <v>31138</v>
      </c>
      <c r="C317" s="7">
        <f t="shared" si="17"/>
        <v>1985</v>
      </c>
      <c r="D317" s="7">
        <f t="shared" si="18"/>
        <v>4</v>
      </c>
      <c r="E317" s="7">
        <f t="shared" si="19"/>
        <v>2</v>
      </c>
      <c r="F317">
        <f xml:space="preserve"> [1]Coibion_update!O323</f>
        <v>4.0343061227338968</v>
      </c>
      <c r="G317">
        <f xml:space="preserve"> [1]Coibion_update!P323</f>
        <v>7.3</v>
      </c>
      <c r="H317">
        <f xml:space="preserve"> [1]Coibion_update!Q323</f>
        <v>4.6728288344619058</v>
      </c>
      <c r="I317">
        <f xml:space="preserve"> [1]Coibion_update!W323</f>
        <v>8.27</v>
      </c>
      <c r="J317">
        <f xml:space="preserve"> [1]Coibion_update!X323</f>
        <v>5.54588032240299</v>
      </c>
      <c r="K317">
        <f xml:space="preserve"> [1]Coibion_update!Y323</f>
        <v>3.4235131881455705</v>
      </c>
      <c r="L317">
        <f xml:space="preserve"> [1]Coibion_update!Z323</f>
        <v>4.0532100188635454</v>
      </c>
      <c r="M317">
        <f xml:space="preserve"> [1]Coibion_update!AA323</f>
        <v>3.9019726695746448</v>
      </c>
      <c r="N317">
        <f xml:space="preserve"> [1]Coibion_update!AB323</f>
        <v>0</v>
      </c>
      <c r="O317">
        <f xml:space="preserve"> [1]Coibion_update!AC323</f>
        <v>-4.6744062</v>
      </c>
      <c r="P317">
        <f xml:space="preserve"> [1]Coibion_update!AD323</f>
        <v>-3.4431188999999969</v>
      </c>
      <c r="U317">
        <f xml:space="preserve"> [1]Gertler_Karadi!E71</f>
        <v>-2.1387099999999999E-2</v>
      </c>
      <c r="V317">
        <f xml:space="preserve"> [1]Gertler_Karadi!F71</f>
        <v>-2.9774200000000001E-2</v>
      </c>
      <c r="W317">
        <f xml:space="preserve"> [1]Gertler_Karadi!G71</f>
        <v>-4.5989299999999997E-2</v>
      </c>
      <c r="X317" s="5">
        <f xml:space="preserve"> [1]misc!N400</f>
        <v>9.14</v>
      </c>
      <c r="Y317">
        <f xml:space="preserve"> [1]Gilchrist_Zak!C149</f>
        <v>-3.27E-2</v>
      </c>
      <c r="Z317">
        <f xml:space="preserve"> [1]Sims_Zha!B320</f>
        <v>-2.6669</v>
      </c>
      <c r="AA317">
        <f xml:space="preserve"> [1]Coibion_update!AI323</f>
        <v>0</v>
      </c>
      <c r="AB317">
        <f t="shared" si="21"/>
        <v>-0.88108770000000003</v>
      </c>
      <c r="AC317">
        <v>0</v>
      </c>
      <c r="AG317">
        <v>-0.03</v>
      </c>
      <c r="AJ317">
        <v>0</v>
      </c>
      <c r="AK317">
        <v>8.58</v>
      </c>
      <c r="AL317">
        <f xml:space="preserve"> LN([1]misc!B336)</f>
        <v>6.3463378691000862</v>
      </c>
      <c r="AM317">
        <f xml:space="preserve"> LN([1]misc!D336)</f>
        <v>7.7730474098844766</v>
      </c>
      <c r="AN317">
        <f xml:space="preserve"> LN([1]misc!G441)</f>
        <v>3.1439367382037071</v>
      </c>
      <c r="AO317">
        <f xml:space="preserve"> LN([1]misc!J347 + [1]misc!L347)</f>
        <v>3.3111267845723078</v>
      </c>
      <c r="AP317">
        <f xml:space="preserve"> [1]Factors!B317</f>
        <v>-0.20426991899999999</v>
      </c>
      <c r="AQ317">
        <f xml:space="preserve"> [1]Factors!C317</f>
        <v>-0.10157278</v>
      </c>
      <c r="AR317">
        <f xml:space="preserve"> [1]Factors!D317</f>
        <v>0.29347599899999999</v>
      </c>
      <c r="AS317">
        <f xml:space="preserve"> [1]Factors!E317</f>
        <v>-0.10353683700000001</v>
      </c>
      <c r="AT317">
        <f xml:space="preserve"> [1]Factors!F317</f>
        <v>-7.2724059600000002E-2</v>
      </c>
    </row>
    <row r="318" spans="1:46" x14ac:dyDescent="0.25">
      <c r="A318">
        <f t="shared" si="20"/>
        <v>1985.3333333333148</v>
      </c>
      <c r="B318" s="1">
        <v>31168</v>
      </c>
      <c r="C318" s="7">
        <f t="shared" si="17"/>
        <v>1985</v>
      </c>
      <c r="D318" s="7">
        <f t="shared" si="18"/>
        <v>5</v>
      </c>
      <c r="E318" s="7">
        <f t="shared" si="19"/>
        <v>2</v>
      </c>
      <c r="F318">
        <f xml:space="preserve"> [1]Coibion_update!O324</f>
        <v>4.0355654239528596</v>
      </c>
      <c r="G318">
        <f xml:space="preserve"> [1]Coibion_update!P324</f>
        <v>7.2</v>
      </c>
      <c r="H318">
        <f xml:space="preserve"> [1]Coibion_update!Q324</f>
        <v>4.6746962486367014</v>
      </c>
      <c r="I318">
        <f xml:space="preserve"> [1]Coibion_update!W324</f>
        <v>7.97</v>
      </c>
      <c r="J318">
        <f xml:space="preserve"> [1]Coibion_update!X324</f>
        <v>5.5238580424619679</v>
      </c>
      <c r="K318">
        <f xml:space="preserve"> [1]Coibion_update!Y324</f>
        <v>3.4760265222828046</v>
      </c>
      <c r="L318">
        <f xml:space="preserve"> [1]Coibion_update!Z324</f>
        <v>4.0538697296563821</v>
      </c>
      <c r="M318">
        <f xml:space="preserve"> [1]Coibion_update!AA324</f>
        <v>3.9087978100724512</v>
      </c>
      <c r="N318">
        <f xml:space="preserve"> [1]Coibion_update!AB324</f>
        <v>-0.14646149999999999</v>
      </c>
      <c r="O318">
        <f xml:space="preserve"> [1]Coibion_update!AC324</f>
        <v>-4.8208677</v>
      </c>
      <c r="P318">
        <f xml:space="preserve"> [1]Coibion_update!AD324</f>
        <v>-3.5493487999999971</v>
      </c>
      <c r="U318">
        <f xml:space="preserve"> [1]Gertler_Karadi!E72</f>
        <v>-0.17667740000000001</v>
      </c>
      <c r="V318">
        <f xml:space="preserve"> [1]Gertler_Karadi!F72</f>
        <v>-0.19119349999999999</v>
      </c>
      <c r="W318">
        <f xml:space="preserve"> [1]Gertler_Karadi!G72</f>
        <v>-0.18465590000000001</v>
      </c>
      <c r="X318" s="5">
        <f xml:space="preserve"> [1]misc!N401</f>
        <v>8.4600000000000009</v>
      </c>
      <c r="Y318">
        <f xml:space="preserve"> [1]Gilchrist_Zak!C150</f>
        <v>-0.1961</v>
      </c>
      <c r="Z318">
        <f xml:space="preserve"> [1]Sims_Zha!B321</f>
        <v>-2.1739000000000002</v>
      </c>
      <c r="AA318">
        <f xml:space="preserve"> [1]Coibion_update!AI324</f>
        <v>-0.15496460000000001</v>
      </c>
      <c r="AB318">
        <f t="shared" si="21"/>
        <v>-1.0360523000000001</v>
      </c>
      <c r="AC318">
        <v>-0.15496460000000001</v>
      </c>
      <c r="AG318">
        <v>-0.33</v>
      </c>
      <c r="AJ318">
        <v>2.2904899999999999E-2</v>
      </c>
      <c r="AK318">
        <v>7.64</v>
      </c>
      <c r="AL318">
        <f xml:space="preserve"> LN([1]misc!B337)</f>
        <v>6.3545439387197087</v>
      </c>
      <c r="AM318">
        <f xml:space="preserve"> LN([1]misc!D337)</f>
        <v>7.7790068030460127</v>
      </c>
      <c r="AN318">
        <f xml:space="preserve"> LN([1]misc!G442)</f>
        <v>3.1057519185925404</v>
      </c>
      <c r="AO318">
        <f xml:space="preserve"> LN([1]misc!J348 + [1]misc!L348)</f>
        <v>3.3089358832358498</v>
      </c>
      <c r="AP318">
        <f xml:space="preserve"> [1]Factors!B318</f>
        <v>0.29185433500000002</v>
      </c>
      <c r="AQ318">
        <f xml:space="preserve"> [1]Factors!C318</f>
        <v>-0.12890927999999999</v>
      </c>
      <c r="AR318">
        <f xml:space="preserve"> [1]Factors!D318</f>
        <v>-0.135038782</v>
      </c>
      <c r="AS318">
        <f xml:space="preserve"> [1]Factors!E318</f>
        <v>0.41168648600000002</v>
      </c>
      <c r="AT318">
        <f xml:space="preserve"> [1]Factors!F318</f>
        <v>0.26576424100000001</v>
      </c>
    </row>
    <row r="319" spans="1:46" x14ac:dyDescent="0.25">
      <c r="A319">
        <f t="shared" si="20"/>
        <v>1985.4166666666481</v>
      </c>
      <c r="B319" s="1">
        <v>31199</v>
      </c>
      <c r="C319" s="7">
        <f t="shared" si="17"/>
        <v>1985</v>
      </c>
      <c r="D319" s="7">
        <f t="shared" si="18"/>
        <v>6</v>
      </c>
      <c r="E319" s="7">
        <f t="shared" si="19"/>
        <v>2</v>
      </c>
      <c r="F319">
        <f xml:space="preserve"> [1]Coibion_update!O325</f>
        <v>4.0363057609548445</v>
      </c>
      <c r="G319">
        <f xml:space="preserve"> [1]Coibion_update!P325</f>
        <v>7.4</v>
      </c>
      <c r="H319">
        <f xml:space="preserve"> [1]Coibion_update!Q325</f>
        <v>4.677490847567717</v>
      </c>
      <c r="I319">
        <f xml:space="preserve"> [1]Coibion_update!W325</f>
        <v>7.53</v>
      </c>
      <c r="J319">
        <f xml:space="preserve"> [1]Coibion_update!X325</f>
        <v>5.500073835980599</v>
      </c>
      <c r="K319">
        <f xml:space="preserve"> [1]Coibion_update!Y325</f>
        <v>3.4376257382757069</v>
      </c>
      <c r="L319">
        <f xml:space="preserve"> [1]Coibion_update!Z325</f>
        <v>4.0464839658706007</v>
      </c>
      <c r="M319">
        <f xml:space="preserve"> [1]Coibion_update!AA325</f>
        <v>3.91248289966058</v>
      </c>
      <c r="N319">
        <f xml:space="preserve"> [1]Coibion_update!AB325</f>
        <v>0</v>
      </c>
      <c r="O319">
        <f xml:space="preserve"> [1]Coibion_update!AC325</f>
        <v>-4.8208677</v>
      </c>
      <c r="P319">
        <f xml:space="preserve"> [1]Coibion_update!AD325</f>
        <v>-3.5493487999999971</v>
      </c>
      <c r="U319">
        <f xml:space="preserve"> [1]Gertler_Karadi!E73</f>
        <v>-0.17032259999999999</v>
      </c>
      <c r="V319">
        <f xml:space="preserve"> [1]Gertler_Karadi!F73</f>
        <v>-0.18580650000000001</v>
      </c>
      <c r="W319">
        <f xml:space="preserve"> [1]Gertler_Karadi!G73</f>
        <v>-0.1996774</v>
      </c>
      <c r="X319" s="5">
        <f xml:space="preserve"> [1]misc!N402</f>
        <v>7.8</v>
      </c>
      <c r="Y319">
        <f xml:space="preserve"> [1]Gilchrist_Zak!C151</f>
        <v>0.21429999999999999</v>
      </c>
      <c r="Z319">
        <f xml:space="preserve"> [1]Sims_Zha!B322</f>
        <v>-2.6265000000000001</v>
      </c>
      <c r="AA319">
        <f xml:space="preserve"> [1]Coibion_update!AI325</f>
        <v>0</v>
      </c>
      <c r="AB319">
        <f t="shared" si="21"/>
        <v>-1.0360523000000001</v>
      </c>
      <c r="AC319">
        <v>0</v>
      </c>
      <c r="AG319">
        <v>0</v>
      </c>
      <c r="AJ319">
        <v>0</v>
      </c>
      <c r="AK319">
        <v>7.95</v>
      </c>
      <c r="AL319">
        <f xml:space="preserve"> LN([1]misc!B338)</f>
        <v>6.3669857788430742</v>
      </c>
      <c r="AM319">
        <f xml:space="preserve"> LN([1]misc!D338)</f>
        <v>7.7886260656250315</v>
      </c>
      <c r="AN319">
        <f xml:space="preserve"> LN([1]misc!G443)</f>
        <v>3.1519664955846274</v>
      </c>
      <c r="AO319">
        <f xml:space="preserve"> LN([1]misc!J349 + [1]misc!L349)</f>
        <v>3.3431797752925818</v>
      </c>
      <c r="AP319">
        <f xml:space="preserve"> [1]Factors!B319</f>
        <v>0.14451787899999999</v>
      </c>
      <c r="AQ319">
        <f xml:space="preserve"> [1]Factors!C319</f>
        <v>-0.26132230099999998</v>
      </c>
      <c r="AR319">
        <f xml:space="preserve"> [1]Factors!D319</f>
        <v>-0.26214920000000003</v>
      </c>
      <c r="AS319">
        <f xml:space="preserve"> [1]Factors!E319</f>
        <v>0.35294266299999999</v>
      </c>
      <c r="AT319">
        <f xml:space="preserve"> [1]Factors!F319</f>
        <v>-2.9385006000000002E-2</v>
      </c>
    </row>
    <row r="320" spans="1:46" x14ac:dyDescent="0.25">
      <c r="A320">
        <f t="shared" si="20"/>
        <v>1985.4999999999814</v>
      </c>
      <c r="B320" s="1">
        <v>31229</v>
      </c>
      <c r="C320" s="7">
        <f t="shared" si="17"/>
        <v>1985</v>
      </c>
      <c r="D320" s="7">
        <f t="shared" si="18"/>
        <v>7</v>
      </c>
      <c r="E320" s="7">
        <f t="shared" si="19"/>
        <v>3</v>
      </c>
      <c r="F320">
        <f xml:space="preserve"> [1]Coibion_update!O326</f>
        <v>4.0295731250728117</v>
      </c>
      <c r="G320">
        <f xml:space="preserve"> [1]Coibion_update!P326</f>
        <v>7.4</v>
      </c>
      <c r="H320">
        <f xml:space="preserve"> [1]Coibion_update!Q326</f>
        <v>4.6793495841623427</v>
      </c>
      <c r="I320">
        <f xml:space="preserve"> [1]Coibion_update!W326</f>
        <v>7.88</v>
      </c>
      <c r="J320">
        <f xml:space="preserve"> [1]Coibion_update!X326</f>
        <v>5.4829695386802735</v>
      </c>
      <c r="K320">
        <f xml:space="preserve"> [1]Coibion_update!Y326</f>
        <v>3.4565059374210358</v>
      </c>
      <c r="L320">
        <f xml:space="preserve"> [1]Coibion_update!Z326</f>
        <v>4.0523413147416427</v>
      </c>
      <c r="M320">
        <f xml:space="preserve"> [1]Coibion_update!AA326</f>
        <v>3.9177863653172507</v>
      </c>
      <c r="N320">
        <f xml:space="preserve"> [1]Coibion_update!AB326</f>
        <v>6.4075999999999994E-2</v>
      </c>
      <c r="O320">
        <f xml:space="preserve"> [1]Coibion_update!AC326</f>
        <v>-4.7567917</v>
      </c>
      <c r="P320">
        <f xml:space="preserve"> [1]Coibion_update!AD326</f>
        <v>-3.4890198999999971</v>
      </c>
      <c r="U320">
        <f xml:space="preserve"> [1]Gertler_Karadi!E74</f>
        <v>0</v>
      </c>
      <c r="V320">
        <f xml:space="preserve"> [1]Gertler_Karadi!F74</f>
        <v>0</v>
      </c>
      <c r="W320">
        <f xml:space="preserve"> [1]Gertler_Karadi!G74</f>
        <v>0</v>
      </c>
      <c r="X320" s="5">
        <f xml:space="preserve"> [1]misc!N403</f>
        <v>7.86</v>
      </c>
      <c r="Y320">
        <f xml:space="preserve"> [1]Gilchrist_Zak!C152</f>
        <v>0.13589999999999999</v>
      </c>
      <c r="Z320">
        <f xml:space="preserve"> [1]Sims_Zha!B323</f>
        <v>4.1197999999999997</v>
      </c>
      <c r="AA320">
        <f xml:space="preserve"> [1]Coibion_update!AI326</f>
        <v>6.2107500000000003E-2</v>
      </c>
      <c r="AB320">
        <f t="shared" si="21"/>
        <v>-0.97394480000000017</v>
      </c>
      <c r="AC320">
        <v>6.2107500000000003E-2</v>
      </c>
      <c r="AG320">
        <v>0</v>
      </c>
      <c r="AJ320">
        <v>8.6411999999999999E-3</v>
      </c>
      <c r="AK320">
        <v>8.61</v>
      </c>
      <c r="AL320">
        <f xml:space="preserve"> LN([1]misc!B339)</f>
        <v>6.378595948527642</v>
      </c>
      <c r="AM320">
        <f xml:space="preserve"> LN([1]misc!D339)</f>
        <v>7.7956053832244416</v>
      </c>
      <c r="AN320">
        <f xml:space="preserve"> LN([1]misc!G444)</f>
        <v>3.1563193382019397</v>
      </c>
      <c r="AO320">
        <f xml:space="preserve"> LN([1]misc!J350 + [1]misc!L350)</f>
        <v>3.3513766866781993</v>
      </c>
      <c r="AP320">
        <f xml:space="preserve"> [1]Factors!B320</f>
        <v>0.25372198400000001</v>
      </c>
      <c r="AQ320">
        <f xml:space="preserve"> [1]Factors!C320</f>
        <v>-0.242971146</v>
      </c>
      <c r="AR320">
        <f xml:space="preserve"> [1]Factors!D320</f>
        <v>-0.325540575</v>
      </c>
      <c r="AS320">
        <f xml:space="preserve"> [1]Factors!E320</f>
        <v>0.452298531</v>
      </c>
      <c r="AT320">
        <f xml:space="preserve"> [1]Factors!F320</f>
        <v>-4.2172431099999998E-2</v>
      </c>
    </row>
    <row r="321" spans="1:46" x14ac:dyDescent="0.25">
      <c r="A321">
        <f t="shared" si="20"/>
        <v>1985.5833333333146</v>
      </c>
      <c r="B321" s="1">
        <v>31260</v>
      </c>
      <c r="C321" s="7">
        <f t="shared" si="17"/>
        <v>1985</v>
      </c>
      <c r="D321" s="7">
        <f t="shared" si="18"/>
        <v>8</v>
      </c>
      <c r="E321" s="7">
        <f t="shared" si="19"/>
        <v>3</v>
      </c>
      <c r="F321">
        <f xml:space="preserve"> [1]Coibion_update!O327</f>
        <v>4.03366879326434</v>
      </c>
      <c r="G321">
        <f xml:space="preserve"> [1]Coibion_update!P327</f>
        <v>7.1</v>
      </c>
      <c r="H321">
        <f xml:space="preserve"> [1]Coibion_update!Q327</f>
        <v>4.6812048722640887</v>
      </c>
      <c r="I321">
        <f xml:space="preserve"> [1]Coibion_update!W327</f>
        <v>7.9</v>
      </c>
      <c r="J321">
        <f xml:space="preserve"> [1]Coibion_update!X327</f>
        <v>5.4597131655708369</v>
      </c>
      <c r="K321">
        <f xml:space="preserve"> [1]Coibion_update!Y327</f>
        <v>3.4918604165593976</v>
      </c>
      <c r="L321">
        <f xml:space="preserve"> [1]Coibion_update!Z327</f>
        <v>4.0608739521605006</v>
      </c>
      <c r="M321">
        <f xml:space="preserve"> [1]Coibion_update!AA327</f>
        <v>3.9225276380732317</v>
      </c>
      <c r="N321">
        <f xml:space="preserve"> [1]Coibion_update!AB327</f>
        <v>0.1866845</v>
      </c>
      <c r="O321">
        <f xml:space="preserve"> [1]Coibion_update!AC327</f>
        <v>-4.5701071999999998</v>
      </c>
      <c r="P321">
        <f xml:space="preserve"> [1]Coibion_update!AD327</f>
        <v>-3.303477499999997</v>
      </c>
      <c r="U321">
        <f xml:space="preserve"> [1]Gertler_Karadi!E75</f>
        <v>1.9354799999999998E-2</v>
      </c>
      <c r="V321">
        <f xml:space="preserve"> [1]Gertler_Karadi!F75</f>
        <v>-4.4193499999999997E-2</v>
      </c>
      <c r="W321">
        <f xml:space="preserve"> [1]Gertler_Karadi!G75</f>
        <v>-4.1935000000000002E-3</v>
      </c>
      <c r="X321" s="5">
        <f xml:space="preserve"> [1]misc!N404</f>
        <v>8.0500000000000007</v>
      </c>
      <c r="Y321">
        <f xml:space="preserve"> [1]Gilchrist_Zak!C153</f>
        <v>0.1477</v>
      </c>
      <c r="Z321">
        <f xml:space="preserve"> [1]Sims_Zha!B324</f>
        <v>1.0654999999999999</v>
      </c>
      <c r="AA321">
        <f xml:space="preserve"> [1]Coibion_update!AI327</f>
        <v>0.12681539999999999</v>
      </c>
      <c r="AB321">
        <f t="shared" si="21"/>
        <v>-0.84712940000000014</v>
      </c>
      <c r="AC321">
        <v>0.12681539999999999</v>
      </c>
      <c r="AG321">
        <v>0</v>
      </c>
      <c r="AJ321">
        <v>-2.4252300000000001E-2</v>
      </c>
      <c r="AK321">
        <v>7.8</v>
      </c>
      <c r="AL321">
        <f xml:space="preserve"> LN([1]misc!B340)</f>
        <v>6.3905761812439712</v>
      </c>
      <c r="AM321">
        <f xml:space="preserve"> LN([1]misc!D340)</f>
        <v>7.8015549730207603</v>
      </c>
      <c r="AN321">
        <f xml:space="preserve"> LN([1]misc!G445)</f>
        <v>3.1529923997525744</v>
      </c>
      <c r="AO321">
        <f xml:space="preserve"> LN([1]misc!J351 + [1]misc!L351)</f>
        <v>3.3724549127965013</v>
      </c>
      <c r="AP321">
        <f xml:space="preserve"> [1]Factors!B321</f>
        <v>0.22624461300000001</v>
      </c>
      <c r="AQ321">
        <f xml:space="preserve"> [1]Factors!C321</f>
        <v>-9.4417653099999999E-2</v>
      </c>
      <c r="AR321">
        <f xml:space="preserve"> [1]Factors!D321</f>
        <v>5.1778578700000001E-3</v>
      </c>
      <c r="AS321">
        <f xml:space="preserve"> [1]Factors!E321</f>
        <v>2.45583205E-3</v>
      </c>
      <c r="AT321">
        <f xml:space="preserve"> [1]Factors!F321</f>
        <v>0.113713703</v>
      </c>
    </row>
    <row r="322" spans="1:46" x14ac:dyDescent="0.25">
      <c r="A322">
        <f t="shared" si="20"/>
        <v>1985.6666666666479</v>
      </c>
      <c r="B322" s="1">
        <v>31291</v>
      </c>
      <c r="C322" s="7">
        <f t="shared" si="17"/>
        <v>1985</v>
      </c>
      <c r="D322" s="7">
        <f t="shared" si="18"/>
        <v>9</v>
      </c>
      <c r="E322" s="7">
        <f t="shared" si="19"/>
        <v>3</v>
      </c>
      <c r="F322">
        <f xml:space="preserve"> [1]Coibion_update!O328</f>
        <v>4.0381586165581327</v>
      </c>
      <c r="G322">
        <f xml:space="preserve"> [1]Coibion_update!P328</f>
        <v>7.1</v>
      </c>
      <c r="H322">
        <f xml:space="preserve"> [1]Coibion_update!Q328</f>
        <v>4.6830567246451622</v>
      </c>
      <c r="I322">
        <f xml:space="preserve"> [1]Coibion_update!W328</f>
        <v>7.92</v>
      </c>
      <c r="J322">
        <f xml:space="preserve"> [1]Coibion_update!X328</f>
        <v>5.438774719243292</v>
      </c>
      <c r="K322">
        <f xml:space="preserve"> [1]Coibion_update!Y328</f>
        <v>3.5721489893104437</v>
      </c>
      <c r="L322">
        <f xml:space="preserve"> [1]Coibion_update!Z328</f>
        <v>4.0648814220714593</v>
      </c>
      <c r="M322">
        <f xml:space="preserve"> [1]Coibion_update!AA328</f>
        <v>3.9241887023270174</v>
      </c>
      <c r="N322">
        <f xml:space="preserve"> [1]Coibion_update!AB328</f>
        <v>0</v>
      </c>
      <c r="O322">
        <f xml:space="preserve"> [1]Coibion_update!AC328</f>
        <v>-4.5701071999999998</v>
      </c>
      <c r="P322">
        <f xml:space="preserve"> [1]Coibion_update!AD328</f>
        <v>-3.303477499999997</v>
      </c>
      <c r="U322">
        <f xml:space="preserve"> [1]Gertler_Karadi!E76</f>
        <v>-2.6882E-3</v>
      </c>
      <c r="V322">
        <f xml:space="preserve"> [1]Gertler_Karadi!F76</f>
        <v>7.5269000000000004E-3</v>
      </c>
      <c r="W322">
        <f xml:space="preserve"> [1]Gertler_Karadi!G76</f>
        <v>-8.0650000000000003E-4</v>
      </c>
      <c r="X322" s="5">
        <f xml:space="preserve"> [1]misc!N405</f>
        <v>8.07</v>
      </c>
      <c r="Y322">
        <f xml:space="preserve"> [1]Gilchrist_Zak!C154</f>
        <v>0.25190000000000001</v>
      </c>
      <c r="Z322">
        <f xml:space="preserve"> [1]Sims_Zha!B325</f>
        <v>0.75995999999999997</v>
      </c>
      <c r="AA322">
        <f xml:space="preserve"> [1]Coibion_update!AI328</f>
        <v>0</v>
      </c>
      <c r="AB322">
        <f t="shared" si="21"/>
        <v>-0.84712940000000014</v>
      </c>
      <c r="AC322">
        <v>0</v>
      </c>
      <c r="AG322">
        <v>0.02</v>
      </c>
      <c r="AJ322">
        <v>0</v>
      </c>
      <c r="AK322">
        <v>8.84</v>
      </c>
      <c r="AL322">
        <f xml:space="preserve"> LN([1]misc!B341)</f>
        <v>6.4024145854467163</v>
      </c>
      <c r="AM322">
        <f xml:space="preserve"> LN([1]misc!D341)</f>
        <v>7.8066149691266125</v>
      </c>
      <c r="AN322">
        <f xml:space="preserve"> LN([1]misc!G446)</f>
        <v>3.2190358120695661</v>
      </c>
      <c r="AO322">
        <f xml:space="preserve"> LN([1]misc!J352 + [1]misc!L352)</f>
        <v>3.3809266448197959</v>
      </c>
      <c r="AP322">
        <f xml:space="preserve"> [1]Factors!B322</f>
        <v>-1.16356412E-2</v>
      </c>
      <c r="AQ322">
        <f xml:space="preserve"> [1]Factors!C322</f>
        <v>-0.20235447100000001</v>
      </c>
      <c r="AR322">
        <f xml:space="preserve"> [1]Factors!D322</f>
        <v>-2.0714863E-2</v>
      </c>
      <c r="AS322">
        <f xml:space="preserve"> [1]Factors!E322</f>
        <v>-4.16051437E-3</v>
      </c>
      <c r="AT322">
        <f xml:space="preserve"> [1]Factors!F322</f>
        <v>-0.134078117</v>
      </c>
    </row>
    <row r="323" spans="1:46" x14ac:dyDescent="0.25">
      <c r="A323">
        <f t="shared" si="20"/>
        <v>1985.7499999999811</v>
      </c>
      <c r="B323" s="1">
        <v>31321</v>
      </c>
      <c r="C323" s="7">
        <f t="shared" ref="C323:C386" si="22">YEAR(B323)</f>
        <v>1985</v>
      </c>
      <c r="D323" s="7">
        <f t="shared" ref="D323:D386" si="23">MONTH(B323)</f>
        <v>10</v>
      </c>
      <c r="E323" s="7">
        <f t="shared" ref="E323:E386" si="24">ROUNDUP(D323/3,0)</f>
        <v>4</v>
      </c>
      <c r="F323">
        <f xml:space="preserve"> [1]Coibion_update!O329</f>
        <v>4.0340282262140459</v>
      </c>
      <c r="G323">
        <f xml:space="preserve"> [1]Coibion_update!P329</f>
        <v>7.1</v>
      </c>
      <c r="H323">
        <f xml:space="preserve"> [1]Coibion_update!Q329</f>
        <v>4.6867501729805143</v>
      </c>
      <c r="I323">
        <f xml:space="preserve"> [1]Coibion_update!W329</f>
        <v>7.99</v>
      </c>
      <c r="J323">
        <f xml:space="preserve"> [1]Coibion_update!X329</f>
        <v>5.4363822175039322</v>
      </c>
      <c r="K323">
        <f xml:space="preserve"> [1]Coibion_update!Y329</f>
        <v>3.4614768458793432</v>
      </c>
      <c r="L323">
        <f xml:space="preserve"> [1]Coibion_update!Z329</f>
        <v>4.0633009915906388</v>
      </c>
      <c r="M323">
        <f xml:space="preserve"> [1]Coibion_update!AA329</f>
        <v>3.9257878340038594</v>
      </c>
      <c r="N323">
        <f xml:space="preserve"> [1]Coibion_update!AB329</f>
        <v>0.10639609999999999</v>
      </c>
      <c r="O323">
        <f xml:space="preserve"> [1]Coibion_update!AC329</f>
        <v>-4.4637110999999994</v>
      </c>
      <c r="P323">
        <f xml:space="preserve"> [1]Coibion_update!AD329</f>
        <v>-3.199549299999997</v>
      </c>
      <c r="U323">
        <f xml:space="preserve"> [1]Gertler_Karadi!E77</f>
        <v>-6.3441000000000001E-3</v>
      </c>
      <c r="V323">
        <f xml:space="preserve"> [1]Gertler_Karadi!F77</f>
        <v>6.6667000000000002E-3</v>
      </c>
      <c r="W323">
        <f xml:space="preserve"> [1]Gertler_Karadi!G77</f>
        <v>1.46774E-2</v>
      </c>
      <c r="X323" s="5">
        <f xml:space="preserve"> [1]misc!N406</f>
        <v>8.01</v>
      </c>
      <c r="Y323">
        <f xml:space="preserve"> [1]Gilchrist_Zak!C155</f>
        <v>0.2964</v>
      </c>
      <c r="Z323">
        <f xml:space="preserve"> [1]Sims_Zha!B326</f>
        <v>0.50536999999999999</v>
      </c>
      <c r="AA323">
        <f xml:space="preserve"> [1]Coibion_update!AI329</f>
        <v>0.1694735</v>
      </c>
      <c r="AB323">
        <f t="shared" si="21"/>
        <v>-0.6776559000000002</v>
      </c>
      <c r="AC323">
        <v>0.1694735</v>
      </c>
      <c r="AG323">
        <v>-0.01</v>
      </c>
      <c r="AJ323">
        <v>4.1059E-3</v>
      </c>
      <c r="AK323">
        <v>8.08</v>
      </c>
      <c r="AL323">
        <f xml:space="preserve"> LN([1]misc!B342)</f>
        <v>6.4098458804826928</v>
      </c>
      <c r="AM323">
        <f xml:space="preserve"> LN([1]misc!D342)</f>
        <v>7.8113659576989178</v>
      </c>
      <c r="AN323">
        <f xml:space="preserve"> LN([1]misc!G447)</f>
        <v>3.2354969258844366</v>
      </c>
      <c r="AO323">
        <f xml:space="preserve"> LN([1]misc!J353 + [1]misc!L353)</f>
        <v>3.3989281422181121</v>
      </c>
      <c r="AP323">
        <f xml:space="preserve"> [1]Factors!B323</f>
        <v>-9.5997057899999995E-3</v>
      </c>
      <c r="AQ323">
        <f xml:space="preserve"> [1]Factors!C323</f>
        <v>-0.22277722</v>
      </c>
      <c r="AR323">
        <f xml:space="preserve"> [1]Factors!D323</f>
        <v>-1.8198740200000001E-2</v>
      </c>
      <c r="AS323">
        <f xml:space="preserve"> [1]Factors!E323</f>
        <v>-3.0656112999999999E-2</v>
      </c>
      <c r="AT323">
        <f xml:space="preserve"> [1]Factors!F323</f>
        <v>-0.13950833100000001</v>
      </c>
    </row>
    <row r="324" spans="1:46" x14ac:dyDescent="0.25">
      <c r="A324">
        <f t="shared" si="20"/>
        <v>1985.8333333333144</v>
      </c>
      <c r="B324" s="1">
        <v>31352</v>
      </c>
      <c r="C324" s="7">
        <f t="shared" si="22"/>
        <v>1985</v>
      </c>
      <c r="D324" s="7">
        <f t="shared" si="23"/>
        <v>11</v>
      </c>
      <c r="E324" s="7">
        <f t="shared" si="24"/>
        <v>4</v>
      </c>
      <c r="F324">
        <f xml:space="preserve"> [1]Coibion_update!O330</f>
        <v>4.0374937481273232</v>
      </c>
      <c r="G324">
        <f xml:space="preserve"> [1]Coibion_update!P330</f>
        <v>7</v>
      </c>
      <c r="H324">
        <f xml:space="preserve"> [1]Coibion_update!Q330</f>
        <v>4.6913478822291435</v>
      </c>
      <c r="I324">
        <f xml:space="preserve"> [1]Coibion_update!W330</f>
        <v>8.0500000000000007</v>
      </c>
      <c r="J324">
        <f xml:space="preserve"> [1]Coibion_update!X330</f>
        <v>5.4510384535657002</v>
      </c>
      <c r="K324">
        <f xml:space="preserve"> [1]Coibion_update!Y330</f>
        <v>3.4648917966423425</v>
      </c>
      <c r="L324">
        <f xml:space="preserve"> [1]Coibion_update!Z330</f>
        <v>4.0706323022623492</v>
      </c>
      <c r="M324">
        <f xml:space="preserve"> [1]Coibion_update!AA330</f>
        <v>3.9262020066014158</v>
      </c>
      <c r="N324">
        <f xml:space="preserve"> [1]Coibion_update!AB330</f>
        <v>1.9512700000000001E-2</v>
      </c>
      <c r="O324">
        <f xml:space="preserve"> [1]Coibion_update!AC330</f>
        <v>-4.4441983999999994</v>
      </c>
      <c r="P324">
        <f xml:space="preserve"> [1]Coibion_update!AD330</f>
        <v>-3.177981999999997</v>
      </c>
      <c r="U324">
        <f xml:space="preserve"> [1]Gertler_Karadi!E78</f>
        <v>8.0107000000000008E-3</v>
      </c>
      <c r="V324">
        <f xml:space="preserve"> [1]Gertler_Karadi!F78</f>
        <v>8.3333000000000001E-3</v>
      </c>
      <c r="W324">
        <f xml:space="preserve"> [1]Gertler_Karadi!G78</f>
        <v>3.2259999999999998E-4</v>
      </c>
      <c r="X324" s="5">
        <f xml:space="preserve"> [1]misc!N407</f>
        <v>7.88</v>
      </c>
      <c r="Y324">
        <f xml:space="preserve"> [1]Gilchrist_Zak!C156</f>
        <v>0.29049999999999998</v>
      </c>
      <c r="Z324">
        <f xml:space="preserve"> [1]Sims_Zha!B327</f>
        <v>0.74314999999999998</v>
      </c>
      <c r="AA324">
        <f xml:space="preserve"> [1]Coibion_update!AI330</f>
        <v>0.1150684</v>
      </c>
      <c r="AB324">
        <f t="shared" si="21"/>
        <v>-0.56258750000000024</v>
      </c>
      <c r="AC324">
        <v>0.1150684</v>
      </c>
      <c r="AG324">
        <v>0.01</v>
      </c>
      <c r="AJ324">
        <v>3.9033499999999999E-2</v>
      </c>
      <c r="AK324">
        <v>8.5399999999999991</v>
      </c>
      <c r="AL324">
        <f xml:space="preserve"> LN([1]misc!B343)</f>
        <v>6.4170590265113123</v>
      </c>
      <c r="AM324">
        <f xml:space="preserve"> LN([1]misc!D343)</f>
        <v>7.8152877691823921</v>
      </c>
      <c r="AN324">
        <f xml:space="preserve"> LN([1]misc!G448)</f>
        <v>3.2722270003651954</v>
      </c>
      <c r="AO324">
        <f xml:space="preserve"> LN([1]misc!J354 + [1]misc!L354)</f>
        <v>3.391349045607341</v>
      </c>
      <c r="AP324">
        <f xml:space="preserve"> [1]Factors!B324</f>
        <v>0.121461667</v>
      </c>
      <c r="AQ324">
        <f xml:space="preserve"> [1]Factors!C324</f>
        <v>1.4912860599999999E-2</v>
      </c>
      <c r="AR324">
        <f xml:space="preserve"> [1]Factors!D324</f>
        <v>-3.69497108E-2</v>
      </c>
      <c r="AS324">
        <f xml:space="preserve"> [1]Factors!E324</f>
        <v>0.166388959</v>
      </c>
      <c r="AT324">
        <f xml:space="preserve"> [1]Factors!F324</f>
        <v>0.168298908</v>
      </c>
    </row>
    <row r="325" spans="1:46" x14ac:dyDescent="0.25">
      <c r="A325">
        <f t="shared" si="20"/>
        <v>1985.9166666666476</v>
      </c>
      <c r="B325" s="1">
        <v>31382</v>
      </c>
      <c r="C325" s="7">
        <f t="shared" si="22"/>
        <v>1985</v>
      </c>
      <c r="D325" s="7">
        <f t="shared" si="23"/>
        <v>12</v>
      </c>
      <c r="E325" s="7">
        <f t="shared" si="24"/>
        <v>4</v>
      </c>
      <c r="F325">
        <f xml:space="preserve"> [1]Coibion_update!O331</f>
        <v>4.0477420034980813</v>
      </c>
      <c r="G325">
        <f xml:space="preserve"> [1]Coibion_update!P331</f>
        <v>7</v>
      </c>
      <c r="H325">
        <f xml:space="preserve"> [1]Coibion_update!Q331</f>
        <v>4.6959245492565556</v>
      </c>
      <c r="I325">
        <f xml:space="preserve"> [1]Coibion_update!W331</f>
        <v>8.27</v>
      </c>
      <c r="J325">
        <f xml:space="preserve"> [1]Coibion_update!X331</f>
        <v>5.4549791765614133</v>
      </c>
      <c r="K325">
        <f xml:space="preserve"> [1]Coibion_update!Y331</f>
        <v>3.4922561126091218</v>
      </c>
      <c r="L325">
        <f xml:space="preserve"> [1]Coibion_update!Z331</f>
        <v>4.0708200171751434</v>
      </c>
      <c r="M325">
        <f xml:space="preserve"> [1]Coibion_update!AA331</f>
        <v>3.938353300674176</v>
      </c>
      <c r="N325">
        <f xml:space="preserve"> [1]Coibion_update!AB331</f>
        <v>-5.26709E-2</v>
      </c>
      <c r="O325">
        <f xml:space="preserve"> [1]Coibion_update!AC331</f>
        <v>-4.4968692999999993</v>
      </c>
      <c r="P325">
        <f xml:space="preserve"> [1]Coibion_update!AD331</f>
        <v>-3.2453457999999968</v>
      </c>
      <c r="U325">
        <f xml:space="preserve"> [1]Gertler_Karadi!E79</f>
        <v>-2.8495E-3</v>
      </c>
      <c r="V325">
        <f xml:space="preserve"> [1]Gertler_Karadi!F79</f>
        <v>1.6666999999999999E-3</v>
      </c>
      <c r="W325">
        <f xml:space="preserve"> [1]Gertler_Karadi!G79</f>
        <v>0</v>
      </c>
      <c r="X325" s="5">
        <f xml:space="preserve"> [1]misc!N408</f>
        <v>7.67</v>
      </c>
      <c r="Y325">
        <f xml:space="preserve"> [1]Gilchrist_Zak!C157</f>
        <v>3.3000000000000002E-2</v>
      </c>
      <c r="Z325">
        <f xml:space="preserve"> [1]Sims_Zha!B328</f>
        <v>1.1774</v>
      </c>
      <c r="AA325">
        <f xml:space="preserve"> [1]Coibion_update!AI331</f>
        <v>-6.6897899999999996E-2</v>
      </c>
      <c r="AB325">
        <f t="shared" si="21"/>
        <v>-0.62948540000000019</v>
      </c>
      <c r="AC325">
        <v>-6.6897899999999996E-2</v>
      </c>
      <c r="AG325">
        <v>-0.01</v>
      </c>
      <c r="AJ325">
        <v>8.6619999999999996E-3</v>
      </c>
      <c r="AK325">
        <v>13.46</v>
      </c>
      <c r="AL325">
        <f xml:space="preserve"> LN([1]misc!B344)</f>
        <v>6.4293968453536481</v>
      </c>
      <c r="AM325">
        <f xml:space="preserve"> LN([1]misc!D344)</f>
        <v>7.8210816213922767</v>
      </c>
      <c r="AN325">
        <f xml:space="preserve"> LN([1]misc!G449)</f>
        <v>3.3171633860521461</v>
      </c>
      <c r="AO325">
        <f xml:space="preserve"> LN([1]misc!J355 + [1]misc!L355)</f>
        <v>3.4258899942525267</v>
      </c>
      <c r="AP325">
        <f xml:space="preserve"> [1]Factors!B325</f>
        <v>-4.72648284E-2</v>
      </c>
      <c r="AQ325">
        <f xml:space="preserve"> [1]Factors!C325</f>
        <v>-4.1660972300000002E-2</v>
      </c>
      <c r="AR325">
        <f xml:space="preserve"> [1]Factors!D325</f>
        <v>-7.13059848E-2</v>
      </c>
      <c r="AS325">
        <f xml:space="preserve"> [1]Factors!E325</f>
        <v>0.36935870700000001</v>
      </c>
      <c r="AT325">
        <f xml:space="preserve"> [1]Factors!F325</f>
        <v>-6.3925233600000006E-2</v>
      </c>
    </row>
    <row r="326" spans="1:46" x14ac:dyDescent="0.25">
      <c r="A326">
        <f t="shared" si="20"/>
        <v>1985.9999999999809</v>
      </c>
      <c r="B326" s="1">
        <v>31413</v>
      </c>
      <c r="C326" s="7">
        <f t="shared" si="22"/>
        <v>1986</v>
      </c>
      <c r="D326" s="7">
        <f t="shared" si="23"/>
        <v>1</v>
      </c>
      <c r="E326" s="7">
        <f t="shared" si="24"/>
        <v>1</v>
      </c>
      <c r="F326">
        <f xml:space="preserve"> [1]Coibion_update!O332</f>
        <v>4.0525672504204548</v>
      </c>
      <c r="G326">
        <f xml:space="preserve"> [1]Coibion_update!P332</f>
        <v>6.7</v>
      </c>
      <c r="H326">
        <f xml:space="preserve"> [1]Coibion_update!Q332</f>
        <v>4.6995708614095761</v>
      </c>
      <c r="I326">
        <f xml:space="preserve"> [1]Coibion_update!W332</f>
        <v>8.14</v>
      </c>
      <c r="J326">
        <f xml:space="preserve"> [1]Coibion_update!X332</f>
        <v>5.4506521128513157</v>
      </c>
      <c r="K326">
        <f xml:space="preserve"> [1]Coibion_update!Y332</f>
        <v>3.5171416908596269</v>
      </c>
      <c r="L326">
        <f xml:space="preserve"> [1]Coibion_update!Z332</f>
        <v>4.0755354412350462</v>
      </c>
      <c r="M326">
        <f xml:space="preserve"> [1]Coibion_update!AA332</f>
        <v>3.9315510852356912</v>
      </c>
      <c r="N326">
        <f xml:space="preserve"> [1]Coibion_update!AB332</f>
        <v>0</v>
      </c>
      <c r="O326">
        <f xml:space="preserve"> [1]Coibion_update!AC332</f>
        <v>-4.4968692999999993</v>
      </c>
      <c r="P326">
        <f xml:space="preserve"> [1]Coibion_update!AD332</f>
        <v>-3.2453457999999968</v>
      </c>
      <c r="U326">
        <f xml:space="preserve"> [1]Gertler_Karadi!E80</f>
        <v>-5.4838999999999999E-3</v>
      </c>
      <c r="V326">
        <f xml:space="preserve"> [1]Gertler_Karadi!F80</f>
        <v>0</v>
      </c>
      <c r="W326">
        <f xml:space="preserve"> [1]Gertler_Karadi!G80</f>
        <v>0</v>
      </c>
      <c r="X326" s="5">
        <f xml:space="preserve"> [1]misc!N409</f>
        <v>7.73</v>
      </c>
      <c r="Y326">
        <f xml:space="preserve"> [1]Gilchrist_Zak!C158</f>
        <v>0.33939999999999998</v>
      </c>
      <c r="Z326">
        <f xml:space="preserve"> [1]Sims_Zha!B329</f>
        <v>-0.48620999999999998</v>
      </c>
      <c r="AA326">
        <f xml:space="preserve"> [1]Coibion_update!AI332</f>
        <v>0</v>
      </c>
      <c r="AB326">
        <f t="shared" si="21"/>
        <v>-0.62948540000000019</v>
      </c>
      <c r="AC326">
        <v>0</v>
      </c>
      <c r="AG326">
        <v>0</v>
      </c>
      <c r="AJ326">
        <v>0</v>
      </c>
      <c r="AK326">
        <v>8.09</v>
      </c>
      <c r="AL326">
        <f xml:space="preserve"> LN([1]misc!B345)</f>
        <v>6.4319749969589468</v>
      </c>
      <c r="AM326">
        <f xml:space="preserve"> LN([1]misc!D345)</f>
        <v>7.8251254280758564</v>
      </c>
      <c r="AN326">
        <f xml:space="preserve"> LN([1]misc!G450)</f>
        <v>3.2709747946121812</v>
      </c>
      <c r="AO326">
        <f xml:space="preserve"> LN([1]misc!J356 + [1]misc!L356)</f>
        <v>3.4433305162624714</v>
      </c>
      <c r="AP326">
        <f xml:space="preserve"> [1]Factors!B326</f>
        <v>-7.8384736400000002E-2</v>
      </c>
      <c r="AQ326">
        <f xml:space="preserve"> [1]Factors!C326</f>
        <v>-9.2025576100000006E-2</v>
      </c>
      <c r="AR326">
        <f xml:space="preserve"> [1]Factors!D326</f>
        <v>-0.21933096799999999</v>
      </c>
      <c r="AS326">
        <f xml:space="preserve"> [1]Factors!E326</f>
        <v>0.298699504</v>
      </c>
      <c r="AT326">
        <f xml:space="preserve"> [1]Factors!F326</f>
        <v>-0.18727122099999999</v>
      </c>
    </row>
    <row r="327" spans="1:46" x14ac:dyDescent="0.25">
      <c r="A327">
        <f t="shared" si="20"/>
        <v>1986.0833333333142</v>
      </c>
      <c r="B327" s="1">
        <v>31444</v>
      </c>
      <c r="C327" s="7">
        <f t="shared" si="22"/>
        <v>1986</v>
      </c>
      <c r="D327" s="7">
        <f t="shared" si="23"/>
        <v>2</v>
      </c>
      <c r="E327" s="7">
        <f t="shared" si="24"/>
        <v>1</v>
      </c>
      <c r="F327">
        <f xml:space="preserve"> [1]Coibion_update!O333</f>
        <v>4.0456531431772085</v>
      </c>
      <c r="G327">
        <f xml:space="preserve"> [1]Coibion_update!P333</f>
        <v>7.2</v>
      </c>
      <c r="H327">
        <f xml:space="preserve"> [1]Coibion_update!Q333</f>
        <v>4.697749367281185</v>
      </c>
      <c r="I327">
        <f xml:space="preserve"> [1]Coibion_update!W333</f>
        <v>7.86</v>
      </c>
      <c r="J327">
        <f xml:space="preserve"> [1]Coibion_update!X333</f>
        <v>5.427941134341542</v>
      </c>
      <c r="K327">
        <f xml:space="preserve"> [1]Coibion_update!Y333</f>
        <v>3.4880781945731112</v>
      </c>
      <c r="L327">
        <f xml:space="preserve"> [1]Coibion_update!Z333</f>
        <v>4.0746519288763645</v>
      </c>
      <c r="M327">
        <f xml:space="preserve"> [1]Coibion_update!AA333</f>
        <v>3.9345474155068181</v>
      </c>
      <c r="N327">
        <f xml:space="preserve"> [1]Coibion_update!AB333</f>
        <v>-9.4936999999999994E-2</v>
      </c>
      <c r="O327">
        <f xml:space="preserve"> [1]Coibion_update!AC333</f>
        <v>-4.5918062999999991</v>
      </c>
      <c r="P327">
        <f xml:space="preserve"> [1]Coibion_update!AD333</f>
        <v>-3.352993799999997</v>
      </c>
      <c r="U327">
        <f xml:space="preserve"> [1]Gertler_Karadi!E81</f>
        <v>5.7143000000000003E-3</v>
      </c>
      <c r="V327">
        <f xml:space="preserve"> [1]Gertler_Karadi!F81</f>
        <v>5.7143000000000003E-3</v>
      </c>
      <c r="W327">
        <f xml:space="preserve"> [1]Gertler_Karadi!G81</f>
        <v>-5.7143000000000003E-3</v>
      </c>
      <c r="X327" s="5">
        <f xml:space="preserve"> [1]misc!N410</f>
        <v>7.61</v>
      </c>
      <c r="Y327">
        <f xml:space="preserve"> [1]Gilchrist_Zak!C159</f>
        <v>-0.28549999999999998</v>
      </c>
      <c r="Z327">
        <f xml:space="preserve"> [1]Sims_Zha!B330</f>
        <v>-2.0589</v>
      </c>
      <c r="AA327">
        <f xml:space="preserve"> [1]Coibion_update!AI333</f>
        <v>-6.7623799999999998E-2</v>
      </c>
      <c r="AB327">
        <f t="shared" si="21"/>
        <v>-0.69710920000000021</v>
      </c>
      <c r="AC327">
        <v>-6.7623799999999998E-2</v>
      </c>
      <c r="AG327">
        <v>0.01</v>
      </c>
      <c r="AJ327">
        <v>1.4806700000000001E-2</v>
      </c>
      <c r="AK327">
        <v>7.95</v>
      </c>
      <c r="AL327">
        <f xml:space="preserve"> LN([1]misc!B346)</f>
        <v>6.4380715985473218</v>
      </c>
      <c r="AM327">
        <f xml:space="preserve"> LN([1]misc!D346)</f>
        <v>7.8293916971810447</v>
      </c>
      <c r="AN327">
        <f xml:space="preserve"> LN([1]misc!G451)</f>
        <v>3.2052635974483388</v>
      </c>
      <c r="AO327">
        <f xml:space="preserve"> LN([1]misc!J357 + [1]misc!L357)</f>
        <v>3.4425632282680518</v>
      </c>
      <c r="AP327">
        <f xml:space="preserve"> [1]Factors!B327</f>
        <v>-9.3599387800000003E-2</v>
      </c>
      <c r="AQ327">
        <f xml:space="preserve"> [1]Factors!C327</f>
        <v>-9.3102861100000003E-2</v>
      </c>
      <c r="AR327">
        <f xml:space="preserve"> [1]Factors!D327</f>
        <v>-0.12489800700000001</v>
      </c>
      <c r="AS327">
        <f xml:space="preserve"> [1]Factors!E327</f>
        <v>4.5350416900000003E-2</v>
      </c>
      <c r="AT327">
        <f xml:space="preserve"> [1]Factors!F327</f>
        <v>-0.20683885900000001</v>
      </c>
    </row>
    <row r="328" spans="1:46" x14ac:dyDescent="0.25">
      <c r="A328">
        <f t="shared" si="20"/>
        <v>1986.1666666666474</v>
      </c>
      <c r="B328" s="1">
        <v>31472</v>
      </c>
      <c r="C328" s="7">
        <f t="shared" si="22"/>
        <v>1986</v>
      </c>
      <c r="D328" s="7">
        <f t="shared" si="23"/>
        <v>3</v>
      </c>
      <c r="E328" s="7">
        <f t="shared" si="24"/>
        <v>1</v>
      </c>
      <c r="F328">
        <f xml:space="preserve"> [1]Coibion_update!O334</f>
        <v>4.0390168246125828</v>
      </c>
      <c r="G328">
        <f xml:space="preserve"> [1]Coibion_update!P334</f>
        <v>7.2</v>
      </c>
      <c r="H328">
        <f xml:space="preserve"> [1]Coibion_update!Q334</f>
        <v>4.6922648928390247</v>
      </c>
      <c r="I328">
        <f xml:space="preserve"> [1]Coibion_update!W334</f>
        <v>7.48</v>
      </c>
      <c r="J328">
        <f xml:space="preserve"> [1]Coibion_update!X334</f>
        <v>5.3818309667758539</v>
      </c>
      <c r="K328">
        <f xml:space="preserve"> [1]Coibion_update!Y334</f>
        <v>3.4738590703567422</v>
      </c>
      <c r="L328">
        <f xml:space="preserve"> [1]Coibion_update!Z334</f>
        <v>4.0922757570529891</v>
      </c>
      <c r="M328">
        <f xml:space="preserve"> [1]Coibion_update!AA334</f>
        <v>3.9354465203717344</v>
      </c>
      <c r="N328">
        <f xml:space="preserve"> [1]Coibion_update!AB334</f>
        <v>0</v>
      </c>
      <c r="O328">
        <f xml:space="preserve"> [1]Coibion_update!AC334</f>
        <v>-4.5918062999999991</v>
      </c>
      <c r="P328">
        <f xml:space="preserve"> [1]Coibion_update!AD334</f>
        <v>-3.352993799999997</v>
      </c>
      <c r="U328">
        <f xml:space="preserve"> [1]Gertler_Karadi!E82</f>
        <v>2.0414700000000001E-2</v>
      </c>
      <c r="V328">
        <f xml:space="preserve"> [1]Gertler_Karadi!F82</f>
        <v>2.0414700000000001E-2</v>
      </c>
      <c r="W328">
        <f xml:space="preserve"> [1]Gertler_Karadi!G82</f>
        <v>3.6036899999999997E-2</v>
      </c>
      <c r="X328" s="5">
        <f xml:space="preserve"> [1]misc!N411</f>
        <v>7.03</v>
      </c>
      <c r="Y328">
        <f xml:space="preserve"> [1]Gilchrist_Zak!C160</f>
        <v>0.58740000000000003</v>
      </c>
      <c r="Z328">
        <f xml:space="preserve"> [1]Sims_Zha!B331</f>
        <v>-1.7481</v>
      </c>
      <c r="AA328">
        <f xml:space="preserve"> [1]Coibion_update!AI334</f>
        <v>0</v>
      </c>
      <c r="AB328">
        <f t="shared" si="21"/>
        <v>-0.69710920000000021</v>
      </c>
      <c r="AC328">
        <v>0</v>
      </c>
      <c r="AG328">
        <v>0.02</v>
      </c>
      <c r="AJ328">
        <v>0</v>
      </c>
      <c r="AK328">
        <v>8.06</v>
      </c>
      <c r="AL328">
        <f xml:space="preserve"> LN([1]misc!B347)</f>
        <v>6.4512599997611941</v>
      </c>
      <c r="AM328">
        <f xml:space="preserve"> LN([1]misc!D347)</f>
        <v>7.8374359639750519</v>
      </c>
      <c r="AN328">
        <f xml:space="preserve"> LN([1]misc!G452)</f>
        <v>3.2998657760725871</v>
      </c>
      <c r="AO328">
        <f xml:space="preserve"> LN([1]misc!J358 + [1]misc!L358)</f>
        <v>3.4609745856980161</v>
      </c>
      <c r="AP328">
        <f xml:space="preserve"> [1]Factors!B328</f>
        <v>0.45559239200000001</v>
      </c>
      <c r="AQ328">
        <f xml:space="preserve"> [1]Factors!C328</f>
        <v>-0.44478177099999999</v>
      </c>
      <c r="AR328">
        <f xml:space="preserve"> [1]Factors!D328</f>
        <v>-0.47902254300000002</v>
      </c>
      <c r="AS328">
        <f xml:space="preserve"> [1]Factors!E328</f>
        <v>-0.135792888</v>
      </c>
      <c r="AT328">
        <f xml:space="preserve"> [1]Factors!F328</f>
        <v>3.3263151599999999E-2</v>
      </c>
    </row>
    <row r="329" spans="1:46" x14ac:dyDescent="0.25">
      <c r="A329">
        <f t="shared" si="20"/>
        <v>1986.2499999999807</v>
      </c>
      <c r="B329" s="1">
        <v>31503</v>
      </c>
      <c r="C329" s="7">
        <f t="shared" si="22"/>
        <v>1986</v>
      </c>
      <c r="D329" s="7">
        <f t="shared" si="23"/>
        <v>4</v>
      </c>
      <c r="E329" s="7">
        <f t="shared" si="24"/>
        <v>2</v>
      </c>
      <c r="F329">
        <f xml:space="preserve"> [1]Coibion_update!O335</f>
        <v>4.0396313916307349</v>
      </c>
      <c r="G329">
        <f xml:space="preserve"> [1]Coibion_update!P335</f>
        <v>7.1</v>
      </c>
      <c r="H329">
        <f xml:space="preserve"> [1]Coibion_update!Q335</f>
        <v>4.6885917941271638</v>
      </c>
      <c r="I329">
        <f xml:space="preserve"> [1]Coibion_update!W335</f>
        <v>6.99</v>
      </c>
      <c r="J329">
        <f xml:space="preserve"> [1]Coibion_update!X335</f>
        <v>5.3650877701818889</v>
      </c>
      <c r="K329">
        <f xml:space="preserve"> [1]Coibion_update!Y335</f>
        <v>3.5234740096962947</v>
      </c>
      <c r="L329">
        <f xml:space="preserve"> [1]Coibion_update!Z335</f>
        <v>4.0843447301437674</v>
      </c>
      <c r="M329">
        <f xml:space="preserve"> [1]Coibion_update!AA335</f>
        <v>3.9380805397474359</v>
      </c>
      <c r="N329">
        <f xml:space="preserve"> [1]Coibion_update!AB335</f>
        <v>0.1915616</v>
      </c>
      <c r="O329">
        <f xml:space="preserve"> [1]Coibion_update!AC335</f>
        <v>-4.4002446999999991</v>
      </c>
      <c r="P329">
        <f xml:space="preserve"> [1]Coibion_update!AD335</f>
        <v>-3.1458882999999971</v>
      </c>
      <c r="U329">
        <f xml:space="preserve"> [1]Gertler_Karadi!E83</f>
        <v>-2.4623000000000002E-3</v>
      </c>
      <c r="V329">
        <f xml:space="preserve"> [1]Gertler_Karadi!F83</f>
        <v>2.1204299999999999E-2</v>
      </c>
      <c r="W329">
        <f xml:space="preserve"> [1]Gertler_Karadi!G83</f>
        <v>2.7010699999999999E-2</v>
      </c>
      <c r="X329" s="5">
        <f xml:space="preserve"> [1]misc!N412</f>
        <v>6.44</v>
      </c>
      <c r="Y329">
        <f xml:space="preserve"> [1]Gilchrist_Zak!C161</f>
        <v>0.54610000000000003</v>
      </c>
      <c r="Z329">
        <f xml:space="preserve"> [1]Sims_Zha!B332</f>
        <v>-1.4565999999999999</v>
      </c>
      <c r="AA329">
        <f xml:space="preserve"> [1]Coibion_update!AI335</f>
        <v>9.0848700000000004E-2</v>
      </c>
      <c r="AB329">
        <f t="shared" si="21"/>
        <v>-0.6062605000000002</v>
      </c>
      <c r="AC329">
        <v>9.0848700000000004E-2</v>
      </c>
      <c r="AG329">
        <v>0.01</v>
      </c>
      <c r="AJ329">
        <v>-9.7906E-3</v>
      </c>
      <c r="AK329">
        <v>7.05</v>
      </c>
      <c r="AL329">
        <f xml:space="preserve"> LN([1]misc!B348)</f>
        <v>6.4630294569206699</v>
      </c>
      <c r="AM329">
        <f xml:space="preserve"> LN([1]misc!D348)</f>
        <v>7.8471373420796899</v>
      </c>
      <c r="AN329">
        <f xml:space="preserve"> LN([1]misc!G453)</f>
        <v>3.3633916669262565</v>
      </c>
      <c r="AO329">
        <f xml:space="preserve"> LN([1]misc!J359 + [1]misc!L359)</f>
        <v>3.473797074076499</v>
      </c>
      <c r="AP329">
        <f xml:space="preserve"> [1]Factors!B329</f>
        <v>0.39520799400000001</v>
      </c>
      <c r="AQ329">
        <f xml:space="preserve"> [1]Factors!C329</f>
        <v>-0.64902673200000005</v>
      </c>
      <c r="AR329">
        <f xml:space="preserve"> [1]Factors!D329</f>
        <v>-0.80134647299999995</v>
      </c>
      <c r="AS329">
        <f xml:space="preserve"> [1]Factors!E329</f>
        <v>1.9507542700000002E-2</v>
      </c>
      <c r="AT329">
        <f xml:space="preserve"> [1]Factors!F329</f>
        <v>-1.53148387E-2</v>
      </c>
    </row>
    <row r="330" spans="1:46" x14ac:dyDescent="0.25">
      <c r="A330">
        <f t="shared" si="20"/>
        <v>1986.3333333333139</v>
      </c>
      <c r="B330" s="1">
        <v>31533</v>
      </c>
      <c r="C330" s="7">
        <f t="shared" si="22"/>
        <v>1986</v>
      </c>
      <c r="D330" s="7">
        <f t="shared" si="23"/>
        <v>5</v>
      </c>
      <c r="E330" s="7">
        <f t="shared" si="24"/>
        <v>2</v>
      </c>
      <c r="F330">
        <f xml:space="preserve"> [1]Coibion_update!O336</f>
        <v>4.0413779387754873</v>
      </c>
      <c r="G330">
        <f xml:space="preserve"> [1]Coibion_update!P336</f>
        <v>7.2</v>
      </c>
      <c r="H330">
        <f xml:space="preserve"> [1]Coibion_update!Q336</f>
        <v>4.6913478822291435</v>
      </c>
      <c r="I330">
        <f xml:space="preserve"> [1]Coibion_update!W336</f>
        <v>6.85</v>
      </c>
      <c r="J330">
        <f xml:space="preserve"> [1]Coibion_update!X336</f>
        <v>5.3732392930652964</v>
      </c>
      <c r="K330">
        <f xml:space="preserve"> [1]Coibion_update!Y336</f>
        <v>3.5447781101396796</v>
      </c>
      <c r="L330">
        <f xml:space="preserve"> [1]Coibion_update!Z336</f>
        <v>4.0917077555675965</v>
      </c>
      <c r="M330">
        <f xml:space="preserve"> [1]Coibion_update!AA336</f>
        <v>3.9400077539629095</v>
      </c>
      <c r="N330">
        <f xml:space="preserve"> [1]Coibion_update!AB336</f>
        <v>8.5461599999999999E-2</v>
      </c>
      <c r="O330">
        <f xml:space="preserve"> [1]Coibion_update!AC336</f>
        <v>-4.3147830999999988</v>
      </c>
      <c r="P330">
        <f xml:space="preserve"> [1]Coibion_update!AD336</f>
        <v>-3.0706766999999973</v>
      </c>
      <c r="U330">
        <f xml:space="preserve"> [1]Gertler_Karadi!E84</f>
        <v>9.2365999999999993E-3</v>
      </c>
      <c r="V330">
        <f xml:space="preserve"> [1]Gertler_Karadi!F84</f>
        <v>2.2666700000000001E-2</v>
      </c>
      <c r="W330">
        <f xml:space="preserve"> [1]Gertler_Karadi!G84</f>
        <v>2.6214999999999999E-2</v>
      </c>
      <c r="X330" s="5">
        <f xml:space="preserve"> [1]misc!N413</f>
        <v>6.65</v>
      </c>
      <c r="Y330">
        <f xml:space="preserve"> [1]Gilchrist_Zak!C162</f>
        <v>2.8500000000000001E-2</v>
      </c>
      <c r="Z330">
        <f xml:space="preserve"> [1]Sims_Zha!B333</f>
        <v>0.67913000000000001</v>
      </c>
      <c r="AA330">
        <f xml:space="preserve"> [1]Coibion_update!AI336</f>
        <v>0.1492964</v>
      </c>
      <c r="AB330">
        <f t="shared" si="21"/>
        <v>-0.45696410000000021</v>
      </c>
      <c r="AC330">
        <v>0.1492964</v>
      </c>
      <c r="AG330">
        <v>-0.02</v>
      </c>
      <c r="AJ330">
        <v>1.1227600000000001E-2</v>
      </c>
      <c r="AK330">
        <v>6.84</v>
      </c>
      <c r="AL330">
        <f xml:space="preserve"> LN([1]misc!B349)</f>
        <v>6.4800445619266531</v>
      </c>
      <c r="AM330">
        <f xml:space="preserve"> LN([1]misc!D349)</f>
        <v>7.857674191836276</v>
      </c>
      <c r="AN330">
        <f xml:space="preserve"> LN([1]misc!G454)</f>
        <v>3.3440272030471196</v>
      </c>
      <c r="AO330">
        <f xml:space="preserve"> LN([1]misc!J360 + [1]misc!L360)</f>
        <v>3.495719372138987</v>
      </c>
      <c r="AP330">
        <f xml:space="preserve"> [1]Factors!B330</f>
        <v>0.21710765300000001</v>
      </c>
      <c r="AQ330">
        <f xml:space="preserve"> [1]Factors!C330</f>
        <v>-0.50261609699999998</v>
      </c>
      <c r="AR330">
        <f xml:space="preserve"> [1]Factors!D330</f>
        <v>-0.57196795099999997</v>
      </c>
      <c r="AS330">
        <f xml:space="preserve"> [1]Factors!E330</f>
        <v>3.9243670900000003E-3</v>
      </c>
      <c r="AT330">
        <f xml:space="preserve"> [1]Factors!F330</f>
        <v>-0.10138707399999999</v>
      </c>
    </row>
    <row r="331" spans="1:46" x14ac:dyDescent="0.25">
      <c r="A331">
        <f t="shared" si="20"/>
        <v>1986.4166666666472</v>
      </c>
      <c r="B331" s="1">
        <v>31564</v>
      </c>
      <c r="C331" s="7">
        <f t="shared" si="22"/>
        <v>1986</v>
      </c>
      <c r="D331" s="7">
        <f t="shared" si="23"/>
        <v>6</v>
      </c>
      <c r="E331" s="7">
        <f t="shared" si="24"/>
        <v>2</v>
      </c>
      <c r="F331">
        <f xml:space="preserve"> [1]Coibion_update!O337</f>
        <v>4.0383965919702263</v>
      </c>
      <c r="G331">
        <f xml:space="preserve"> [1]Coibion_update!P337</f>
        <v>7.2</v>
      </c>
      <c r="H331">
        <f xml:space="preserve"> [1]Coibion_update!Q337</f>
        <v>4.6950108899878806</v>
      </c>
      <c r="I331">
        <f xml:space="preserve"> [1]Coibion_update!W337</f>
        <v>6.92</v>
      </c>
      <c r="J331">
        <f xml:space="preserve"> [1]Coibion_update!X337</f>
        <v>5.3792519840440356</v>
      </c>
      <c r="K331">
        <f xml:space="preserve"> [1]Coibion_update!Y337</f>
        <v>3.5152103565991211</v>
      </c>
      <c r="L331">
        <f xml:space="preserve"> [1]Coibion_update!Z337</f>
        <v>4.0930770926551352</v>
      </c>
      <c r="M331">
        <f xml:space="preserve"> [1]Coibion_update!AA337</f>
        <v>3.9430370589573154</v>
      </c>
      <c r="N331">
        <f xml:space="preserve"> [1]Coibion_update!AB337</f>
        <v>0</v>
      </c>
      <c r="O331">
        <f xml:space="preserve"> [1]Coibion_update!AC337</f>
        <v>-4.3147830999999988</v>
      </c>
      <c r="P331">
        <f xml:space="preserve"> [1]Coibion_update!AD337</f>
        <v>-3.0706766999999973</v>
      </c>
      <c r="U331">
        <f xml:space="preserve"> [1]Gertler_Karadi!E85</f>
        <v>-2.1569899999999999E-2</v>
      </c>
      <c r="V331">
        <f xml:space="preserve"> [1]Gertler_Karadi!F85</f>
        <v>-8.6666999999999994E-3</v>
      </c>
      <c r="W331">
        <f xml:space="preserve"> [1]Gertler_Karadi!G85</f>
        <v>-1.0881699999999999E-2</v>
      </c>
      <c r="X331" s="5">
        <f xml:space="preserve"> [1]misc!N414</f>
        <v>6.73</v>
      </c>
      <c r="Y331">
        <f xml:space="preserve"> [1]Gilchrist_Zak!C163</f>
        <v>2.0199999999999999E-2</v>
      </c>
      <c r="Z331">
        <f xml:space="preserve"> [1]Sims_Zha!B334</f>
        <v>2.0727000000000002</v>
      </c>
      <c r="AA331">
        <f xml:space="preserve"> [1]Coibion_update!AI337</f>
        <v>0</v>
      </c>
      <c r="AB331">
        <f t="shared" si="21"/>
        <v>-0.45696410000000021</v>
      </c>
      <c r="AC331">
        <v>0</v>
      </c>
      <c r="AG331">
        <v>-0.01</v>
      </c>
      <c r="AJ331">
        <v>0</v>
      </c>
      <c r="AK331">
        <v>7.72</v>
      </c>
      <c r="AL331">
        <f xml:space="preserve"> LN([1]misc!B350)</f>
        <v>6.4931485129566893</v>
      </c>
      <c r="AM331">
        <f xml:space="preserve"> LN([1]misc!D350)</f>
        <v>7.8654950087688311</v>
      </c>
      <c r="AN331">
        <f xml:space="preserve"> LN([1]misc!G455)</f>
        <v>3.3835424464234345</v>
      </c>
      <c r="AO331">
        <f xml:space="preserve"> LN([1]misc!J361 + [1]misc!L361)</f>
        <v>3.5167557222964274</v>
      </c>
      <c r="AP331">
        <f xml:space="preserve"> [1]Factors!B331</f>
        <v>-4.3824367900000001E-2</v>
      </c>
      <c r="AQ331">
        <f xml:space="preserve"> [1]Factors!C331</f>
        <v>-1.41079611E-2</v>
      </c>
      <c r="AR331">
        <f xml:space="preserve"> [1]Factors!D331</f>
        <v>7.0477697899999997E-2</v>
      </c>
      <c r="AS331">
        <f xml:space="preserve"> [1]Factors!E331</f>
        <v>-2.85341372E-2</v>
      </c>
      <c r="AT331">
        <f xml:space="preserve"> [1]Factors!F331</f>
        <v>-4.1067299799999998E-2</v>
      </c>
    </row>
    <row r="332" spans="1:46" x14ac:dyDescent="0.25">
      <c r="A332">
        <f t="shared" ref="A332:A395" si="25" xml:space="preserve"> A331 + 1/12</f>
        <v>1986.4999999999804</v>
      </c>
      <c r="B332" s="1">
        <v>31594</v>
      </c>
      <c r="C332" s="7">
        <f t="shared" si="22"/>
        <v>1986</v>
      </c>
      <c r="D332" s="7">
        <f t="shared" si="23"/>
        <v>7</v>
      </c>
      <c r="E332" s="7">
        <f t="shared" si="24"/>
        <v>3</v>
      </c>
      <c r="F332">
        <f xml:space="preserve"> [1]Coibion_update!O338</f>
        <v>4.0435423752917146</v>
      </c>
      <c r="G332">
        <f xml:space="preserve"> [1]Coibion_update!P338</f>
        <v>7</v>
      </c>
      <c r="H332">
        <f xml:space="preserve"> [1]Coibion_update!Q338</f>
        <v>4.6959245492565556</v>
      </c>
      <c r="I332">
        <f xml:space="preserve"> [1]Coibion_update!W338</f>
        <v>6.56</v>
      </c>
      <c r="J332">
        <f xml:space="preserve"> [1]Coibion_update!X338</f>
        <v>5.3963511068194023</v>
      </c>
      <c r="K332">
        <f xml:space="preserve"> [1]Coibion_update!Y338</f>
        <v>3.5427258787024258</v>
      </c>
      <c r="L332">
        <f xml:space="preserve"> [1]Coibion_update!Z338</f>
        <v>4.0937610586836843</v>
      </c>
      <c r="M332">
        <f xml:space="preserve"> [1]Coibion_update!AA338</f>
        <v>3.9474866697037152</v>
      </c>
      <c r="N332">
        <f xml:space="preserve"> [1]Coibion_update!AB338</f>
        <v>-0.18628359999999999</v>
      </c>
      <c r="O332">
        <f xml:space="preserve"> [1]Coibion_update!AC338</f>
        <v>-4.5010666999999991</v>
      </c>
      <c r="P332">
        <f xml:space="preserve"> [1]Coibion_update!AD338</f>
        <v>-3.2408856999999971</v>
      </c>
      <c r="U332">
        <f xml:space="preserve"> [1]Gertler_Karadi!E86</f>
        <v>1.9956999999999999E-2</v>
      </c>
      <c r="V332">
        <f xml:space="preserve"> [1]Gertler_Karadi!F86</f>
        <v>1.9956999999999999E-2</v>
      </c>
      <c r="W332">
        <f xml:space="preserve"> [1]Gertler_Karadi!G86</f>
        <v>1.15269E-2</v>
      </c>
      <c r="X332" s="5">
        <f xml:space="preserve"> [1]misc!N415</f>
        <v>6.27</v>
      </c>
      <c r="Y332">
        <f xml:space="preserve"> [1]Gilchrist_Zak!C164</f>
        <v>0.77549999999999997</v>
      </c>
      <c r="Z332">
        <f xml:space="preserve"> [1]Sims_Zha!B335</f>
        <v>-1.9399</v>
      </c>
      <c r="AA332">
        <f xml:space="preserve"> [1]Coibion_update!AI338</f>
        <v>-0.23301759999999999</v>
      </c>
      <c r="AB332">
        <f t="shared" si="21"/>
        <v>-0.68998170000000014</v>
      </c>
      <c r="AC332">
        <v>-0.23301759999999999</v>
      </c>
      <c r="AG332">
        <v>0.03</v>
      </c>
      <c r="AJ332">
        <v>4.7847399999999998E-2</v>
      </c>
      <c r="AK332">
        <v>6.35</v>
      </c>
      <c r="AL332">
        <f xml:space="preserve"> LN([1]misc!B351)</f>
        <v>6.507725373363912</v>
      </c>
      <c r="AM332">
        <f xml:space="preserve"> LN([1]misc!D351)</f>
        <v>7.8737881027511065</v>
      </c>
      <c r="AN332">
        <f xml:space="preserve"> LN([1]misc!G456)</f>
        <v>3.4097606123226432</v>
      </c>
      <c r="AO332">
        <f xml:space="preserve"> LN([1]misc!J362 + [1]misc!L362)</f>
        <v>3.5349995709512849</v>
      </c>
      <c r="AP332">
        <f xml:space="preserve"> [1]Factors!B332</f>
        <v>0.209006303</v>
      </c>
      <c r="AQ332">
        <f xml:space="preserve"> [1]Factors!C332</f>
        <v>8.4311530499999995E-2</v>
      </c>
      <c r="AR332">
        <f xml:space="preserve"> [1]Factors!D332</f>
        <v>7.40229201E-2</v>
      </c>
      <c r="AS332">
        <f xml:space="preserve"> [1]Factors!E332</f>
        <v>-6.6903820500000002E-2</v>
      </c>
      <c r="AT332">
        <f xml:space="preserve"> [1]Factors!F332</f>
        <v>-0.102795835</v>
      </c>
    </row>
    <row r="333" spans="1:46" x14ac:dyDescent="0.25">
      <c r="A333">
        <f t="shared" si="25"/>
        <v>1986.5833333333137</v>
      </c>
      <c r="B333" s="1">
        <v>31625</v>
      </c>
      <c r="C333" s="7">
        <f t="shared" si="22"/>
        <v>1986</v>
      </c>
      <c r="D333" s="7">
        <f t="shared" si="23"/>
        <v>8</v>
      </c>
      <c r="E333" s="7">
        <f t="shared" si="24"/>
        <v>3</v>
      </c>
      <c r="F333">
        <f xml:space="preserve"> [1]Coibion_update!O339</f>
        <v>4.0424967281409199</v>
      </c>
      <c r="G333">
        <f xml:space="preserve"> [1]Coibion_update!P339</f>
        <v>6.9</v>
      </c>
      <c r="H333">
        <f xml:space="preserve"> [1]Coibion_update!Q339</f>
        <v>4.6968373745139154</v>
      </c>
      <c r="I333">
        <f xml:space="preserve"> [1]Coibion_update!W339</f>
        <v>6.17</v>
      </c>
      <c r="J333">
        <f xml:space="preserve"> [1]Coibion_update!X339</f>
        <v>5.3461070303838847</v>
      </c>
      <c r="K333">
        <f xml:space="preserve"> [1]Coibion_update!Y339</f>
        <v>3.5838244473390741</v>
      </c>
      <c r="L333">
        <f xml:space="preserve"> [1]Coibion_update!Z339</f>
        <v>4.0893320203985564</v>
      </c>
      <c r="M333">
        <f xml:space="preserve"> [1]Coibion_update!AA339</f>
        <v>3.9475638793472378</v>
      </c>
      <c r="N333">
        <f xml:space="preserve"> [1]Coibion_update!AB339</f>
        <v>-0.2269864</v>
      </c>
      <c r="O333">
        <f xml:space="preserve"> [1]Coibion_update!AC339</f>
        <v>-4.7280530999999995</v>
      </c>
      <c r="P333">
        <f xml:space="preserve"> [1]Coibion_update!AD339</f>
        <v>-3.474029099999997</v>
      </c>
      <c r="U333">
        <f xml:space="preserve"> [1]Gertler_Karadi!E87</f>
        <v>-6.7742000000000002E-3</v>
      </c>
      <c r="V333">
        <f xml:space="preserve"> [1]Gertler_Karadi!F87</f>
        <v>-6.7742000000000002E-3</v>
      </c>
      <c r="W333">
        <f xml:space="preserve"> [1]Gertler_Karadi!G87</f>
        <v>-1.35484E-2</v>
      </c>
      <c r="X333" s="5">
        <f xml:space="preserve"> [1]misc!N416</f>
        <v>5.93</v>
      </c>
      <c r="Y333">
        <f xml:space="preserve"> [1]Gilchrist_Zak!C165</f>
        <v>0.71040000000000003</v>
      </c>
      <c r="Z333">
        <f xml:space="preserve"> [1]Sims_Zha!B336</f>
        <v>-2.3090000000000002</v>
      </c>
      <c r="AA333">
        <f xml:space="preserve"> [1]Coibion_update!AI339</f>
        <v>-0.1747003</v>
      </c>
      <c r="AB333">
        <f t="shared" si="21"/>
        <v>-0.86468200000000017</v>
      </c>
      <c r="AC333">
        <v>-0.1747003</v>
      </c>
      <c r="AG333">
        <v>-0.05</v>
      </c>
      <c r="AJ333">
        <v>-4.7230500000000002E-2</v>
      </c>
      <c r="AK333">
        <v>5.77</v>
      </c>
      <c r="AL333">
        <f xml:space="preserve"> LN([1]misc!B352)</f>
        <v>6.5201792037097128</v>
      </c>
      <c r="AM333">
        <f xml:space="preserve"> LN([1]misc!D352)</f>
        <v>7.8813333052796706</v>
      </c>
      <c r="AN333">
        <f xml:space="preserve"> LN([1]misc!G457)</f>
        <v>3.4061849231731944</v>
      </c>
      <c r="AO333">
        <f xml:space="preserve"> LN([1]misc!J363 + [1]misc!L363)</f>
        <v>3.5491575109387989</v>
      </c>
      <c r="AP333">
        <f xml:space="preserve"> [1]Factors!B333</f>
        <v>1.2919035800000001E-2</v>
      </c>
      <c r="AQ333">
        <f xml:space="preserve"> [1]Factors!C333</f>
        <v>-0.32780416499999998</v>
      </c>
      <c r="AR333">
        <f xml:space="preserve"> [1]Factors!D333</f>
        <v>-0.44598315900000002</v>
      </c>
      <c r="AS333">
        <f xml:space="preserve"> [1]Factors!E333</f>
        <v>0.11464769499999999</v>
      </c>
      <c r="AT333">
        <f xml:space="preserve"> [1]Factors!F333</f>
        <v>-0.12905850699999999</v>
      </c>
    </row>
    <row r="334" spans="1:46" x14ac:dyDescent="0.25">
      <c r="A334">
        <f t="shared" si="25"/>
        <v>1986.666666666647</v>
      </c>
      <c r="B334" s="1">
        <v>31656</v>
      </c>
      <c r="C334" s="7">
        <f t="shared" si="22"/>
        <v>1986</v>
      </c>
      <c r="D334" s="7">
        <f t="shared" si="23"/>
        <v>9</v>
      </c>
      <c r="E334" s="7">
        <f t="shared" si="24"/>
        <v>3</v>
      </c>
      <c r="F334">
        <f xml:space="preserve"> [1]Coibion_update!O340</f>
        <v>4.044304867714688</v>
      </c>
      <c r="G334">
        <f xml:space="preserve"> [1]Coibion_update!P340</f>
        <v>7</v>
      </c>
      <c r="H334">
        <f xml:space="preserve"> [1]Coibion_update!Q340</f>
        <v>4.7004803657924166</v>
      </c>
      <c r="I334">
        <f xml:space="preserve"> [1]Coibion_update!W340</f>
        <v>5.89</v>
      </c>
      <c r="J334">
        <f xml:space="preserve"> [1]Coibion_update!X340</f>
        <v>5.3623244965223291</v>
      </c>
      <c r="K334">
        <f xml:space="preserve"> [1]Coibion_update!Y340</f>
        <v>3.6963514689526371</v>
      </c>
      <c r="L334">
        <f xml:space="preserve"> [1]Coibion_update!Z340</f>
        <v>4.0922924580959696</v>
      </c>
      <c r="M334">
        <f xml:space="preserve"> [1]Coibion_update!AA340</f>
        <v>3.9533760589116249</v>
      </c>
      <c r="N334">
        <f xml:space="preserve"> [1]Coibion_update!AB340</f>
        <v>2.29667E-2</v>
      </c>
      <c r="O334">
        <f xml:space="preserve"> [1]Coibion_update!AC340</f>
        <v>-4.7050863999999999</v>
      </c>
      <c r="P334">
        <f xml:space="preserve"> [1]Coibion_update!AD340</f>
        <v>-3.4738813999999971</v>
      </c>
      <c r="U334">
        <f xml:space="preserve"> [1]Gertler_Karadi!E88</f>
        <v>-3.9182799999999997E-2</v>
      </c>
      <c r="V334">
        <f xml:space="preserve"> [1]Gertler_Karadi!F88</f>
        <v>-4.15161E-2</v>
      </c>
      <c r="W334">
        <f xml:space="preserve"> [1]Gertler_Karadi!G88</f>
        <v>-4.2978500000000003E-2</v>
      </c>
      <c r="X334" s="5">
        <f xml:space="preserve"> [1]misc!N417</f>
        <v>5.77</v>
      </c>
      <c r="Y334">
        <f xml:space="preserve"> [1]Gilchrist_Zak!C166</f>
        <v>0.3145</v>
      </c>
      <c r="Z334">
        <f xml:space="preserve"> [1]Sims_Zha!B337</f>
        <v>-1.1860999999999999</v>
      </c>
      <c r="AA334">
        <f xml:space="preserve"> [1]Coibion_update!AI340</f>
        <v>6.6095399999999999E-2</v>
      </c>
      <c r="AB334">
        <f t="shared" si="21"/>
        <v>-0.79858660000000015</v>
      </c>
      <c r="AC334">
        <v>6.6095399999999999E-2</v>
      </c>
      <c r="AG334">
        <v>-0.02</v>
      </c>
      <c r="AJ334">
        <v>-1.8180499999999999E-2</v>
      </c>
      <c r="AK334">
        <v>6.9</v>
      </c>
      <c r="AL334">
        <f xml:space="preserve"> LN([1]misc!B353)</f>
        <v>6.5329163644157333</v>
      </c>
      <c r="AM334">
        <f xml:space="preserve"> LN([1]misc!D353)</f>
        <v>7.8894216814864251</v>
      </c>
      <c r="AN334">
        <f xml:space="preserve"> LN([1]misc!G458)</f>
        <v>3.4630447849882358</v>
      </c>
      <c r="AO334">
        <f xml:space="preserve"> LN([1]misc!J364 + [1]misc!L364)</f>
        <v>3.5605630113984876</v>
      </c>
      <c r="AP334">
        <f xml:space="preserve"> [1]Factors!B334</f>
        <v>8.6840858000000007E-2</v>
      </c>
      <c r="AQ334">
        <f xml:space="preserve"> [1]Factors!C334</f>
        <v>-0.10280249299999999</v>
      </c>
      <c r="AR334">
        <f xml:space="preserve"> [1]Factors!D334</f>
        <v>-0.179671628</v>
      </c>
      <c r="AS334">
        <f xml:space="preserve"> [1]Factors!E334</f>
        <v>9.8606809300000001E-2</v>
      </c>
      <c r="AT334">
        <f xml:space="preserve"> [1]Factors!F334</f>
        <v>3.19180123E-2</v>
      </c>
    </row>
    <row r="335" spans="1:46" x14ac:dyDescent="0.25">
      <c r="A335">
        <f t="shared" si="25"/>
        <v>1986.7499999999802</v>
      </c>
      <c r="B335" s="1">
        <v>31686</v>
      </c>
      <c r="C335" s="7">
        <f t="shared" si="22"/>
        <v>1986</v>
      </c>
      <c r="D335" s="7">
        <f t="shared" si="23"/>
        <v>10</v>
      </c>
      <c r="E335" s="7">
        <f t="shared" si="24"/>
        <v>4</v>
      </c>
      <c r="F335">
        <f xml:space="preserve"> [1]Coibion_update!O341</f>
        <v>4.0488781183696201</v>
      </c>
      <c r="G335">
        <f xml:space="preserve"> [1]Coibion_update!P341</f>
        <v>7</v>
      </c>
      <c r="H335">
        <f xml:space="preserve"> [1]Coibion_update!Q341</f>
        <v>4.7022968967188143</v>
      </c>
      <c r="I335">
        <f xml:space="preserve"> [1]Coibion_update!W341</f>
        <v>5.85</v>
      </c>
      <c r="J335">
        <f xml:space="preserve"> [1]Coibion_update!X341</f>
        <v>5.4051517954618635</v>
      </c>
      <c r="K335">
        <f xml:space="preserve"> [1]Coibion_update!Y341</f>
        <v>3.5824350178930726</v>
      </c>
      <c r="L335">
        <f xml:space="preserve"> [1]Coibion_update!Z341</f>
        <v>4.1008069691497555</v>
      </c>
      <c r="M335">
        <f xml:space="preserve"> [1]Coibion_update!AA341</f>
        <v>3.9543542604415842</v>
      </c>
      <c r="N335">
        <f xml:space="preserve"> [1]Coibion_update!AB341</f>
        <v>0</v>
      </c>
      <c r="O335">
        <f xml:space="preserve"> [1]Coibion_update!AC341</f>
        <v>-4.7050863999999999</v>
      </c>
      <c r="P335">
        <f xml:space="preserve"> [1]Coibion_update!AD341</f>
        <v>-3.4738813999999971</v>
      </c>
      <c r="U335">
        <f xml:space="preserve"> [1]Gertler_Karadi!E89</f>
        <v>-1.5333299999999999E-2</v>
      </c>
      <c r="V335">
        <f xml:space="preserve"> [1]Gertler_Karadi!F89</f>
        <v>-2.3E-2</v>
      </c>
      <c r="W335">
        <f xml:space="preserve"> [1]Gertler_Karadi!G89</f>
        <v>-7.6666E-3</v>
      </c>
      <c r="X335" s="5">
        <f xml:space="preserve"> [1]misc!N418</f>
        <v>5.72</v>
      </c>
      <c r="Y335">
        <f xml:space="preserve"> [1]Gilchrist_Zak!C167</f>
        <v>0.54730000000000001</v>
      </c>
      <c r="Z335">
        <f xml:space="preserve"> [1]Sims_Zha!B338</f>
        <v>-0.28173999999999999</v>
      </c>
      <c r="AA335">
        <f xml:space="preserve"> [1]Coibion_update!AI341</f>
        <v>0</v>
      </c>
      <c r="AB335">
        <f t="shared" si="21"/>
        <v>-0.79858660000000015</v>
      </c>
      <c r="AC335">
        <v>0</v>
      </c>
      <c r="AG335">
        <v>0</v>
      </c>
      <c r="AJ335">
        <v>0</v>
      </c>
      <c r="AK335">
        <v>5.93</v>
      </c>
      <c r="AL335">
        <f xml:space="preserve"> LN([1]misc!B354)</f>
        <v>6.5437679503202819</v>
      </c>
      <c r="AM335">
        <f xml:space="preserve"> LN([1]misc!D354)</f>
        <v>7.8968130844071727</v>
      </c>
      <c r="AN335">
        <f xml:space="preserve"> LN([1]misc!G459)</f>
        <v>3.4942626192258301</v>
      </c>
      <c r="AO335">
        <f xml:space="preserve"> LN([1]misc!J365 + [1]misc!L365)</f>
        <v>3.5812385625965448</v>
      </c>
      <c r="AP335">
        <f xml:space="preserve"> [1]Factors!B335</f>
        <v>-0.10244466200000001</v>
      </c>
      <c r="AQ335">
        <f xml:space="preserve"> [1]Factors!C335</f>
        <v>4.7285162700000001E-2</v>
      </c>
      <c r="AR335">
        <f xml:space="preserve"> [1]Factors!D335</f>
        <v>-5.7182776599999999E-2</v>
      </c>
      <c r="AS335">
        <f xml:space="preserve"> [1]Factors!E335</f>
        <v>4.6404843000000001E-2</v>
      </c>
      <c r="AT335">
        <f xml:space="preserve"> [1]Factors!F335</f>
        <v>-7.16677966E-2</v>
      </c>
    </row>
    <row r="336" spans="1:46" x14ac:dyDescent="0.25">
      <c r="A336">
        <f t="shared" si="25"/>
        <v>1986.8333333333135</v>
      </c>
      <c r="B336" s="1">
        <v>31717</v>
      </c>
      <c r="C336" s="7">
        <f t="shared" si="22"/>
        <v>1986</v>
      </c>
      <c r="D336" s="7">
        <f t="shared" si="23"/>
        <v>11</v>
      </c>
      <c r="E336" s="7">
        <f t="shared" si="24"/>
        <v>4</v>
      </c>
      <c r="F336">
        <f xml:space="preserve"> [1]Coibion_update!O342</f>
        <v>4.0533784600966216</v>
      </c>
      <c r="G336">
        <f xml:space="preserve"> [1]Coibion_update!P342</f>
        <v>6.9</v>
      </c>
      <c r="H336">
        <f xml:space="preserve"> [1]Coibion_update!Q342</f>
        <v>4.7041101338429954</v>
      </c>
      <c r="I336">
        <f xml:space="preserve"> [1]Coibion_update!W342</f>
        <v>6.04</v>
      </c>
      <c r="J336">
        <f xml:space="preserve"> [1]Coibion_update!X342</f>
        <v>5.4259627203837066</v>
      </c>
      <c r="K336">
        <f xml:space="preserve"> [1]Coibion_update!Y342</f>
        <v>3.5446914813008847</v>
      </c>
      <c r="L336">
        <f xml:space="preserve"> [1]Coibion_update!Z342</f>
        <v>4.0960264803378443</v>
      </c>
      <c r="M336">
        <f xml:space="preserve"> [1]Coibion_update!AA342</f>
        <v>3.9603940341535409</v>
      </c>
      <c r="N336">
        <f xml:space="preserve"> [1]Coibion_update!AB342</f>
        <v>3.2433400000000001E-2</v>
      </c>
      <c r="O336">
        <f xml:space="preserve"> [1]Coibion_update!AC342</f>
        <v>-4.6726529999999995</v>
      </c>
      <c r="P336">
        <f xml:space="preserve"> [1]Coibion_update!AD342</f>
        <v>-3.4553678999999971</v>
      </c>
      <c r="U336">
        <f xml:space="preserve"> [1]Gertler_Karadi!E90</f>
        <v>0</v>
      </c>
      <c r="V336">
        <f xml:space="preserve"> [1]Gertler_Karadi!F90</f>
        <v>0</v>
      </c>
      <c r="W336">
        <f xml:space="preserve"> [1]Gertler_Karadi!G90</f>
        <v>0</v>
      </c>
      <c r="X336" s="5">
        <f xml:space="preserve"> [1]misc!N419</f>
        <v>5.8</v>
      </c>
      <c r="Y336">
        <f xml:space="preserve"> [1]Gilchrist_Zak!C168</f>
        <v>0.67249999999999999</v>
      </c>
      <c r="Z336">
        <f xml:space="preserve"> [1]Sims_Zha!B339</f>
        <v>1.1773</v>
      </c>
      <c r="AA336">
        <f xml:space="preserve"> [1]Coibion_update!AI342</f>
        <v>0.11308849999999999</v>
      </c>
      <c r="AB336">
        <f t="shared" si="21"/>
        <v>-0.68549810000000011</v>
      </c>
      <c r="AC336">
        <v>0.11308849999999999</v>
      </c>
      <c r="AG336">
        <v>0</v>
      </c>
      <c r="AJ336">
        <v>1.8570699999999999E-2</v>
      </c>
      <c r="AK336">
        <v>6.03</v>
      </c>
      <c r="AL336">
        <f xml:space="preserve"> LN([1]misc!B355)</f>
        <v>6.5587650178019512</v>
      </c>
      <c r="AM336">
        <f xml:space="preserve"> LN([1]misc!D355)</f>
        <v>7.9019325495133632</v>
      </c>
      <c r="AN336">
        <f xml:space="preserve"> LN([1]misc!G460)</f>
        <v>3.5476038667559826</v>
      </c>
      <c r="AO336">
        <f xml:space="preserve"> LN([1]misc!J366 + [1]misc!L366)</f>
        <v>3.6092137586956805</v>
      </c>
      <c r="AP336">
        <f xml:space="preserve"> [1]Factors!B336</f>
        <v>3.7845869599999998E-2</v>
      </c>
      <c r="AQ336">
        <f xml:space="preserve"> [1]Factors!C336</f>
        <v>-0.107519858</v>
      </c>
      <c r="AR336">
        <f xml:space="preserve"> [1]Factors!D336</f>
        <v>-5.40852972E-2</v>
      </c>
      <c r="AS336">
        <f xml:space="preserve"> [1]Factors!E336</f>
        <v>-5.3148315299999999E-2</v>
      </c>
      <c r="AT336">
        <f xml:space="preserve"> [1]Factors!F336</f>
        <v>-5.8601284400000002E-2</v>
      </c>
    </row>
    <row r="337" spans="1:46" x14ac:dyDescent="0.25">
      <c r="A337">
        <f t="shared" si="25"/>
        <v>1986.9166666666467</v>
      </c>
      <c r="B337" s="1">
        <v>31747</v>
      </c>
      <c r="C337" s="7">
        <f t="shared" si="22"/>
        <v>1986</v>
      </c>
      <c r="D337" s="7">
        <f t="shared" si="23"/>
        <v>12</v>
      </c>
      <c r="E337" s="7">
        <f t="shared" si="24"/>
        <v>4</v>
      </c>
      <c r="F337">
        <f xml:space="preserve"> [1]Coibion_update!O343</f>
        <v>4.0619350004240546</v>
      </c>
      <c r="G337">
        <f xml:space="preserve"> [1]Coibion_update!P343</f>
        <v>6.6</v>
      </c>
      <c r="H337">
        <f xml:space="preserve"> [1]Coibion_update!Q343</f>
        <v>4.7077267743131834</v>
      </c>
      <c r="I337">
        <f xml:space="preserve"> [1]Coibion_update!W343</f>
        <v>6.91</v>
      </c>
      <c r="J337">
        <f xml:space="preserve"> [1]Coibion_update!X343</f>
        <v>5.4290824364275894</v>
      </c>
      <c r="K337">
        <f xml:space="preserve"> [1]Coibion_update!Y343</f>
        <v>3.651281423698618</v>
      </c>
      <c r="L337">
        <f xml:space="preserve"> [1]Coibion_update!Z343</f>
        <v>4.102858217987305</v>
      </c>
      <c r="M337">
        <f xml:space="preserve"> [1]Coibion_update!AA343</f>
        <v>3.967646909176143</v>
      </c>
      <c r="N337">
        <f xml:space="preserve"> [1]Coibion_update!AB343</f>
        <v>-4.7249399999999997E-2</v>
      </c>
      <c r="O337">
        <f xml:space="preserve"> [1]Coibion_update!AC343</f>
        <v>-4.7199023999999996</v>
      </c>
      <c r="P337">
        <f xml:space="preserve"> [1]Coibion_update!AD343</f>
        <v>-3.5365834999999972</v>
      </c>
      <c r="U337">
        <f xml:space="preserve"> [1]Gertler_Karadi!E91</f>
        <v>0</v>
      </c>
      <c r="V337">
        <f xml:space="preserve"> [1]Gertler_Karadi!F91</f>
        <v>-4.8386999999999996E-3</v>
      </c>
      <c r="W337">
        <f xml:space="preserve"> [1]Gertler_Karadi!G91</f>
        <v>0</v>
      </c>
      <c r="X337" s="5">
        <f xml:space="preserve"> [1]misc!N420</f>
        <v>5.87</v>
      </c>
      <c r="Y337">
        <f xml:space="preserve"> [1]Gilchrist_Zak!C169</f>
        <v>0.70330000000000004</v>
      </c>
      <c r="Z337">
        <f xml:space="preserve"> [1]Sims_Zha!B340</f>
        <v>4.0769000000000002</v>
      </c>
      <c r="AA337">
        <f xml:space="preserve"> [1]Coibion_update!AI343</f>
        <v>0.15536730000000001</v>
      </c>
      <c r="AB337">
        <f t="shared" si="21"/>
        <v>-0.53013080000000012</v>
      </c>
      <c r="AC337">
        <v>0.15536730000000001</v>
      </c>
      <c r="AG337">
        <v>0</v>
      </c>
      <c r="AJ337">
        <v>2.8067600000000002E-2</v>
      </c>
      <c r="AK337">
        <v>14.35</v>
      </c>
      <c r="AL337">
        <f xml:space="preserve"> LN([1]misc!B356)</f>
        <v>6.5857577761152362</v>
      </c>
      <c r="AM337">
        <f xml:space="preserve"> LN([1]misc!D356)</f>
        <v>7.9117638049412689</v>
      </c>
      <c r="AN337">
        <f xml:space="preserve"> LN([1]misc!G461)</f>
        <v>3.6153674581772566</v>
      </c>
      <c r="AO337">
        <f xml:space="preserve"> LN([1]misc!J367 + [1]misc!L367)</f>
        <v>3.645893661937778</v>
      </c>
      <c r="AP337">
        <f xml:space="preserve"> [1]Factors!B337</f>
        <v>-1.63426292E-2</v>
      </c>
      <c r="AQ337">
        <f xml:space="preserve"> [1]Factors!C337</f>
        <v>-9.9413462699999997E-2</v>
      </c>
      <c r="AR337">
        <f xml:space="preserve"> [1]Factors!D337</f>
        <v>-3.5395552499999997E-2</v>
      </c>
      <c r="AS337">
        <f xml:space="preserve"> [1]Factors!E337</f>
        <v>4.40227711E-3</v>
      </c>
      <c r="AT337">
        <f xml:space="preserve"> [1]Factors!F337</f>
        <v>-0.16113174899999999</v>
      </c>
    </row>
    <row r="338" spans="1:46" x14ac:dyDescent="0.25">
      <c r="A338">
        <f t="shared" si="25"/>
        <v>1986.99999999998</v>
      </c>
      <c r="B338" s="1">
        <v>31778</v>
      </c>
      <c r="C338" s="7">
        <f t="shared" si="22"/>
        <v>1987</v>
      </c>
      <c r="D338" s="7">
        <f t="shared" si="23"/>
        <v>1</v>
      </c>
      <c r="E338" s="7">
        <f t="shared" si="24"/>
        <v>1</v>
      </c>
      <c r="F338">
        <f xml:space="preserve"> [1]Coibion_update!O344</f>
        <v>4.0588227330883226</v>
      </c>
      <c r="G338">
        <f xml:space="preserve"> [1]Coibion_update!P344</f>
        <v>6.6</v>
      </c>
      <c r="H338">
        <f xml:space="preserve"> [1]Coibion_update!Q344</f>
        <v>4.7131273274931837</v>
      </c>
      <c r="I338">
        <f xml:space="preserve"> [1]Coibion_update!W344</f>
        <v>6.43</v>
      </c>
      <c r="J338">
        <f xml:space="preserve"> [1]Coibion_update!X344</f>
        <v>5.4379053807550903</v>
      </c>
      <c r="K338">
        <f xml:space="preserve"> [1]Coibion_update!Y344</f>
        <v>3.4884753897692158</v>
      </c>
      <c r="L338">
        <f xml:space="preserve"> [1]Coibion_update!Z344</f>
        <v>4.0900855053017171</v>
      </c>
      <c r="M338">
        <f xml:space="preserve"> [1]Coibion_update!AA344</f>
        <v>3.9686868525456878</v>
      </c>
      <c r="N338">
        <f xml:space="preserve"> [1]Coibion_update!AB344</f>
        <v>0</v>
      </c>
      <c r="O338">
        <f xml:space="preserve"> [1]Coibion_update!AC344</f>
        <v>-4.7199023999999996</v>
      </c>
      <c r="P338">
        <f xml:space="preserve"> [1]Coibion_update!AD344</f>
        <v>-3.5365834999999972</v>
      </c>
      <c r="U338">
        <f xml:space="preserve"> [1]Gertler_Karadi!E92</f>
        <v>5.4838999999999999E-3</v>
      </c>
      <c r="V338">
        <f xml:space="preserve"> [1]Gertler_Karadi!F92</f>
        <v>-5.1612999999999997E-3</v>
      </c>
      <c r="W338">
        <f xml:space="preserve"> [1]Gertler_Karadi!G92</f>
        <v>-5.4838999999999999E-3</v>
      </c>
      <c r="X338" s="5">
        <f xml:space="preserve"> [1]misc!N421</f>
        <v>5.78</v>
      </c>
      <c r="Y338">
        <f xml:space="preserve"> [1]Gilchrist_Zak!C170</f>
        <v>0.55820000000000003</v>
      </c>
      <c r="Z338">
        <f xml:space="preserve"> [1]Sims_Zha!B341</f>
        <v>-4.6746999999999996</v>
      </c>
      <c r="AA338">
        <f xml:space="preserve"> [1]Coibion_update!AI344</f>
        <v>0</v>
      </c>
      <c r="AB338">
        <f t="shared" si="21"/>
        <v>-0.53013080000000012</v>
      </c>
      <c r="AC338">
        <v>0</v>
      </c>
      <c r="AG338">
        <v>0.01</v>
      </c>
      <c r="AJ338">
        <v>0</v>
      </c>
      <c r="AK338">
        <v>6.28</v>
      </c>
      <c r="AL338">
        <f xml:space="preserve"> LN([1]misc!B357)</f>
        <v>6.5933184692215363</v>
      </c>
      <c r="AM338">
        <f xml:space="preserve"> LN([1]misc!D357)</f>
        <v>7.917536353943631</v>
      </c>
      <c r="AN338">
        <f xml:space="preserve"> LN([1]misc!G462)</f>
        <v>3.5992829203021803</v>
      </c>
      <c r="AO338">
        <f xml:space="preserve"> LN([1]misc!J368 + [1]misc!L368)</f>
        <v>3.6607114342860156</v>
      </c>
      <c r="AP338">
        <f xml:space="preserve"> [1]Factors!B338</f>
        <v>-0.19875742699999999</v>
      </c>
      <c r="AQ338">
        <f xml:space="preserve"> [1]Factors!C338</f>
        <v>-7.0126001899999998E-2</v>
      </c>
      <c r="AR338">
        <f xml:space="preserve"> [1]Factors!D338</f>
        <v>-0.16595191500000001</v>
      </c>
      <c r="AS338">
        <f xml:space="preserve"> [1]Factors!E338</f>
        <v>0.13749446500000001</v>
      </c>
      <c r="AT338">
        <f xml:space="preserve"> [1]Factors!F338</f>
        <v>-0.2365131</v>
      </c>
    </row>
    <row r="339" spans="1:46" x14ac:dyDescent="0.25">
      <c r="A339">
        <f t="shared" si="25"/>
        <v>1987.0833333333132</v>
      </c>
      <c r="B339" s="1">
        <v>31809</v>
      </c>
      <c r="C339" s="7">
        <f t="shared" si="22"/>
        <v>1987</v>
      </c>
      <c r="D339" s="7">
        <f t="shared" si="23"/>
        <v>2</v>
      </c>
      <c r="E339" s="7">
        <f t="shared" si="24"/>
        <v>1</v>
      </c>
      <c r="F339">
        <f xml:space="preserve"> [1]Coibion_update!O345</f>
        <v>4.0715176664325714</v>
      </c>
      <c r="G339">
        <f xml:space="preserve"> [1]Coibion_update!P345</f>
        <v>6.6</v>
      </c>
      <c r="H339">
        <f xml:space="preserve"> [1]Coibion_update!Q345</f>
        <v>4.7167115607209986</v>
      </c>
      <c r="I339">
        <f xml:space="preserve"> [1]Coibion_update!W345</f>
        <v>6.1</v>
      </c>
      <c r="J339">
        <f xml:space="preserve"> [1]Coibion_update!X345</f>
        <v>5.4212427133853351</v>
      </c>
      <c r="K339">
        <f xml:space="preserve"> [1]Coibion_update!Y345</f>
        <v>3.5531742719485613</v>
      </c>
      <c r="L339">
        <f xml:space="preserve"> [1]Coibion_update!Z345</f>
        <v>4.109610771725829</v>
      </c>
      <c r="M339">
        <f xml:space="preserve"> [1]Coibion_update!AA345</f>
        <v>3.9765552765461858</v>
      </c>
      <c r="N339">
        <f xml:space="preserve"> [1]Coibion_update!AB345</f>
        <v>0.19712769999999999</v>
      </c>
      <c r="O339">
        <f xml:space="preserve"> [1]Coibion_update!AC345</f>
        <v>-4.5227746999999994</v>
      </c>
      <c r="P339">
        <f xml:space="preserve"> [1]Coibion_update!AD345</f>
        <v>-3.3598811999999971</v>
      </c>
      <c r="U339">
        <f xml:space="preserve"> [1]Gertler_Karadi!E93</f>
        <v>-1.5552999999999999E-3</v>
      </c>
      <c r="V339">
        <f xml:space="preserve"> [1]Gertler_Karadi!F93</f>
        <v>0</v>
      </c>
      <c r="W339">
        <f xml:space="preserve"> [1]Gertler_Karadi!G93</f>
        <v>1.5552999999999999E-3</v>
      </c>
      <c r="X339" s="5">
        <f xml:space="preserve"> [1]misc!N422</f>
        <v>5.96</v>
      </c>
      <c r="Y339">
        <f xml:space="preserve"> [1]Gilchrist_Zak!C171</f>
        <v>0.63429999999999997</v>
      </c>
      <c r="Z339">
        <f xml:space="preserve"> [1]Sims_Zha!B342</f>
        <v>-2.9270999999999998</v>
      </c>
      <c r="AA339">
        <f xml:space="preserve"> [1]Coibion_update!AI345</f>
        <v>9.8405900000000004E-2</v>
      </c>
      <c r="AB339">
        <f t="shared" si="21"/>
        <v>-0.43172490000000013</v>
      </c>
      <c r="AC339">
        <v>9.8405900000000004E-2</v>
      </c>
      <c r="AG339">
        <v>-0.01</v>
      </c>
      <c r="AJ339">
        <v>4.6150999999999996E-3</v>
      </c>
      <c r="AK339">
        <v>6.02</v>
      </c>
      <c r="AL339">
        <f xml:space="preserve"> LN([1]misc!B358)</f>
        <v>6.5940029787971719</v>
      </c>
      <c r="AM339">
        <f xml:space="preserve"> LN([1]misc!D358)</f>
        <v>7.9188469701207511</v>
      </c>
      <c r="AN339">
        <f xml:space="preserve"> LN([1]misc!G463)</f>
        <v>3.5144367772686662</v>
      </c>
      <c r="AO339">
        <f xml:space="preserve"> LN([1]misc!J369 + [1]misc!L369)</f>
        <v>3.6566919498606913</v>
      </c>
      <c r="AP339">
        <f xml:space="preserve"> [1]Factors!B339</f>
        <v>0.10230919500000001</v>
      </c>
      <c r="AQ339">
        <f xml:space="preserve"> [1]Factors!C339</f>
        <v>0.331689858</v>
      </c>
      <c r="AR339">
        <f xml:space="preserve"> [1]Factors!D339</f>
        <v>-6.4495483300000002E-4</v>
      </c>
      <c r="AS339">
        <f xml:space="preserve"> [1]Factors!E339</f>
        <v>0.194019622</v>
      </c>
      <c r="AT339">
        <f xml:space="preserve"> [1]Factors!F339</f>
        <v>0.31942318400000003</v>
      </c>
    </row>
    <row r="340" spans="1:46" x14ac:dyDescent="0.25">
      <c r="A340">
        <f t="shared" si="25"/>
        <v>1987.1666666666465</v>
      </c>
      <c r="B340" s="1">
        <v>31837</v>
      </c>
      <c r="C340" s="7">
        <f t="shared" si="22"/>
        <v>1987</v>
      </c>
      <c r="D340" s="7">
        <f t="shared" si="23"/>
        <v>3</v>
      </c>
      <c r="E340" s="7">
        <f t="shared" si="24"/>
        <v>1</v>
      </c>
      <c r="F340">
        <f xml:space="preserve"> [1]Coibion_update!O346</f>
        <v>4.0732928551504797</v>
      </c>
      <c r="G340">
        <f xml:space="preserve"> [1]Coibion_update!P346</f>
        <v>6.6</v>
      </c>
      <c r="H340">
        <f xml:space="preserve"> [1]Coibion_update!Q346</f>
        <v>4.7202829930885963</v>
      </c>
      <c r="I340">
        <f xml:space="preserve"> [1]Coibion_update!W346</f>
        <v>6.13</v>
      </c>
      <c r="J340">
        <f xml:space="preserve"> [1]Coibion_update!X346</f>
        <v>5.4240685718535975</v>
      </c>
      <c r="K340">
        <f xml:space="preserve"> [1]Coibion_update!Y346</f>
        <v>3.5548622292063055</v>
      </c>
      <c r="L340">
        <f xml:space="preserve"> [1]Coibion_update!Z346</f>
        <v>4.1037997209928561</v>
      </c>
      <c r="M340">
        <f xml:space="preserve"> [1]Coibion_update!AA346</f>
        <v>3.9808958697145216</v>
      </c>
      <c r="N340">
        <f xml:space="preserve"> [1]Coibion_update!AB346</f>
        <v>0.24030889999999999</v>
      </c>
      <c r="O340">
        <f xml:space="preserve"> [1]Coibion_update!AC346</f>
        <v>-4.2824657999999998</v>
      </c>
      <c r="P340">
        <f xml:space="preserve"> [1]Coibion_update!AD346</f>
        <v>-3.1667833999999973</v>
      </c>
      <c r="U340">
        <f xml:space="preserve"> [1]Gertler_Karadi!E94</f>
        <v>-3.9284999999999997E-3</v>
      </c>
      <c r="V340">
        <f xml:space="preserve"> [1]Gertler_Karadi!F94</f>
        <v>0</v>
      </c>
      <c r="W340">
        <f xml:space="preserve"> [1]Gertler_Karadi!G94</f>
        <v>3.9284999999999997E-3</v>
      </c>
      <c r="X340" s="5">
        <f xml:space="preserve"> [1]misc!N423</f>
        <v>6.03</v>
      </c>
      <c r="Y340">
        <f xml:space="preserve"> [1]Gilchrist_Zak!C172</f>
        <v>0.52200000000000002</v>
      </c>
      <c r="Z340">
        <f xml:space="preserve"> [1]Sims_Zha!B343</f>
        <v>-0.69940999999999998</v>
      </c>
      <c r="AA340">
        <f xml:space="preserve"> [1]Coibion_update!AI346</f>
        <v>0.2379125</v>
      </c>
      <c r="AB340">
        <f t="shared" si="21"/>
        <v>-0.19381240000000013</v>
      </c>
      <c r="AC340">
        <v>0.2379125</v>
      </c>
      <c r="AG340">
        <v>0</v>
      </c>
      <c r="AJ340">
        <v>1.9833799999999999E-2</v>
      </c>
      <c r="AK340">
        <v>6.23</v>
      </c>
      <c r="AL340">
        <f xml:space="preserve"> LN([1]misc!B359)</f>
        <v>6.5982365119211819</v>
      </c>
      <c r="AM340">
        <f xml:space="preserve"> LN([1]misc!D359)</f>
        <v>7.921136423287586</v>
      </c>
      <c r="AN340">
        <f xml:space="preserve"> LN([1]misc!G464)</f>
        <v>3.5641378889501913</v>
      </c>
      <c r="AO340">
        <f xml:space="preserve"> LN([1]misc!J370 + [1]misc!L370)</f>
        <v>3.6523451293859628</v>
      </c>
      <c r="AP340">
        <f xml:space="preserve"> [1]Factors!B340</f>
        <v>-0.40179356900000002</v>
      </c>
      <c r="AQ340">
        <f xml:space="preserve"> [1]Factors!C340</f>
        <v>-4.1565398099999998E-2</v>
      </c>
      <c r="AR340">
        <f xml:space="preserve"> [1]Factors!D340</f>
        <v>4.9158169199999997E-2</v>
      </c>
      <c r="AS340">
        <f xml:space="preserve"> [1]Factors!E340</f>
        <v>0.207310458</v>
      </c>
      <c r="AT340">
        <f xml:space="preserve"> [1]Factors!F340</f>
        <v>-0.17855257699999999</v>
      </c>
    </row>
    <row r="341" spans="1:46" x14ac:dyDescent="0.25">
      <c r="A341">
        <f t="shared" si="25"/>
        <v>1987.2499999999798</v>
      </c>
      <c r="B341" s="1">
        <v>31868</v>
      </c>
      <c r="C341" s="7">
        <f t="shared" si="22"/>
        <v>1987</v>
      </c>
      <c r="D341" s="7">
        <f t="shared" si="23"/>
        <v>4</v>
      </c>
      <c r="E341" s="7">
        <f t="shared" si="24"/>
        <v>2</v>
      </c>
      <c r="F341">
        <f xml:space="preserve"> [1]Coibion_update!O347</f>
        <v>4.0795049985254384</v>
      </c>
      <c r="G341">
        <f xml:space="preserve"> [1]Coibion_update!P347</f>
        <v>6.3</v>
      </c>
      <c r="H341">
        <f xml:space="preserve"> [1]Coibion_update!Q347</f>
        <v>4.7247294210457307</v>
      </c>
      <c r="I341">
        <f xml:space="preserve"> [1]Coibion_update!W347</f>
        <v>6.37</v>
      </c>
      <c r="J341">
        <f xml:space="preserve"> [1]Coibion_update!X347</f>
        <v>5.4504803579451444</v>
      </c>
      <c r="K341">
        <f xml:space="preserve"> [1]Coibion_update!Y347</f>
        <v>3.5716712532083954</v>
      </c>
      <c r="L341">
        <f xml:space="preserve"> [1]Coibion_update!Z347</f>
        <v>4.1077378043330963</v>
      </c>
      <c r="M341">
        <f xml:space="preserve"> [1]Coibion_update!AA347</f>
        <v>3.9832267644344781</v>
      </c>
      <c r="N341">
        <f xml:space="preserve"> [1]Coibion_update!AB347</f>
        <v>0</v>
      </c>
      <c r="O341">
        <f xml:space="preserve"> [1]Coibion_update!AC347</f>
        <v>-4.2824657999999998</v>
      </c>
      <c r="P341">
        <f xml:space="preserve"> [1]Coibion_update!AD347</f>
        <v>-3.1667833999999973</v>
      </c>
      <c r="U341">
        <f xml:space="preserve"> [1]Gertler_Karadi!E95</f>
        <v>1.76667E-2</v>
      </c>
      <c r="V341">
        <f xml:space="preserve"> [1]Gertler_Karadi!F95</f>
        <v>1.7333299999999999E-2</v>
      </c>
      <c r="W341">
        <f xml:space="preserve"> [1]Gertler_Karadi!G95</f>
        <v>-2.3333E-3</v>
      </c>
      <c r="X341" s="5">
        <f xml:space="preserve"> [1]misc!N424</f>
        <v>6.5</v>
      </c>
      <c r="Y341">
        <f xml:space="preserve"> [1]Gilchrist_Zak!C173</f>
        <v>-0.38969999999999999</v>
      </c>
      <c r="Z341">
        <f xml:space="preserve"> [1]Sims_Zha!B344</f>
        <v>1.2041999999999999</v>
      </c>
      <c r="AA341">
        <f xml:space="preserve"> [1]Coibion_update!AI347</f>
        <v>0</v>
      </c>
      <c r="AB341">
        <f t="shared" si="21"/>
        <v>-0.19381240000000013</v>
      </c>
      <c r="AC341">
        <v>0</v>
      </c>
      <c r="AG341">
        <v>-0.05</v>
      </c>
      <c r="AJ341">
        <v>0</v>
      </c>
      <c r="AK341">
        <v>7.63</v>
      </c>
      <c r="AL341">
        <f xml:space="preserve"> LN([1]misc!B360)</f>
        <v>6.6119066171972953</v>
      </c>
      <c r="AM341">
        <f xml:space="preserve"> LN([1]misc!D360)</f>
        <v>7.926277636639484</v>
      </c>
      <c r="AN341">
        <f xml:space="preserve"> LN([1]misc!G465)</f>
        <v>3.6326794044257373</v>
      </c>
      <c r="AO341">
        <f xml:space="preserve"> LN([1]misc!J371 + [1]misc!L371)</f>
        <v>3.6587037116038745</v>
      </c>
      <c r="AP341">
        <f xml:space="preserve"> [1]Factors!B341</f>
        <v>-0.13588752000000001</v>
      </c>
      <c r="AQ341">
        <f xml:space="preserve"> [1]Factors!C341</f>
        <v>6.6037012000000001E-3</v>
      </c>
      <c r="AR341">
        <f xml:space="preserve"> [1]Factors!D341</f>
        <v>-5.5833896399999999E-2</v>
      </c>
      <c r="AS341">
        <f xml:space="preserve"> [1]Factors!E341</f>
        <v>8.4337246199999993E-2</v>
      </c>
      <c r="AT341">
        <f xml:space="preserve"> [1]Factors!F341</f>
        <v>7.6859302300000001E-2</v>
      </c>
    </row>
    <row r="342" spans="1:46" x14ac:dyDescent="0.25">
      <c r="A342">
        <f t="shared" si="25"/>
        <v>1987.333333333313</v>
      </c>
      <c r="B342" s="1">
        <v>31898</v>
      </c>
      <c r="C342" s="7">
        <f t="shared" si="22"/>
        <v>1987</v>
      </c>
      <c r="D342" s="7">
        <f t="shared" si="23"/>
        <v>5</v>
      </c>
      <c r="E342" s="7">
        <f t="shared" si="24"/>
        <v>2</v>
      </c>
      <c r="F342">
        <f xml:space="preserve"> [1]Coibion_update!O348</f>
        <v>4.0859107641848498</v>
      </c>
      <c r="G342">
        <f xml:space="preserve"> [1]Coibion_update!P348</f>
        <v>6.3</v>
      </c>
      <c r="H342">
        <f xml:space="preserve"> [1]Coibion_update!Q348</f>
        <v>4.7273878187123408</v>
      </c>
      <c r="I342">
        <f xml:space="preserve"> [1]Coibion_update!W348</f>
        <v>6.85</v>
      </c>
      <c r="J342">
        <f xml:space="preserve"> [1]Coibion_update!X348</f>
        <v>5.5127026761883471</v>
      </c>
      <c r="K342">
        <f xml:space="preserve"> [1]Coibion_update!Y348</f>
        <v>3.5614437308042524</v>
      </c>
      <c r="L342">
        <f xml:space="preserve"> [1]Coibion_update!Z348</f>
        <v>4.1098241330704868</v>
      </c>
      <c r="M342">
        <f xml:space="preserve"> [1]Coibion_update!AA348</f>
        <v>3.9859052378188506</v>
      </c>
      <c r="N342">
        <f xml:space="preserve"> [1]Coibion_update!AB348</f>
        <v>0.26128970000000001</v>
      </c>
      <c r="O342">
        <f xml:space="preserve"> [1]Coibion_update!AC348</f>
        <v>-4.0211760999999999</v>
      </c>
      <c r="P342">
        <f xml:space="preserve"> [1]Coibion_update!AD348</f>
        <v>-2.9264690999999972</v>
      </c>
      <c r="U342">
        <f xml:space="preserve"> [1]Gertler_Karadi!E96</f>
        <v>-6.37958E-2</v>
      </c>
      <c r="V342">
        <f xml:space="preserve"> [1]Gertler_Karadi!F96</f>
        <v>-7.3462399999999997E-2</v>
      </c>
      <c r="W342">
        <f xml:space="preserve"> [1]Gertler_Karadi!G96</f>
        <v>-8.3150399999999999E-2</v>
      </c>
      <c r="X342" s="5">
        <f xml:space="preserve"> [1]misc!N425</f>
        <v>7</v>
      </c>
      <c r="Y342">
        <f xml:space="preserve"> [1]Gilchrist_Zak!C174</f>
        <v>0.2571</v>
      </c>
      <c r="Z342">
        <f xml:space="preserve"> [1]Sims_Zha!B345</f>
        <v>2.1032999999999999</v>
      </c>
      <c r="AA342">
        <f xml:space="preserve"> [1]Coibion_update!AI348</f>
        <v>0.31301639999999997</v>
      </c>
      <c r="AB342">
        <f t="shared" si="21"/>
        <v>0.11920399999999984</v>
      </c>
      <c r="AC342">
        <v>0.31301639999999997</v>
      </c>
      <c r="AG342">
        <v>0.01</v>
      </c>
      <c r="AJ342">
        <v>3.1304800000000001E-2</v>
      </c>
      <c r="AK342">
        <v>6.63</v>
      </c>
      <c r="AL342">
        <f xml:space="preserve"> LN([1]misc!B361)</f>
        <v>6.6144574677447201</v>
      </c>
      <c r="AM342">
        <f xml:space="preserve"> LN([1]misc!D361)</f>
        <v>7.9281897865862225</v>
      </c>
      <c r="AN342">
        <f xml:space="preserve"> LN([1]misc!G466)</f>
        <v>3.5950631579096517</v>
      </c>
      <c r="AO342">
        <f xml:space="preserve"> LN([1]misc!J372 + [1]misc!L372)</f>
        <v>3.6652269254487075</v>
      </c>
      <c r="AP342">
        <f xml:space="preserve"> [1]Factors!B342</f>
        <v>-0.31343288400000002</v>
      </c>
      <c r="AQ342">
        <f xml:space="preserve"> [1]Factors!C342</f>
        <v>0.152057104</v>
      </c>
      <c r="AR342">
        <f xml:space="preserve"> [1]Factors!D342</f>
        <v>0.15191791099999999</v>
      </c>
      <c r="AS342">
        <f xml:space="preserve"> [1]Factors!E342</f>
        <v>-0.11323955199999999</v>
      </c>
      <c r="AT342">
        <f xml:space="preserve"> [1]Factors!F342</f>
        <v>3.54012119E-2</v>
      </c>
    </row>
    <row r="343" spans="1:46" x14ac:dyDescent="0.25">
      <c r="A343">
        <f t="shared" si="25"/>
        <v>1987.4166666666463</v>
      </c>
      <c r="B343" s="1">
        <v>31929</v>
      </c>
      <c r="C343" s="7">
        <f t="shared" si="22"/>
        <v>1987</v>
      </c>
      <c r="D343" s="7">
        <f t="shared" si="23"/>
        <v>6</v>
      </c>
      <c r="E343" s="7">
        <f t="shared" si="24"/>
        <v>2</v>
      </c>
      <c r="F343">
        <f xml:space="preserve"> [1]Coibion_update!O349</f>
        <v>4.0906293359746195</v>
      </c>
      <c r="G343">
        <f xml:space="preserve"> [1]Coibion_update!P349</f>
        <v>6.2</v>
      </c>
      <c r="H343">
        <f xml:space="preserve"> [1]Coibion_update!Q349</f>
        <v>4.7318028369214575</v>
      </c>
      <c r="I343">
        <f xml:space="preserve"> [1]Coibion_update!W349</f>
        <v>6.73</v>
      </c>
      <c r="J343">
        <f xml:space="preserve"> [1]Coibion_update!X349</f>
        <v>5.5225403350818105</v>
      </c>
      <c r="K343">
        <f xml:space="preserve"> [1]Coibion_update!Y349</f>
        <v>3.5852396793541765</v>
      </c>
      <c r="L343">
        <f xml:space="preserve"> [1]Coibion_update!Z349</f>
        <v>4.1088718615026378</v>
      </c>
      <c r="M343">
        <f xml:space="preserve"> [1]Coibion_update!AA349</f>
        <v>3.9877981584917048</v>
      </c>
      <c r="N343">
        <f xml:space="preserve"> [1]Coibion_update!AB349</f>
        <v>0</v>
      </c>
      <c r="O343">
        <f xml:space="preserve"> [1]Coibion_update!AC349</f>
        <v>-4.0211760999999999</v>
      </c>
      <c r="P343">
        <f xml:space="preserve"> [1]Coibion_update!AD349</f>
        <v>-2.9264690999999972</v>
      </c>
      <c r="U343">
        <f xml:space="preserve"> [1]Gertler_Karadi!E97</f>
        <v>6.1289999999999999E-3</v>
      </c>
      <c r="V343">
        <f xml:space="preserve"> [1]Gertler_Karadi!F97</f>
        <v>6.1289999999999999E-3</v>
      </c>
      <c r="W343">
        <f xml:space="preserve"> [1]Gertler_Karadi!G97</f>
        <v>-2.4516199999999998E-2</v>
      </c>
      <c r="X343" s="5">
        <f xml:space="preserve"> [1]misc!N426</f>
        <v>6.8</v>
      </c>
      <c r="Y343">
        <f xml:space="preserve"> [1]Gilchrist_Zak!C175</f>
        <v>0.24229999999999999</v>
      </c>
      <c r="Z343">
        <f xml:space="preserve"> [1]Sims_Zha!B346</f>
        <v>-2.3033999999999999</v>
      </c>
      <c r="AA343">
        <f xml:space="preserve"> [1]Coibion_update!AI349</f>
        <v>0</v>
      </c>
      <c r="AB343">
        <f t="shared" si="21"/>
        <v>0.11920399999999984</v>
      </c>
      <c r="AC343">
        <v>0</v>
      </c>
      <c r="AG343">
        <v>0</v>
      </c>
      <c r="AJ343">
        <v>0</v>
      </c>
      <c r="AK343">
        <v>6.56</v>
      </c>
      <c r="AL343">
        <f xml:space="preserve"> LN([1]misc!B362)</f>
        <v>6.6109651874996285</v>
      </c>
      <c r="AM343">
        <f xml:space="preserve"> LN([1]misc!D362)</f>
        <v>7.9288023440326354</v>
      </c>
      <c r="AN343">
        <f xml:space="preserve"> LN([1]misc!G467)</f>
        <v>3.591872836171786</v>
      </c>
      <c r="AO343">
        <f xml:space="preserve"> LN([1]misc!J373 + [1]misc!L373)</f>
        <v>3.662509811093793</v>
      </c>
      <c r="AP343">
        <f xml:space="preserve"> [1]Factors!B343</f>
        <v>-0.35305052799999997</v>
      </c>
      <c r="AQ343">
        <f xml:space="preserve"> [1]Factors!C343</f>
        <v>-3.0146022099999999E-2</v>
      </c>
      <c r="AR343">
        <f xml:space="preserve"> [1]Factors!D343</f>
        <v>0.22898267</v>
      </c>
      <c r="AS343">
        <f xml:space="preserve"> [1]Factors!E343</f>
        <v>-0.16882283100000001</v>
      </c>
      <c r="AT343">
        <f xml:space="preserve"> [1]Factors!F343</f>
        <v>-6.92290297E-2</v>
      </c>
    </row>
    <row r="344" spans="1:46" x14ac:dyDescent="0.25">
      <c r="A344">
        <f t="shared" si="25"/>
        <v>1987.4999999999795</v>
      </c>
      <c r="B344" s="1">
        <v>31959</v>
      </c>
      <c r="C344" s="7">
        <f t="shared" si="22"/>
        <v>1987</v>
      </c>
      <c r="D344" s="7">
        <f t="shared" si="23"/>
        <v>7</v>
      </c>
      <c r="E344" s="7">
        <f t="shared" si="24"/>
        <v>3</v>
      </c>
      <c r="F344">
        <f xml:space="preserve"> [1]Coibion_update!O350</f>
        <v>4.0975344690551632</v>
      </c>
      <c r="G344">
        <f xml:space="preserve"> [1]Coibion_update!P350</f>
        <v>6.1</v>
      </c>
      <c r="H344">
        <f xml:space="preserve"> [1]Coibion_update!Q350</f>
        <v>4.7344425216922303</v>
      </c>
      <c r="I344">
        <f xml:space="preserve"> [1]Coibion_update!W350</f>
        <v>6.58</v>
      </c>
      <c r="J344">
        <f xml:space="preserve"> [1]Coibion_update!X350</f>
        <v>5.535521601510581</v>
      </c>
      <c r="K344">
        <f xml:space="preserve"> [1]Coibion_update!Y350</f>
        <v>3.5978874376081786</v>
      </c>
      <c r="L344">
        <f xml:space="preserve"> [1]Coibion_update!Z350</f>
        <v>4.1093973648483928</v>
      </c>
      <c r="M344">
        <f xml:space="preserve"> [1]Coibion_update!AA350</f>
        <v>3.9927178081338024</v>
      </c>
      <c r="N344">
        <f xml:space="preserve"> [1]Coibion_update!AB350</f>
        <v>-3.2252999999999997E-2</v>
      </c>
      <c r="O344">
        <f xml:space="preserve"> [1]Coibion_update!AC350</f>
        <v>-4.0534290999999998</v>
      </c>
      <c r="P344">
        <f xml:space="preserve"> [1]Coibion_update!AD350</f>
        <v>-2.9667387999999972</v>
      </c>
      <c r="U344">
        <f xml:space="preserve"> [1]Gertler_Karadi!E98</f>
        <v>-2.3225800000000001E-2</v>
      </c>
      <c r="V344">
        <f xml:space="preserve"> [1]Gertler_Karadi!F98</f>
        <v>-1.54839E-2</v>
      </c>
      <c r="W344">
        <f xml:space="preserve"> [1]Gertler_Karadi!G98</f>
        <v>7.7419000000000003E-3</v>
      </c>
      <c r="X344" s="5">
        <f xml:space="preserve"> [1]misc!N427</f>
        <v>6.68</v>
      </c>
      <c r="Y344">
        <f xml:space="preserve"> [1]Gilchrist_Zak!C176</f>
        <v>0.48430000000000001</v>
      </c>
      <c r="Z344">
        <f xml:space="preserve"> [1]Sims_Zha!B347</f>
        <v>-2.5198</v>
      </c>
      <c r="AA344">
        <f xml:space="preserve"> [1]Coibion_update!AI350</f>
        <v>-1.29093E-2</v>
      </c>
      <c r="AB344">
        <f t="shared" si="21"/>
        <v>0.10629469999999984</v>
      </c>
      <c r="AC344">
        <v>-1.29093E-2</v>
      </c>
      <c r="AG344">
        <v>-0.03</v>
      </c>
      <c r="AJ344">
        <v>-1.6035500000000001E-2</v>
      </c>
      <c r="AK344">
        <v>6.75</v>
      </c>
      <c r="AL344">
        <f xml:space="preserve"> LN([1]misc!B363)</f>
        <v>6.6106960447177592</v>
      </c>
      <c r="AM344">
        <f xml:space="preserve"> LN([1]misc!D363)</f>
        <v>7.9304220107354428</v>
      </c>
      <c r="AN344">
        <f xml:space="preserve"> LN([1]misc!G468)</f>
        <v>3.5876216220397095</v>
      </c>
      <c r="AO344">
        <f xml:space="preserve"> LN([1]misc!J374 + [1]misc!L374)</f>
        <v>3.6533299936579802</v>
      </c>
      <c r="AP344">
        <f xml:space="preserve"> [1]Factors!B344</f>
        <v>-0.12745230299999999</v>
      </c>
      <c r="AQ344">
        <f xml:space="preserve"> [1]Factors!C344</f>
        <v>5.88053511E-2</v>
      </c>
      <c r="AR344">
        <f xml:space="preserve"> [1]Factors!D344</f>
        <v>3.9701489499999999E-2</v>
      </c>
      <c r="AS344">
        <f xml:space="preserve"> [1]Factors!E344</f>
        <v>9.3040262999999998E-2</v>
      </c>
      <c r="AT344">
        <f xml:space="preserve"> [1]Factors!F344</f>
        <v>5.93786075E-2</v>
      </c>
    </row>
    <row r="345" spans="1:46" x14ac:dyDescent="0.25">
      <c r="A345">
        <f t="shared" si="25"/>
        <v>1987.5833333333128</v>
      </c>
      <c r="B345" s="1">
        <v>31990</v>
      </c>
      <c r="C345" s="7">
        <f t="shared" si="22"/>
        <v>1987</v>
      </c>
      <c r="D345" s="7">
        <f t="shared" si="23"/>
        <v>8</v>
      </c>
      <c r="E345" s="7">
        <f t="shared" si="24"/>
        <v>3</v>
      </c>
      <c r="F345">
        <f xml:space="preserve"> [1]Coibion_update!O351</f>
        <v>4.1058135413252508</v>
      </c>
      <c r="G345">
        <f xml:space="preserve"> [1]Coibion_update!P351</f>
        <v>6</v>
      </c>
      <c r="H345">
        <f xml:space="preserve"> [1]Coibion_update!Q351</f>
        <v>4.7388265708007653</v>
      </c>
      <c r="I345">
        <f xml:space="preserve"> [1]Coibion_update!W351</f>
        <v>6.73</v>
      </c>
      <c r="J345">
        <f xml:space="preserve"> [1]Coibion_update!X351</f>
        <v>5.5334290136381004</v>
      </c>
      <c r="K345">
        <f xml:space="preserve"> [1]Coibion_update!Y351</f>
        <v>3.6315680874008227</v>
      </c>
      <c r="L345">
        <f xml:space="preserve"> [1]Coibion_update!Z351</f>
        <v>4.1108410767505639</v>
      </c>
      <c r="M345">
        <f xml:space="preserve"> [1]Coibion_update!AA351</f>
        <v>3.9966949814853447</v>
      </c>
      <c r="N345">
        <f xml:space="preserve"> [1]Coibion_update!AB351</f>
        <v>-9.3600999999999997E-3</v>
      </c>
      <c r="O345">
        <f xml:space="preserve"> [1]Coibion_update!AC351</f>
        <v>-4.0627892000000001</v>
      </c>
      <c r="P345">
        <f xml:space="preserve"> [1]Coibion_update!AD351</f>
        <v>-2.9867621999999971</v>
      </c>
      <c r="U345">
        <f xml:space="preserve"> [1]Gertler_Karadi!E99</f>
        <v>-6.7742000000000002E-3</v>
      </c>
      <c r="V345">
        <f xml:space="preserve"> [1]Gertler_Karadi!F99</f>
        <v>2.06451E-2</v>
      </c>
      <c r="W345">
        <f xml:space="preserve"> [1]Gertler_Karadi!G99</f>
        <v>2.7419300000000001E-2</v>
      </c>
      <c r="X345" s="5">
        <f xml:space="preserve"> [1]misc!N428</f>
        <v>7.03</v>
      </c>
      <c r="Y345">
        <f xml:space="preserve"> [1]Gilchrist_Zak!C177</f>
        <v>0.46870000000000001</v>
      </c>
      <c r="Z345">
        <f xml:space="preserve"> [1]Sims_Zha!B348</f>
        <v>0.19939000000000001</v>
      </c>
      <c r="AA345">
        <f xml:space="preserve"> [1]Coibion_update!AI351</f>
        <v>-5.3935999999999998E-2</v>
      </c>
      <c r="AB345">
        <f t="shared" si="21"/>
        <v>5.2358699999999841E-2</v>
      </c>
      <c r="AC345">
        <v>-5.3935999999999998E-2</v>
      </c>
      <c r="AG345">
        <v>0</v>
      </c>
      <c r="AJ345">
        <v>6.9830000000000001E-4</v>
      </c>
      <c r="AK345">
        <v>6.95</v>
      </c>
      <c r="AL345">
        <f xml:space="preserve"> LN([1]misc!B364)</f>
        <v>6.6132499811822303</v>
      </c>
      <c r="AM345">
        <f xml:space="preserve"> LN([1]misc!D364)</f>
        <v>7.9337251876581352</v>
      </c>
      <c r="AN345">
        <f xml:space="preserve"> LN([1]misc!G469)</f>
        <v>3.5719523020846444</v>
      </c>
      <c r="AO345">
        <f xml:space="preserve"> LN([1]misc!J375 + [1]misc!L375)</f>
        <v>3.655684549256295</v>
      </c>
      <c r="AP345">
        <f xml:space="preserve"> [1]Factors!B345</f>
        <v>-0.34283563</v>
      </c>
      <c r="AQ345">
        <f xml:space="preserve"> [1]Factors!C345</f>
        <v>-0.106291236</v>
      </c>
      <c r="AR345">
        <f xml:space="preserve"> [1]Factors!D345</f>
        <v>-3.6961137900000003E-2</v>
      </c>
      <c r="AS345">
        <f xml:space="preserve"> [1]Factors!E345</f>
        <v>9.9585174100000007E-2</v>
      </c>
      <c r="AT345">
        <f xml:space="preserve"> [1]Factors!F345</f>
        <v>4.10958846E-2</v>
      </c>
    </row>
    <row r="346" spans="1:46" x14ac:dyDescent="0.25">
      <c r="A346">
        <f t="shared" si="25"/>
        <v>1987.6666666666461</v>
      </c>
      <c r="B346" s="1">
        <v>32021</v>
      </c>
      <c r="C346" s="7">
        <f t="shared" si="22"/>
        <v>1987</v>
      </c>
      <c r="D346" s="7">
        <f t="shared" si="23"/>
        <v>9</v>
      </c>
      <c r="E346" s="7">
        <f t="shared" si="24"/>
        <v>3</v>
      </c>
      <c r="F346">
        <f xml:space="preserve"> [1]Coibion_update!O352</f>
        <v>4.1081554184472884</v>
      </c>
      <c r="G346">
        <f xml:space="preserve"> [1]Coibion_update!P352</f>
        <v>5.9</v>
      </c>
      <c r="H346">
        <f xml:space="preserve"> [1]Coibion_update!Q352</f>
        <v>4.7423200241353252</v>
      </c>
      <c r="I346">
        <f xml:space="preserve"> [1]Coibion_update!W352</f>
        <v>7.22</v>
      </c>
      <c r="J346">
        <f xml:space="preserve"> [1]Coibion_update!X352</f>
        <v>5.5441613033830226</v>
      </c>
      <c r="K346">
        <f xml:space="preserve"> [1]Coibion_update!Y352</f>
        <v>3.6102420085968636</v>
      </c>
      <c r="L346">
        <f xml:space="preserve"> [1]Coibion_update!Z352</f>
        <v>4.1086090062358052</v>
      </c>
      <c r="M346">
        <f xml:space="preserve"> [1]Coibion_update!AA352</f>
        <v>3.995094966431223</v>
      </c>
      <c r="N346">
        <f xml:space="preserve"> [1]Coibion_update!AB352</f>
        <v>-0.1332063</v>
      </c>
      <c r="O346">
        <f xml:space="preserve"> [1]Coibion_update!AC352</f>
        <v>-4.1959955000000004</v>
      </c>
      <c r="P346">
        <f xml:space="preserve"> [1]Coibion_update!AD352</f>
        <v>-3.1339328999999969</v>
      </c>
      <c r="U346">
        <f xml:space="preserve"> [1]Gertler_Karadi!E100</f>
        <v>0.15933330000000001</v>
      </c>
      <c r="V346">
        <f xml:space="preserve"> [1]Gertler_Karadi!F100</f>
        <v>0.17883879999999999</v>
      </c>
      <c r="W346">
        <f xml:space="preserve"> [1]Gertler_Karadi!G100</f>
        <v>0.14183879999999999</v>
      </c>
      <c r="X346" s="5">
        <f xml:space="preserve"> [1]misc!N429</f>
        <v>7.67</v>
      </c>
      <c r="Y346">
        <f xml:space="preserve"> [1]Gilchrist_Zak!C178</f>
        <v>0.4904</v>
      </c>
      <c r="Z346">
        <f xml:space="preserve"> [1]Sims_Zha!B349</f>
        <v>1.9813000000000001</v>
      </c>
      <c r="AA346">
        <f xml:space="preserve"> [1]Coibion_update!AI352</f>
        <v>-0.14601729999999999</v>
      </c>
      <c r="AB346">
        <f t="shared" si="21"/>
        <v>-9.3658600000000147E-2</v>
      </c>
      <c r="AC346">
        <v>-0.14601729999999999</v>
      </c>
      <c r="AG346">
        <v>0.19</v>
      </c>
      <c r="AJ346">
        <v>8.8965999999999993E-3</v>
      </c>
      <c r="AK346">
        <v>8.3800000000000008</v>
      </c>
      <c r="AL346">
        <f xml:space="preserve"> LN([1]misc!B365)</f>
        <v>6.616868075581408</v>
      </c>
      <c r="AM346">
        <f xml:space="preserve"> LN([1]misc!D365)</f>
        <v>7.9378031757813625</v>
      </c>
      <c r="AN346">
        <f xml:space="preserve"> LN([1]misc!G470)</f>
        <v>3.6015771257111395</v>
      </c>
      <c r="AO346">
        <f xml:space="preserve"> LN([1]misc!J376 + [1]misc!L376)</f>
        <v>3.6529154321803499</v>
      </c>
      <c r="AP346">
        <f xml:space="preserve"> [1]Factors!B346</f>
        <v>-0.33945157199999998</v>
      </c>
      <c r="AQ346">
        <f xml:space="preserve"> [1]Factors!C346</f>
        <v>8.7233767499999993E-3</v>
      </c>
      <c r="AR346">
        <f xml:space="preserve"> [1]Factors!D346</f>
        <v>0.14854247600000001</v>
      </c>
      <c r="AS346">
        <f xml:space="preserve"> [1]Factors!E346</f>
        <v>3.01239651E-2</v>
      </c>
      <c r="AT346">
        <f xml:space="preserve"> [1]Factors!F346</f>
        <v>-2.8467840099999999E-2</v>
      </c>
    </row>
    <row r="347" spans="1:46" x14ac:dyDescent="0.25">
      <c r="A347">
        <f t="shared" si="25"/>
        <v>1987.7499999999793</v>
      </c>
      <c r="B347" s="1">
        <v>32051</v>
      </c>
      <c r="C347" s="7">
        <f t="shared" si="22"/>
        <v>1987</v>
      </c>
      <c r="D347" s="7">
        <f t="shared" si="23"/>
        <v>10</v>
      </c>
      <c r="E347" s="7">
        <f t="shared" si="24"/>
        <v>4</v>
      </c>
      <c r="F347">
        <f xml:space="preserve"> [1]Coibion_update!O353</f>
        <v>4.1226274699501539</v>
      </c>
      <c r="G347">
        <f xml:space="preserve"> [1]Coibion_update!P353</f>
        <v>6</v>
      </c>
      <c r="H347">
        <f xml:space="preserve"> [1]Coibion_update!Q353</f>
        <v>4.7449321283632502</v>
      </c>
      <c r="I347">
        <f xml:space="preserve"> [1]Coibion_update!W353</f>
        <v>7.29</v>
      </c>
      <c r="J347">
        <f xml:space="preserve"> [1]Coibion_update!X353</f>
        <v>5.5448258201669791</v>
      </c>
      <c r="K347">
        <f xml:space="preserve"> [1]Coibion_update!Y353</f>
        <v>3.5702085243962576</v>
      </c>
      <c r="L347">
        <f xml:space="preserve"> [1]Coibion_update!Z353</f>
        <v>4.1088554350725115</v>
      </c>
      <c r="M347">
        <f xml:space="preserve"> [1]Coibion_update!AA353</f>
        <v>4.0035259468895168</v>
      </c>
      <c r="N347">
        <f xml:space="preserve"> [1]Coibion_update!AB353</f>
        <v>0</v>
      </c>
      <c r="O347">
        <f xml:space="preserve"> [1]Coibion_update!AC353</f>
        <v>-4.1959955000000004</v>
      </c>
      <c r="P347">
        <f xml:space="preserve"> [1]Coibion_update!AD353</f>
        <v>-3.1339328999999969</v>
      </c>
      <c r="U347">
        <f xml:space="preserve"> [1]Gertler_Karadi!E101</f>
        <v>3.8408600000000001E-2</v>
      </c>
      <c r="V347">
        <f xml:space="preserve"> [1]Gertler_Karadi!F101</f>
        <v>0.1127741</v>
      </c>
      <c r="W347">
        <f xml:space="preserve"> [1]Gertler_Karadi!G101</f>
        <v>0.13170970000000001</v>
      </c>
      <c r="X347" s="5">
        <f xml:space="preserve"> [1]misc!N430</f>
        <v>7.59</v>
      </c>
      <c r="Y347">
        <f xml:space="preserve"> [1]Gilchrist_Zak!C179</f>
        <v>-0.8548</v>
      </c>
      <c r="Z347">
        <f xml:space="preserve"> [1]Sims_Zha!B350</f>
        <v>-1.6221000000000001</v>
      </c>
      <c r="AA347">
        <f xml:space="preserve"> [1]Coibion_update!AI353</f>
        <v>0</v>
      </c>
      <c r="AB347">
        <f t="shared" si="21"/>
        <v>-9.3658600000000147E-2</v>
      </c>
      <c r="AC347">
        <v>0</v>
      </c>
      <c r="AG347">
        <v>0.01</v>
      </c>
      <c r="AJ347">
        <v>0</v>
      </c>
      <c r="AK347">
        <v>6.62</v>
      </c>
      <c r="AL347">
        <f xml:space="preserve"> LN([1]misc!B366)</f>
        <v>6.6283058914568329</v>
      </c>
      <c r="AM347">
        <f xml:space="preserve"> LN([1]misc!D366)</f>
        <v>7.943356767840843</v>
      </c>
      <c r="AN347">
        <f xml:space="preserve"> LN([1]misc!G471)</f>
        <v>3.6164431608492245</v>
      </c>
      <c r="AO347">
        <f xml:space="preserve"> LN([1]misc!J377 + [1]misc!L377)</f>
        <v>3.6720638611853742</v>
      </c>
      <c r="AP347">
        <f xml:space="preserve"> [1]Factors!B347</f>
        <v>-0.29807921900000001</v>
      </c>
      <c r="AQ347">
        <f xml:space="preserve"> [1]Factors!C347</f>
        <v>3.0071156200000001E-2</v>
      </c>
      <c r="AR347">
        <f xml:space="preserve"> [1]Factors!D347</f>
        <v>0.29169704400000002</v>
      </c>
      <c r="AS347">
        <f xml:space="preserve"> [1]Factors!E347</f>
        <v>-0.21632037600000001</v>
      </c>
      <c r="AT347">
        <f xml:space="preserve"> [1]Factors!F347</f>
        <v>0.17300931999999999</v>
      </c>
    </row>
    <row r="348" spans="1:46" x14ac:dyDescent="0.25">
      <c r="A348">
        <f t="shared" si="25"/>
        <v>1987.8333333333126</v>
      </c>
      <c r="B348" s="1">
        <v>32082</v>
      </c>
      <c r="C348" s="7">
        <f t="shared" si="22"/>
        <v>1987</v>
      </c>
      <c r="D348" s="7">
        <f t="shared" si="23"/>
        <v>11</v>
      </c>
      <c r="E348" s="7">
        <f t="shared" si="24"/>
        <v>4</v>
      </c>
      <c r="F348">
        <f xml:space="preserve"> [1]Coibion_update!O354</f>
        <v>4.1277841738865888</v>
      </c>
      <c r="G348">
        <f xml:space="preserve"> [1]Coibion_update!P354</f>
        <v>5.8</v>
      </c>
      <c r="H348">
        <f xml:space="preserve"> [1]Coibion_update!Q354</f>
        <v>4.7484043540739993</v>
      </c>
      <c r="I348">
        <f xml:space="preserve"> [1]Coibion_update!W354</f>
        <v>6.69</v>
      </c>
      <c r="J348">
        <f xml:space="preserve"> [1]Coibion_update!X354</f>
        <v>5.5353243745213998</v>
      </c>
      <c r="K348">
        <f xml:space="preserve"> [1]Coibion_update!Y354</f>
        <v>3.579399353495115</v>
      </c>
      <c r="L348">
        <f xml:space="preserve"> [1]Coibion_update!Z354</f>
        <v>4.1098077222754661</v>
      </c>
      <c r="M348">
        <f xml:space="preserve"> [1]Coibion_update!AA354</f>
        <v>4.0028686887277223</v>
      </c>
      <c r="N348">
        <f xml:space="preserve"> [1]Coibion_update!AB354</f>
        <v>-5.9647699999999998E-2</v>
      </c>
      <c r="O348">
        <f xml:space="preserve"> [1]Coibion_update!AC354</f>
        <v>-4.2556432000000006</v>
      </c>
      <c r="P348">
        <f xml:space="preserve"> [1]Coibion_update!AD354</f>
        <v>-3.2182885999999971</v>
      </c>
      <c r="U348">
        <f xml:space="preserve"> [1]Gertler_Karadi!E102</f>
        <v>-6.7419000000000003E-3</v>
      </c>
      <c r="V348">
        <f xml:space="preserve"> [1]Gertler_Karadi!F102</f>
        <v>0.1272258</v>
      </c>
      <c r="W348">
        <f xml:space="preserve"> [1]Gertler_Karadi!G102</f>
        <v>0.18429029999999999</v>
      </c>
      <c r="X348" s="5">
        <f xml:space="preserve"> [1]misc!N431</f>
        <v>6.96</v>
      </c>
      <c r="Y348">
        <f xml:space="preserve"> [1]Gilchrist_Zak!C180</f>
        <v>0.26290000000000002</v>
      </c>
      <c r="Z348">
        <f xml:space="preserve"> [1]Sims_Zha!B351</f>
        <v>-5.4028999999999998</v>
      </c>
      <c r="AA348">
        <f xml:space="preserve"> [1]Coibion_update!AI354</f>
        <v>-8.4083099999999994E-2</v>
      </c>
      <c r="AB348">
        <f t="shared" si="21"/>
        <v>-0.17774170000000014</v>
      </c>
      <c r="AC348">
        <v>-8.4083099999999994E-2</v>
      </c>
      <c r="AG348">
        <v>-0.01</v>
      </c>
      <c r="AJ348">
        <v>1.6279499999999999E-2</v>
      </c>
      <c r="AK348">
        <v>7.19</v>
      </c>
      <c r="AL348">
        <f xml:space="preserve"> LN([1]misc!B367)</f>
        <v>6.6243307967829974</v>
      </c>
      <c r="AM348">
        <f xml:space="preserve"> LN([1]misc!D367)</f>
        <v>7.9449884946404019</v>
      </c>
      <c r="AN348">
        <f xml:space="preserve"> LN([1]misc!G472)</f>
        <v>3.6240742307478206</v>
      </c>
      <c r="AO348">
        <f xml:space="preserve"> LN([1]misc!J378 + [1]misc!L378)</f>
        <v>3.6662247635491303</v>
      </c>
      <c r="AP348">
        <f xml:space="preserve"> [1]Factors!B348</f>
        <v>-0.57243592600000004</v>
      </c>
      <c r="AQ348">
        <f xml:space="preserve"> [1]Factors!C348</f>
        <v>-0.16165886300000001</v>
      </c>
      <c r="AR348">
        <f xml:space="preserve"> [1]Factors!D348</f>
        <v>3.4799916E-2</v>
      </c>
      <c r="AS348">
        <f xml:space="preserve"> [1]Factors!E348</f>
        <v>-4.1553376000000003E-2</v>
      </c>
      <c r="AT348">
        <f xml:space="preserve"> [1]Factors!F348</f>
        <v>-0.105482479</v>
      </c>
    </row>
    <row r="349" spans="1:46" x14ac:dyDescent="0.25">
      <c r="A349">
        <f t="shared" si="25"/>
        <v>1987.9166666666458</v>
      </c>
      <c r="B349" s="1">
        <v>32112</v>
      </c>
      <c r="C349" s="7">
        <f t="shared" si="22"/>
        <v>1987</v>
      </c>
      <c r="D349" s="7">
        <f t="shared" si="23"/>
        <v>12</v>
      </c>
      <c r="E349" s="7">
        <f t="shared" si="24"/>
        <v>4</v>
      </c>
      <c r="F349">
        <f xml:space="preserve"> [1]Coibion_update!O355</f>
        <v>4.1326578124733908</v>
      </c>
      <c r="G349">
        <f xml:space="preserve"> [1]Coibion_update!P355</f>
        <v>5.7</v>
      </c>
      <c r="H349">
        <f xml:space="preserve"> [1]Coibion_update!Q355</f>
        <v>4.7501359562382772</v>
      </c>
      <c r="I349">
        <f xml:space="preserve"> [1]Coibion_update!W355</f>
        <v>6.77</v>
      </c>
      <c r="J349">
        <f xml:space="preserve"> [1]Coibion_update!X355</f>
        <v>5.5431049859201176</v>
      </c>
      <c r="K349">
        <f xml:space="preserve"> [1]Coibion_update!Y355</f>
        <v>3.6078320752606143</v>
      </c>
      <c r="L349">
        <f xml:space="preserve"> [1]Coibion_update!Z355</f>
        <v>4.1138693731531095</v>
      </c>
      <c r="M349">
        <f xml:space="preserve"> [1]Coibion_update!AA355</f>
        <v>4.0070967936578201</v>
      </c>
      <c r="N349">
        <f xml:space="preserve"> [1]Coibion_update!AB355</f>
        <v>-0.1259441</v>
      </c>
      <c r="O349">
        <f xml:space="preserve"> [1]Coibion_update!AC355</f>
        <v>-4.3815873000000005</v>
      </c>
      <c r="P349">
        <f xml:space="preserve"> [1]Coibion_update!AD355</f>
        <v>-3.3979257999999972</v>
      </c>
      <c r="U349">
        <f xml:space="preserve"> [1]Gertler_Karadi!E103</f>
        <v>3.8387E-3</v>
      </c>
      <c r="V349">
        <f xml:space="preserve"> [1]Gertler_Karadi!F103</f>
        <v>-4.3226000000000002E-3</v>
      </c>
      <c r="W349">
        <f xml:space="preserve"> [1]Gertler_Karadi!G103</f>
        <v>1.60322E-2</v>
      </c>
      <c r="X349" s="5">
        <f xml:space="preserve"> [1]misc!N432</f>
        <v>7.17</v>
      </c>
      <c r="Y349">
        <f xml:space="preserve"> [1]Gilchrist_Zak!C181</f>
        <v>3.5000000000000001E-3</v>
      </c>
      <c r="Z349">
        <f xml:space="preserve"> [1]Sims_Zha!B352</f>
        <v>-0.37053999999999998</v>
      </c>
      <c r="AA349">
        <f xml:space="preserve"> [1]Coibion_update!AI355</f>
        <v>-3.8429999999999999E-2</v>
      </c>
      <c r="AB349">
        <f t="shared" si="21"/>
        <v>-0.21617170000000013</v>
      </c>
      <c r="AC349">
        <v>-3.8429999999999999E-2</v>
      </c>
      <c r="AG349">
        <v>0.01</v>
      </c>
      <c r="AJ349">
        <v>6.2871000000000003E-3</v>
      </c>
      <c r="AK349">
        <v>6.89</v>
      </c>
      <c r="AL349">
        <f xml:space="preserve"> LN([1]misc!B368)</f>
        <v>6.6203398376477871</v>
      </c>
      <c r="AM349">
        <f xml:space="preserve"> LN([1]misc!D368)</f>
        <v>7.9476078724433243</v>
      </c>
      <c r="AN349">
        <f xml:space="preserve"> LN([1]misc!G473)</f>
        <v>3.6294478703445097</v>
      </c>
      <c r="AO349">
        <f xml:space="preserve"> LN([1]misc!J379 + [1]misc!L379)</f>
        <v>3.6537443833456069</v>
      </c>
      <c r="AP349">
        <f xml:space="preserve"> [1]Factors!B349</f>
        <v>-0.114401236</v>
      </c>
      <c r="AQ349">
        <f xml:space="preserve"> [1]Factors!C349</f>
        <v>-0.122464516</v>
      </c>
      <c r="AR349">
        <f xml:space="preserve"> [1]Factors!D349</f>
        <v>-0.23553818000000001</v>
      </c>
      <c r="AS349">
        <f xml:space="preserve"> [1]Factors!E349</f>
        <v>0.29687495699999999</v>
      </c>
      <c r="AT349">
        <f xml:space="preserve"> [1]Factors!F349</f>
        <v>0.17098395299999999</v>
      </c>
    </row>
    <row r="350" spans="1:46" x14ac:dyDescent="0.25">
      <c r="A350">
        <f t="shared" si="25"/>
        <v>1987.9999999999791</v>
      </c>
      <c r="B350" s="1">
        <v>32143</v>
      </c>
      <c r="C350" s="7">
        <f t="shared" si="22"/>
        <v>1988</v>
      </c>
      <c r="D350" s="7">
        <f t="shared" si="23"/>
        <v>1</v>
      </c>
      <c r="E350" s="7">
        <f t="shared" si="24"/>
        <v>1</v>
      </c>
      <c r="F350">
        <f xml:space="preserve"> [1]Coibion_update!O356</f>
        <v>4.1331789828253029</v>
      </c>
      <c r="G350">
        <f xml:space="preserve"> [1]Coibion_update!P356</f>
        <v>5.7</v>
      </c>
      <c r="H350">
        <f xml:space="preserve"> [1]Coibion_update!Q356</f>
        <v>4.7535901911063645</v>
      </c>
      <c r="I350">
        <f xml:space="preserve"> [1]Coibion_update!W356</f>
        <v>6.83</v>
      </c>
      <c r="J350">
        <f xml:space="preserve"> [1]Coibion_update!X356</f>
        <v>5.5635620938808819</v>
      </c>
      <c r="K350">
        <f xml:space="preserve"> [1]Coibion_update!Y356</f>
        <v>3.6327058493079929</v>
      </c>
      <c r="L350">
        <f xml:space="preserve"> [1]Coibion_update!Z356</f>
        <v>4.1130845335961537</v>
      </c>
      <c r="M350">
        <f xml:space="preserve"> [1]Coibion_update!AA356</f>
        <v>4.0158603616674</v>
      </c>
      <c r="N350">
        <f xml:space="preserve"> [1]Coibion_update!AB356</f>
        <v>0</v>
      </c>
      <c r="O350">
        <f xml:space="preserve"> [1]Coibion_update!AC356</f>
        <v>-4.3815873000000005</v>
      </c>
      <c r="P350">
        <f xml:space="preserve"> [1]Coibion_update!AD356</f>
        <v>-3.3979257999999972</v>
      </c>
      <c r="U350">
        <f xml:space="preserve"> [1]Gertler_Karadi!E104</f>
        <v>2.5807E-3</v>
      </c>
      <c r="V350">
        <f xml:space="preserve"> [1]Gertler_Karadi!F104</f>
        <v>9.0322000000000006E-3</v>
      </c>
      <c r="W350">
        <f xml:space="preserve"> [1]Gertler_Karadi!G104</f>
        <v>3.0967700000000001E-2</v>
      </c>
      <c r="X350" s="5">
        <f xml:space="preserve"> [1]misc!N433</f>
        <v>6.99</v>
      </c>
      <c r="Y350">
        <f xml:space="preserve"> [1]Gilchrist_Zak!C182</f>
        <v>-0.18629999999999999</v>
      </c>
      <c r="Z350">
        <f xml:space="preserve"> [1]Sims_Zha!B353</f>
        <v>-0.55825000000000002</v>
      </c>
      <c r="AA350">
        <f xml:space="preserve"> [1]Coibion_update!AI356</f>
        <v>0</v>
      </c>
      <c r="AB350">
        <f t="shared" si="21"/>
        <v>-0.21617170000000013</v>
      </c>
      <c r="AC350">
        <v>0</v>
      </c>
      <c r="AG350">
        <v>-0.02</v>
      </c>
      <c r="AJ350">
        <v>0</v>
      </c>
      <c r="AK350">
        <v>6.79</v>
      </c>
      <c r="AL350">
        <f xml:space="preserve"> LN([1]misc!B369)</f>
        <v>6.6283058914568329</v>
      </c>
      <c r="AM350">
        <f xml:space="preserve"> LN([1]misc!D369)</f>
        <v>7.9550040953616881</v>
      </c>
      <c r="AN350">
        <f xml:space="preserve"> LN([1]misc!G474)</f>
        <v>3.6226060956826487</v>
      </c>
      <c r="AO350">
        <f xml:space="preserve"> LN([1]misc!J380 + [1]misc!L380)</f>
        <v>3.6572597797334749</v>
      </c>
      <c r="AP350">
        <f xml:space="preserve"> [1]Factors!B350</f>
        <v>-0.28984385099999999</v>
      </c>
      <c r="AQ350">
        <f xml:space="preserve"> [1]Factors!C350</f>
        <v>-0.26055779299999998</v>
      </c>
      <c r="AR350">
        <f xml:space="preserve"> [1]Factors!D350</f>
        <v>-8.3135406499999998E-5</v>
      </c>
      <c r="AS350">
        <f xml:space="preserve"> [1]Factors!E350</f>
        <v>-1.8115282E-2</v>
      </c>
      <c r="AT350">
        <f xml:space="preserve"> [1]Factors!F350</f>
        <v>0.16571816</v>
      </c>
    </row>
    <row r="351" spans="1:46" x14ac:dyDescent="0.25">
      <c r="A351">
        <f t="shared" si="25"/>
        <v>1988.0833333333123</v>
      </c>
      <c r="B351" s="1">
        <v>32174</v>
      </c>
      <c r="C351" s="7">
        <f t="shared" si="22"/>
        <v>1988</v>
      </c>
      <c r="D351" s="7">
        <f t="shared" si="23"/>
        <v>2</v>
      </c>
      <c r="E351" s="7">
        <f t="shared" si="24"/>
        <v>1</v>
      </c>
      <c r="F351">
        <f xml:space="preserve"> [1]Coibion_update!O357</f>
        <v>4.1375557004642607</v>
      </c>
      <c r="G351">
        <f xml:space="preserve"> [1]Coibion_update!P357</f>
        <v>5.7</v>
      </c>
      <c r="H351">
        <f xml:space="preserve"> [1]Coibion_update!Q357</f>
        <v>4.7553128444178112</v>
      </c>
      <c r="I351">
        <f xml:space="preserve"> [1]Coibion_update!W357</f>
        <v>6.58</v>
      </c>
      <c r="J351">
        <f xml:space="preserve"> [1]Coibion_update!X357</f>
        <v>5.5565963746305016</v>
      </c>
      <c r="K351">
        <f xml:space="preserve"> [1]Coibion_update!Y357</f>
        <v>3.629686619301117</v>
      </c>
      <c r="L351">
        <f xml:space="preserve"> [1]Coibion_update!Z357</f>
        <v>4.11622020273954</v>
      </c>
      <c r="M351">
        <f xml:space="preserve"> [1]Coibion_update!AA357</f>
        <v>4.0169234152535163</v>
      </c>
      <c r="N351">
        <f xml:space="preserve"> [1]Coibion_update!AB357</f>
        <v>-0.17396619999999999</v>
      </c>
      <c r="O351">
        <f xml:space="preserve"> [1]Coibion_update!AC357</f>
        <v>-4.5555535000000003</v>
      </c>
      <c r="P351">
        <f xml:space="preserve"> [1]Coibion_update!AD357</f>
        <v>-3.6214115999999974</v>
      </c>
      <c r="U351">
        <f xml:space="preserve"> [1]Gertler_Karadi!E105</f>
        <v>-1.7419400000000002E-2</v>
      </c>
      <c r="V351">
        <f xml:space="preserve"> [1]Gertler_Karadi!F105</f>
        <v>-8.7097000000000008E-3</v>
      </c>
      <c r="W351">
        <f xml:space="preserve"> [1]Gertler_Karadi!G105</f>
        <v>-6.5516999999999997E-3</v>
      </c>
      <c r="X351" s="5">
        <f xml:space="preserve"> [1]misc!N434</f>
        <v>6.64</v>
      </c>
      <c r="Y351">
        <f xml:space="preserve"> [1]Gilchrist_Zak!C183</f>
        <v>0.2273</v>
      </c>
      <c r="Z351">
        <f xml:space="preserve"> [1]Sims_Zha!B354</f>
        <v>-1.8211999999999999</v>
      </c>
      <c r="AA351">
        <f xml:space="preserve"> [1]Coibion_update!AI357</f>
        <v>-0.109303</v>
      </c>
      <c r="AB351">
        <f t="shared" si="21"/>
        <v>-0.32547470000000012</v>
      </c>
      <c r="AC351">
        <v>-0.109303</v>
      </c>
      <c r="AG351">
        <v>0</v>
      </c>
      <c r="AJ351">
        <v>1.20252E-2</v>
      </c>
      <c r="AK351">
        <v>6.67</v>
      </c>
      <c r="AL351">
        <f xml:space="preserve"> LN([1]misc!B370)</f>
        <v>6.6302875289373278</v>
      </c>
      <c r="AM351">
        <f xml:space="preserve"> LN([1]misc!D370)</f>
        <v>7.9630076330606814</v>
      </c>
      <c r="AN351">
        <f xml:space="preserve"> LN([1]misc!G475)</f>
        <v>3.5312602659603236</v>
      </c>
      <c r="AO351">
        <f xml:space="preserve"> LN([1]misc!J381 + [1]misc!L381)</f>
        <v>3.6690593266646299</v>
      </c>
      <c r="AP351">
        <f xml:space="preserve"> [1]Factors!B351</f>
        <v>0.10506149400000001</v>
      </c>
      <c r="AQ351">
        <f xml:space="preserve"> [1]Factors!C351</f>
        <v>-4.47679208E-2</v>
      </c>
      <c r="AR351">
        <f xml:space="preserve"> [1]Factors!D351</f>
        <v>-8.8243563400000002E-2</v>
      </c>
      <c r="AS351">
        <f xml:space="preserve"> [1]Factors!E351</f>
        <v>0.17657535999999999</v>
      </c>
      <c r="AT351">
        <f xml:space="preserve"> [1]Factors!F351</f>
        <v>0.12771356</v>
      </c>
    </row>
    <row r="352" spans="1:46" x14ac:dyDescent="0.25">
      <c r="A352">
        <f t="shared" si="25"/>
        <v>1988.1666666666456</v>
      </c>
      <c r="B352" s="1">
        <v>32203</v>
      </c>
      <c r="C352" s="7">
        <f t="shared" si="22"/>
        <v>1988</v>
      </c>
      <c r="D352" s="7">
        <f t="shared" si="23"/>
        <v>3</v>
      </c>
      <c r="E352" s="7">
        <f t="shared" si="24"/>
        <v>1</v>
      </c>
      <c r="F352">
        <f xml:space="preserve"> [1]Coibion_update!O358</f>
        <v>4.1397846767918578</v>
      </c>
      <c r="G352">
        <f xml:space="preserve"> [1]Coibion_update!P358</f>
        <v>5.7</v>
      </c>
      <c r="H352">
        <f xml:space="preserve"> [1]Coibion_update!Q358</f>
        <v>4.7578912730057557</v>
      </c>
      <c r="I352">
        <f xml:space="preserve"> [1]Coibion_update!W358</f>
        <v>6.58</v>
      </c>
      <c r="J352">
        <f xml:space="preserve"> [1]Coibion_update!X358</f>
        <v>5.5545087719084467</v>
      </c>
      <c r="K352">
        <f xml:space="preserve"> [1]Coibion_update!Y358</f>
        <v>3.6341328354388343</v>
      </c>
      <c r="L352">
        <f xml:space="preserve"> [1]Coibion_update!Z358</f>
        <v>4.1352465535425269</v>
      </c>
      <c r="M352">
        <f xml:space="preserve"> [1]Coibion_update!AA358</f>
        <v>4.0220426504666955</v>
      </c>
      <c r="N352">
        <f xml:space="preserve"> [1]Coibion_update!AB358</f>
        <v>8.6341899999999999E-2</v>
      </c>
      <c r="O352">
        <f xml:space="preserve"> [1]Coibion_update!AC358</f>
        <v>-4.4692116000000004</v>
      </c>
      <c r="P352">
        <f xml:space="preserve"> [1]Coibion_update!AD358</f>
        <v>-3.6026672999999976</v>
      </c>
      <c r="U352">
        <f xml:space="preserve"> [1]Gertler_Karadi!E106</f>
        <v>-6.4519999999999996E-4</v>
      </c>
      <c r="V352">
        <f xml:space="preserve"> [1]Gertler_Karadi!F106</f>
        <v>6.4519999999999996E-4</v>
      </c>
      <c r="W352">
        <f xml:space="preserve"> [1]Gertler_Karadi!G106</f>
        <v>-2.8031000000000002E-3</v>
      </c>
      <c r="X352" s="5">
        <f xml:space="preserve"> [1]misc!N435</f>
        <v>6.71</v>
      </c>
      <c r="Y352">
        <f xml:space="preserve"> [1]Gilchrist_Zak!C184</f>
        <v>-5.0999999999999997E-2</v>
      </c>
      <c r="Z352">
        <f xml:space="preserve"> [1]Sims_Zha!B355</f>
        <v>0.72406999999999999</v>
      </c>
      <c r="AA352">
        <f xml:space="preserve"> [1]Coibion_update!AI358</f>
        <v>0.1186012</v>
      </c>
      <c r="AB352">
        <f t="shared" si="21"/>
        <v>-0.2068735000000001</v>
      </c>
      <c r="AC352">
        <v>0.1186012</v>
      </c>
      <c r="AG352">
        <v>-0.01</v>
      </c>
      <c r="AJ352">
        <v>-2.60833E-2</v>
      </c>
      <c r="AK352">
        <v>6.83</v>
      </c>
      <c r="AL352">
        <f xml:space="preserve"> LN([1]misc!B371)</f>
        <v>6.6356840540445035</v>
      </c>
      <c r="AM352">
        <f xml:space="preserve"> LN([1]misc!D371)</f>
        <v>7.9700493049761354</v>
      </c>
      <c r="AN352">
        <f xml:space="preserve"> LN([1]misc!G476)</f>
        <v>3.5813777588774447</v>
      </c>
      <c r="AO352">
        <f xml:space="preserve"> LN([1]misc!J382 + [1]misc!L382)</f>
        <v>3.6633821428404079</v>
      </c>
      <c r="AP352">
        <f xml:space="preserve"> [1]Factors!B352</f>
        <v>-0.15658915100000001</v>
      </c>
      <c r="AQ352">
        <f xml:space="preserve"> [1]Factors!C352</f>
        <v>-0.2306909</v>
      </c>
      <c r="AR352">
        <f xml:space="preserve"> [1]Factors!D352</f>
        <v>-0.31531589199999999</v>
      </c>
      <c r="AS352">
        <f xml:space="preserve"> [1]Factors!E352</f>
        <v>0.177126169</v>
      </c>
      <c r="AT352">
        <f xml:space="preserve"> [1]Factors!F352</f>
        <v>7.1165210600000001E-2</v>
      </c>
    </row>
    <row r="353" spans="1:46" x14ac:dyDescent="0.25">
      <c r="A353">
        <f t="shared" si="25"/>
        <v>1988.2499999999789</v>
      </c>
      <c r="B353" s="1">
        <v>32234</v>
      </c>
      <c r="C353" s="7">
        <f t="shared" si="22"/>
        <v>1988</v>
      </c>
      <c r="D353" s="7">
        <f t="shared" si="23"/>
        <v>4</v>
      </c>
      <c r="E353" s="7">
        <f t="shared" si="24"/>
        <v>2</v>
      </c>
      <c r="F353">
        <f xml:space="preserve"> [1]Coibion_update!O359</f>
        <v>4.1451248083562335</v>
      </c>
      <c r="G353">
        <f xml:space="preserve"> [1]Coibion_update!P359</f>
        <v>5.4</v>
      </c>
      <c r="H353">
        <f xml:space="preserve"> [1]Coibion_update!Q359</f>
        <v>4.7638818771429126</v>
      </c>
      <c r="I353">
        <f xml:space="preserve"> [1]Coibion_update!W359</f>
        <v>6.87</v>
      </c>
      <c r="J353">
        <f xml:space="preserve"> [1]Coibion_update!X359</f>
        <v>5.5690694317769722</v>
      </c>
      <c r="K353">
        <f xml:space="preserve"> [1]Coibion_update!Y359</f>
        <v>3.6226862313791375</v>
      </c>
      <c r="L353">
        <f xml:space="preserve"> [1]Coibion_update!Z359</f>
        <v>4.1265697095168372</v>
      </c>
      <c r="M353">
        <f xml:space="preserve"> [1]Coibion_update!AA359</f>
        <v>4.0217380264510085</v>
      </c>
      <c r="N353">
        <f xml:space="preserve"> [1]Coibion_update!AB359</f>
        <v>0</v>
      </c>
      <c r="O353">
        <f xml:space="preserve"> [1]Coibion_update!AC359</f>
        <v>-4.4692116000000004</v>
      </c>
      <c r="P353">
        <f xml:space="preserve"> [1]Coibion_update!AD359</f>
        <v>-3.6026672999999976</v>
      </c>
      <c r="U353">
        <f xml:space="preserve"> [1]Gertler_Karadi!E107</f>
        <v>-9.3547999999999999E-3</v>
      </c>
      <c r="V353">
        <f xml:space="preserve"> [1]Gertler_Karadi!F107</f>
        <v>9.3547999999999999E-3</v>
      </c>
      <c r="W353">
        <f xml:space="preserve"> [1]Gertler_Karadi!G107</f>
        <v>9.3547999999999999E-3</v>
      </c>
      <c r="X353" s="5">
        <f xml:space="preserve"> [1]misc!N436</f>
        <v>7.01</v>
      </c>
      <c r="Y353">
        <f xml:space="preserve"> [1]Gilchrist_Zak!C185</f>
        <v>-1.1999999999999999E-3</v>
      </c>
      <c r="Z353">
        <f xml:space="preserve"> [1]Sims_Zha!B356</f>
        <v>2.0941000000000001</v>
      </c>
      <c r="AA353">
        <f xml:space="preserve"> [1]Coibion_update!AI359</f>
        <v>0</v>
      </c>
      <c r="AB353">
        <f t="shared" si="21"/>
        <v>-0.2068735000000001</v>
      </c>
      <c r="AC353">
        <v>0</v>
      </c>
      <c r="AG353">
        <v>0</v>
      </c>
      <c r="AJ353">
        <v>0</v>
      </c>
      <c r="AK353">
        <v>6.98</v>
      </c>
      <c r="AL353">
        <f xml:space="preserve"> LN([1]misc!B372)</f>
        <v>6.6439199330046366</v>
      </c>
      <c r="AM353">
        <f xml:space="preserve"> LN([1]misc!D372)</f>
        <v>7.9769730852407923</v>
      </c>
      <c r="AN353">
        <f xml:space="preserve"> LN([1]misc!G477)</f>
        <v>3.6469891808537507</v>
      </c>
      <c r="AO353">
        <f xml:space="preserve"> LN([1]misc!J383 + [1]misc!L383)</f>
        <v>3.6700278744285746</v>
      </c>
      <c r="AP353">
        <f xml:space="preserve"> [1]Factors!B353</f>
        <v>-0.13838568000000001</v>
      </c>
      <c r="AQ353">
        <f xml:space="preserve"> [1]Factors!C353</f>
        <v>-6.34078388E-3</v>
      </c>
      <c r="AR353">
        <f xml:space="preserve"> [1]Factors!D353</f>
        <v>-1.2168188300000001E-3</v>
      </c>
      <c r="AS353">
        <f xml:space="preserve"> [1]Factors!E353</f>
        <v>8.3656625900000003E-2</v>
      </c>
      <c r="AT353">
        <f xml:space="preserve"> [1]Factors!F353</f>
        <v>6.0662313400000001E-2</v>
      </c>
    </row>
    <row r="354" spans="1:46" x14ac:dyDescent="0.25">
      <c r="A354">
        <f t="shared" si="25"/>
        <v>1988.3333333333121</v>
      </c>
      <c r="B354" s="1">
        <v>32264</v>
      </c>
      <c r="C354" s="7">
        <f t="shared" si="22"/>
        <v>1988</v>
      </c>
      <c r="D354" s="7">
        <f t="shared" si="23"/>
        <v>5</v>
      </c>
      <c r="E354" s="7">
        <f t="shared" si="24"/>
        <v>2</v>
      </c>
      <c r="F354">
        <f xml:space="preserve"> [1]Coibion_update!O360</f>
        <v>4.1440200486638066</v>
      </c>
      <c r="G354">
        <f xml:space="preserve"> [1]Coibion_update!P360</f>
        <v>5.6</v>
      </c>
      <c r="H354">
        <f xml:space="preserve"> [1]Coibion_update!Q360</f>
        <v>4.7664383335842135</v>
      </c>
      <c r="I354">
        <f xml:space="preserve"> [1]Coibion_update!W360</f>
        <v>7.09</v>
      </c>
      <c r="J354">
        <f xml:space="preserve"> [1]Coibion_update!X360</f>
        <v>5.5924411465792936</v>
      </c>
      <c r="K354">
        <f xml:space="preserve"> [1]Coibion_update!Y360</f>
        <v>3.6360059645068681</v>
      </c>
      <c r="L354">
        <f xml:space="preserve"> [1]Coibion_update!Z360</f>
        <v>4.1309175424529405</v>
      </c>
      <c r="M354">
        <f xml:space="preserve"> [1]Coibion_update!AA360</f>
        <v>4.0273318717391602</v>
      </c>
      <c r="N354">
        <f xml:space="preserve"> [1]Coibion_update!AB360</f>
        <v>0.2279987</v>
      </c>
      <c r="O354">
        <f xml:space="preserve"> [1]Coibion_update!AC360</f>
        <v>-4.2412129000000007</v>
      </c>
      <c r="P354">
        <f xml:space="preserve"> [1]Coibion_update!AD360</f>
        <v>-3.4118375999999975</v>
      </c>
      <c r="U354">
        <f xml:space="preserve"> [1]Gertler_Karadi!E108</f>
        <v>2.5483800000000001E-2</v>
      </c>
      <c r="V354">
        <f xml:space="preserve"> [1]Gertler_Karadi!F108</f>
        <v>3.1290400000000003E-2</v>
      </c>
      <c r="W354">
        <f xml:space="preserve"> [1]Gertler_Karadi!G108</f>
        <v>2.3871E-2</v>
      </c>
      <c r="X354" s="5">
        <f xml:space="preserve"> [1]misc!N437</f>
        <v>7.4</v>
      </c>
      <c r="Y354">
        <f xml:space="preserve"> [1]Gilchrist_Zak!C186</f>
        <v>4.7600000000000003E-2</v>
      </c>
      <c r="Z354">
        <f xml:space="preserve"> [1]Sims_Zha!B357</f>
        <v>0.32400000000000001</v>
      </c>
      <c r="AA354">
        <f xml:space="preserve"> [1]Coibion_update!AI360</f>
        <v>0.13969670000000001</v>
      </c>
      <c r="AB354">
        <f t="shared" si="21"/>
        <v>-6.7176800000000092E-2</v>
      </c>
      <c r="AC354">
        <v>0.13969670000000001</v>
      </c>
      <c r="AG354">
        <v>7.0000000000000007E-2</v>
      </c>
      <c r="AJ354">
        <v>6.4777000000000003E-3</v>
      </c>
      <c r="AK354">
        <v>7.48</v>
      </c>
      <c r="AL354">
        <f xml:space="preserve"> LN([1]misc!B373)</f>
        <v>6.6485958734635577</v>
      </c>
      <c r="AM354">
        <f xml:space="preserve"> LN([1]misc!D373)</f>
        <v>7.9822456255298366</v>
      </c>
      <c r="AN354">
        <f xml:space="preserve"> LN([1]misc!G478)</f>
        <v>3.5960786232583937</v>
      </c>
      <c r="AO354">
        <f xml:space="preserve"> LN([1]misc!J384 + [1]misc!L384)</f>
        <v>3.6759968282829227</v>
      </c>
      <c r="AP354">
        <f xml:space="preserve"> [1]Factors!B354</f>
        <v>-0.39762062500000001</v>
      </c>
      <c r="AQ354">
        <f xml:space="preserve"> [1]Factors!C354</f>
        <v>0.15737519</v>
      </c>
      <c r="AR354">
        <f xml:space="preserve"> [1]Factors!D354</f>
        <v>0.20102752400000001</v>
      </c>
      <c r="AS354">
        <f xml:space="preserve"> [1]Factors!E354</f>
        <v>3.4041760900000002E-2</v>
      </c>
      <c r="AT354">
        <f xml:space="preserve"> [1]Factors!F354</f>
        <v>5.3349065100000002E-2</v>
      </c>
    </row>
    <row r="355" spans="1:46" x14ac:dyDescent="0.25">
      <c r="A355">
        <f t="shared" si="25"/>
        <v>1988.4166666666454</v>
      </c>
      <c r="B355" s="1">
        <v>32295</v>
      </c>
      <c r="C355" s="7">
        <f t="shared" si="22"/>
        <v>1988</v>
      </c>
      <c r="D355" s="7">
        <f t="shared" si="23"/>
        <v>6</v>
      </c>
      <c r="E355" s="7">
        <f t="shared" si="24"/>
        <v>2</v>
      </c>
      <c r="F355">
        <f xml:space="preserve"> [1]Coibion_update!O361</f>
        <v>4.1466270338791293</v>
      </c>
      <c r="G355">
        <f xml:space="preserve"> [1]Coibion_update!P361</f>
        <v>5.4</v>
      </c>
      <c r="H355">
        <f xml:space="preserve"> [1]Coibion_update!Q361</f>
        <v>4.7706846244656651</v>
      </c>
      <c r="I355">
        <f xml:space="preserve"> [1]Coibion_update!W361</f>
        <v>7.51</v>
      </c>
      <c r="J355">
        <f xml:space="preserve"> [1]Coibion_update!X361</f>
        <v>5.6381055279803309</v>
      </c>
      <c r="K355">
        <f xml:space="preserve"> [1]Coibion_update!Y361</f>
        <v>3.6388222375725658</v>
      </c>
      <c r="L355">
        <f xml:space="preserve"> [1]Coibion_update!Z361</f>
        <v>4.130965745677746</v>
      </c>
      <c r="M355">
        <f xml:space="preserve"> [1]Coibion_update!AA361</f>
        <v>4.031937102093484</v>
      </c>
      <c r="N355">
        <f xml:space="preserve"> [1]Coibion_update!AB361</f>
        <v>0.3521378</v>
      </c>
      <c r="O355">
        <f xml:space="preserve"> [1]Coibion_update!AC361</f>
        <v>-3.8890751000000008</v>
      </c>
      <c r="P355">
        <f xml:space="preserve"> [1]Coibion_update!AD361</f>
        <v>-3.1017034999999975</v>
      </c>
      <c r="U355">
        <f xml:space="preserve"> [1]Gertler_Karadi!E109</f>
        <v>4.7516200000000001E-2</v>
      </c>
      <c r="V355">
        <f xml:space="preserve"> [1]Gertler_Karadi!F109</f>
        <v>3.7709699999999999E-2</v>
      </c>
      <c r="W355">
        <f xml:space="preserve"> [1]Gertler_Karadi!G109</f>
        <v>2.6128999999999999E-2</v>
      </c>
      <c r="X355" s="5">
        <f xml:space="preserve"> [1]misc!N438</f>
        <v>7.49</v>
      </c>
      <c r="Y355">
        <f xml:space="preserve"> [1]Gilchrist_Zak!C187</f>
        <v>9.2600000000000002E-2</v>
      </c>
      <c r="Z355">
        <f xml:space="preserve"> [1]Sims_Zha!B358</f>
        <v>1.4650000000000001</v>
      </c>
      <c r="AA355">
        <f xml:space="preserve"> [1]Coibion_update!AI361</f>
        <v>0.18000260000000001</v>
      </c>
      <c r="AB355">
        <f t="shared" si="21"/>
        <v>0.11282579999999992</v>
      </c>
      <c r="AC355">
        <v>0.18000260000000001</v>
      </c>
      <c r="AG355">
        <v>0.01</v>
      </c>
      <c r="AJ355">
        <v>-2.1004399999999999E-2</v>
      </c>
      <c r="AK355">
        <v>8.27</v>
      </c>
      <c r="AL355">
        <f xml:space="preserve"> LN([1]misc!B374)</f>
        <v>6.6571120539653421</v>
      </c>
      <c r="AM355">
        <f xml:space="preserve"> LN([1]misc!D374)</f>
        <v>7.9864029272306496</v>
      </c>
      <c r="AN355">
        <f xml:space="preserve"> LN([1]misc!G479)</f>
        <v>3.6356368927182166</v>
      </c>
      <c r="AO355">
        <f xml:space="preserve"> LN([1]misc!J385 + [1]misc!L385)</f>
        <v>3.682584683551188</v>
      </c>
      <c r="AP355">
        <f xml:space="preserve"> [1]Factors!B355</f>
        <v>-6.6350631399999999E-2</v>
      </c>
      <c r="AQ355">
        <f xml:space="preserve"> [1]Factors!C355</f>
        <v>1.5016835900000001E-2</v>
      </c>
      <c r="AR355">
        <f xml:space="preserve"> [1]Factors!D355</f>
        <v>0.197504226</v>
      </c>
      <c r="AS355">
        <f xml:space="preserve"> [1]Factors!E355</f>
        <v>-0.186708925</v>
      </c>
      <c r="AT355">
        <f xml:space="preserve"> [1]Factors!F355</f>
        <v>0.13358735899999999</v>
      </c>
    </row>
    <row r="356" spans="1:46" x14ac:dyDescent="0.25">
      <c r="A356">
        <f t="shared" si="25"/>
        <v>1988.4999999999786</v>
      </c>
      <c r="B356" s="1">
        <v>32325</v>
      </c>
      <c r="C356" s="7">
        <f t="shared" si="22"/>
        <v>1988</v>
      </c>
      <c r="D356" s="7">
        <f t="shared" si="23"/>
        <v>7</v>
      </c>
      <c r="E356" s="7">
        <f t="shared" si="24"/>
        <v>3</v>
      </c>
      <c r="F356">
        <f xml:space="preserve"> [1]Coibion_update!O362</f>
        <v>4.14725005631702</v>
      </c>
      <c r="G356">
        <f xml:space="preserve"> [1]Coibion_update!P362</f>
        <v>5.4</v>
      </c>
      <c r="H356">
        <f xml:space="preserve"> [1]Coibion_update!Q362</f>
        <v>4.7749129605751861</v>
      </c>
      <c r="I356">
        <f xml:space="preserve"> [1]Coibion_update!W362</f>
        <v>7.75</v>
      </c>
      <c r="J356">
        <f xml:space="preserve"> [1]Coibion_update!X362</f>
        <v>5.6404876242838871</v>
      </c>
      <c r="K356">
        <f xml:space="preserve"> [1]Coibion_update!Y362</f>
        <v>3.6266316406344092</v>
      </c>
      <c r="L356">
        <f xml:space="preserve"> [1]Coibion_update!Z362</f>
        <v>4.1315761188274278</v>
      </c>
      <c r="M356">
        <f xml:space="preserve"> [1]Coibion_update!AA362</f>
        <v>4.038250287867192</v>
      </c>
      <c r="N356">
        <f xml:space="preserve"> [1]Coibion_update!AB362</f>
        <v>0</v>
      </c>
      <c r="O356">
        <f xml:space="preserve"> [1]Coibion_update!AC362</f>
        <v>-3.8890751000000008</v>
      </c>
      <c r="P356">
        <f xml:space="preserve"> [1]Coibion_update!AD362</f>
        <v>-3.1017034999999975</v>
      </c>
      <c r="U356">
        <f xml:space="preserve"> [1]Gertler_Karadi!E110</f>
        <v>1.95806E-2</v>
      </c>
      <c r="V356">
        <f xml:space="preserve"> [1]Gertler_Karadi!F110</f>
        <v>5.3580599999999999E-2</v>
      </c>
      <c r="W356">
        <f xml:space="preserve"> [1]Gertler_Karadi!G110</f>
        <v>1.83871E-2</v>
      </c>
      <c r="X356" s="5">
        <f xml:space="preserve"> [1]misc!N439</f>
        <v>7.75</v>
      </c>
      <c r="Y356">
        <f xml:space="preserve"> [1]Gilchrist_Zak!C188</f>
        <v>-0.23380000000000001</v>
      </c>
      <c r="Z356">
        <f xml:space="preserve"> [1]Sims_Zha!B359</f>
        <v>-0.48309999999999997</v>
      </c>
      <c r="AA356">
        <f xml:space="preserve"> [1]Coibion_update!AI362</f>
        <v>0</v>
      </c>
      <c r="AB356">
        <f t="shared" ref="AB356:AB419" si="26" xml:space="preserve"> AB355 + AA356</f>
        <v>0.11282579999999992</v>
      </c>
      <c r="AC356">
        <v>0</v>
      </c>
      <c r="AG356">
        <v>0.03</v>
      </c>
      <c r="AJ356">
        <v>0</v>
      </c>
      <c r="AK356">
        <v>7.84</v>
      </c>
      <c r="AL356">
        <f xml:space="preserve"> LN([1]misc!B375)</f>
        <v>6.6610871826209701</v>
      </c>
      <c r="AM356">
        <f xml:space="preserve"> LN([1]misc!D375)</f>
        <v>7.9893909434431301</v>
      </c>
      <c r="AN356">
        <f xml:space="preserve"> LN([1]misc!G480)</f>
        <v>3.6345552553833365</v>
      </c>
      <c r="AO356">
        <f xml:space="preserve"> LN([1]misc!J386 + [1]misc!L386)</f>
        <v>3.6791573472157002</v>
      </c>
      <c r="AP356">
        <f xml:space="preserve"> [1]Factors!B356</f>
        <v>-0.29777145100000002</v>
      </c>
      <c r="AQ356">
        <f xml:space="preserve"> [1]Factors!C356</f>
        <v>3.2607152700000003E-2</v>
      </c>
      <c r="AR356">
        <f xml:space="preserve"> [1]Factors!D356</f>
        <v>-2.1305465499999999E-2</v>
      </c>
      <c r="AS356">
        <f xml:space="preserve"> [1]Factors!E356</f>
        <v>3.9550958400000003E-2</v>
      </c>
      <c r="AT356">
        <f xml:space="preserve"> [1]Factors!F356</f>
        <v>0.134056696</v>
      </c>
    </row>
    <row r="357" spans="1:46" x14ac:dyDescent="0.25">
      <c r="A357">
        <f t="shared" si="25"/>
        <v>1988.5833333333119</v>
      </c>
      <c r="B357" s="1">
        <v>32356</v>
      </c>
      <c r="C357" s="7">
        <f t="shared" si="22"/>
        <v>1988</v>
      </c>
      <c r="D357" s="7">
        <f t="shared" si="23"/>
        <v>8</v>
      </c>
      <c r="E357" s="7">
        <f t="shared" si="24"/>
        <v>3</v>
      </c>
      <c r="F357">
        <f xml:space="preserve"> [1]Coibion_update!O363</f>
        <v>4.1517058258570083</v>
      </c>
      <c r="G357">
        <f xml:space="preserve"> [1]Coibion_update!P363</f>
        <v>5.6</v>
      </c>
      <c r="H357">
        <f xml:space="preserve"> [1]Coibion_update!Q363</f>
        <v>4.7791234931115296</v>
      </c>
      <c r="I357">
        <f xml:space="preserve"> [1]Coibion_update!W363</f>
        <v>8.01</v>
      </c>
      <c r="J357">
        <f xml:space="preserve"> [1]Coibion_update!X363</f>
        <v>5.6327876004985766</v>
      </c>
      <c r="K357">
        <f xml:space="preserve"> [1]Coibion_update!Y363</f>
        <v>3.6198776540156965</v>
      </c>
      <c r="L357">
        <f xml:space="preserve"> [1]Coibion_update!Z363</f>
        <v>4.1388238606457035</v>
      </c>
      <c r="M357">
        <f xml:space="preserve"> [1]Coibion_update!AA363</f>
        <v>4.0441383959947821</v>
      </c>
      <c r="N357">
        <f xml:space="preserve"> [1]Coibion_update!AB363</f>
        <v>-0.16206129999999999</v>
      </c>
      <c r="O357">
        <f xml:space="preserve"> [1]Coibion_update!AC363</f>
        <v>-4.0511364000000007</v>
      </c>
      <c r="P357">
        <f xml:space="preserve"> [1]Coibion_update!AD363</f>
        <v>-3.2810511999999976</v>
      </c>
      <c r="U357">
        <f xml:space="preserve"> [1]Gertler_Karadi!E111</f>
        <v>0.10870970000000001</v>
      </c>
      <c r="V357">
        <f xml:space="preserve"> [1]Gertler_Karadi!F111</f>
        <v>0.1209677</v>
      </c>
      <c r="W357">
        <f xml:space="preserve"> [1]Gertler_Karadi!G111</f>
        <v>0.11516129999999999</v>
      </c>
      <c r="X357" s="5">
        <f xml:space="preserve"> [1]misc!N440</f>
        <v>8.17</v>
      </c>
      <c r="Y357">
        <f xml:space="preserve"> [1]Gilchrist_Zak!C189</f>
        <v>-1.49E-2</v>
      </c>
      <c r="Z357">
        <f xml:space="preserve"> [1]Sims_Zha!B360</f>
        <v>0.74409999999999998</v>
      </c>
      <c r="AA357">
        <f xml:space="preserve"> [1]Coibion_update!AI363</f>
        <v>-0.17244619999999999</v>
      </c>
      <c r="AB357">
        <f t="shared" si="26"/>
        <v>-5.9620400000000073E-2</v>
      </c>
      <c r="AC357">
        <v>-0.17244619999999999</v>
      </c>
      <c r="AG357">
        <v>0.13</v>
      </c>
      <c r="AJ357">
        <v>2.6085799999999999E-2</v>
      </c>
      <c r="AK357">
        <v>8.14</v>
      </c>
      <c r="AL357">
        <f xml:space="preserve"> LN([1]misc!B376)</f>
        <v>6.6635157643731926</v>
      </c>
      <c r="AM357">
        <f xml:space="preserve"> LN([1]misc!D376)</f>
        <v>7.9910847107857297</v>
      </c>
      <c r="AN357">
        <f xml:space="preserve"> LN([1]misc!G481)</f>
        <v>3.6076422833533135</v>
      </c>
      <c r="AO357">
        <f xml:space="preserve"> LN([1]misc!J387 + [1]misc!L387)</f>
        <v>3.6859501679413591</v>
      </c>
      <c r="AP357">
        <f xml:space="preserve"> [1]Factors!B357</f>
        <v>-0.12843579099999999</v>
      </c>
      <c r="AQ357">
        <f xml:space="preserve"> [1]Factors!C357</f>
        <v>0.14336848999999999</v>
      </c>
      <c r="AR357">
        <f xml:space="preserve"> [1]Factors!D357</f>
        <v>0.162917064</v>
      </c>
      <c r="AS357">
        <f xml:space="preserve"> [1]Factors!E357</f>
        <v>-0.146814154</v>
      </c>
      <c r="AT357">
        <f xml:space="preserve"> [1]Factors!F357</f>
        <v>0.12767358200000001</v>
      </c>
    </row>
    <row r="358" spans="1:46" x14ac:dyDescent="0.25">
      <c r="A358">
        <f t="shared" si="25"/>
        <v>1988.6666666666451</v>
      </c>
      <c r="B358" s="1">
        <v>32387</v>
      </c>
      <c r="C358" s="7">
        <f t="shared" si="22"/>
        <v>1988</v>
      </c>
      <c r="D358" s="7">
        <f t="shared" si="23"/>
        <v>9</v>
      </c>
      <c r="E358" s="7">
        <f t="shared" si="24"/>
        <v>3</v>
      </c>
      <c r="F358">
        <f xml:space="preserve"> [1]Coibion_update!O364</f>
        <v>4.1488785166607673</v>
      </c>
      <c r="G358">
        <f xml:space="preserve"> [1]Coibion_update!P364</f>
        <v>5.4</v>
      </c>
      <c r="H358">
        <f xml:space="preserve"> [1]Coibion_update!Q364</f>
        <v>4.7833163713715656</v>
      </c>
      <c r="I358">
        <f xml:space="preserve"> [1]Coibion_update!W364</f>
        <v>8.19</v>
      </c>
      <c r="J358">
        <f xml:space="preserve"> [1]Coibion_update!X364</f>
        <v>5.6178977354990316</v>
      </c>
      <c r="K358">
        <f xml:space="preserve"> [1]Coibion_update!Y364</f>
        <v>3.6116473762506724</v>
      </c>
      <c r="L358">
        <f xml:space="preserve"> [1]Coibion_update!Z364</f>
        <v>4.1386644320374968</v>
      </c>
      <c r="M358">
        <f xml:space="preserve"> [1]Coibion_update!AA364</f>
        <v>4.0414710726150327</v>
      </c>
      <c r="N358">
        <f xml:space="preserve"> [1]Coibion_update!AB364</f>
        <v>-4.8395100000000003E-2</v>
      </c>
      <c r="O358">
        <f xml:space="preserve"> [1]Coibion_update!AC364</f>
        <v>-4.0995315000000003</v>
      </c>
      <c r="P358">
        <f xml:space="preserve"> [1]Coibion_update!AD364</f>
        <v>-3.3481918999999976</v>
      </c>
      <c r="U358">
        <f xml:space="preserve"> [1]Gertler_Karadi!E112</f>
        <v>3.5376400000000002E-2</v>
      </c>
      <c r="V358">
        <f xml:space="preserve"> [1]Gertler_Karadi!F112</f>
        <v>4.3118299999999998E-2</v>
      </c>
      <c r="W358">
        <f xml:space="preserve"> [1]Gertler_Karadi!G112</f>
        <v>4.3118299999999998E-2</v>
      </c>
      <c r="X358" s="5">
        <f xml:space="preserve"> [1]misc!N441</f>
        <v>8.09</v>
      </c>
      <c r="Y358">
        <f xml:space="preserve"> [1]Gilchrist_Zak!C190</f>
        <v>0.1479</v>
      </c>
      <c r="Z358">
        <f xml:space="preserve"> [1]Sims_Zha!B361</f>
        <v>0.82703000000000004</v>
      </c>
      <c r="AA358">
        <f xml:space="preserve"> [1]Coibion_update!AI364</f>
        <v>-4.0696200000000002E-2</v>
      </c>
      <c r="AB358">
        <f t="shared" si="26"/>
        <v>-0.10031660000000008</v>
      </c>
      <c r="AC358">
        <v>-4.0696200000000002E-2</v>
      </c>
      <c r="AG358">
        <v>-0.01</v>
      </c>
      <c r="AJ358">
        <v>-2.5397000000000002E-3</v>
      </c>
      <c r="AK358">
        <v>8.5399999999999991</v>
      </c>
      <c r="AL358">
        <f xml:space="preserve"> LN([1]misc!B377)</f>
        <v>6.6640262940588189</v>
      </c>
      <c r="AM358">
        <f xml:space="preserve"> LN([1]misc!D377)</f>
        <v>7.9927418240684336</v>
      </c>
      <c r="AN358">
        <f xml:space="preserve"> LN([1]misc!G482)</f>
        <v>3.6169805785700726</v>
      </c>
      <c r="AO358">
        <f xml:space="preserve"> LN([1]misc!J388 + [1]misc!L388)</f>
        <v>3.677894338055181</v>
      </c>
      <c r="AP358">
        <f xml:space="preserve"> [1]Factors!B358</f>
        <v>-0.12119872700000001</v>
      </c>
      <c r="AQ358">
        <f xml:space="preserve"> [1]Factors!C358</f>
        <v>-1.9068938099999998E-2</v>
      </c>
      <c r="AR358">
        <f xml:space="preserve"> [1]Factors!D358</f>
        <v>0.17189718900000001</v>
      </c>
      <c r="AS358">
        <f xml:space="preserve"> [1]Factors!E358</f>
        <v>-0.15999839399999999</v>
      </c>
      <c r="AT358">
        <f xml:space="preserve"> [1]Factors!F358</f>
        <v>1.26434068E-3</v>
      </c>
    </row>
    <row r="359" spans="1:46" x14ac:dyDescent="0.25">
      <c r="A359">
        <f t="shared" si="25"/>
        <v>1988.7499999999784</v>
      </c>
      <c r="B359" s="1">
        <v>32417</v>
      </c>
      <c r="C359" s="7">
        <f t="shared" si="22"/>
        <v>1988</v>
      </c>
      <c r="D359" s="7">
        <f t="shared" si="23"/>
        <v>10</v>
      </c>
      <c r="E359" s="7">
        <f t="shared" si="24"/>
        <v>4</v>
      </c>
      <c r="F359">
        <f xml:space="preserve"> [1]Coibion_update!O365</f>
        <v>4.1537103528272041</v>
      </c>
      <c r="G359">
        <f xml:space="preserve"> [1]Coibion_update!P365</f>
        <v>5.4</v>
      </c>
      <c r="H359">
        <f xml:space="preserve"> [1]Coibion_update!Q365</f>
        <v>4.7866580620334682</v>
      </c>
      <c r="I359">
        <f xml:space="preserve"> [1]Coibion_update!W365</f>
        <v>8.3000000000000007</v>
      </c>
      <c r="J359">
        <f xml:space="preserve"> [1]Coibion_update!X365</f>
        <v>5.6138577671282137</v>
      </c>
      <c r="K359">
        <f xml:space="preserve"> [1]Coibion_update!Y365</f>
        <v>3.628784379562596</v>
      </c>
      <c r="L359">
        <f xml:space="preserve"> [1]Coibion_update!Z365</f>
        <v>4.1457503502820003</v>
      </c>
      <c r="M359">
        <f xml:space="preserve"> [1]Coibion_update!AA365</f>
        <v>4.0481435433213866</v>
      </c>
      <c r="N359">
        <f xml:space="preserve"> [1]Coibion_update!AB365</f>
        <v>0</v>
      </c>
      <c r="O359">
        <f xml:space="preserve"> [1]Coibion_update!AC365</f>
        <v>-4.0995315000000003</v>
      </c>
      <c r="P359">
        <f xml:space="preserve"> [1]Coibion_update!AD365</f>
        <v>-3.3481918999999976</v>
      </c>
      <c r="U359">
        <f xml:space="preserve"> [1]Gertler_Karadi!E113</f>
        <v>-6.6667000000000002E-3</v>
      </c>
      <c r="V359">
        <f xml:space="preserve"> [1]Gertler_Karadi!F113</f>
        <v>-6.6667000000000002E-3</v>
      </c>
      <c r="W359">
        <f xml:space="preserve"> [1]Gertler_Karadi!G113</f>
        <v>-6.6667000000000002E-3</v>
      </c>
      <c r="X359" s="5">
        <f xml:space="preserve"> [1]misc!N442</f>
        <v>8.11</v>
      </c>
      <c r="Y359">
        <f xml:space="preserve"> [1]Gilchrist_Zak!C191</f>
        <v>0.23899999999999999</v>
      </c>
      <c r="Z359">
        <f xml:space="preserve"> [1]Sims_Zha!B362</f>
        <v>0.85633000000000004</v>
      </c>
      <c r="AA359">
        <f xml:space="preserve"> [1]Coibion_update!AI365</f>
        <v>0</v>
      </c>
      <c r="AB359">
        <f t="shared" si="26"/>
        <v>-0.10031660000000008</v>
      </c>
      <c r="AC359">
        <v>0</v>
      </c>
      <c r="AG359">
        <v>0</v>
      </c>
      <c r="AJ359">
        <v>0</v>
      </c>
      <c r="AK359">
        <v>8.39</v>
      </c>
      <c r="AL359">
        <f xml:space="preserve"> LN([1]misc!B378)</f>
        <v>6.6635157643731926</v>
      </c>
      <c r="AM359">
        <f xml:space="preserve"> LN([1]misc!D378)</f>
        <v>7.9955762165720259</v>
      </c>
      <c r="AN359">
        <f xml:space="preserve"> LN([1]misc!G483)</f>
        <v>3.593771753809254</v>
      </c>
      <c r="AO359">
        <f xml:space="preserve"> LN([1]misc!J389 + [1]misc!L389)</f>
        <v>3.6865016293279722</v>
      </c>
      <c r="AP359">
        <f xml:space="preserve"> [1]Factors!B359</f>
        <v>-8.0126614499999999E-2</v>
      </c>
      <c r="AQ359">
        <f xml:space="preserve"> [1]Factors!C359</f>
        <v>0.109803092</v>
      </c>
      <c r="AR359">
        <f xml:space="preserve"> [1]Factors!D359</f>
        <v>-4.8387874900000002E-2</v>
      </c>
      <c r="AS359">
        <f xml:space="preserve"> [1]Factors!E359</f>
        <v>0.143602962</v>
      </c>
      <c r="AT359">
        <f xml:space="preserve"> [1]Factors!F359</f>
        <v>0.11418985500000001</v>
      </c>
    </row>
    <row r="360" spans="1:46" x14ac:dyDescent="0.25">
      <c r="A360">
        <f t="shared" si="25"/>
        <v>1988.8333333333117</v>
      </c>
      <c r="B360" s="1">
        <v>32448</v>
      </c>
      <c r="C360" s="7">
        <f t="shared" si="22"/>
        <v>1988</v>
      </c>
      <c r="D360" s="7">
        <f t="shared" si="23"/>
        <v>11</v>
      </c>
      <c r="E360" s="7">
        <f t="shared" si="24"/>
        <v>4</v>
      </c>
      <c r="F360">
        <f xml:space="preserve"> [1]Coibion_update!O366</f>
        <v>4.1553330394037706</v>
      </c>
      <c r="G360">
        <f xml:space="preserve"> [1]Coibion_update!P366</f>
        <v>5.3</v>
      </c>
      <c r="H360">
        <f xml:space="preserve"> [1]Coibion_update!Q366</f>
        <v>4.7899886229806334</v>
      </c>
      <c r="I360">
        <f xml:space="preserve"> [1]Coibion_update!W366</f>
        <v>8.35</v>
      </c>
      <c r="J360">
        <f xml:space="preserve"> [1]Coibion_update!X366</f>
        <v>5.6112650581222923</v>
      </c>
      <c r="K360">
        <f xml:space="preserve"> [1]Coibion_update!Y366</f>
        <v>3.6359005293230497</v>
      </c>
      <c r="L360">
        <f xml:space="preserve"> [1]Coibion_update!Z366</f>
        <v>4.1494480884481248</v>
      </c>
      <c r="M360">
        <f xml:space="preserve"> [1]Coibion_update!AA366</f>
        <v>4.049137969384021</v>
      </c>
      <c r="N360">
        <f xml:space="preserve"> [1]Coibion_update!AB366</f>
        <v>-3.0347900000000001E-2</v>
      </c>
      <c r="O360">
        <f xml:space="preserve"> [1]Coibion_update!AC366</f>
        <v>-4.1298794000000001</v>
      </c>
      <c r="P360">
        <f xml:space="preserve"> [1]Coibion_update!AD366</f>
        <v>-3.3586228999999976</v>
      </c>
      <c r="S360">
        <f xml:space="preserve"> [1]Gertler_Karadi!C114</f>
        <v>4.2318700000000001E-2</v>
      </c>
      <c r="U360">
        <f xml:space="preserve"> [1]Gertler_Karadi!E114</f>
        <v>-9.6667000000000003E-3</v>
      </c>
      <c r="V360">
        <f xml:space="preserve"> [1]Gertler_Karadi!F114</f>
        <v>1.9666699999999999E-2</v>
      </c>
      <c r="W360">
        <f xml:space="preserve"> [1]Gertler_Karadi!G114</f>
        <v>1.26666E-2</v>
      </c>
      <c r="X360" s="5">
        <f xml:space="preserve"> [1]misc!N443</f>
        <v>8.48</v>
      </c>
      <c r="Y360">
        <f xml:space="preserve"> [1]Gilchrist_Zak!C192</f>
        <v>0.1022</v>
      </c>
      <c r="Z360">
        <f xml:space="preserve"> [1]Sims_Zha!B363</f>
        <v>8.1956000000000001E-2</v>
      </c>
      <c r="AA360">
        <f xml:space="preserve"> [1]Coibion_update!AI366</f>
        <v>-9.9535299999999993E-2</v>
      </c>
      <c r="AB360">
        <f t="shared" si="26"/>
        <v>-0.19985190000000008</v>
      </c>
      <c r="AC360">
        <v>-9.9535299999999993E-2</v>
      </c>
      <c r="AD360">
        <v>6.9639999999999994E-2</v>
      </c>
      <c r="AG360">
        <v>-0.01</v>
      </c>
      <c r="AJ360">
        <v>-5.9477999999999996E-3</v>
      </c>
      <c r="AK360">
        <v>8.5</v>
      </c>
      <c r="AL360">
        <f xml:space="preserve"> LN([1]misc!B379)</f>
        <v>6.665556321132768</v>
      </c>
      <c r="AM360">
        <f xml:space="preserve"> LN([1]misc!D379)</f>
        <v>8.000584209561179</v>
      </c>
      <c r="AN360">
        <f xml:space="preserve"> LN([1]misc!G484)</f>
        <v>3.6106746398125451</v>
      </c>
      <c r="AO360">
        <f xml:space="preserve"> LN([1]misc!J390 + [1]misc!L390)</f>
        <v>3.6891044288052326</v>
      </c>
      <c r="AP360">
        <f xml:space="preserve"> [1]Factors!B360</f>
        <v>-0.20484403000000001</v>
      </c>
      <c r="AQ360">
        <f xml:space="preserve"> [1]Factors!C360</f>
        <v>-5.14754012E-2</v>
      </c>
      <c r="AR360">
        <f xml:space="preserve"> [1]Factors!D360</f>
        <v>-0.12968707600000001</v>
      </c>
      <c r="AS360">
        <f xml:space="preserve"> [1]Factors!E360</f>
        <v>0.226285446</v>
      </c>
      <c r="AT360">
        <f xml:space="preserve"> [1]Factors!F360</f>
        <v>-2.4820101300000001E-2</v>
      </c>
    </row>
    <row r="361" spans="1:46" x14ac:dyDescent="0.25">
      <c r="A361">
        <f t="shared" si="25"/>
        <v>1988.9166666666449</v>
      </c>
      <c r="B361" s="1">
        <v>32478</v>
      </c>
      <c r="C361" s="7">
        <f t="shared" si="22"/>
        <v>1988</v>
      </c>
      <c r="D361" s="7">
        <f t="shared" si="23"/>
        <v>12</v>
      </c>
      <c r="E361" s="7">
        <f t="shared" si="24"/>
        <v>4</v>
      </c>
      <c r="F361">
        <f xml:space="preserve"> [1]Coibion_update!O367</f>
        <v>4.1600152547117464</v>
      </c>
      <c r="G361">
        <f xml:space="preserve"> [1]Coibion_update!P367</f>
        <v>5.3</v>
      </c>
      <c r="H361">
        <f xml:space="preserve"> [1]Coibion_update!Q367</f>
        <v>4.7933081281034857</v>
      </c>
      <c r="I361">
        <f xml:space="preserve"> [1]Coibion_update!W367</f>
        <v>8.76</v>
      </c>
      <c r="J361">
        <f xml:space="preserve"> [1]Coibion_update!X367</f>
        <v>5.6372864833678369</v>
      </c>
      <c r="K361">
        <f xml:space="preserve"> [1]Coibion_update!Y367</f>
        <v>3.6697730843741998</v>
      </c>
      <c r="L361">
        <f xml:space="preserve"> [1]Coibion_update!Z367</f>
        <v>4.1449901468909927</v>
      </c>
      <c r="M361">
        <f xml:space="preserve"> [1]Coibion_update!AA367</f>
        <v>4.0521153280043638</v>
      </c>
      <c r="N361">
        <f xml:space="preserve"> [1]Coibion_update!AB367</f>
        <v>0.44168629999999998</v>
      </c>
      <c r="O361">
        <f xml:space="preserve"> [1]Coibion_update!AC367</f>
        <v>-3.6881931000000003</v>
      </c>
      <c r="P361">
        <f xml:space="preserve"> [1]Coibion_update!AD367</f>
        <v>-2.9168138999999975</v>
      </c>
      <c r="Q361">
        <f xml:space="preserve"> [1]Barakchian_Crowe!B240</f>
        <v>2.9336769999999999</v>
      </c>
      <c r="R361">
        <f xml:space="preserve"> [1]Barakchian_Crowe!C240</f>
        <v>2.9336769999999999</v>
      </c>
      <c r="S361">
        <f xml:space="preserve"> [1]Gertler_Karadi!C115</f>
        <v>3.7943600000000001E-2</v>
      </c>
      <c r="U361">
        <f xml:space="preserve"> [1]Gertler_Karadi!E115</f>
        <v>3.8053799999999999E-2</v>
      </c>
      <c r="V361">
        <f xml:space="preserve"> [1]Gertler_Karadi!F115</f>
        <v>3.22688E-2</v>
      </c>
      <c r="W361">
        <f xml:space="preserve"> [1]Gertler_Karadi!G115</f>
        <v>2.3785000000000001E-2</v>
      </c>
      <c r="X361" s="5">
        <f xml:space="preserve"> [1]misc!N444</f>
        <v>8.99</v>
      </c>
      <c r="Y361">
        <f xml:space="preserve"> [1]Gilchrist_Zak!C193</f>
        <v>0.23050000000000001</v>
      </c>
      <c r="Z361">
        <f xml:space="preserve"> [1]Sims_Zha!B364</f>
        <v>2.9056999999999999</v>
      </c>
      <c r="AA361">
        <f xml:space="preserve"> [1]Coibion_update!AI367</f>
        <v>0.354271</v>
      </c>
      <c r="AB361">
        <f t="shared" si="26"/>
        <v>0.15441909999999992</v>
      </c>
      <c r="AC361">
        <v>0.354271</v>
      </c>
      <c r="AD361">
        <v>1.9369999999999998E-2</v>
      </c>
      <c r="AG361">
        <v>7.0000000000000007E-2</v>
      </c>
      <c r="AJ361">
        <v>4.2916700000000002E-2</v>
      </c>
      <c r="AK361">
        <v>9.0399999999999991</v>
      </c>
      <c r="AL361">
        <f xml:space="preserve"> LN([1]misc!B380)</f>
        <v>6.667846981335197</v>
      </c>
      <c r="AM361">
        <f xml:space="preserve"> LN([1]misc!D380)</f>
        <v>8.0032293151497438</v>
      </c>
      <c r="AN361">
        <f xml:space="preserve"> LN([1]misc!G485)</f>
        <v>3.6313827477654113</v>
      </c>
      <c r="AO361">
        <f xml:space="preserve"> LN([1]misc!J391 + [1]misc!L391)</f>
        <v>3.688429352833551</v>
      </c>
      <c r="AP361">
        <f xml:space="preserve"> [1]Factors!B361</f>
        <v>-0.193699133</v>
      </c>
      <c r="AQ361">
        <f xml:space="preserve"> [1]Factors!C361</f>
        <v>-3.6710366000000001E-2</v>
      </c>
      <c r="AR361">
        <f xml:space="preserve"> [1]Factors!D361</f>
        <v>1.63806549E-2</v>
      </c>
      <c r="AS361">
        <f xml:space="preserve"> [1]Factors!E361</f>
        <v>-7.0980463899999999E-2</v>
      </c>
      <c r="AT361">
        <f xml:space="preserve"> [1]Factors!F361</f>
        <v>0.179320918</v>
      </c>
    </row>
    <row r="362" spans="1:46" x14ac:dyDescent="0.25">
      <c r="A362">
        <f t="shared" si="25"/>
        <v>1988.9999999999782</v>
      </c>
      <c r="B362" s="1">
        <v>32509</v>
      </c>
      <c r="C362" s="7">
        <f t="shared" si="22"/>
        <v>1989</v>
      </c>
      <c r="D362" s="7">
        <f t="shared" si="23"/>
        <v>1</v>
      </c>
      <c r="E362" s="7">
        <f t="shared" si="24"/>
        <v>1</v>
      </c>
      <c r="F362">
        <f xml:space="preserve"> [1]Coibion_update!O368</f>
        <v>4.1631116304396345</v>
      </c>
      <c r="G362">
        <f xml:space="preserve"> [1]Coibion_update!P368</f>
        <v>5.4</v>
      </c>
      <c r="H362">
        <f xml:space="preserve"> [1]Coibion_update!Q368</f>
        <v>4.7974420736352137</v>
      </c>
      <c r="I362">
        <f xml:space="preserve"> [1]Coibion_update!W368</f>
        <v>9.1199999999999992</v>
      </c>
      <c r="J362">
        <f xml:space="preserve"> [1]Coibion_update!X368</f>
        <v>5.6472473959143228</v>
      </c>
      <c r="K362">
        <f xml:space="preserve"> [1]Coibion_update!Y368</f>
        <v>3.6598367686612057</v>
      </c>
      <c r="L362">
        <f xml:space="preserve"> [1]Coibion_update!Z368</f>
        <v>4.1561919655481807</v>
      </c>
      <c r="M362">
        <f xml:space="preserve"> [1]Coibion_update!AA368</f>
        <v>4.0525672504204548</v>
      </c>
      <c r="N362">
        <f xml:space="preserve"> [1]Coibion_update!AB368</f>
        <v>0</v>
      </c>
      <c r="O362">
        <f xml:space="preserve"> [1]Coibion_update!AC368</f>
        <v>-3.6881931000000003</v>
      </c>
      <c r="P362">
        <f xml:space="preserve"> [1]Coibion_update!AD368</f>
        <v>-2.9168138999999975</v>
      </c>
      <c r="Q362">
        <f xml:space="preserve"> [1]Barakchian_Crowe!B241</f>
        <v>0</v>
      </c>
      <c r="R362">
        <f xml:space="preserve"> [1]Barakchian_Crowe!C241</f>
        <v>2.9336769999999999</v>
      </c>
      <c r="S362">
        <f xml:space="preserve"> [1]Gertler_Karadi!C116</f>
        <v>-1.20248E-2</v>
      </c>
      <c r="U362">
        <f xml:space="preserve"> [1]Gertler_Karadi!E116</f>
        <v>1.41935E-2</v>
      </c>
      <c r="V362">
        <f xml:space="preserve"> [1]Gertler_Karadi!F116</f>
        <v>1.8064500000000001E-2</v>
      </c>
      <c r="W362">
        <f xml:space="preserve"> [1]Gertler_Karadi!G116</f>
        <v>1.35484E-2</v>
      </c>
      <c r="X362" s="5">
        <f xml:space="preserve"> [1]misc!N445</f>
        <v>9.0500000000000007</v>
      </c>
      <c r="Y362">
        <f xml:space="preserve"> [1]Gilchrist_Zak!C194</f>
        <v>0.13850000000000001</v>
      </c>
      <c r="Z362">
        <f xml:space="preserve"> [1]Sims_Zha!B365</f>
        <v>1.8520000000000001</v>
      </c>
      <c r="AA362">
        <f xml:space="preserve"> [1]Coibion_update!AI368</f>
        <v>0</v>
      </c>
      <c r="AB362">
        <f t="shared" si="26"/>
        <v>0.15441909999999992</v>
      </c>
      <c r="AC362">
        <v>0</v>
      </c>
      <c r="AD362">
        <v>-2.385E-2</v>
      </c>
      <c r="AG362">
        <v>-0.02</v>
      </c>
      <c r="AJ362">
        <v>0</v>
      </c>
      <c r="AK362">
        <v>9.14</v>
      </c>
      <c r="AL362">
        <f xml:space="preserve"> LN([1]misc!B381)</f>
        <v>6.666575040181776</v>
      </c>
      <c r="AM362">
        <f xml:space="preserve"> LN([1]misc!D381)</f>
        <v>8.0043655649795742</v>
      </c>
      <c r="AN362">
        <f xml:space="preserve"> LN([1]misc!G486)</f>
        <v>3.5943489702677032</v>
      </c>
      <c r="AO362">
        <f xml:space="preserve"> LN([1]misc!J392 + [1]misc!L392)</f>
        <v>3.6841432560134955</v>
      </c>
      <c r="AP362">
        <f xml:space="preserve"> [1]Factors!B362</f>
        <v>-0.28327959600000002</v>
      </c>
      <c r="AQ362">
        <f xml:space="preserve"> [1]Factors!C362</f>
        <v>6.9433811599999996E-3</v>
      </c>
      <c r="AR362">
        <f xml:space="preserve"> [1]Factors!D362</f>
        <v>0.16576488</v>
      </c>
      <c r="AS362">
        <f xml:space="preserve"> [1]Factors!E362</f>
        <v>-4.6510510300000002E-2</v>
      </c>
      <c r="AT362">
        <f xml:space="preserve"> [1]Factors!F362</f>
        <v>6.5896979300000005E-2</v>
      </c>
    </row>
    <row r="363" spans="1:46" x14ac:dyDescent="0.25">
      <c r="A363">
        <f t="shared" si="25"/>
        <v>1989.0833333333114</v>
      </c>
      <c r="B363" s="1">
        <v>32540</v>
      </c>
      <c r="C363" s="7">
        <f t="shared" si="22"/>
        <v>1989</v>
      </c>
      <c r="D363" s="7">
        <f t="shared" si="23"/>
        <v>2</v>
      </c>
      <c r="E363" s="7">
        <f t="shared" si="24"/>
        <v>1</v>
      </c>
      <c r="F363">
        <f xml:space="preserve"> [1]Coibion_update!O369</f>
        <v>4.1584533035175451</v>
      </c>
      <c r="G363">
        <f xml:space="preserve"> [1]Coibion_update!P369</f>
        <v>5.2</v>
      </c>
      <c r="H363">
        <f xml:space="preserve"> [1]Coibion_update!Q369</f>
        <v>4.8007369695320667</v>
      </c>
      <c r="I363">
        <f xml:space="preserve"> [1]Coibion_update!W369</f>
        <v>9.36</v>
      </c>
      <c r="J363">
        <f xml:space="preserve"> [1]Coibion_update!X369</f>
        <v>5.6548723032861927</v>
      </c>
      <c r="K363">
        <f xml:space="preserve"> [1]Coibion_update!Y369</f>
        <v>3.6283329542459026</v>
      </c>
      <c r="L363">
        <f xml:space="preserve"> [1]Coibion_update!Z369</f>
        <v>4.1497161955348547</v>
      </c>
      <c r="M363">
        <f xml:space="preserve"> [1]Coibion_update!AA369</f>
        <v>4.0591663338724882</v>
      </c>
      <c r="N363">
        <f xml:space="preserve"> [1]Coibion_update!AB369</f>
        <v>0.27000659999999999</v>
      </c>
      <c r="O363">
        <f xml:space="preserve"> [1]Coibion_update!AC369</f>
        <v>-3.4181865000000005</v>
      </c>
      <c r="P363">
        <f xml:space="preserve"> [1]Coibion_update!AD369</f>
        <v>-2.6195515999999976</v>
      </c>
      <c r="Q363">
        <f xml:space="preserve"> [1]Barakchian_Crowe!B242</f>
        <v>0.3894842</v>
      </c>
      <c r="R363">
        <f xml:space="preserve"> [1]Barakchian_Crowe!C242</f>
        <v>3.3231609999999998</v>
      </c>
      <c r="S363">
        <f xml:space="preserve"> [1]Gertler_Karadi!C117</f>
        <v>3.2636900000000003E-2</v>
      </c>
      <c r="U363">
        <f xml:space="preserve"> [1]Gertler_Karadi!E117</f>
        <v>2.7764999999999999E-3</v>
      </c>
      <c r="V363">
        <f xml:space="preserve"> [1]Gertler_Karadi!F117</f>
        <v>7.1428000000000004E-3</v>
      </c>
      <c r="W363">
        <f xml:space="preserve"> [1]Gertler_Karadi!G117</f>
        <v>2.6785699999999999E-2</v>
      </c>
      <c r="X363" s="5">
        <f xml:space="preserve"> [1]misc!N446</f>
        <v>9.25</v>
      </c>
      <c r="Y363">
        <f xml:space="preserve"> [1]Gilchrist_Zak!C195</f>
        <v>-4.7999999999999996E-3</v>
      </c>
      <c r="Z363">
        <f xml:space="preserve"> [1]Sims_Zha!B366</f>
        <v>0.93918000000000001</v>
      </c>
      <c r="AA363">
        <f xml:space="preserve"> [1]Coibion_update!AI369</f>
        <v>8.4336099999999997E-2</v>
      </c>
      <c r="AB363">
        <f t="shared" si="26"/>
        <v>0.23875519999999992</v>
      </c>
      <c r="AC363">
        <v>8.4336099999999997E-2</v>
      </c>
      <c r="AD363">
        <v>0.16</v>
      </c>
      <c r="AG363">
        <v>0.05</v>
      </c>
      <c r="AJ363">
        <v>-4.57942E-2</v>
      </c>
      <c r="AK363">
        <v>9.8699999999999992</v>
      </c>
      <c r="AL363">
        <f xml:space="preserve"> LN([1]misc!B382)</f>
        <v>6.6641538857655309</v>
      </c>
      <c r="AM363">
        <f xml:space="preserve"> LN([1]misc!D382)</f>
        <v>8.004499156590219</v>
      </c>
      <c r="AN363">
        <f xml:space="preserve"> LN([1]misc!G487)</f>
        <v>3.48936087249146</v>
      </c>
      <c r="AO363">
        <f xml:space="preserve"> LN([1]misc!J393 + [1]misc!L393)</f>
        <v>3.6864264479528694</v>
      </c>
      <c r="AP363">
        <f xml:space="preserve"> [1]Factors!B363</f>
        <v>-0.28117905900000001</v>
      </c>
      <c r="AQ363">
        <f xml:space="preserve"> [1]Factors!C363</f>
        <v>0.160532491</v>
      </c>
      <c r="AR363">
        <f xml:space="preserve"> [1]Factors!D363</f>
        <v>8.4611119299999996E-2</v>
      </c>
      <c r="AS363">
        <f xml:space="preserve"> [1]Factors!E363</f>
        <v>7.1253794199999998E-2</v>
      </c>
      <c r="AT363">
        <f xml:space="preserve"> [1]Factors!F363</f>
        <v>3.8968879599999999E-2</v>
      </c>
    </row>
    <row r="364" spans="1:46" x14ac:dyDescent="0.25">
      <c r="A364">
        <f t="shared" si="25"/>
        <v>1989.1666666666447</v>
      </c>
      <c r="B364" s="1">
        <v>32568</v>
      </c>
      <c r="C364" s="7">
        <f t="shared" si="22"/>
        <v>1989</v>
      </c>
      <c r="D364" s="7">
        <f t="shared" si="23"/>
        <v>3</v>
      </c>
      <c r="E364" s="7">
        <f t="shared" si="24"/>
        <v>1</v>
      </c>
      <c r="F364">
        <f xml:space="preserve"> [1]Coibion_update!O370</f>
        <v>4.160952814986687</v>
      </c>
      <c r="G364">
        <f xml:space="preserve"> [1]Coibion_update!P370</f>
        <v>5</v>
      </c>
      <c r="H364">
        <f xml:space="preserve"> [1]Coibion_update!Q370</f>
        <v>4.8056590467374951</v>
      </c>
      <c r="I364">
        <f xml:space="preserve"> [1]Coibion_update!W370</f>
        <v>9.85</v>
      </c>
      <c r="J364">
        <f xml:space="preserve"> [1]Coibion_update!X370</f>
        <v>5.661466308862253</v>
      </c>
      <c r="K364">
        <f xml:space="preserve"> [1]Coibion_update!Y370</f>
        <v>3.6331024386449378</v>
      </c>
      <c r="L364">
        <f xml:space="preserve"> [1]Coibion_update!Z370</f>
        <v>4.1478221360002472</v>
      </c>
      <c r="M364">
        <f xml:space="preserve"> [1]Coibion_update!AA370</f>
        <v>4.0578188808726505</v>
      </c>
      <c r="N364">
        <f xml:space="preserve"> [1]Coibion_update!AB370</f>
        <v>5.2209800000000001E-2</v>
      </c>
      <c r="O364">
        <f xml:space="preserve"> [1]Coibion_update!AC370</f>
        <v>-3.3659767000000005</v>
      </c>
      <c r="P364">
        <f xml:space="preserve"> [1]Coibion_update!AD370</f>
        <v>-2.5605745999999976</v>
      </c>
      <c r="Q364">
        <f xml:space="preserve"> [1]Barakchian_Crowe!B243</f>
        <v>-1.3811789999999999</v>
      </c>
      <c r="R364">
        <f xml:space="preserve"> [1]Barakchian_Crowe!C243</f>
        <v>1.9419820000000001</v>
      </c>
      <c r="S364">
        <f xml:space="preserve"> [1]Gertler_Karadi!C118</f>
        <v>0.1175115</v>
      </c>
      <c r="U364">
        <f xml:space="preserve"> [1]Gertler_Karadi!E118</f>
        <v>4.3675100000000001E-2</v>
      </c>
      <c r="V364">
        <f xml:space="preserve"> [1]Gertler_Karadi!F118</f>
        <v>6.0921700000000002E-2</v>
      </c>
      <c r="W364">
        <f xml:space="preserve"> [1]Gertler_Karadi!G118</f>
        <v>6.1278800000000001E-2</v>
      </c>
      <c r="X364" s="5">
        <f xml:space="preserve"> [1]misc!N447</f>
        <v>9.57</v>
      </c>
      <c r="Y364">
        <f xml:space="preserve"> [1]Gilchrist_Zak!C196</f>
        <v>0.28139999999999998</v>
      </c>
      <c r="Z364">
        <f xml:space="preserve"> [1]Sims_Zha!B367</f>
        <v>1.9714</v>
      </c>
      <c r="AA364">
        <f xml:space="preserve"> [1]Coibion_update!AI370</f>
        <v>-0.1092558</v>
      </c>
      <c r="AB364">
        <f t="shared" si="26"/>
        <v>0.12949939999999993</v>
      </c>
      <c r="AC364">
        <v>-0.1092558</v>
      </c>
      <c r="AD364">
        <v>-7.0000000000000007E-2</v>
      </c>
      <c r="AG364">
        <v>-0.01</v>
      </c>
      <c r="AJ364">
        <v>-4.7010700000000002E-2</v>
      </c>
      <c r="AK364">
        <v>9.7899999999999991</v>
      </c>
      <c r="AL364">
        <f xml:space="preserve"> LN([1]misc!B383)</f>
        <v>6.6631326959908028</v>
      </c>
      <c r="AM364">
        <f xml:space="preserve"> LN([1]misc!D383)</f>
        <v>8.0070673227645202</v>
      </c>
      <c r="AN364">
        <f xml:space="preserve"> LN([1]misc!G488)</f>
        <v>3.542378606234748</v>
      </c>
      <c r="AO364">
        <f xml:space="preserve"> LN([1]misc!J394 + [1]misc!L394)</f>
        <v>3.6729024995907955</v>
      </c>
      <c r="AP364">
        <f xml:space="preserve"> [1]Factors!B364</f>
        <v>-1.3513897699999999E-2</v>
      </c>
      <c r="AQ364">
        <f xml:space="preserve"> [1]Factors!C364</f>
        <v>5.7255188300000003E-2</v>
      </c>
      <c r="AR364">
        <f xml:space="preserve"> [1]Factors!D364</f>
        <v>1.6753786699999999E-2</v>
      </c>
      <c r="AS364">
        <f xml:space="preserve"> [1]Factors!E364</f>
        <v>-0.11912842</v>
      </c>
      <c r="AT364">
        <f xml:space="preserve"> [1]Factors!F364</f>
        <v>0.287495583</v>
      </c>
    </row>
    <row r="365" spans="1:46" x14ac:dyDescent="0.25">
      <c r="A365">
        <f t="shared" si="25"/>
        <v>1989.2499999999779</v>
      </c>
      <c r="B365" s="1">
        <v>32599</v>
      </c>
      <c r="C365" s="7">
        <f t="shared" si="22"/>
        <v>1989</v>
      </c>
      <c r="D365" s="7">
        <f t="shared" si="23"/>
        <v>4</v>
      </c>
      <c r="E365" s="7">
        <f t="shared" si="24"/>
        <v>2</v>
      </c>
      <c r="F365">
        <f xml:space="preserve"> [1]Coibion_update!O371</f>
        <v>4.1620499385761134</v>
      </c>
      <c r="G365">
        <f xml:space="preserve"> [1]Coibion_update!P371</f>
        <v>5.2</v>
      </c>
      <c r="H365">
        <f xml:space="preserve"> [1]Coibion_update!Q371</f>
        <v>4.8129970331904079</v>
      </c>
      <c r="I365">
        <f xml:space="preserve"> [1]Coibion_update!W371</f>
        <v>9.84</v>
      </c>
      <c r="J365">
        <f xml:space="preserve"> [1]Coibion_update!X371</f>
        <v>5.6510495480039973</v>
      </c>
      <c r="K365">
        <f xml:space="preserve"> [1]Coibion_update!Y371</f>
        <v>3.6685747007735721</v>
      </c>
      <c r="L365">
        <f xml:space="preserve"> [1]Coibion_update!Z371</f>
        <v>4.149243016869538</v>
      </c>
      <c r="M365">
        <f xml:space="preserve"> [1]Coibion_update!AA371</f>
        <v>4.058838275371536</v>
      </c>
      <c r="N365">
        <f xml:space="preserve"> [1]Coibion_update!AB371</f>
        <v>0</v>
      </c>
      <c r="O365">
        <f xml:space="preserve"> [1]Coibion_update!AC371</f>
        <v>-3.3659767000000005</v>
      </c>
      <c r="P365">
        <f xml:space="preserve"> [1]Coibion_update!AD371</f>
        <v>-2.5605745999999976</v>
      </c>
      <c r="Q365">
        <f xml:space="preserve"> [1]Barakchian_Crowe!B244</f>
        <v>0</v>
      </c>
      <c r="R365">
        <f xml:space="preserve"> [1]Barakchian_Crowe!C244</f>
        <v>1.9419820000000001</v>
      </c>
      <c r="S365">
        <f xml:space="preserve"> [1]Gertler_Karadi!C119</f>
        <v>-6.3225799999999999E-2</v>
      </c>
      <c r="U365">
        <f xml:space="preserve"> [1]Gertler_Karadi!E119</f>
        <v>-9.0322000000000006E-3</v>
      </c>
      <c r="V365">
        <f xml:space="preserve"> [1]Gertler_Karadi!F119</f>
        <v>-1.8064500000000001E-2</v>
      </c>
      <c r="W365">
        <f xml:space="preserve"> [1]Gertler_Karadi!G119</f>
        <v>-1.8064500000000001E-2</v>
      </c>
      <c r="X365" s="5">
        <f xml:space="preserve"> [1]misc!N448</f>
        <v>9.36</v>
      </c>
      <c r="Y365">
        <f xml:space="preserve"> [1]Gilchrist_Zak!C197</f>
        <v>0.50729999999999997</v>
      </c>
      <c r="Z365">
        <f xml:space="preserve"> [1]Sims_Zha!B368</f>
        <v>-0.85955000000000004</v>
      </c>
      <c r="AA365">
        <f xml:space="preserve"> [1]Coibion_update!AI371</f>
        <v>0</v>
      </c>
      <c r="AB365">
        <f t="shared" si="26"/>
        <v>0.12949939999999993</v>
      </c>
      <c r="AC365">
        <v>0</v>
      </c>
      <c r="AD365">
        <v>0</v>
      </c>
      <c r="AG365">
        <v>0</v>
      </c>
      <c r="AJ365">
        <v>0</v>
      </c>
      <c r="AK365">
        <v>9.82</v>
      </c>
      <c r="AL365">
        <f xml:space="preserve"> LN([1]misc!B384)</f>
        <v>6.6582677523283254</v>
      </c>
      <c r="AM365">
        <f xml:space="preserve"> LN([1]misc!D384)</f>
        <v>8.0091304141391753</v>
      </c>
      <c r="AN365">
        <f xml:space="preserve"> LN([1]misc!G489)</f>
        <v>3.5778920259243083</v>
      </c>
      <c r="AO365">
        <f xml:space="preserve"> LN([1]misc!J395 + [1]misc!L395)</f>
        <v>3.6623044459281373</v>
      </c>
      <c r="AP365">
        <f xml:space="preserve"> [1]Factors!B365</f>
        <v>-9.5486248199999998E-2</v>
      </c>
      <c r="AQ365">
        <f xml:space="preserve"> [1]Factors!C365</f>
        <v>0.13261563700000001</v>
      </c>
      <c r="AR365">
        <f xml:space="preserve"> [1]Factors!D365</f>
        <v>0.12524518900000001</v>
      </c>
      <c r="AS365">
        <f xml:space="preserve"> [1]Factors!E365</f>
        <v>-0.12881615499999999</v>
      </c>
      <c r="AT365">
        <f xml:space="preserve"> [1]Factors!F365</f>
        <v>3.94058464E-2</v>
      </c>
    </row>
    <row r="366" spans="1:46" x14ac:dyDescent="0.25">
      <c r="A366">
        <f t="shared" si="25"/>
        <v>1989.3333333333112</v>
      </c>
      <c r="B366" s="1">
        <v>32629</v>
      </c>
      <c r="C366" s="7">
        <f t="shared" si="22"/>
        <v>1989</v>
      </c>
      <c r="D366" s="7">
        <f t="shared" si="23"/>
        <v>5</v>
      </c>
      <c r="E366" s="7">
        <f t="shared" si="24"/>
        <v>2</v>
      </c>
      <c r="F366">
        <f xml:space="preserve"> [1]Coibion_update!O372</f>
        <v>4.1545879349017305</v>
      </c>
      <c r="G366">
        <f xml:space="preserve"> [1]Coibion_update!P372</f>
        <v>5.2</v>
      </c>
      <c r="H366">
        <f xml:space="preserve"> [1]Coibion_update!Q372</f>
        <v>4.8178592793984425</v>
      </c>
      <c r="I366">
        <f xml:space="preserve"> [1]Coibion_update!W372</f>
        <v>9.81</v>
      </c>
      <c r="J366">
        <f xml:space="preserve"> [1]Coibion_update!X372</f>
        <v>5.6458355147013517</v>
      </c>
      <c r="K366">
        <f xml:space="preserve"> [1]Coibion_update!Y372</f>
        <v>3.6423642003724677</v>
      </c>
      <c r="L366">
        <f xml:space="preserve"> [1]Coibion_update!Z372</f>
        <v>4.1534307463479374</v>
      </c>
      <c r="M366">
        <f xml:space="preserve"> [1]Coibion_update!AA372</f>
        <v>4.0612013436288468</v>
      </c>
      <c r="N366">
        <f xml:space="preserve"> [1]Coibion_update!AB372</f>
        <v>0.14027519999999999</v>
      </c>
      <c r="O366">
        <f xml:space="preserve"> [1]Coibion_update!AC372</f>
        <v>-3.2257015000000004</v>
      </c>
      <c r="P366">
        <f xml:space="preserve"> [1]Coibion_update!AD372</f>
        <v>-2.4081094999999975</v>
      </c>
      <c r="Q366">
        <f xml:space="preserve"> [1]Barakchian_Crowe!B245</f>
        <v>-0.2211234</v>
      </c>
      <c r="R366">
        <f xml:space="preserve"> [1]Barakchian_Crowe!C245</f>
        <v>1.7208589999999999</v>
      </c>
      <c r="S366">
        <f xml:space="preserve"> [1]Gertler_Karadi!C120</f>
        <v>-1.0712899999999999E-2</v>
      </c>
      <c r="U366">
        <f xml:space="preserve"> [1]Gertler_Karadi!E120</f>
        <v>-4.8386999999999996E-3</v>
      </c>
      <c r="V366">
        <f xml:space="preserve"> [1]Gertler_Karadi!F120</f>
        <v>0</v>
      </c>
      <c r="W366">
        <f xml:space="preserve"> [1]Gertler_Karadi!G120</f>
        <v>-4.8386999999999996E-3</v>
      </c>
      <c r="X366" s="5">
        <f xml:space="preserve"> [1]misc!N449</f>
        <v>8.98</v>
      </c>
      <c r="Y366">
        <f xml:space="preserve"> [1]Gilchrist_Zak!C198</f>
        <v>0.22889999999999999</v>
      </c>
      <c r="Z366">
        <f xml:space="preserve"> [1]Sims_Zha!B369</f>
        <v>-0.25680999999999998</v>
      </c>
      <c r="AA366">
        <f xml:space="preserve"> [1]Coibion_update!AI372</f>
        <v>2.06159E-2</v>
      </c>
      <c r="AB366">
        <f t="shared" si="26"/>
        <v>0.15011529999999992</v>
      </c>
      <c r="AC366">
        <v>2.06159E-2</v>
      </c>
      <c r="AD366">
        <v>-2.214E-2</v>
      </c>
      <c r="AG366">
        <v>-0.01</v>
      </c>
      <c r="AJ366">
        <v>-8.7033000000000006E-3</v>
      </c>
      <c r="AK366">
        <v>10.48</v>
      </c>
      <c r="AL366">
        <f xml:space="preserve"> LN([1]misc!B385)</f>
        <v>6.6528630293533473</v>
      </c>
      <c r="AM366">
        <f xml:space="preserve"> LN([1]misc!D385)</f>
        <v>8.0109902001356907</v>
      </c>
      <c r="AN366">
        <f xml:space="preserve"> LN([1]misc!G490)</f>
        <v>3.5010427166318716</v>
      </c>
      <c r="AO366">
        <f xml:space="preserve"> LN([1]misc!J396 + [1]misc!L396)</f>
        <v>3.6578530755088137</v>
      </c>
      <c r="AP366">
        <f xml:space="preserve"> [1]Factors!B366</f>
        <v>-2.9409793699999999E-2</v>
      </c>
      <c r="AQ366">
        <f xml:space="preserve"> [1]Factors!C366</f>
        <v>0.32584015</v>
      </c>
      <c r="AR366">
        <f xml:space="preserve"> [1]Factors!D366</f>
        <v>0.12882683</v>
      </c>
      <c r="AS366">
        <f xml:space="preserve"> [1]Factors!E366</f>
        <v>0.26863212600000003</v>
      </c>
      <c r="AT366">
        <f xml:space="preserve"> [1]Factors!F366</f>
        <v>6.8836288300000006E-2</v>
      </c>
    </row>
    <row r="367" spans="1:46" x14ac:dyDescent="0.25">
      <c r="A367">
        <f t="shared" si="25"/>
        <v>1989.4166666666445</v>
      </c>
      <c r="B367" s="1">
        <v>32660</v>
      </c>
      <c r="C367" s="7">
        <f t="shared" si="22"/>
        <v>1989</v>
      </c>
      <c r="D367" s="7">
        <f t="shared" si="23"/>
        <v>6</v>
      </c>
      <c r="E367" s="7">
        <f t="shared" si="24"/>
        <v>2</v>
      </c>
      <c r="F367">
        <f xml:space="preserve"> [1]Coibion_update!O373</f>
        <v>4.1552060187360826</v>
      </c>
      <c r="G367">
        <f xml:space="preserve"> [1]Coibion_update!P373</f>
        <v>5.3</v>
      </c>
      <c r="H367">
        <f xml:space="preserve"> [1]Coibion_update!Q373</f>
        <v>4.8210876922105612</v>
      </c>
      <c r="I367">
        <f xml:space="preserve"> [1]Coibion_update!W373</f>
        <v>9.5299999999999994</v>
      </c>
      <c r="J367">
        <f xml:space="preserve"> [1]Coibion_update!X373</f>
        <v>5.6386749027510596</v>
      </c>
      <c r="K367">
        <f xml:space="preserve"> [1]Coibion_update!Y373</f>
        <v>3.6502425704990182</v>
      </c>
      <c r="L367">
        <f xml:space="preserve"> [1]Coibion_update!Z373</f>
        <v>4.155612114569303</v>
      </c>
      <c r="M367">
        <f xml:space="preserve"> [1]Coibion_update!AA373</f>
        <v>4.0618213705165402</v>
      </c>
      <c r="N367">
        <f xml:space="preserve"> [1]Coibion_update!AB373</f>
        <v>0</v>
      </c>
      <c r="O367">
        <f xml:space="preserve"> [1]Coibion_update!AC373</f>
        <v>-3.2257015000000004</v>
      </c>
      <c r="P367">
        <f xml:space="preserve"> [1]Coibion_update!AD373</f>
        <v>-2.4081094999999975</v>
      </c>
      <c r="Q367">
        <f xml:space="preserve"> [1]Barakchian_Crowe!B246</f>
        <v>0</v>
      </c>
      <c r="R367">
        <f xml:space="preserve"> [1]Barakchian_Crowe!C246</f>
        <v>1.7208589999999999</v>
      </c>
      <c r="S367">
        <f xml:space="preserve"> [1]Gertler_Karadi!C121</f>
        <v>-2.18438E-2</v>
      </c>
      <c r="U367">
        <f xml:space="preserve"> [1]Gertler_Karadi!E121</f>
        <v>-5.5161300000000003E-2</v>
      </c>
      <c r="V367">
        <f xml:space="preserve"> [1]Gertler_Karadi!F121</f>
        <v>-0.05</v>
      </c>
      <c r="W367">
        <f xml:space="preserve"> [1]Gertler_Karadi!G121</f>
        <v>-3.8494599999999997E-2</v>
      </c>
      <c r="X367" s="5">
        <f xml:space="preserve"> [1]misc!N450</f>
        <v>8.44</v>
      </c>
      <c r="Y367">
        <f xml:space="preserve"> [1]Gilchrist_Zak!C199</f>
        <v>0.40970000000000001</v>
      </c>
      <c r="Z367">
        <f xml:space="preserve"> [1]Sims_Zha!B370</f>
        <v>-1.4923</v>
      </c>
      <c r="AA367">
        <f xml:space="preserve"> [1]Coibion_update!AI373</f>
        <v>0</v>
      </c>
      <c r="AB367">
        <f t="shared" si="26"/>
        <v>0.15011529999999992</v>
      </c>
      <c r="AC367">
        <v>0</v>
      </c>
      <c r="AD367">
        <v>-1.2500000000000001E-2</v>
      </c>
      <c r="AG367">
        <v>-0.06</v>
      </c>
      <c r="AJ367">
        <v>0</v>
      </c>
      <c r="AK367">
        <v>9.6300000000000008</v>
      </c>
      <c r="AL367">
        <f xml:space="preserve"> LN([1]misc!B386)</f>
        <v>6.6509256700131205</v>
      </c>
      <c r="AM367">
        <f xml:space="preserve"> LN([1]misc!D386)</f>
        <v>8.0163839029257353</v>
      </c>
      <c r="AN367">
        <f xml:space="preserve"> LN([1]misc!G491)</f>
        <v>3.5214071001701877</v>
      </c>
      <c r="AO367">
        <f xml:space="preserve"> LN([1]misc!J397 + [1]misc!L397)</f>
        <v>3.6509698810407163</v>
      </c>
      <c r="AP367">
        <f xml:space="preserve"> [1]Factors!B367</f>
        <v>0.33777662400000003</v>
      </c>
      <c r="AQ367">
        <f xml:space="preserve"> [1]Factors!C367</f>
        <v>0.221533327</v>
      </c>
      <c r="AR367">
        <f xml:space="preserve"> [1]Factors!D367</f>
        <v>-0.102337553</v>
      </c>
      <c r="AS367">
        <f xml:space="preserve"> [1]Factors!E367</f>
        <v>2.8733084900000001E-2</v>
      </c>
      <c r="AT367">
        <f xml:space="preserve"> [1]Factors!F367</f>
        <v>0.21573441700000001</v>
      </c>
    </row>
    <row r="368" spans="1:46" x14ac:dyDescent="0.25">
      <c r="A368">
        <f t="shared" si="25"/>
        <v>1989.4999999999777</v>
      </c>
      <c r="B368" s="1">
        <v>32690</v>
      </c>
      <c r="C368" s="7">
        <f t="shared" si="22"/>
        <v>1989</v>
      </c>
      <c r="D368" s="7">
        <f t="shared" si="23"/>
        <v>7</v>
      </c>
      <c r="E368" s="7">
        <f t="shared" si="24"/>
        <v>3</v>
      </c>
      <c r="F368">
        <f xml:space="preserve"> [1]Coibion_update!O374</f>
        <v>4.1458754117245338</v>
      </c>
      <c r="G368">
        <f xml:space="preserve"> [1]Coibion_update!P374</f>
        <v>5.2</v>
      </c>
      <c r="H368">
        <f xml:space="preserve"> [1]Coibion_update!Q374</f>
        <v>4.824305715904762</v>
      </c>
      <c r="I368">
        <f xml:space="preserve"> [1]Coibion_update!W374</f>
        <v>9.24</v>
      </c>
      <c r="J368">
        <f xml:space="preserve"> [1]Coibion_update!X374</f>
        <v>5.6347896031692493</v>
      </c>
      <c r="K368">
        <f xml:space="preserve"> [1]Coibion_update!Y374</f>
        <v>3.6597080768136565</v>
      </c>
      <c r="L368">
        <f xml:space="preserve"> [1]Coibion_update!Z374</f>
        <v>4.1550162417548329</v>
      </c>
      <c r="M368">
        <f xml:space="preserve"> [1]Coibion_update!AA374</f>
        <v>4.0650358953607606</v>
      </c>
      <c r="N368">
        <f xml:space="preserve"> [1]Coibion_update!AB374</f>
        <v>5.9045500000000001E-2</v>
      </c>
      <c r="O368">
        <f xml:space="preserve"> [1]Coibion_update!AC374</f>
        <v>-3.1666560000000006</v>
      </c>
      <c r="P368">
        <f xml:space="preserve"> [1]Coibion_update!AD374</f>
        <v>-2.3326723999999976</v>
      </c>
      <c r="Q368">
        <f xml:space="preserve"> [1]Barakchian_Crowe!B247</f>
        <v>-0.55277469999999995</v>
      </c>
      <c r="R368">
        <f xml:space="preserve"> [1]Barakchian_Crowe!C247</f>
        <v>1.1680839999999999</v>
      </c>
      <c r="S368">
        <f xml:space="preserve"> [1]Gertler_Karadi!C122</f>
        <v>-2.48495E-2</v>
      </c>
      <c r="U368">
        <f xml:space="preserve"> [1]Gertler_Karadi!E122</f>
        <v>-3.6129099999999997E-2</v>
      </c>
      <c r="V368">
        <f xml:space="preserve"> [1]Gertler_Karadi!F122</f>
        <v>-3.8064500000000001E-2</v>
      </c>
      <c r="W368">
        <f xml:space="preserve"> [1]Gertler_Karadi!G122</f>
        <v>-4.8924700000000002E-2</v>
      </c>
      <c r="X368" s="5">
        <f xml:space="preserve"> [1]misc!N451</f>
        <v>7.89</v>
      </c>
      <c r="Y368">
        <f xml:space="preserve"> [1]Gilchrist_Zak!C200</f>
        <v>0.64470000000000005</v>
      </c>
      <c r="Z368">
        <f xml:space="preserve"> [1]Sims_Zha!B371</f>
        <v>-1.1592</v>
      </c>
      <c r="AA368">
        <f xml:space="preserve"> [1]Coibion_update!AI374</f>
        <v>-0.12549879999999999</v>
      </c>
      <c r="AB368">
        <f t="shared" si="26"/>
        <v>2.461649999999993E-2</v>
      </c>
      <c r="AC368">
        <v>-0.12549879999999999</v>
      </c>
      <c r="AD368">
        <v>-3.5830000000000001E-2</v>
      </c>
      <c r="AG368">
        <v>-0.04</v>
      </c>
      <c r="AJ368">
        <v>-2.1723300000000001E-2</v>
      </c>
      <c r="AK368">
        <v>8.94</v>
      </c>
      <c r="AL368">
        <f xml:space="preserve"> LN([1]misc!B387)</f>
        <v>6.6564694217216465</v>
      </c>
      <c r="AM368">
        <f xml:space="preserve"> LN([1]misc!D387)</f>
        <v>8.0244366671111251</v>
      </c>
      <c r="AN368">
        <f xml:space="preserve"> LN([1]misc!G492)</f>
        <v>3.5240048109237025</v>
      </c>
      <c r="AO368">
        <f xml:space="preserve"> LN([1]misc!J398 + [1]misc!L398)</f>
        <v>3.6597080768136565</v>
      </c>
      <c r="AP368">
        <f xml:space="preserve"> [1]Factors!B368</f>
        <v>0.22102196499999999</v>
      </c>
      <c r="AQ368">
        <f xml:space="preserve"> [1]Factors!C368</f>
        <v>-5.1474477800000001E-2</v>
      </c>
      <c r="AR368">
        <f xml:space="preserve"> [1]Factors!D368</f>
        <v>-0.38979753099999997</v>
      </c>
      <c r="AS368">
        <f xml:space="preserve"> [1]Factors!E368</f>
        <v>0.163512248</v>
      </c>
      <c r="AT368">
        <f xml:space="preserve"> [1]Factors!F368</f>
        <v>-0.107025524</v>
      </c>
    </row>
    <row r="369" spans="1:46" x14ac:dyDescent="0.25">
      <c r="A369">
        <f t="shared" si="25"/>
        <v>1989.583333333311</v>
      </c>
      <c r="B369" s="1">
        <v>32721</v>
      </c>
      <c r="C369" s="7">
        <f t="shared" si="22"/>
        <v>1989</v>
      </c>
      <c r="D369" s="7">
        <f t="shared" si="23"/>
        <v>8</v>
      </c>
      <c r="E369" s="7">
        <f t="shared" si="24"/>
        <v>3</v>
      </c>
      <c r="F369">
        <f xml:space="preserve"> [1]Coibion_update!O375</f>
        <v>4.1546459945635412</v>
      </c>
      <c r="G369">
        <f xml:space="preserve"> [1]Coibion_update!P375</f>
        <v>5.2</v>
      </c>
      <c r="H369">
        <f xml:space="preserve"> [1]Coibion_update!Q375</f>
        <v>4.824305715904762</v>
      </c>
      <c r="I369">
        <f xml:space="preserve"> [1]Coibion_update!W375</f>
        <v>8.99</v>
      </c>
      <c r="J369">
        <f xml:space="preserve"> [1]Coibion_update!X375</f>
        <v>5.6222831510770641</v>
      </c>
      <c r="K369">
        <f xml:space="preserve"> [1]Coibion_update!Y375</f>
        <v>3.7019930932593192</v>
      </c>
      <c r="L369">
        <f xml:space="preserve"> [1]Coibion_update!Z375</f>
        <v>4.1635907349589152</v>
      </c>
      <c r="M369">
        <f xml:space="preserve"> [1]Coibion_update!AA375</f>
        <v>4.0674871080522177</v>
      </c>
      <c r="N369">
        <f xml:space="preserve"> [1]Coibion_update!AB375</f>
        <v>-0.1225097</v>
      </c>
      <c r="O369">
        <f xml:space="preserve"> [1]Coibion_update!AC375</f>
        <v>-3.2891657000000007</v>
      </c>
      <c r="P369">
        <f xml:space="preserve"> [1]Coibion_update!AD375</f>
        <v>-2.4722291999999975</v>
      </c>
      <c r="Q369">
        <f xml:space="preserve"> [1]Barakchian_Crowe!B248</f>
        <v>-0.61311510000000002</v>
      </c>
      <c r="R369">
        <f xml:space="preserve"> [1]Barakchian_Crowe!C248</f>
        <v>0.55496880000000004</v>
      </c>
      <c r="S369">
        <f xml:space="preserve"> [1]Gertler_Karadi!C123</f>
        <v>-1.30639E-2</v>
      </c>
      <c r="U369">
        <f xml:space="preserve"> [1]Gertler_Karadi!E123</f>
        <v>-1.9677400000000001E-2</v>
      </c>
      <c r="V369">
        <f xml:space="preserve"> [1]Gertler_Karadi!F123</f>
        <v>-2.4838699999999998E-2</v>
      </c>
      <c r="W369">
        <f xml:space="preserve"> [1]Gertler_Karadi!G123</f>
        <v>-2.06451E-2</v>
      </c>
      <c r="X369" s="5">
        <f xml:space="preserve"> [1]misc!N452</f>
        <v>8.18</v>
      </c>
      <c r="Y369">
        <f xml:space="preserve"> [1]Gilchrist_Zak!C201</f>
        <v>0.35289999999999999</v>
      </c>
      <c r="Z369">
        <f xml:space="preserve"> [1]Sims_Zha!B372</f>
        <v>-1.8890999999999999E-3</v>
      </c>
      <c r="AA369">
        <f xml:space="preserve"> [1]Coibion_update!AI375</f>
        <v>-8.3044699999999999E-2</v>
      </c>
      <c r="AB369">
        <f t="shared" si="26"/>
        <v>-5.8428200000000069E-2</v>
      </c>
      <c r="AC369">
        <v>-8.3044699999999999E-2</v>
      </c>
      <c r="AD369">
        <v>0</v>
      </c>
      <c r="AG369">
        <v>-0.02</v>
      </c>
      <c r="AJ369">
        <v>-2.04364E-2</v>
      </c>
      <c r="AK369">
        <v>8.92</v>
      </c>
      <c r="AL369">
        <f xml:space="preserve"> LN([1]misc!B388)</f>
        <v>6.6585243929046092</v>
      </c>
      <c r="AM369">
        <f xml:space="preserve"> LN([1]misc!D388)</f>
        <v>8.031612873006285</v>
      </c>
      <c r="AN369">
        <f xml:space="preserve"> LN([1]misc!G493)</f>
        <v>3.4923474048508663</v>
      </c>
      <c r="AO369">
        <f xml:space="preserve"> LN([1]misc!J399 + [1]misc!L399)</f>
        <v>3.6574919808723036</v>
      </c>
      <c r="AP369">
        <f xml:space="preserve"> [1]Factors!B369</f>
        <v>0.51490200799999997</v>
      </c>
      <c r="AQ369">
        <f xml:space="preserve"> [1]Factors!C369</f>
        <v>8.0224278199999999E-2</v>
      </c>
      <c r="AR369">
        <f xml:space="preserve"> [1]Factors!D369</f>
        <v>-0.32438503800000001</v>
      </c>
      <c r="AS369">
        <f xml:space="preserve"> [1]Factors!E369</f>
        <v>4.3109561499999997E-2</v>
      </c>
      <c r="AT369">
        <f xml:space="preserve"> [1]Factors!F369</f>
        <v>0.19744302899999999</v>
      </c>
    </row>
    <row r="370" spans="1:46" x14ac:dyDescent="0.25">
      <c r="A370">
        <f t="shared" si="25"/>
        <v>1989.6666666666442</v>
      </c>
      <c r="B370" s="1">
        <v>32752</v>
      </c>
      <c r="C370" s="7">
        <f t="shared" si="22"/>
        <v>1989</v>
      </c>
      <c r="D370" s="7">
        <f t="shared" si="23"/>
        <v>9</v>
      </c>
      <c r="E370" s="7">
        <f t="shared" si="24"/>
        <v>3</v>
      </c>
      <c r="F370">
        <f xml:space="preserve"> [1]Coibion_update!O376</f>
        <v>4.1515610299324459</v>
      </c>
      <c r="G370">
        <f xml:space="preserve"> [1]Coibion_update!P376</f>
        <v>5.3</v>
      </c>
      <c r="H370">
        <f xml:space="preserve"> [1]Coibion_update!Q376</f>
        <v>4.8267124559353274</v>
      </c>
      <c r="I370">
        <f xml:space="preserve"> [1]Coibion_update!W376</f>
        <v>9.02</v>
      </c>
      <c r="J370">
        <f xml:space="preserve"> [1]Coibion_update!X376</f>
        <v>5.6165528920432743</v>
      </c>
      <c r="K370">
        <f xml:space="preserve"> [1]Coibion_update!Y376</f>
        <v>3.6661991903907158</v>
      </c>
      <c r="L370">
        <f xml:space="preserve"> [1]Coibion_update!Z376</f>
        <v>4.169575712898415</v>
      </c>
      <c r="M370">
        <f xml:space="preserve"> [1]Coibion_update!AA376</f>
        <v>4.070256766693011</v>
      </c>
      <c r="N370">
        <f xml:space="preserve"> [1]Coibion_update!AB376</f>
        <v>0</v>
      </c>
      <c r="O370">
        <f xml:space="preserve"> [1]Coibion_update!AC376</f>
        <v>-3.2891657000000007</v>
      </c>
      <c r="P370">
        <f xml:space="preserve"> [1]Coibion_update!AD376</f>
        <v>-2.4722291999999975</v>
      </c>
      <c r="Q370">
        <f xml:space="preserve"> [1]Barakchian_Crowe!B249</f>
        <v>0</v>
      </c>
      <c r="R370">
        <f xml:space="preserve"> [1]Barakchian_Crowe!C249</f>
        <v>0.55496880000000004</v>
      </c>
      <c r="S370">
        <f xml:space="preserve"> [1]Gertler_Karadi!C124</f>
        <v>0</v>
      </c>
      <c r="U370">
        <f xml:space="preserve"> [1]Gertler_Karadi!E124</f>
        <v>-1.41935E-2</v>
      </c>
      <c r="V370">
        <f xml:space="preserve"> [1]Gertler_Karadi!F124</f>
        <v>-7.0968000000000003E-3</v>
      </c>
      <c r="W370">
        <f xml:space="preserve"> [1]Gertler_Karadi!G124</f>
        <v>-7.0968000000000003E-3</v>
      </c>
      <c r="X370" s="5">
        <f xml:space="preserve"> [1]misc!N453</f>
        <v>8.2200000000000006</v>
      </c>
      <c r="Y370">
        <f xml:space="preserve"> [1]Gilchrist_Zak!C202</f>
        <v>0.37459999999999999</v>
      </c>
      <c r="Z370">
        <f xml:space="preserve"> [1]Sims_Zha!B373</f>
        <v>1.8306</v>
      </c>
      <c r="AA370">
        <f xml:space="preserve"> [1]Coibion_update!AI376</f>
        <v>0</v>
      </c>
      <c r="AB370">
        <f t="shared" si="26"/>
        <v>-5.8428200000000069E-2</v>
      </c>
      <c r="AC370">
        <v>0</v>
      </c>
      <c r="AD370">
        <v>0</v>
      </c>
      <c r="AG370">
        <v>0</v>
      </c>
      <c r="AJ370">
        <v>0</v>
      </c>
      <c r="AK370">
        <v>9.24</v>
      </c>
      <c r="AL370">
        <f xml:space="preserve"> LN([1]misc!B389)</f>
        <v>6.6605751498396861</v>
      </c>
      <c r="AM370">
        <f xml:space="preserve"> LN([1]misc!D389)</f>
        <v>8.0374785626753003</v>
      </c>
      <c r="AN370">
        <f xml:space="preserve"> LN([1]misc!G494)</f>
        <v>3.5129176312725634</v>
      </c>
      <c r="AO370">
        <f xml:space="preserve"> LN([1]misc!J400 + [1]misc!L400)</f>
        <v>3.6636385662481414</v>
      </c>
      <c r="AP370">
        <f xml:space="preserve"> [1]Factors!B370</f>
        <v>1.4020121700000001E-2</v>
      </c>
      <c r="AQ370">
        <f xml:space="preserve"> [1]Factors!C370</f>
        <v>-0.310829833</v>
      </c>
      <c r="AR370">
        <f xml:space="preserve"> [1]Factors!D370</f>
        <v>-0.13136769000000001</v>
      </c>
      <c r="AS370">
        <f xml:space="preserve"> [1]Factors!E370</f>
        <v>-0.104197915</v>
      </c>
      <c r="AT370">
        <f xml:space="preserve"> [1]Factors!F370</f>
        <v>-0.28829222199999999</v>
      </c>
    </row>
    <row r="371" spans="1:46" x14ac:dyDescent="0.25">
      <c r="A371">
        <f t="shared" si="25"/>
        <v>1989.7499999999775</v>
      </c>
      <c r="B371" s="1">
        <v>32782</v>
      </c>
      <c r="C371" s="7">
        <f t="shared" si="22"/>
        <v>1989</v>
      </c>
      <c r="D371" s="7">
        <f t="shared" si="23"/>
        <v>10</v>
      </c>
      <c r="E371" s="7">
        <f t="shared" si="24"/>
        <v>4</v>
      </c>
      <c r="F371">
        <f xml:space="preserve"> [1]Coibion_update!O377</f>
        <v>4.1505705044084191</v>
      </c>
      <c r="G371">
        <f xml:space="preserve"> [1]Coibion_update!P377</f>
        <v>5.3</v>
      </c>
      <c r="H371">
        <f xml:space="preserve"> [1]Coibion_update!Q377</f>
        <v>4.8315086281988204</v>
      </c>
      <c r="I371">
        <f xml:space="preserve"> [1]Coibion_update!W377</f>
        <v>8.84</v>
      </c>
      <c r="J371">
        <f xml:space="preserve"> [1]Coibion_update!X377</f>
        <v>5.6143317612668531</v>
      </c>
      <c r="K371">
        <f xml:space="preserve"> [1]Coibion_update!Y377</f>
        <v>3.6503465043971524</v>
      </c>
      <c r="L371">
        <f xml:space="preserve"> [1]Coibion_update!Z377</f>
        <v>4.1658897293851966</v>
      </c>
      <c r="M371">
        <f xml:space="preserve"> [1]Coibion_update!AA377</f>
        <v>4.074294904416397</v>
      </c>
      <c r="N371">
        <f xml:space="preserve"> [1]Coibion_update!AB377</f>
        <v>-6.2634999999999996E-2</v>
      </c>
      <c r="O371">
        <f xml:space="preserve"> [1]Coibion_update!AC377</f>
        <v>-3.351800700000001</v>
      </c>
      <c r="P371">
        <f xml:space="preserve"> [1]Coibion_update!AD377</f>
        <v>-2.5601526999999975</v>
      </c>
      <c r="Q371">
        <f xml:space="preserve"> [1]Barakchian_Crowe!B250</f>
        <v>0.22217400000000001</v>
      </c>
      <c r="R371">
        <f xml:space="preserve"> [1]Barakchian_Crowe!C250</f>
        <v>0.77714280000000002</v>
      </c>
      <c r="S371">
        <f xml:space="preserve"> [1]Gertler_Karadi!C125</f>
        <v>-7.5561299999999998E-2</v>
      </c>
      <c r="U371">
        <f xml:space="preserve"> [1]Gertler_Karadi!E125</f>
        <v>1.29032E-2</v>
      </c>
      <c r="V371">
        <f xml:space="preserve"> [1]Gertler_Karadi!F125</f>
        <v>9.0323000000000001E-3</v>
      </c>
      <c r="W371">
        <f xml:space="preserve"> [1]Gertler_Karadi!G125</f>
        <v>6.4516E-3</v>
      </c>
      <c r="X371" s="5">
        <f xml:space="preserve"> [1]misc!N454</f>
        <v>7.99</v>
      </c>
      <c r="Y371">
        <f xml:space="preserve"> [1]Gilchrist_Zak!C203</f>
        <v>0.27629999999999999</v>
      </c>
      <c r="Z371">
        <f xml:space="preserve"> [1]Sims_Zha!B374</f>
        <v>-0.44220999999999999</v>
      </c>
      <c r="AA371">
        <f xml:space="preserve"> [1]Coibion_update!AI377</f>
        <v>-3.5728999999999999E-3</v>
      </c>
      <c r="AB371">
        <f t="shared" si="26"/>
        <v>-6.2001100000000066E-2</v>
      </c>
      <c r="AC371">
        <v>-3.5728999999999999E-3</v>
      </c>
      <c r="AD371">
        <v>-0.17222999999999999</v>
      </c>
      <c r="AG371">
        <v>0.01</v>
      </c>
      <c r="AJ371">
        <v>1.60311E-2</v>
      </c>
      <c r="AK371">
        <v>8.89</v>
      </c>
      <c r="AL371">
        <f xml:space="preserve"> LN([1]misc!B390)</f>
        <v>6.6677198599977094</v>
      </c>
      <c r="AM371">
        <f xml:space="preserve"> LN([1]misc!D390)</f>
        <v>8.0444337684567024</v>
      </c>
      <c r="AN371">
        <f xml:space="preserve"> LN([1]misc!G495)</f>
        <v>3.4992009008664127</v>
      </c>
      <c r="AO371">
        <f xml:space="preserve"> LN([1]misc!J401 + [1]misc!L401)</f>
        <v>3.679561173474942</v>
      </c>
      <c r="AP371">
        <f xml:space="preserve"> [1]Factors!B371</f>
        <v>0.279867123</v>
      </c>
      <c r="AQ371">
        <f xml:space="preserve"> [1]Factors!C371</f>
        <v>9.7093400499999996E-2</v>
      </c>
      <c r="AR371">
        <f xml:space="preserve"> [1]Factors!D371</f>
        <v>3.0466719900000001E-2</v>
      </c>
      <c r="AS371">
        <f xml:space="preserve"> [1]Factors!E371</f>
        <v>-0.112713269</v>
      </c>
      <c r="AT371">
        <f xml:space="preserve"> [1]Factors!F371</f>
        <v>-5.9903949800000002E-2</v>
      </c>
    </row>
    <row r="372" spans="1:46" x14ac:dyDescent="0.25">
      <c r="A372">
        <f t="shared" si="25"/>
        <v>1989.8333333333107</v>
      </c>
      <c r="B372" s="1">
        <v>32813</v>
      </c>
      <c r="C372" s="7">
        <f t="shared" si="22"/>
        <v>1989</v>
      </c>
      <c r="D372" s="7">
        <f t="shared" si="23"/>
        <v>11</v>
      </c>
      <c r="E372" s="7">
        <f t="shared" si="24"/>
        <v>4</v>
      </c>
      <c r="F372">
        <f xml:space="preserve"> [1]Coibion_update!O378</f>
        <v>4.1539569071532441</v>
      </c>
      <c r="G372">
        <f xml:space="preserve"> [1]Coibion_update!P378</f>
        <v>5.4</v>
      </c>
      <c r="H372">
        <f xml:space="preserve"> [1]Coibion_update!Q378</f>
        <v>4.8354879410503013</v>
      </c>
      <c r="I372">
        <f xml:space="preserve"> [1]Coibion_update!W378</f>
        <v>8.5500000000000007</v>
      </c>
      <c r="J372">
        <f xml:space="preserve"> [1]Coibion_update!X378</f>
        <v>5.5954174499780764</v>
      </c>
      <c r="K372">
        <f xml:space="preserve"> [1]Coibion_update!Y378</f>
        <v>3.6401092897445069</v>
      </c>
      <c r="L372">
        <f xml:space="preserve"> [1]Coibion_update!Z378</f>
        <v>4.1718455810008477</v>
      </c>
      <c r="M372">
        <f xml:space="preserve"> [1]Coibion_update!AA378</f>
        <v>4.074872880157506</v>
      </c>
      <c r="N372">
        <f xml:space="preserve"> [1]Coibion_update!AB378</f>
        <v>0.1344756</v>
      </c>
      <c r="O372">
        <f xml:space="preserve"> [1]Coibion_update!AC378</f>
        <v>-3.2173251000000009</v>
      </c>
      <c r="P372">
        <f xml:space="preserve"> [1]Coibion_update!AD378</f>
        <v>-2.4534743999999975</v>
      </c>
      <c r="Q372">
        <f xml:space="preserve"> [1]Barakchian_Crowe!B251</f>
        <v>-0.20887510000000001</v>
      </c>
      <c r="R372">
        <f xml:space="preserve"> [1]Barakchian_Crowe!C251</f>
        <v>0.56826770000000004</v>
      </c>
      <c r="S372">
        <f xml:space="preserve"> [1]Gertler_Karadi!C126</f>
        <v>-0.1908154</v>
      </c>
      <c r="U372">
        <f xml:space="preserve"> [1]Gertler_Karadi!E126</f>
        <v>-4.5569900000000003E-2</v>
      </c>
      <c r="V372">
        <f xml:space="preserve"> [1]Gertler_Karadi!F126</f>
        <v>-4.1698899999999997E-2</v>
      </c>
      <c r="W372">
        <f xml:space="preserve"> [1]Gertler_Karadi!G126</f>
        <v>-2.11183E-2</v>
      </c>
      <c r="X372" s="5">
        <f xml:space="preserve"> [1]misc!N455</f>
        <v>7.77</v>
      </c>
      <c r="Y372">
        <f xml:space="preserve"> [1]Gilchrist_Zak!C204</f>
        <v>0.46610000000000001</v>
      </c>
      <c r="Z372">
        <f xml:space="preserve"> [1]Sims_Zha!B375</f>
        <v>-1.4962</v>
      </c>
      <c r="AA372">
        <f xml:space="preserve"> [1]Coibion_update!AI378</f>
        <v>6.5522800000000006E-2</v>
      </c>
      <c r="AB372">
        <f t="shared" si="26"/>
        <v>3.5216999999999402E-3</v>
      </c>
      <c r="AC372">
        <v>6.5522800000000006E-2</v>
      </c>
      <c r="AD372">
        <v>-0.12435</v>
      </c>
      <c r="AG372">
        <v>-0.05</v>
      </c>
      <c r="AJ372">
        <v>5.4618999999999996E-3</v>
      </c>
      <c r="AK372">
        <v>8.6</v>
      </c>
      <c r="AL372">
        <f xml:space="preserve"> LN([1]misc!B391)</f>
        <v>6.6693711782516427</v>
      </c>
      <c r="AM372">
        <f xml:space="preserve"> LN([1]misc!D391)</f>
        <v>8.050480142268567</v>
      </c>
      <c r="AN372">
        <f xml:space="preserve"> LN([1]misc!G496)</f>
        <v>3.5228543852868737</v>
      </c>
      <c r="AO372">
        <f xml:space="preserve"> LN([1]misc!J402 + [1]misc!L402)</f>
        <v>3.6849216322595924</v>
      </c>
      <c r="AP372">
        <f xml:space="preserve"> [1]Factors!B372</f>
        <v>0.25403040500000001</v>
      </c>
      <c r="AQ372">
        <f xml:space="preserve"> [1]Factors!C372</f>
        <v>0.20113515400000001</v>
      </c>
      <c r="AR372">
        <f xml:space="preserve"> [1]Factors!D372</f>
        <v>-6.8332786500000006E-2</v>
      </c>
      <c r="AS372">
        <f xml:space="preserve"> [1]Factors!E372</f>
        <v>0.109588321</v>
      </c>
      <c r="AT372">
        <f xml:space="preserve"> [1]Factors!F372</f>
        <v>-3.5956061599999999E-2</v>
      </c>
    </row>
    <row r="373" spans="1:46" x14ac:dyDescent="0.25">
      <c r="A373">
        <f t="shared" si="25"/>
        <v>1989.916666666644</v>
      </c>
      <c r="B373" s="1">
        <v>32843</v>
      </c>
      <c r="C373" s="7">
        <f t="shared" si="22"/>
        <v>1989</v>
      </c>
      <c r="D373" s="7">
        <f t="shared" si="23"/>
        <v>12</v>
      </c>
      <c r="E373" s="7">
        <f t="shared" si="24"/>
        <v>4</v>
      </c>
      <c r="F373">
        <f xml:space="preserve"> [1]Coibion_update!O379</f>
        <v>4.1598810227524758</v>
      </c>
      <c r="G373">
        <f xml:space="preserve"> [1]Coibion_update!P379</f>
        <v>5.4</v>
      </c>
      <c r="H373">
        <f xml:space="preserve"> [1]Coibion_update!Q379</f>
        <v>4.8386600293564452</v>
      </c>
      <c r="I373">
        <f xml:space="preserve"> [1]Coibion_update!W379</f>
        <v>8.4499999999999993</v>
      </c>
      <c r="J373">
        <f xml:space="preserve"> [1]Coibion_update!X379</f>
        <v>5.5676572447519526</v>
      </c>
      <c r="K373">
        <f xml:space="preserve"> [1]Coibion_update!Y379</f>
        <v>3.6453715641370019</v>
      </c>
      <c r="L373">
        <f xml:space="preserve"> [1]Coibion_update!Z379</f>
        <v>4.1842157349837947</v>
      </c>
      <c r="M373">
        <f xml:space="preserve"> [1]Coibion_update!AA379</f>
        <v>4.0820189125314634</v>
      </c>
      <c r="N373">
        <f xml:space="preserve"> [1]Coibion_update!AB379</f>
        <v>-5.1164599999999998E-2</v>
      </c>
      <c r="O373">
        <f xml:space="preserve"> [1]Coibion_update!AC379</f>
        <v>-3.2684897000000008</v>
      </c>
      <c r="P373">
        <f xml:space="preserve"> [1]Coibion_update!AD379</f>
        <v>-2.5209247999999973</v>
      </c>
      <c r="Q373">
        <f xml:space="preserve"> [1]Barakchian_Crowe!B252</f>
        <v>-0.87765470000000001</v>
      </c>
      <c r="R373">
        <f xml:space="preserve"> [1]Barakchian_Crowe!C252</f>
        <v>-0.30938700000000002</v>
      </c>
      <c r="S373">
        <f xml:space="preserve"> [1]Gertler_Karadi!C127</f>
        <v>-9.5657500000000006E-2</v>
      </c>
      <c r="U373">
        <f xml:space="preserve"> [1]Gertler_Karadi!E127</f>
        <v>-1.89462E-2</v>
      </c>
      <c r="V373">
        <f xml:space="preserve"> [1]Gertler_Karadi!F127</f>
        <v>-1.50753E-2</v>
      </c>
      <c r="W373">
        <f xml:space="preserve"> [1]Gertler_Karadi!G127</f>
        <v>-1.30753E-2</v>
      </c>
      <c r="X373" s="5">
        <f xml:space="preserve"> [1]misc!N456</f>
        <v>7.72</v>
      </c>
      <c r="Y373">
        <f xml:space="preserve"> [1]Gilchrist_Zak!C205</f>
        <v>0.40799999999999997</v>
      </c>
      <c r="Z373">
        <f xml:space="preserve"> [1]Sims_Zha!B376</f>
        <v>-0.14693000000000001</v>
      </c>
      <c r="AA373">
        <f xml:space="preserve"> [1]Coibion_update!AI379</f>
        <v>-9.3640500000000002E-2</v>
      </c>
      <c r="AB373">
        <f t="shared" si="26"/>
        <v>-9.0118800000000054E-2</v>
      </c>
      <c r="AC373">
        <v>-9.3640500000000002E-2</v>
      </c>
      <c r="AD373">
        <v>-0.16908999999999999</v>
      </c>
      <c r="AG373">
        <v>-0.03</v>
      </c>
      <c r="AJ373">
        <v>-1.4626200000000001E-2</v>
      </c>
      <c r="AK373">
        <v>7.97</v>
      </c>
      <c r="AL373">
        <f xml:space="preserve"> LN([1]misc!B392)</f>
        <v>6.6756971102783531</v>
      </c>
      <c r="AM373">
        <f xml:space="preserve"> LN([1]misc!D392)</f>
        <v>8.0565535825634171</v>
      </c>
      <c r="AN373">
        <f xml:space="preserve"> LN([1]misc!G497)</f>
        <v>3.5657791819781002</v>
      </c>
      <c r="AO373">
        <f xml:space="preserve"> LN([1]misc!J403 + [1]misc!L403)</f>
        <v>3.6949112263456554</v>
      </c>
      <c r="AP373">
        <f xml:space="preserve"> [1]Factors!B373</f>
        <v>8.0486164999999998E-2</v>
      </c>
      <c r="AQ373">
        <f xml:space="preserve"> [1]Factors!C373</f>
        <v>1.6710598399999999E-2</v>
      </c>
      <c r="AR373">
        <f xml:space="preserve"> [1]Factors!D373</f>
        <v>-0.106172559</v>
      </c>
      <c r="AS373">
        <f xml:space="preserve"> [1]Factors!E373</f>
        <v>7.0762774299999998E-3</v>
      </c>
      <c r="AT373">
        <f xml:space="preserve"> [1]Factors!F373</f>
        <v>-0.20875808400000001</v>
      </c>
    </row>
    <row r="374" spans="1:46" x14ac:dyDescent="0.25">
      <c r="A374">
        <f t="shared" si="25"/>
        <v>1989.9999999999773</v>
      </c>
      <c r="B374" s="1">
        <v>32874</v>
      </c>
      <c r="C374" s="7">
        <f t="shared" si="22"/>
        <v>1990</v>
      </c>
      <c r="D374" s="7">
        <f t="shared" si="23"/>
        <v>1</v>
      </c>
      <c r="E374" s="7">
        <f t="shared" si="24"/>
        <v>1</v>
      </c>
      <c r="F374">
        <f xml:space="preserve"> [1]Coibion_update!O380</f>
        <v>4.1536475267204231</v>
      </c>
      <c r="G374">
        <f xml:space="preserve"> [1]Coibion_update!P380</f>
        <v>5.4</v>
      </c>
      <c r="H374">
        <f xml:space="preserve"> [1]Coibion_update!Q380</f>
        <v>4.8481163645984813</v>
      </c>
      <c r="I374">
        <f xml:space="preserve"> [1]Coibion_update!W380</f>
        <v>8.23</v>
      </c>
      <c r="J374">
        <f xml:space="preserve"> [1]Coibion_update!X380</f>
        <v>5.5620652887041864</v>
      </c>
      <c r="K374">
        <f xml:space="preserve"> [1]Coibion_update!Y380</f>
        <v>3.7294214094268727</v>
      </c>
      <c r="L374">
        <f xml:space="preserve"> [1]Coibion_update!Z380</f>
        <v>4.1686941718458046</v>
      </c>
      <c r="M374">
        <f xml:space="preserve"> [1]Coibion_update!AA380</f>
        <v>4.0778933127802697</v>
      </c>
      <c r="N374">
        <f xml:space="preserve"> [1]Coibion_update!AB380</f>
        <v>0</v>
      </c>
      <c r="O374">
        <f xml:space="preserve"> [1]Coibion_update!AC380</f>
        <v>-3.2684897000000008</v>
      </c>
      <c r="P374">
        <f xml:space="preserve"> [1]Coibion_update!AD380</f>
        <v>-2.5209247999999973</v>
      </c>
      <c r="Q374">
        <f xml:space="preserve"> [1]Barakchian_Crowe!B253</f>
        <v>0</v>
      </c>
      <c r="R374">
        <f xml:space="preserve"> [1]Barakchian_Crowe!C253</f>
        <v>-0.30938700000000002</v>
      </c>
      <c r="S374">
        <f xml:space="preserve"> [1]Gertler_Karadi!C128</f>
        <v>-0.1036358</v>
      </c>
      <c r="T374">
        <v>0</v>
      </c>
      <c r="U374">
        <f xml:space="preserve"> [1]Gertler_Karadi!E128</f>
        <v>-1.83871E-2</v>
      </c>
      <c r="V374">
        <f xml:space="preserve"> [1]Gertler_Karadi!F128</f>
        <v>-1.2258099999999999E-2</v>
      </c>
      <c r="W374">
        <f xml:space="preserve"> [1]Gertler_Karadi!G128</f>
        <v>-1.2258099999999999E-2</v>
      </c>
      <c r="X374" s="5">
        <f xml:space="preserve"> [1]misc!N457</f>
        <v>7.92</v>
      </c>
      <c r="Y374">
        <f xml:space="preserve"> [1]Gilchrist_Zak!C206</f>
        <v>0.12230000000000001</v>
      </c>
      <c r="Z374">
        <f xml:space="preserve"> [1]Sims_Zha!B377</f>
        <v>-0.45007000000000003</v>
      </c>
      <c r="AA374">
        <f xml:space="preserve"> [1]Coibion_update!AI380</f>
        <v>0</v>
      </c>
      <c r="AB374">
        <f t="shared" si="26"/>
        <v>-9.0118800000000054E-2</v>
      </c>
      <c r="AC374">
        <v>0</v>
      </c>
      <c r="AD374">
        <v>0</v>
      </c>
      <c r="AG374">
        <v>0</v>
      </c>
      <c r="AH374">
        <v>0</v>
      </c>
      <c r="AI374">
        <v>0</v>
      </c>
      <c r="AJ374">
        <v>0</v>
      </c>
      <c r="AK374">
        <v>8.26</v>
      </c>
      <c r="AL374">
        <f xml:space="preserve"> LN([1]misc!B393)</f>
        <v>6.6788451327735903</v>
      </c>
      <c r="AM374">
        <f xml:space="preserve"> LN([1]misc!D393)</f>
        <v>8.0610135687635722</v>
      </c>
      <c r="AN374">
        <f xml:space="preserve"> LN([1]misc!G498)</f>
        <v>3.5285933241805942</v>
      </c>
      <c r="AO374">
        <f xml:space="preserve"> LN([1]misc!J404 + [1]misc!L404)</f>
        <v>3.6967980193582322</v>
      </c>
      <c r="AP374">
        <f xml:space="preserve"> [1]Factors!B374</f>
        <v>0.125473056</v>
      </c>
      <c r="AQ374">
        <f xml:space="preserve"> [1]Factors!C374</f>
        <v>-1.9471617799999999E-4</v>
      </c>
      <c r="AR374">
        <f xml:space="preserve"> [1]Factors!D374</f>
        <v>4.76803552E-3</v>
      </c>
      <c r="AS374">
        <f xml:space="preserve"> [1]Factors!E374</f>
        <v>0.104272727</v>
      </c>
      <c r="AT374">
        <f xml:space="preserve"> [1]Factors!F374</f>
        <v>-0.22509261</v>
      </c>
    </row>
    <row r="375" spans="1:46" x14ac:dyDescent="0.25">
      <c r="A375">
        <f t="shared" si="25"/>
        <v>1990.0833333333105</v>
      </c>
      <c r="B375" s="1">
        <v>32905</v>
      </c>
      <c r="C375" s="7">
        <f t="shared" si="22"/>
        <v>1990</v>
      </c>
      <c r="D375" s="7">
        <f t="shared" si="23"/>
        <v>2</v>
      </c>
      <c r="E375" s="7">
        <f t="shared" si="24"/>
        <v>1</v>
      </c>
      <c r="F375">
        <f xml:space="preserve"> [1]Coibion_update!O381</f>
        <v>4.1630042671041112</v>
      </c>
      <c r="G375">
        <f xml:space="preserve"> [1]Coibion_update!P381</f>
        <v>5.3</v>
      </c>
      <c r="H375">
        <f xml:space="preserve"> [1]Coibion_update!Q381</f>
        <v>4.8520302639196169</v>
      </c>
      <c r="I375">
        <f xml:space="preserve"> [1]Coibion_update!W381</f>
        <v>8.24</v>
      </c>
      <c r="J375">
        <f xml:space="preserve"> [1]Coibion_update!X381</f>
        <v>5.5664342835049778</v>
      </c>
      <c r="K375">
        <f xml:space="preserve"> [1]Coibion_update!Y381</f>
        <v>3.6661480421118444</v>
      </c>
      <c r="L375">
        <f xml:space="preserve"> [1]Coibion_update!Z381</f>
        <v>4.1727089392093557</v>
      </c>
      <c r="M375">
        <f xml:space="preserve"> [1]Coibion_update!AA381</f>
        <v>4.0824912551911003</v>
      </c>
      <c r="N375">
        <f xml:space="preserve"> [1]Coibion_update!AB381</f>
        <v>0.31750050000000002</v>
      </c>
      <c r="O375">
        <f xml:space="preserve"> [1]Coibion_update!AC381</f>
        <v>-2.9509892000000009</v>
      </c>
      <c r="P375">
        <f xml:space="preserve"> [1]Coibion_update!AD381</f>
        <v>-2.2091208999999972</v>
      </c>
      <c r="Q375">
        <f xml:space="preserve"> [1]Barakchian_Crowe!B254</f>
        <v>-8.0684800000000001E-2</v>
      </c>
      <c r="R375">
        <f xml:space="preserve"> [1]Barakchian_Crowe!C254</f>
        <v>-0.39007170000000002</v>
      </c>
      <c r="S375">
        <f xml:space="preserve"> [1]Gertler_Karadi!C129</f>
        <v>-1.0500000000000001E-2</v>
      </c>
      <c r="T375">
        <f xml:space="preserve"> [1]Gertler_Karadi!D129</f>
        <v>-1.4999999999999999E-2</v>
      </c>
      <c r="U375">
        <f xml:space="preserve"> [1]Gertler_Karadi!E129</f>
        <v>1.4999999999999999E-2</v>
      </c>
      <c r="V375">
        <f xml:space="preserve"> [1]Gertler_Karadi!F129</f>
        <v>7.4999999999999997E-3</v>
      </c>
      <c r="W375">
        <f xml:space="preserve"> [1]Gertler_Karadi!G129</f>
        <v>7.4999999999999997E-3</v>
      </c>
      <c r="X375" s="5">
        <f xml:space="preserve"> [1]misc!N458</f>
        <v>8.11</v>
      </c>
      <c r="Y375">
        <f xml:space="preserve"> [1]Gilchrist_Zak!C207</f>
        <v>0.2427</v>
      </c>
      <c r="Z375">
        <f xml:space="preserve"> [1]Sims_Zha!B378</f>
        <v>1.2819</v>
      </c>
      <c r="AA375">
        <f xml:space="preserve"> [1]Coibion_update!AI381</f>
        <v>9.8187800000000006E-2</v>
      </c>
      <c r="AB375">
        <f t="shared" si="26"/>
        <v>8.0689999999999512E-3</v>
      </c>
      <c r="AC375">
        <v>9.8187800000000006E-2</v>
      </c>
      <c r="AD375">
        <v>-1.4E-2</v>
      </c>
      <c r="AE375">
        <v>-0.01</v>
      </c>
      <c r="AF375">
        <v>-0.02</v>
      </c>
      <c r="AG375">
        <v>0.02</v>
      </c>
      <c r="AH375">
        <v>4.9313999999999998E-3</v>
      </c>
      <c r="AI375">
        <v>-1.5574599999999999E-2</v>
      </c>
      <c r="AJ375">
        <v>4.841E-4</v>
      </c>
      <c r="AK375">
        <v>8.2899999999999991</v>
      </c>
      <c r="AL375">
        <f xml:space="preserve"> LN([1]misc!B394)</f>
        <v>6.6822339028819631</v>
      </c>
      <c r="AM375">
        <f xml:space="preserve"> LN([1]misc!D394)</f>
        <v>8.0649194545998615</v>
      </c>
      <c r="AN375">
        <f xml:space="preserve"> LN([1]misc!G499)</f>
        <v>3.4302058706968621</v>
      </c>
      <c r="AO375">
        <f xml:space="preserve"> LN([1]misc!J405 + [1]misc!L405)</f>
        <v>3.6846455035818746</v>
      </c>
      <c r="AP375">
        <f xml:space="preserve"> [1]Factors!B375</f>
        <v>-8.0193586999999997E-2</v>
      </c>
      <c r="AQ375">
        <f xml:space="preserve"> [1]Factors!C375</f>
        <v>0.62554266199999997</v>
      </c>
      <c r="AR375">
        <f xml:space="preserve"> [1]Factors!D375</f>
        <v>0.18401404499999999</v>
      </c>
      <c r="AS375">
        <f xml:space="preserve"> [1]Factors!E375</f>
        <v>0.120594945</v>
      </c>
      <c r="AT375">
        <f xml:space="preserve"> [1]Factors!F375</f>
        <v>0.29702732599999998</v>
      </c>
    </row>
    <row r="376" spans="1:46" x14ac:dyDescent="0.25">
      <c r="A376">
        <f t="shared" si="25"/>
        <v>1990.1666666666438</v>
      </c>
      <c r="B376" s="1">
        <v>32933</v>
      </c>
      <c r="C376" s="7">
        <f t="shared" si="22"/>
        <v>1990</v>
      </c>
      <c r="D376" s="7">
        <f t="shared" si="23"/>
        <v>3</v>
      </c>
      <c r="E376" s="7">
        <f t="shared" si="24"/>
        <v>1</v>
      </c>
      <c r="F376">
        <f xml:space="preserve"> [1]Coibion_update!O382</f>
        <v>4.1684357485206549</v>
      </c>
      <c r="G376">
        <f xml:space="preserve"> [1]Coibion_update!P382</f>
        <v>5.2</v>
      </c>
      <c r="H376">
        <f xml:space="preserve"> [1]Coibion_update!Q382</f>
        <v>4.8567068118035186</v>
      </c>
      <c r="I376">
        <f xml:space="preserve"> [1]Coibion_update!W382</f>
        <v>8.2799999999999994</v>
      </c>
      <c r="J376">
        <f xml:space="preserve"> [1]Coibion_update!X382</f>
        <v>5.5852991938854242</v>
      </c>
      <c r="K376">
        <f xml:space="preserve"> [1]Coibion_update!Y382</f>
        <v>3.6629717285727512</v>
      </c>
      <c r="L376">
        <f xml:space="preserve"> [1]Coibion_update!Z382</f>
        <v>4.1767230014880026</v>
      </c>
      <c r="M376">
        <f xml:space="preserve"> [1]Coibion_update!AA382</f>
        <v>4.0871688784730047</v>
      </c>
      <c r="N376">
        <f xml:space="preserve"> [1]Coibion_update!AB382</f>
        <v>-7.0355000000000001E-2</v>
      </c>
      <c r="O376">
        <f xml:space="preserve"> [1]Coibion_update!AC382</f>
        <v>-3.021344200000001</v>
      </c>
      <c r="P376">
        <f xml:space="preserve"> [1]Coibion_update!AD382</f>
        <v>-2.3010945999999972</v>
      </c>
      <c r="Q376">
        <f xml:space="preserve"> [1]Barakchian_Crowe!B255</f>
        <v>-3.8194199999999998E-2</v>
      </c>
      <c r="R376">
        <f xml:space="preserve"> [1]Barakchian_Crowe!C255</f>
        <v>-0.42826599999999998</v>
      </c>
      <c r="S376">
        <f xml:space="preserve"> [1]Gertler_Karadi!C130</f>
        <v>-3.5000000000000001E-3</v>
      </c>
      <c r="T376">
        <f xml:space="preserve"> [1]Gertler_Karadi!D130</f>
        <v>-7.5805999999999998E-3</v>
      </c>
      <c r="U376">
        <f xml:space="preserve"> [1]Gertler_Karadi!E130</f>
        <v>2.4193999999999999E-3</v>
      </c>
      <c r="V376">
        <f xml:space="preserve"> [1]Gertler_Karadi!F130</f>
        <v>-8.0599999999999994E-5</v>
      </c>
      <c r="W376">
        <f xml:space="preserve"> [1]Gertler_Karadi!G130</f>
        <v>-1.371E-3</v>
      </c>
      <c r="X376" s="5">
        <f xml:space="preserve"> [1]misc!N459</f>
        <v>8.35</v>
      </c>
      <c r="Y376">
        <f xml:space="preserve"> [1]Gilchrist_Zak!C208</f>
        <v>0.35</v>
      </c>
      <c r="Z376">
        <f xml:space="preserve"> [1]Sims_Zha!B379</f>
        <v>1.0507</v>
      </c>
      <c r="AA376">
        <f xml:space="preserve"> [1]Coibion_update!AI382</f>
        <v>-9.2356800000000003E-2</v>
      </c>
      <c r="AB376">
        <f t="shared" si="26"/>
        <v>-8.4287800000000052E-2</v>
      </c>
      <c r="AC376">
        <v>-9.2356800000000003E-2</v>
      </c>
      <c r="AD376">
        <v>0</v>
      </c>
      <c r="AE376">
        <v>0</v>
      </c>
      <c r="AF376">
        <v>-0.02</v>
      </c>
      <c r="AG376">
        <v>-0.02</v>
      </c>
      <c r="AH376">
        <v>-1.23064E-2</v>
      </c>
      <c r="AI376">
        <v>-1.7689E-2</v>
      </c>
      <c r="AJ376">
        <v>-2.6172399999999998E-2</v>
      </c>
      <c r="AK376">
        <v>8.3000000000000007</v>
      </c>
      <c r="AL376">
        <f xml:space="preserve"> LN([1]misc!B395)</f>
        <v>6.686484972049608</v>
      </c>
      <c r="AM376">
        <f xml:space="preserve"> LN([1]misc!D395)</f>
        <v>8.0683089691904293</v>
      </c>
      <c r="AN376">
        <f xml:space="preserve"> LN([1]misc!G500)</f>
        <v>3.5081366504331966</v>
      </c>
      <c r="AO376">
        <f xml:space="preserve"> LN([1]misc!J406 + [1]misc!L406)</f>
        <v>3.7007339115609419</v>
      </c>
      <c r="AP376">
        <f xml:space="preserve"> [1]Factors!B376</f>
        <v>-0.18091639000000001</v>
      </c>
      <c r="AQ376">
        <f xml:space="preserve"> [1]Factors!C376</f>
        <v>-4.7868994300000002E-2</v>
      </c>
      <c r="AR376">
        <f xml:space="preserve"> [1]Factors!D376</f>
        <v>0.14179148899999999</v>
      </c>
      <c r="AS376">
        <f xml:space="preserve"> [1]Factors!E376</f>
        <v>-8.9814333800000007E-3</v>
      </c>
      <c r="AT376">
        <f xml:space="preserve"> [1]Factors!F376</f>
        <v>-0.35612115700000002</v>
      </c>
    </row>
    <row r="377" spans="1:46" x14ac:dyDescent="0.25">
      <c r="A377">
        <f t="shared" si="25"/>
        <v>1990.249999999977</v>
      </c>
      <c r="B377" s="1">
        <v>32964</v>
      </c>
      <c r="C377" s="7">
        <f t="shared" si="22"/>
        <v>1990</v>
      </c>
      <c r="D377" s="7">
        <f t="shared" si="23"/>
        <v>4</v>
      </c>
      <c r="E377" s="7">
        <f t="shared" si="24"/>
        <v>2</v>
      </c>
      <c r="F377">
        <f xml:space="preserve"> [1]Coibion_update!O383</f>
        <v>4.1673889928254777</v>
      </c>
      <c r="G377">
        <f xml:space="preserve"> [1]Coibion_update!P383</f>
        <v>5.4</v>
      </c>
      <c r="H377">
        <f xml:space="preserve"> [1]Coibion_update!Q383</f>
        <v>4.859036909945142</v>
      </c>
      <c r="I377">
        <f xml:space="preserve"> [1]Coibion_update!W383</f>
        <v>8.26</v>
      </c>
      <c r="J377">
        <f xml:space="preserve"> [1]Coibion_update!X383</f>
        <v>5.6099112590461306</v>
      </c>
      <c r="K377">
        <f xml:space="preserve"> [1]Coibion_update!Y383</f>
        <v>3.6669661008020453</v>
      </c>
      <c r="L377">
        <f xml:space="preserve"> [1]Coibion_update!Z383</f>
        <v>4.1716141977134011</v>
      </c>
      <c r="M377">
        <f xml:space="preserve"> [1]Coibion_update!AA383</f>
        <v>4.0915239212853285</v>
      </c>
      <c r="N377">
        <f xml:space="preserve"> [1]Coibion_update!AB383</f>
        <v>0</v>
      </c>
      <c r="O377">
        <f xml:space="preserve"> [1]Coibion_update!AC383</f>
        <v>-3.021344200000001</v>
      </c>
      <c r="P377">
        <f xml:space="preserve"> [1]Coibion_update!AD383</f>
        <v>-2.3010945999999972</v>
      </c>
      <c r="Q377">
        <f xml:space="preserve"> [1]Barakchian_Crowe!B256</f>
        <v>0</v>
      </c>
      <c r="R377">
        <f xml:space="preserve"> [1]Barakchian_Crowe!C256</f>
        <v>-0.42826599999999998</v>
      </c>
      <c r="S377">
        <f xml:space="preserve"> [1]Gertler_Karadi!C131</f>
        <v>0</v>
      </c>
      <c r="T377">
        <f xml:space="preserve"> [1]Gertler_Karadi!D131</f>
        <v>-1.7419400000000002E-2</v>
      </c>
      <c r="U377">
        <f xml:space="preserve"> [1]Gertler_Karadi!E131</f>
        <v>-1.7419299999999999E-2</v>
      </c>
      <c r="V377">
        <f xml:space="preserve"> [1]Gertler_Karadi!F131</f>
        <v>-1.7419400000000002E-2</v>
      </c>
      <c r="W377">
        <f xml:space="preserve"> [1]Gertler_Karadi!G131</f>
        <v>-2.6128999999999999E-2</v>
      </c>
      <c r="X377" s="5">
        <f xml:space="preserve"> [1]misc!N460</f>
        <v>8.4</v>
      </c>
      <c r="Y377">
        <f xml:space="preserve"> [1]Gilchrist_Zak!C209</f>
        <v>-3.0200000000000001E-2</v>
      </c>
      <c r="Z377">
        <f xml:space="preserve"> [1]Sims_Zha!B380</f>
        <v>-0.58345000000000002</v>
      </c>
      <c r="AA377">
        <f xml:space="preserve"> [1]Coibion_update!AI383</f>
        <v>0</v>
      </c>
      <c r="AB377">
        <f t="shared" si="26"/>
        <v>-8.4287800000000052E-2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8.23</v>
      </c>
      <c r="AL377">
        <f xml:space="preserve"> LN([1]misc!B396)</f>
        <v>6.6922078042895556</v>
      </c>
      <c r="AM377">
        <f xml:space="preserve"> LN([1]misc!D396)</f>
        <v>8.0719055891209006</v>
      </c>
      <c r="AN377">
        <f xml:space="preserve"> LN([1]misc!G501)</f>
        <v>3.5658640032173894</v>
      </c>
      <c r="AO377">
        <f xml:space="preserve"> LN([1]misc!J407 + [1]misc!L407)</f>
        <v>3.7042851742637848</v>
      </c>
      <c r="AP377">
        <f xml:space="preserve"> [1]Factors!B377</f>
        <v>-3.7734590300000002E-2</v>
      </c>
      <c r="AQ377">
        <f xml:space="preserve"> [1]Factors!C377</f>
        <v>-1.2680164799999999E-2</v>
      </c>
      <c r="AR377">
        <f xml:space="preserve"> [1]Factors!D377</f>
        <v>0.12486191200000001</v>
      </c>
      <c r="AS377">
        <f xml:space="preserve"> [1]Factors!E377</f>
        <v>-6.8822193599999998E-2</v>
      </c>
      <c r="AT377">
        <f xml:space="preserve"> [1]Factors!F377</f>
        <v>-0.220266512</v>
      </c>
    </row>
    <row r="378" spans="1:46" x14ac:dyDescent="0.25">
      <c r="A378">
        <f t="shared" si="25"/>
        <v>1990.3333333333103</v>
      </c>
      <c r="B378" s="1">
        <v>32994</v>
      </c>
      <c r="C378" s="7">
        <f t="shared" si="22"/>
        <v>1990</v>
      </c>
      <c r="D378" s="7">
        <f t="shared" si="23"/>
        <v>5</v>
      </c>
      <c r="E378" s="7">
        <f t="shared" si="24"/>
        <v>2</v>
      </c>
      <c r="F378">
        <f xml:space="preserve"> [1]Coibion_update!O384</f>
        <v>4.1690283209598604</v>
      </c>
      <c r="G378">
        <f xml:space="preserve"> [1]Coibion_update!P384</f>
        <v>5.4</v>
      </c>
      <c r="H378">
        <f xml:space="preserve"> [1]Coibion_update!Q384</f>
        <v>4.8605872978525966</v>
      </c>
      <c r="I378">
        <f xml:space="preserve"> [1]Coibion_update!W384</f>
        <v>8.18</v>
      </c>
      <c r="J378">
        <f xml:space="preserve"> [1]Coibion_update!X384</f>
        <v>5.623295223743515</v>
      </c>
      <c r="K378">
        <f xml:space="preserve"> [1]Coibion_update!Y384</f>
        <v>3.6457370612170945</v>
      </c>
      <c r="L378">
        <f xml:space="preserve"> [1]Coibion_update!Z384</f>
        <v>4.1723390198167376</v>
      </c>
      <c r="M378">
        <f xml:space="preserve"> [1]Coibion_update!AA384</f>
        <v>4.0947944610024658</v>
      </c>
      <c r="N378">
        <f xml:space="preserve"> [1]Coibion_update!AB384</f>
        <v>4.1160299999999997E-2</v>
      </c>
      <c r="O378">
        <f xml:space="preserve"> [1]Coibion_update!AC384</f>
        <v>-2.980183900000001</v>
      </c>
      <c r="P378">
        <f xml:space="preserve"> [1]Coibion_update!AD384</f>
        <v>-2.2567099999999973</v>
      </c>
      <c r="Q378">
        <f xml:space="preserve"> [1]Barakchian_Crowe!B257</f>
        <v>0.18592410000000001</v>
      </c>
      <c r="R378">
        <f xml:space="preserve"> [1]Barakchian_Crowe!C257</f>
        <v>-0.2423418</v>
      </c>
      <c r="S378">
        <f xml:space="preserve"> [1]Gertler_Karadi!C132</f>
        <v>0</v>
      </c>
      <c r="T378">
        <f xml:space="preserve"> [1]Gertler_Karadi!D132</f>
        <v>0</v>
      </c>
      <c r="U378">
        <f xml:space="preserve"> [1]Gertler_Karadi!E132</f>
        <v>-1.0322599999999999E-2</v>
      </c>
      <c r="V378">
        <f xml:space="preserve"> [1]Gertler_Karadi!F132</f>
        <v>-1.0322599999999999E-2</v>
      </c>
      <c r="W378">
        <f xml:space="preserve"> [1]Gertler_Karadi!G132</f>
        <v>-1.0322599999999999E-2</v>
      </c>
      <c r="X378" s="5">
        <f xml:space="preserve"> [1]misc!N461</f>
        <v>8.32</v>
      </c>
      <c r="Y378">
        <f xml:space="preserve"> [1]Gilchrist_Zak!C210</f>
        <v>-7.17E-2</v>
      </c>
      <c r="Z378">
        <f xml:space="preserve"> [1]Sims_Zha!B381</f>
        <v>-0.57635999999999998</v>
      </c>
      <c r="AA378">
        <f xml:space="preserve"> [1]Coibion_update!AI384</f>
        <v>-1.5857900000000001E-2</v>
      </c>
      <c r="AB378">
        <f t="shared" si="26"/>
        <v>-0.10014570000000006</v>
      </c>
      <c r="AC378">
        <v>-1.5857900000000001E-2</v>
      </c>
      <c r="AD378">
        <v>0</v>
      </c>
      <c r="AE378">
        <v>0</v>
      </c>
      <c r="AF378">
        <v>0</v>
      </c>
      <c r="AG378">
        <v>-0.02</v>
      </c>
      <c r="AH378">
        <v>3.9582999999999997E-3</v>
      </c>
      <c r="AI378">
        <v>2.2113899999999999E-2</v>
      </c>
      <c r="AJ378">
        <v>-2.4646499999999998E-2</v>
      </c>
      <c r="AK378">
        <v>8.23</v>
      </c>
      <c r="AL378">
        <f xml:space="preserve"> LN([1]misc!B397)</f>
        <v>6.6898479944631735</v>
      </c>
      <c r="AM378">
        <f xml:space="preserve"> LN([1]misc!D397)</f>
        <v>8.0715621235499473</v>
      </c>
      <c r="AN378">
        <f xml:space="preserve"> LN([1]misc!G502)</f>
        <v>3.489543977960722</v>
      </c>
      <c r="AO378">
        <f xml:space="preserve"> LN([1]misc!J408 + [1]misc!L408)</f>
        <v>3.6961281189498476</v>
      </c>
      <c r="AP378">
        <f xml:space="preserve"> [1]Factors!B378</f>
        <v>0.26170965499999999</v>
      </c>
      <c r="AQ378">
        <f xml:space="preserve"> [1]Factors!C378</f>
        <v>-3.6604278400000002E-2</v>
      </c>
      <c r="AR378">
        <f xml:space="preserve"> [1]Factors!D378</f>
        <v>3.8870753700000003E-2</v>
      </c>
      <c r="AS378">
        <f xml:space="preserve"> [1]Factors!E378</f>
        <v>-0.13065201200000001</v>
      </c>
      <c r="AT378">
        <f xml:space="preserve"> [1]Factors!F378</f>
        <v>5.00589034E-2</v>
      </c>
    </row>
    <row r="379" spans="1:46" x14ac:dyDescent="0.25">
      <c r="A379">
        <f t="shared" si="25"/>
        <v>1990.4166666666436</v>
      </c>
      <c r="B379" s="1">
        <v>33025</v>
      </c>
      <c r="C379" s="7">
        <f t="shared" si="22"/>
        <v>1990</v>
      </c>
      <c r="D379" s="7">
        <f t="shared" si="23"/>
        <v>6</v>
      </c>
      <c r="E379" s="7">
        <f t="shared" si="24"/>
        <v>2</v>
      </c>
      <c r="F379">
        <f xml:space="preserve"> [1]Coibion_update!O385</f>
        <v>4.1723868087684037</v>
      </c>
      <c r="G379">
        <f xml:space="preserve"> [1]Coibion_update!P385</f>
        <v>5.2</v>
      </c>
      <c r="H379">
        <f xml:space="preserve"> [1]Coibion_update!Q385</f>
        <v>4.8667649236765538</v>
      </c>
      <c r="I379">
        <f xml:space="preserve"> [1]Coibion_update!W385</f>
        <v>8.2899999999999991</v>
      </c>
      <c r="J379">
        <f xml:space="preserve"> [1]Coibion_update!X385</f>
        <v>5.6240175061873385</v>
      </c>
      <c r="K379">
        <f xml:space="preserve"> [1]Coibion_update!Y385</f>
        <v>3.6462589682772961</v>
      </c>
      <c r="L379">
        <f xml:space="preserve"> [1]Coibion_update!Z385</f>
        <v>4.1774748062383029</v>
      </c>
      <c r="M379">
        <f xml:space="preserve"> [1]Coibion_update!AA385</f>
        <v>4.0976723523147758</v>
      </c>
      <c r="N379">
        <f xml:space="preserve"> [1]Coibion_update!AB385</f>
        <v>0</v>
      </c>
      <c r="O379">
        <f xml:space="preserve"> [1]Coibion_update!AC385</f>
        <v>-2.980183900000001</v>
      </c>
      <c r="P379">
        <f xml:space="preserve"> [1]Coibion_update!AD385</f>
        <v>-2.2567099999999973</v>
      </c>
      <c r="Q379">
        <f xml:space="preserve"> [1]Barakchian_Crowe!B258</f>
        <v>0</v>
      </c>
      <c r="R379">
        <f xml:space="preserve"> [1]Barakchian_Crowe!C258</f>
        <v>-0.2423418</v>
      </c>
      <c r="S379">
        <f xml:space="preserve"> [1]Gertler_Karadi!C133</f>
        <v>0</v>
      </c>
      <c r="T379">
        <f xml:space="preserve"> [1]Gertler_Karadi!D133</f>
        <v>0</v>
      </c>
      <c r="U379">
        <f xml:space="preserve"> [1]Gertler_Karadi!E133</f>
        <v>-9.6773999999999992E-3</v>
      </c>
      <c r="V379">
        <f xml:space="preserve"> [1]Gertler_Karadi!F133</f>
        <v>-9.6773999999999992E-3</v>
      </c>
      <c r="W379">
        <f xml:space="preserve"> [1]Gertler_Karadi!G133</f>
        <v>-9.6773999999999992E-3</v>
      </c>
      <c r="X379" s="5">
        <f xml:space="preserve"> [1]misc!N462</f>
        <v>8.1</v>
      </c>
      <c r="Y379">
        <f xml:space="preserve"> [1]Gilchrist_Zak!C211</f>
        <v>3.6999999999999998E-2</v>
      </c>
      <c r="Z379">
        <f xml:space="preserve"> [1]Sims_Zha!B382</f>
        <v>-0.21339</v>
      </c>
      <c r="AA379">
        <f xml:space="preserve"> [1]Coibion_update!AI385</f>
        <v>0</v>
      </c>
      <c r="AB379">
        <f t="shared" si="26"/>
        <v>-0.10014570000000006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8.32</v>
      </c>
      <c r="AL379">
        <f xml:space="preserve"> LN([1]misc!B398)</f>
        <v>6.6955516677062619</v>
      </c>
      <c r="AM379">
        <f xml:space="preserve"> LN([1]misc!D398)</f>
        <v>8.0755826366717205</v>
      </c>
      <c r="AN379">
        <f xml:space="preserve"> LN([1]misc!G503)</f>
        <v>3.5229724385880763</v>
      </c>
      <c r="AO379">
        <f xml:space="preserve"> LN([1]misc!J409 + [1]misc!L409)</f>
        <v>3.6921740210633662</v>
      </c>
      <c r="AP379">
        <f xml:space="preserve"> [1]Factors!B379</f>
        <v>0.18226167600000001</v>
      </c>
      <c r="AQ379">
        <f xml:space="preserve"> [1]Factors!C379</f>
        <v>-0.102326637</v>
      </c>
      <c r="AR379">
        <f xml:space="preserve"> [1]Factors!D379</f>
        <v>7.04882862E-2</v>
      </c>
      <c r="AS379">
        <f xml:space="preserve"> [1]Factors!E379</f>
        <v>2.98537179E-2</v>
      </c>
      <c r="AT379">
        <f xml:space="preserve"> [1]Factors!F379</f>
        <v>-8.0825651700000001E-2</v>
      </c>
    </row>
    <row r="380" spans="1:46" x14ac:dyDescent="0.25">
      <c r="A380">
        <f t="shared" si="25"/>
        <v>1990.4999999999768</v>
      </c>
      <c r="B380" s="1">
        <v>33055</v>
      </c>
      <c r="C380" s="7">
        <f t="shared" si="22"/>
        <v>1990</v>
      </c>
      <c r="D380" s="7">
        <f t="shared" si="23"/>
        <v>7</v>
      </c>
      <c r="E380" s="7">
        <f t="shared" si="24"/>
        <v>3</v>
      </c>
      <c r="F380">
        <f xml:space="preserve"> [1]Coibion_update!O386</f>
        <v>4.1713472691568638</v>
      </c>
      <c r="G380">
        <f xml:space="preserve"> [1]Coibion_update!P386</f>
        <v>5.5</v>
      </c>
      <c r="H380">
        <f xml:space="preserve"> [1]Coibion_update!Q386</f>
        <v>4.8713732267627483</v>
      </c>
      <c r="I380">
        <f xml:space="preserve"> [1]Coibion_update!W386</f>
        <v>8.15</v>
      </c>
      <c r="J380">
        <f xml:space="preserve"> [1]Coibion_update!X386</f>
        <v>5.6243423631628895</v>
      </c>
      <c r="K380">
        <f xml:space="preserve"> [1]Coibion_update!Y386</f>
        <v>3.6488904458975733</v>
      </c>
      <c r="L380">
        <f xml:space="preserve"> [1]Coibion_update!Z386</f>
        <v>4.1763392097747278</v>
      </c>
      <c r="M380">
        <f xml:space="preserve"> [1]Coibion_update!AA386</f>
        <v>4.101088437755446</v>
      </c>
      <c r="N380">
        <f xml:space="preserve"> [1]Coibion_update!AB386</f>
        <v>-9.7354300000000005E-2</v>
      </c>
      <c r="O380">
        <f xml:space="preserve"> [1]Coibion_update!AC386</f>
        <v>-3.0775382000000011</v>
      </c>
      <c r="P380">
        <f xml:space="preserve"> [1]Coibion_update!AD386</f>
        <v>-2.3229148999999971</v>
      </c>
      <c r="Q380">
        <f xml:space="preserve"> [1]Barakchian_Crowe!B259</f>
        <v>0.15653529999999999</v>
      </c>
      <c r="R380">
        <f xml:space="preserve"> [1]Barakchian_Crowe!C259</f>
        <v>-8.5806499999999994E-2</v>
      </c>
      <c r="S380">
        <f xml:space="preserve"> [1]Gertler_Karadi!C134</f>
        <v>-8.4439700000000006E-2</v>
      </c>
      <c r="T380">
        <f xml:space="preserve"> [1]Gertler_Karadi!D134</f>
        <v>-6.64516E-2</v>
      </c>
      <c r="U380">
        <f xml:space="preserve"> [1]Gertler_Karadi!E134</f>
        <v>-1.5806500000000001E-2</v>
      </c>
      <c r="V380">
        <f xml:space="preserve"> [1]Gertler_Karadi!F134</f>
        <v>-9.6773999999999992E-3</v>
      </c>
      <c r="W380">
        <f xml:space="preserve"> [1]Gertler_Karadi!G134</f>
        <v>-1.83871E-2</v>
      </c>
      <c r="X380" s="5">
        <f xml:space="preserve"> [1]misc!N463</f>
        <v>7.94</v>
      </c>
      <c r="Y380">
        <f xml:space="preserve"> [1]Gilchrist_Zak!C212</f>
        <v>7.6E-3</v>
      </c>
      <c r="Z380">
        <f xml:space="preserve"> [1]Sims_Zha!B383</f>
        <v>-1.1358999999999999</v>
      </c>
      <c r="AA380">
        <f xml:space="preserve"> [1]Coibion_update!AI386</f>
        <v>-0.19834689999999999</v>
      </c>
      <c r="AB380">
        <f t="shared" si="26"/>
        <v>-0.29849260000000005</v>
      </c>
      <c r="AC380">
        <v>-0.19834689999999999</v>
      </c>
      <c r="AD380">
        <v>-0.13777</v>
      </c>
      <c r="AE380">
        <v>-7.9990000000000006E-2</v>
      </c>
      <c r="AF380">
        <v>-0.1</v>
      </c>
      <c r="AG380">
        <v>-0.03</v>
      </c>
      <c r="AH380">
        <v>1.08383E-2</v>
      </c>
      <c r="AI380">
        <v>5.4267999999999999E-3</v>
      </c>
      <c r="AJ380">
        <v>2.5906499999999999E-2</v>
      </c>
      <c r="AK380">
        <v>8.0500000000000007</v>
      </c>
      <c r="AL380">
        <f xml:space="preserve"> LN([1]misc!B399)</f>
        <v>6.6971576968364452</v>
      </c>
      <c r="AM380">
        <f xml:space="preserve"> LN([1]misc!D399)</f>
        <v>8.0788742584369952</v>
      </c>
      <c r="AN380">
        <f xml:space="preserve"> LN([1]misc!G504)</f>
        <v>3.4944751945770003</v>
      </c>
      <c r="AO380">
        <f xml:space="preserve"> LN([1]misc!J410 + [1]misc!L410)</f>
        <v>3.691326457756988</v>
      </c>
      <c r="AP380">
        <f xml:space="preserve"> [1]Factors!B380</f>
        <v>0.16875489199999999</v>
      </c>
      <c r="AQ380">
        <f xml:space="preserve"> [1]Factors!C380</f>
        <v>9.9315731800000001E-3</v>
      </c>
      <c r="AR380">
        <f xml:space="preserve"> [1]Factors!D380</f>
        <v>-1.9255274900000001E-2</v>
      </c>
      <c r="AS380">
        <f xml:space="preserve"> [1]Factors!E380</f>
        <v>0.21725567800000001</v>
      </c>
      <c r="AT380">
        <f xml:space="preserve"> [1]Factors!F380</f>
        <v>-0.15148788199999999</v>
      </c>
    </row>
    <row r="381" spans="1:46" x14ac:dyDescent="0.25">
      <c r="A381">
        <f t="shared" si="25"/>
        <v>1990.5833333333101</v>
      </c>
      <c r="B381" s="1">
        <v>33086</v>
      </c>
      <c r="C381" s="7">
        <f t="shared" si="22"/>
        <v>1990</v>
      </c>
      <c r="D381" s="7">
        <f t="shared" si="23"/>
        <v>8</v>
      </c>
      <c r="E381" s="7">
        <f t="shared" si="24"/>
        <v>3</v>
      </c>
      <c r="F381">
        <f xml:space="preserve"> [1]Coibion_update!O387</f>
        <v>4.1740810691748269</v>
      </c>
      <c r="G381">
        <f xml:space="preserve"> [1]Coibion_update!P387</f>
        <v>5.7</v>
      </c>
      <c r="H381">
        <f xml:space="preserve"> [1]Coibion_update!Q387</f>
        <v>4.8797670188912168</v>
      </c>
      <c r="I381">
        <f xml:space="preserve"> [1]Coibion_update!W387</f>
        <v>8.1300000000000008</v>
      </c>
      <c r="J381">
        <f xml:space="preserve"> [1]Coibion_update!X387</f>
        <v>5.6095816792573743</v>
      </c>
      <c r="K381">
        <f xml:space="preserve"> [1]Coibion_update!Y387</f>
        <v>3.634502462647605</v>
      </c>
      <c r="L381">
        <f xml:space="preserve"> [1]Coibion_update!Z387</f>
        <v>4.1772293811147421</v>
      </c>
      <c r="M381">
        <f xml:space="preserve"> [1]Coibion_update!AA387</f>
        <v>4.1041298629568974</v>
      </c>
      <c r="N381">
        <f xml:space="preserve"> [1]Coibion_update!AB387</f>
        <v>0.1683711</v>
      </c>
      <c r="O381">
        <f xml:space="preserve"> [1]Coibion_update!AC387</f>
        <v>-2.9091671000000012</v>
      </c>
      <c r="P381">
        <f xml:space="preserve"> [1]Coibion_update!AD387</f>
        <v>-2.1720875999999971</v>
      </c>
      <c r="Q381">
        <f xml:space="preserve"> [1]Barakchian_Crowe!B260</f>
        <v>0.87763769999999997</v>
      </c>
      <c r="R381">
        <f xml:space="preserve"> [1]Barakchian_Crowe!C260</f>
        <v>0.79183110000000001</v>
      </c>
      <c r="S381">
        <f xml:space="preserve"> [1]Gertler_Karadi!C135</f>
        <v>-5.3330299999999997E-2</v>
      </c>
      <c r="T381">
        <f xml:space="preserve"> [1]Gertler_Karadi!D135</f>
        <v>-3.3548399999999999E-2</v>
      </c>
      <c r="U381">
        <f xml:space="preserve"> [1]Gertler_Karadi!E135</f>
        <v>-1.41935E-2</v>
      </c>
      <c r="V381">
        <f xml:space="preserve"> [1]Gertler_Karadi!F135</f>
        <v>-1.0322599999999999E-2</v>
      </c>
      <c r="W381">
        <f xml:space="preserve"> [1]Gertler_Karadi!G135</f>
        <v>-1.1612900000000001E-2</v>
      </c>
      <c r="X381" s="5">
        <f xml:space="preserve"> [1]misc!N464</f>
        <v>7.78</v>
      </c>
      <c r="Y381">
        <f xml:space="preserve"> [1]Gilchrist_Zak!C213</f>
        <v>-0.27010000000000001</v>
      </c>
      <c r="Z381">
        <f xml:space="preserve"> [1]Sims_Zha!B384</f>
        <v>-0.10383000000000001</v>
      </c>
      <c r="AA381">
        <f xml:space="preserve"> [1]Coibion_update!AI387</f>
        <v>0.11820410000000001</v>
      </c>
      <c r="AB381">
        <f t="shared" si="26"/>
        <v>-0.18028850000000005</v>
      </c>
      <c r="AC381">
        <v>0.11820410000000001</v>
      </c>
      <c r="AD381">
        <v>0</v>
      </c>
      <c r="AE381">
        <v>0</v>
      </c>
      <c r="AF381">
        <v>0</v>
      </c>
      <c r="AG381">
        <v>0</v>
      </c>
      <c r="AH381">
        <v>2.1928999999999998E-3</v>
      </c>
      <c r="AI381">
        <v>2.8663999999999999E-2</v>
      </c>
      <c r="AJ381">
        <v>1.41595E-2</v>
      </c>
      <c r="AK381">
        <v>8.06</v>
      </c>
      <c r="AL381">
        <f xml:space="preserve"> LN([1]misc!B400)</f>
        <v>6.7040466403065349</v>
      </c>
      <c r="AM381">
        <f xml:space="preserve"> LN([1]misc!D400)</f>
        <v>8.0843157756977355</v>
      </c>
      <c r="AN381">
        <f xml:space="preserve"> LN([1]misc!G505)</f>
        <v>3.4789605701278776</v>
      </c>
      <c r="AO381">
        <f xml:space="preserve"> LN([1]misc!J411 + [1]misc!L411)</f>
        <v>3.6907277449715541</v>
      </c>
      <c r="AP381">
        <f xml:space="preserve"> [1]Factors!B381</f>
        <v>0.34710980499999999</v>
      </c>
      <c r="AQ381">
        <f xml:space="preserve"> [1]Factors!C381</f>
        <v>0.103641988</v>
      </c>
      <c r="AR381">
        <f xml:space="preserve"> [1]Factors!D381</f>
        <v>6.4851155199999996E-2</v>
      </c>
      <c r="AS381">
        <f xml:space="preserve"> [1]Factors!E381</f>
        <v>0.11236415299999999</v>
      </c>
      <c r="AT381">
        <f xml:space="preserve"> [1]Factors!F381</f>
        <v>1.6938865800000001E-2</v>
      </c>
    </row>
    <row r="382" spans="1:46" x14ac:dyDescent="0.25">
      <c r="A382">
        <f t="shared" si="25"/>
        <v>1990.6666666666433</v>
      </c>
      <c r="B382" s="1">
        <v>33117</v>
      </c>
      <c r="C382" s="7">
        <f t="shared" si="22"/>
        <v>1990</v>
      </c>
      <c r="D382" s="7">
        <f t="shared" si="23"/>
        <v>9</v>
      </c>
      <c r="E382" s="7">
        <f t="shared" si="24"/>
        <v>3</v>
      </c>
      <c r="F382">
        <f xml:space="preserve"> [1]Coibion_update!O388</f>
        <v>4.1759276214064247</v>
      </c>
      <c r="G382">
        <f xml:space="preserve"> [1]Coibion_update!P388</f>
        <v>5.9</v>
      </c>
      <c r="H382">
        <f xml:space="preserve"> [1]Coibion_update!Q388</f>
        <v>4.8865826454262766</v>
      </c>
      <c r="I382">
        <f xml:space="preserve"> [1]Coibion_update!W388</f>
        <v>8.1999999999999993</v>
      </c>
      <c r="J382">
        <f xml:space="preserve"> [1]Coibion_update!X388</f>
        <v>5.6049193238523287</v>
      </c>
      <c r="K382">
        <f xml:space="preserve"> [1]Coibion_update!Y388</f>
        <v>3.6450581745650865</v>
      </c>
      <c r="L382">
        <f xml:space="preserve"> [1]Coibion_update!Z388</f>
        <v>4.172739759649474</v>
      </c>
      <c r="M382">
        <f xml:space="preserve"> [1]Coibion_update!AA388</f>
        <v>4.1029573653203233</v>
      </c>
      <c r="N382">
        <f xml:space="preserve"> [1]Coibion_update!AB388</f>
        <v>0</v>
      </c>
      <c r="O382">
        <f xml:space="preserve"> [1]Coibion_update!AC388</f>
        <v>-2.9091671000000012</v>
      </c>
      <c r="P382">
        <f xml:space="preserve"> [1]Coibion_update!AD388</f>
        <v>-2.1720875999999971</v>
      </c>
      <c r="Q382">
        <f xml:space="preserve"> [1]Barakchian_Crowe!B261</f>
        <v>0</v>
      </c>
      <c r="R382">
        <f xml:space="preserve"> [1]Barakchian_Crowe!C261</f>
        <v>0.79183110000000001</v>
      </c>
      <c r="S382">
        <f xml:space="preserve"> [1]Gertler_Karadi!C136</f>
        <v>0</v>
      </c>
      <c r="T382">
        <f xml:space="preserve"> [1]Gertler_Karadi!D136</f>
        <v>0</v>
      </c>
      <c r="U382">
        <f xml:space="preserve"> [1]Gertler_Karadi!E136</f>
        <v>0</v>
      </c>
      <c r="V382">
        <f xml:space="preserve"> [1]Gertler_Karadi!F136</f>
        <v>0</v>
      </c>
      <c r="W382">
        <f xml:space="preserve"> [1]Gertler_Karadi!G136</f>
        <v>0</v>
      </c>
      <c r="X382" s="5">
        <f xml:space="preserve"> [1]misc!N465</f>
        <v>7.76</v>
      </c>
      <c r="Y382">
        <f xml:space="preserve"> [1]Gilchrist_Zak!C214</f>
        <v>-5.0500000000000003E-2</v>
      </c>
      <c r="Z382">
        <f xml:space="preserve"> [1]Sims_Zha!B385</f>
        <v>1.6060000000000001</v>
      </c>
      <c r="AA382">
        <f xml:space="preserve"> [1]Coibion_update!AI388</f>
        <v>0</v>
      </c>
      <c r="AB382">
        <f t="shared" si="26"/>
        <v>-0.18028850000000005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8.0299999999999994</v>
      </c>
      <c r="AL382">
        <f xml:space="preserve"> LN([1]misc!B401)</f>
        <v>6.7095482129579587</v>
      </c>
      <c r="AM382">
        <f xml:space="preserve"> LN([1]misc!D401)</f>
        <v>8.0881933001744102</v>
      </c>
      <c r="AN382">
        <f xml:space="preserve"> LN([1]misc!G506)</f>
        <v>3.5043554737647815</v>
      </c>
      <c r="AO382">
        <f xml:space="preserve"> LN([1]misc!J412 + [1]misc!L412)</f>
        <v>3.7006103769896348</v>
      </c>
      <c r="AP382">
        <f xml:space="preserve"> [1]Factors!B382</f>
        <v>0.21731710000000001</v>
      </c>
      <c r="AQ382">
        <f xml:space="preserve"> [1]Factors!C382</f>
        <v>0.50167624300000002</v>
      </c>
      <c r="AR382">
        <f xml:space="preserve"> [1]Factors!D382</f>
        <v>0.401191252</v>
      </c>
      <c r="AS382">
        <f xml:space="preserve"> [1]Factors!E382</f>
        <v>0.30269867299999997</v>
      </c>
      <c r="AT382">
        <f xml:space="preserve"> [1]Factors!F382</f>
        <v>8.50613733E-3</v>
      </c>
    </row>
    <row r="383" spans="1:46" x14ac:dyDescent="0.25">
      <c r="A383">
        <f t="shared" si="25"/>
        <v>1990.7499999999766</v>
      </c>
      <c r="B383" s="1">
        <v>33147</v>
      </c>
      <c r="C383" s="7">
        <f t="shared" si="22"/>
        <v>1990</v>
      </c>
      <c r="D383" s="7">
        <f t="shared" si="23"/>
        <v>10</v>
      </c>
      <c r="E383" s="7">
        <f t="shared" si="24"/>
        <v>4</v>
      </c>
      <c r="F383">
        <f xml:space="preserve"> [1]Coibion_update!O389</f>
        <v>4.1682763283762672</v>
      </c>
      <c r="G383">
        <f xml:space="preserve"> [1]Coibion_update!P389</f>
        <v>5.9</v>
      </c>
      <c r="H383">
        <f xml:space="preserve"> [1]Coibion_update!Q389</f>
        <v>4.8933521334815238</v>
      </c>
      <c r="I383">
        <f xml:space="preserve"> [1]Coibion_update!W389</f>
        <v>8.11</v>
      </c>
      <c r="J383">
        <f xml:space="preserve"> [1]Coibion_update!X389</f>
        <v>5.5930743526717794</v>
      </c>
      <c r="K383">
        <f xml:space="preserve"> [1]Coibion_update!Y389</f>
        <v>3.6239141752615773</v>
      </c>
      <c r="L383">
        <f xml:space="preserve"> [1]Coibion_update!Z389</f>
        <v>4.1637773369374376</v>
      </c>
      <c r="M383">
        <f xml:space="preserve"> [1]Coibion_update!AA389</f>
        <v>4.1020646852372389</v>
      </c>
      <c r="N383">
        <f xml:space="preserve"> [1]Coibion_update!AB389</f>
        <v>-9.4208299999999995E-2</v>
      </c>
      <c r="O383">
        <f xml:space="preserve"> [1]Coibion_update!AC389</f>
        <v>-3.0033754000000012</v>
      </c>
      <c r="P383">
        <f xml:space="preserve"> [1]Coibion_update!AD389</f>
        <v>-2.2914647999999973</v>
      </c>
      <c r="Q383">
        <f xml:space="preserve"> [1]Barakchian_Crowe!B262</f>
        <v>-0.1096345</v>
      </c>
      <c r="R383">
        <f xml:space="preserve"> [1]Barakchian_Crowe!C262</f>
        <v>0.68219660000000004</v>
      </c>
      <c r="S383">
        <f xml:space="preserve"> [1]Gertler_Karadi!C137</f>
        <v>7.4526000000000002E-3</v>
      </c>
      <c r="T383">
        <f xml:space="preserve"> [1]Gertler_Karadi!D137</f>
        <v>-1.1280999999999999E-2</v>
      </c>
      <c r="U383">
        <f xml:space="preserve"> [1]Gertler_Karadi!E137</f>
        <v>-1.67742E-2</v>
      </c>
      <c r="V383">
        <f xml:space="preserve"> [1]Gertler_Karadi!F137</f>
        <v>0</v>
      </c>
      <c r="W383">
        <f xml:space="preserve"> [1]Gertler_Karadi!G137</f>
        <v>-1.0322599999999999E-2</v>
      </c>
      <c r="X383" s="5">
        <f xml:space="preserve"> [1]misc!N466</f>
        <v>7.55</v>
      </c>
      <c r="Y383">
        <f xml:space="preserve"> [1]Gilchrist_Zak!C215</f>
        <v>0.1004</v>
      </c>
      <c r="Z383">
        <f xml:space="preserve"> [1]Sims_Zha!B386</f>
        <v>0.59769000000000005</v>
      </c>
      <c r="AA383">
        <f xml:space="preserve"> [1]Coibion_update!AI389</f>
        <v>-0.182533</v>
      </c>
      <c r="AB383">
        <f t="shared" si="26"/>
        <v>-0.36282150000000002</v>
      </c>
      <c r="AC383">
        <v>-0.182533</v>
      </c>
      <c r="AD383">
        <v>-1.8929999999999999E-2</v>
      </c>
      <c r="AE383">
        <v>-0.01</v>
      </c>
      <c r="AF383">
        <v>-2.9989999999999999E-2</v>
      </c>
      <c r="AG383">
        <v>0</v>
      </c>
      <c r="AH383">
        <v>-1.2526600000000001E-2</v>
      </c>
      <c r="AI383">
        <v>-6.5119000000000002E-3</v>
      </c>
      <c r="AJ383">
        <v>-1.3107199999999999E-2</v>
      </c>
      <c r="AK383">
        <v>9.52</v>
      </c>
      <c r="AL383">
        <f xml:space="preserve"> LN([1]misc!B402)</f>
        <v>6.7091823816021323</v>
      </c>
      <c r="AM383">
        <f xml:space="preserve"> LN([1]misc!D402)</f>
        <v>8.0896051662203021</v>
      </c>
      <c r="AN383">
        <f xml:space="preserve"> LN([1]misc!G507)</f>
        <v>3.4682639545823002</v>
      </c>
      <c r="AO383">
        <f xml:space="preserve"> LN([1]misc!J413 + [1]misc!L413)</f>
        <v>3.6992257461680809</v>
      </c>
      <c r="AP383">
        <f xml:space="preserve"> [1]Factors!B383</f>
        <v>0.18636245800000001</v>
      </c>
      <c r="AQ383">
        <f xml:space="preserve"> [1]Factors!C383</f>
        <v>0.43568546800000002</v>
      </c>
      <c r="AR383">
        <f xml:space="preserve"> [1]Factors!D383</f>
        <v>0.41921945599999999</v>
      </c>
      <c r="AS383">
        <f xml:space="preserve"> [1]Factors!E383</f>
        <v>0.219574982</v>
      </c>
      <c r="AT383">
        <f xml:space="preserve"> [1]Factors!F383</f>
        <v>-0.111961142</v>
      </c>
    </row>
    <row r="384" spans="1:46" x14ac:dyDescent="0.25">
      <c r="A384">
        <f t="shared" si="25"/>
        <v>1990.8333333333098</v>
      </c>
      <c r="B384" s="1">
        <v>33178</v>
      </c>
      <c r="C384" s="7">
        <f t="shared" si="22"/>
        <v>1990</v>
      </c>
      <c r="D384" s="7">
        <f t="shared" si="23"/>
        <v>11</v>
      </c>
      <c r="E384" s="7">
        <f t="shared" si="24"/>
        <v>4</v>
      </c>
      <c r="F384">
        <f xml:space="preserve"> [1]Coibion_update!O390</f>
        <v>4.156509957221985</v>
      </c>
      <c r="G384">
        <f xml:space="preserve"> [1]Coibion_update!P390</f>
        <v>6.2</v>
      </c>
      <c r="H384">
        <f xml:space="preserve"> [1]Coibion_update!Q390</f>
        <v>4.8955984841078974</v>
      </c>
      <c r="I384">
        <f xml:space="preserve"> [1]Coibion_update!W390</f>
        <v>7.81</v>
      </c>
      <c r="J384">
        <f xml:space="preserve"> [1]Coibion_update!X390</f>
        <v>5.5662048116716383</v>
      </c>
      <c r="K384">
        <f xml:space="preserve"> [1]Coibion_update!Y390</f>
        <v>3.6178935263806498</v>
      </c>
      <c r="L384">
        <f xml:space="preserve"> [1]Coibion_update!Z390</f>
        <v>4.1706418028444947</v>
      </c>
      <c r="M384">
        <f xml:space="preserve"> [1]Coibion_update!AA390</f>
        <v>4.0989340145559083</v>
      </c>
      <c r="N384">
        <f xml:space="preserve"> [1]Coibion_update!AB390</f>
        <v>5.3754999999999997E-2</v>
      </c>
      <c r="O384">
        <f xml:space="preserve"> [1]Coibion_update!AC390</f>
        <v>-2.9496204000000015</v>
      </c>
      <c r="P384">
        <f xml:space="preserve"> [1]Coibion_update!AD390</f>
        <v>-2.3074552999999973</v>
      </c>
      <c r="Q384">
        <f xml:space="preserve"> [1]Barakchian_Crowe!B263</f>
        <v>0.2390524</v>
      </c>
      <c r="R384">
        <f xml:space="preserve"> [1]Barakchian_Crowe!C263</f>
        <v>0.92124899999999998</v>
      </c>
      <c r="S384">
        <f xml:space="preserve"> [1]Gertler_Karadi!C138</f>
        <v>-1.57576E-2</v>
      </c>
      <c r="T384">
        <f xml:space="preserve"> [1]Gertler_Karadi!D138</f>
        <v>-1.3042399999999999E-2</v>
      </c>
      <c r="U384">
        <f xml:space="preserve"> [1]Gertler_Karadi!E138</f>
        <v>2.24409E-2</v>
      </c>
      <c r="V384">
        <f xml:space="preserve"> [1]Gertler_Karadi!F138</f>
        <v>0</v>
      </c>
      <c r="W384">
        <f xml:space="preserve"> [1]Gertler_Karadi!G138</f>
        <v>-4.0106999999999999E-3</v>
      </c>
      <c r="X384" s="5">
        <f xml:space="preserve"> [1]misc!N467</f>
        <v>7.31</v>
      </c>
      <c r="Y384">
        <f xml:space="preserve"> [1]Gilchrist_Zak!C216</f>
        <v>0.26</v>
      </c>
      <c r="Z384">
        <f xml:space="preserve"> [1]Sims_Zha!B387</f>
        <v>-0.95043</v>
      </c>
      <c r="AA384">
        <f xml:space="preserve"> [1]Coibion_update!AI390</f>
        <v>0.1195102</v>
      </c>
      <c r="AB384">
        <f t="shared" si="26"/>
        <v>-0.24331130000000001</v>
      </c>
      <c r="AC384">
        <v>0.1195102</v>
      </c>
      <c r="AD384">
        <v>1.8749999999999999E-2</v>
      </c>
      <c r="AE384">
        <v>0.01</v>
      </c>
      <c r="AF384">
        <v>0.01</v>
      </c>
      <c r="AG384">
        <v>0.01</v>
      </c>
      <c r="AH384">
        <v>1.85799E-2</v>
      </c>
      <c r="AI384">
        <v>7.8486899999999998E-2</v>
      </c>
      <c r="AJ384">
        <v>5.4432399999999999E-2</v>
      </c>
      <c r="AK384">
        <v>7.61</v>
      </c>
      <c r="AL384">
        <f xml:space="preserve"> LN([1]misc!B403)</f>
        <v>6.7118620421580877</v>
      </c>
      <c r="AM384">
        <f xml:space="preserve"> LN([1]misc!D403)</f>
        <v>8.0905861595546451</v>
      </c>
      <c r="AN384">
        <f xml:space="preserve"> LN([1]misc!G508)</f>
        <v>3.5078970003212113</v>
      </c>
      <c r="AO384">
        <f xml:space="preserve"> LN([1]misc!J414 + [1]misc!L414)</f>
        <v>3.7078484006615384</v>
      </c>
      <c r="AP384">
        <f xml:space="preserve"> [1]Factors!B384</f>
        <v>0.48355981300000001</v>
      </c>
      <c r="AQ384">
        <f xml:space="preserve"> [1]Factors!C384</f>
        <v>0.51999251899999999</v>
      </c>
      <c r="AR384">
        <f xml:space="preserve"> [1]Factors!D384</f>
        <v>0.26957357999999998</v>
      </c>
      <c r="AS384">
        <f xml:space="preserve"> [1]Factors!E384</f>
        <v>0.22247129700000001</v>
      </c>
      <c r="AT384">
        <f xml:space="preserve"> [1]Factors!F384</f>
        <v>0.224663434</v>
      </c>
    </row>
    <row r="385" spans="1:46" x14ac:dyDescent="0.25">
      <c r="A385">
        <f t="shared" si="25"/>
        <v>1990.9166666666431</v>
      </c>
      <c r="B385" s="1">
        <v>33208</v>
      </c>
      <c r="C385" s="7">
        <f t="shared" si="22"/>
        <v>1990</v>
      </c>
      <c r="D385" s="7">
        <f t="shared" si="23"/>
        <v>12</v>
      </c>
      <c r="E385" s="7">
        <f t="shared" si="24"/>
        <v>4</v>
      </c>
      <c r="F385">
        <f xml:space="preserve"> [1]Coibion_update!O391</f>
        <v>4.1496610028928087</v>
      </c>
      <c r="G385">
        <f xml:space="preserve"> [1]Coibion_update!P391</f>
        <v>6.3</v>
      </c>
      <c r="H385">
        <f xml:space="preserve"> [1]Coibion_update!Q391</f>
        <v>4.8993312245375815</v>
      </c>
      <c r="I385">
        <f xml:space="preserve"> [1]Coibion_update!W391</f>
        <v>7.31</v>
      </c>
      <c r="J385">
        <f xml:space="preserve"> [1]Coibion_update!X391</f>
        <v>5.5587181662179539</v>
      </c>
      <c r="K385">
        <f xml:space="preserve"> [1]Coibion_update!Y391</f>
        <v>3.6028584955888863</v>
      </c>
      <c r="L385">
        <f xml:space="preserve"> [1]Coibion_update!Z391</f>
        <v>4.1615981442439001</v>
      </c>
      <c r="M385">
        <f xml:space="preserve"> [1]Coibion_update!AA391</f>
        <v>4.1000780940698611</v>
      </c>
      <c r="N385">
        <f xml:space="preserve"> [1]Coibion_update!AB391</f>
        <v>-8.2722699999999996E-2</v>
      </c>
      <c r="O385">
        <f xml:space="preserve"> [1]Coibion_update!AC391</f>
        <v>-3.0323431000000016</v>
      </c>
      <c r="P385">
        <f xml:space="preserve"> [1]Coibion_update!AD391</f>
        <v>-2.4631735999999975</v>
      </c>
      <c r="Q385">
        <f xml:space="preserve"> [1]Barakchian_Crowe!B264</f>
        <v>-2.4163060000000001</v>
      </c>
      <c r="R385">
        <f xml:space="preserve"> [1]Barakchian_Crowe!C264</f>
        <v>-1.4950570000000001</v>
      </c>
      <c r="S385">
        <f xml:space="preserve"> [1]Gertler_Karadi!C139</f>
        <v>-0.16171949999999999</v>
      </c>
      <c r="T385">
        <f xml:space="preserve"> [1]Gertler_Karadi!D139</f>
        <v>-9.5666699999999993E-2</v>
      </c>
      <c r="U385">
        <f xml:space="preserve"> [1]Gertler_Karadi!E139</f>
        <v>-6.5989300000000001E-2</v>
      </c>
      <c r="V385">
        <f xml:space="preserve"> [1]Gertler_Karadi!F139</f>
        <v>-5.2258100000000002E-2</v>
      </c>
      <c r="W385">
        <f xml:space="preserve"> [1]Gertler_Karadi!G139</f>
        <v>-1.0828000000000001E-2</v>
      </c>
      <c r="X385" s="5">
        <f xml:space="preserve"> [1]misc!N468</f>
        <v>7.05</v>
      </c>
      <c r="Y385">
        <f xml:space="preserve"> [1]Gilchrist_Zak!C217</f>
        <v>0.19309999999999999</v>
      </c>
      <c r="Z385">
        <f xml:space="preserve"> [1]Sims_Zha!B388</f>
        <v>-1.2614000000000001</v>
      </c>
      <c r="AA385">
        <f xml:space="preserve"> [1]Coibion_update!AI391</f>
        <v>7.8517100000000006E-2</v>
      </c>
      <c r="AB385">
        <f t="shared" si="26"/>
        <v>-0.1647942</v>
      </c>
      <c r="AC385">
        <v>7.8517100000000006E-2</v>
      </c>
      <c r="AD385">
        <v>-0.30503999999999998</v>
      </c>
      <c r="AE385">
        <v>-0.16</v>
      </c>
      <c r="AF385">
        <v>-0.19</v>
      </c>
      <c r="AG385">
        <v>-0.14000000000000001</v>
      </c>
      <c r="AH385">
        <v>-4.8190700000000003E-2</v>
      </c>
      <c r="AI385">
        <v>-6.4406199999999997E-2</v>
      </c>
      <c r="AJ385">
        <v>-6.2454200000000001E-2</v>
      </c>
      <c r="AK385">
        <v>5.53</v>
      </c>
      <c r="AL385">
        <f xml:space="preserve"> LN([1]misc!B404)</f>
        <v>6.7150196838393095</v>
      </c>
      <c r="AM385">
        <f xml:space="preserve"> LN([1]misc!D404)</f>
        <v>8.0933706112718209</v>
      </c>
      <c r="AN385">
        <f xml:space="preserve"> LN([1]misc!G509)</f>
        <v>3.4087355647004438</v>
      </c>
      <c r="AO385">
        <f xml:space="preserve"> LN([1]misc!J415 + [1]misc!L415)</f>
        <v>3.7248255808874058</v>
      </c>
      <c r="AP385">
        <f xml:space="preserve"> [1]Factors!B385</f>
        <v>0.81415105099999996</v>
      </c>
      <c r="AQ385">
        <f xml:space="preserve"> [1]Factors!C385</f>
        <v>0.10909822399999999</v>
      </c>
      <c r="AR385">
        <f xml:space="preserve"> [1]Factors!D385</f>
        <v>-2.1615956499999998E-2</v>
      </c>
      <c r="AS385">
        <f xml:space="preserve"> [1]Factors!E385</f>
        <v>-4.8706710600000001E-2</v>
      </c>
      <c r="AT385">
        <f xml:space="preserve"> [1]Factors!F385</f>
        <v>8.2494051799999996E-2</v>
      </c>
    </row>
    <row r="386" spans="1:46" x14ac:dyDescent="0.25">
      <c r="A386">
        <f t="shared" si="25"/>
        <v>1990.9999999999764</v>
      </c>
      <c r="B386" s="1">
        <v>33239</v>
      </c>
      <c r="C386" s="7">
        <f t="shared" si="22"/>
        <v>1991</v>
      </c>
      <c r="D386" s="7">
        <f t="shared" si="23"/>
        <v>1</v>
      </c>
      <c r="E386" s="7">
        <f t="shared" si="24"/>
        <v>1</v>
      </c>
      <c r="F386">
        <f xml:space="preserve"> [1]Coibion_update!O392</f>
        <v>4.1453924931771731</v>
      </c>
      <c r="G386">
        <f xml:space="preserve"> [1]Coibion_update!P392</f>
        <v>6.4</v>
      </c>
      <c r="H386">
        <f xml:space="preserve"> [1]Coibion_update!Q392</f>
        <v>4.9030500834163186</v>
      </c>
      <c r="I386">
        <f xml:space="preserve"> [1]Coibion_update!W392</f>
        <v>6.91</v>
      </c>
      <c r="J386">
        <f xml:space="preserve"> [1]Coibion_update!X392</f>
        <v>5.5504370260987637</v>
      </c>
      <c r="K386">
        <f xml:space="preserve"> [1]Coibion_update!Y392</f>
        <v>3.5492437537699169</v>
      </c>
      <c r="L386">
        <f xml:space="preserve"> [1]Coibion_update!Z392</f>
        <v>4.1594766571598827</v>
      </c>
      <c r="M386">
        <f xml:space="preserve"> [1]Coibion_update!AA392</f>
        <v>4.0969245644854881</v>
      </c>
      <c r="N386">
        <f xml:space="preserve"> [1]Coibion_update!AB392</f>
        <v>0</v>
      </c>
      <c r="O386">
        <f xml:space="preserve"> [1]Coibion_update!AC392</f>
        <v>-3.0323431000000016</v>
      </c>
      <c r="P386">
        <f xml:space="preserve"> [1]Coibion_update!AD392</f>
        <v>-2.4631735999999975</v>
      </c>
      <c r="Q386">
        <f xml:space="preserve"> [1]Barakchian_Crowe!B265</f>
        <v>0</v>
      </c>
      <c r="R386">
        <f xml:space="preserve"> [1]Barakchian_Crowe!C265</f>
        <v>-1.4950570000000001</v>
      </c>
      <c r="S386">
        <f xml:space="preserve"> [1]Gertler_Karadi!C140</f>
        <v>-0.23954130000000001</v>
      </c>
      <c r="T386">
        <f xml:space="preserve"> [1]Gertler_Karadi!D140</f>
        <v>-0.16741929999999999</v>
      </c>
      <c r="U386">
        <f xml:space="preserve"> [1]Gertler_Karadi!E140</f>
        <v>-0.17806449999999999</v>
      </c>
      <c r="V386">
        <f xml:space="preserve"> [1]Gertler_Karadi!F140</f>
        <v>-0.1251613</v>
      </c>
      <c r="W386">
        <f xml:space="preserve"> [1]Gertler_Karadi!G140</f>
        <v>-7.2258100000000006E-2</v>
      </c>
      <c r="X386" s="5">
        <f xml:space="preserve"> [1]misc!N469</f>
        <v>6.64</v>
      </c>
      <c r="Y386">
        <f xml:space="preserve"> [1]Gilchrist_Zak!C218</f>
        <v>0.2213</v>
      </c>
      <c r="Z386">
        <f xml:space="preserve"> [1]Sims_Zha!B389</f>
        <v>0.18525</v>
      </c>
      <c r="AA386">
        <f xml:space="preserve"> [1]Coibion_update!AI392</f>
        <v>0</v>
      </c>
      <c r="AB386">
        <f t="shared" si="26"/>
        <v>-0.1647942</v>
      </c>
      <c r="AC386">
        <v>0</v>
      </c>
      <c r="AD386">
        <v>-0.13478000000000001</v>
      </c>
      <c r="AE386">
        <v>-0.1</v>
      </c>
      <c r="AF386">
        <v>-0.1</v>
      </c>
      <c r="AG386">
        <v>-0.14000000000000001</v>
      </c>
      <c r="AH386">
        <v>0</v>
      </c>
      <c r="AI386">
        <v>0</v>
      </c>
      <c r="AJ386">
        <v>0</v>
      </c>
      <c r="AK386">
        <v>8.18</v>
      </c>
      <c r="AL386">
        <f xml:space="preserve"> LN([1]misc!B405)</f>
        <v>6.7180465037541648</v>
      </c>
      <c r="AM386">
        <f xml:space="preserve"> LN([1]misc!D405)</f>
        <v>8.0981564032779776</v>
      </c>
      <c r="AN386">
        <f xml:space="preserve"> LN([1]misc!G510)</f>
        <v>3.0892226166413299</v>
      </c>
      <c r="AO386">
        <f xml:space="preserve"> LN([1]misc!J416 + [1]misc!L416)</f>
        <v>3.7325852863740039</v>
      </c>
      <c r="AP386">
        <f xml:space="preserve"> [1]Factors!B386</f>
        <v>0.60477404999999995</v>
      </c>
      <c r="AQ386">
        <f xml:space="preserve"> [1]Factors!C386</f>
        <v>-0.12233416799999999</v>
      </c>
      <c r="AR386">
        <f xml:space="preserve"> [1]Factors!D386</f>
        <v>-5.6859021500000002E-2</v>
      </c>
      <c r="AS386">
        <f xml:space="preserve"> [1]Factors!E386</f>
        <v>3.9836459099999999E-3</v>
      </c>
      <c r="AT386">
        <f xml:space="preserve"> [1]Factors!F386</f>
        <v>-8.2978340900000003E-2</v>
      </c>
    </row>
    <row r="387" spans="1:46" x14ac:dyDescent="0.25">
      <c r="A387">
        <f t="shared" si="25"/>
        <v>1991.0833333333096</v>
      </c>
      <c r="B387" s="1">
        <v>33270</v>
      </c>
      <c r="C387" s="7">
        <f t="shared" ref="C387:C450" si="27">YEAR(B387)</f>
        <v>1991</v>
      </c>
      <c r="D387" s="7">
        <f t="shared" ref="D387:D450" si="28">MONTH(B387)</f>
        <v>2</v>
      </c>
      <c r="E387" s="7">
        <f t="shared" ref="E387:E450" si="29">ROUNDUP(D387/3,0)</f>
        <v>1</v>
      </c>
      <c r="F387">
        <f xml:space="preserve"> [1]Coibion_update!O393</f>
        <v>4.1385687626707544</v>
      </c>
      <c r="G387">
        <f xml:space="preserve"> [1]Coibion_update!P393</f>
        <v>6.6</v>
      </c>
      <c r="H387">
        <f xml:space="preserve"> [1]Coibion_update!Q393</f>
        <v>4.9037921984782065</v>
      </c>
      <c r="I387">
        <f xml:space="preserve"> [1]Coibion_update!W393</f>
        <v>6.25</v>
      </c>
      <c r="J387">
        <f xml:space="preserve"> [1]Coibion_update!X393</f>
        <v>5.542282633554545</v>
      </c>
      <c r="K387">
        <f xml:space="preserve"> [1]Coibion_update!Y393</f>
        <v>3.5751786995977688</v>
      </c>
      <c r="L387">
        <f xml:space="preserve"> [1]Coibion_update!Z393</f>
        <v>4.1631551948823438</v>
      </c>
      <c r="M387">
        <f xml:space="preserve"> [1]Coibion_update!AA393</f>
        <v>4.1005585486885687</v>
      </c>
      <c r="N387">
        <f xml:space="preserve"> [1]Coibion_update!AB393</f>
        <v>-0.22677410000000001</v>
      </c>
      <c r="O387">
        <f xml:space="preserve"> [1]Coibion_update!AC393</f>
        <v>-3.2591172000000017</v>
      </c>
      <c r="P387">
        <f xml:space="preserve"> [1]Coibion_update!AD393</f>
        <v>-2.7140225999999976</v>
      </c>
      <c r="Q387">
        <f xml:space="preserve"> [1]Barakchian_Crowe!B266</f>
        <v>-0.12728800000000001</v>
      </c>
      <c r="R387">
        <f xml:space="preserve"> [1]Barakchian_Crowe!C266</f>
        <v>-1.6223449999999999</v>
      </c>
      <c r="S387">
        <f xml:space="preserve"> [1]Gertler_Karadi!C141</f>
        <v>-0.10302409999999999</v>
      </c>
      <c r="T387">
        <f xml:space="preserve"> [1]Gertler_Karadi!D141</f>
        <v>-0.2304378</v>
      </c>
      <c r="U387">
        <f xml:space="preserve"> [1]Gertler_Karadi!E141</f>
        <v>-8.9469999999999994E-2</v>
      </c>
      <c r="V387">
        <f xml:space="preserve"> [1]Gertler_Karadi!F141</f>
        <v>-9.0437799999999999E-2</v>
      </c>
      <c r="W387">
        <f xml:space="preserve"> [1]Gertler_Karadi!G141</f>
        <v>-6.0437699999999997E-2</v>
      </c>
      <c r="X387" s="5">
        <f xml:space="preserve"> [1]misc!N470</f>
        <v>6.27</v>
      </c>
      <c r="Y387">
        <f xml:space="preserve"> [1]Gilchrist_Zak!C219</f>
        <v>0.14050000000000001</v>
      </c>
      <c r="Z387">
        <f xml:space="preserve"> [1]Sims_Zha!B390</f>
        <v>-1.9876</v>
      </c>
      <c r="AA387">
        <f xml:space="preserve"> [1]Coibion_update!AI393</f>
        <v>-0.34696640000000001</v>
      </c>
      <c r="AB387">
        <f t="shared" si="26"/>
        <v>-0.51176060000000001</v>
      </c>
      <c r="AC387">
        <v>-0.34696640000000001</v>
      </c>
      <c r="AD387">
        <v>-7.2590000000000002E-2</v>
      </c>
      <c r="AE387">
        <v>-7.0000000000000007E-2</v>
      </c>
      <c r="AF387">
        <v>-0.21</v>
      </c>
      <c r="AG387">
        <v>-0.06</v>
      </c>
      <c r="AH387">
        <v>-2.9595099999999999E-2</v>
      </c>
      <c r="AI387">
        <v>1.00581E-2</v>
      </c>
      <c r="AJ387">
        <v>1.9822300000000001E-2</v>
      </c>
      <c r="AK387">
        <v>6.99</v>
      </c>
      <c r="AL387">
        <f xml:space="preserve"> LN([1]misc!B406)</f>
        <v>6.7245533347608752</v>
      </c>
      <c r="AM387">
        <f xml:space="preserve"> LN([1]misc!D406)</f>
        <v>8.1031312360825556</v>
      </c>
      <c r="AN387">
        <f xml:space="preserve"> LN([1]misc!G511)</f>
        <v>2.9851262277667665</v>
      </c>
      <c r="AO387">
        <f xml:space="preserve"> LN([1]misc!J417 + [1]misc!L417)</f>
        <v>3.7341873718184777</v>
      </c>
      <c r="AP387">
        <f xml:space="preserve"> [1]Factors!B387</f>
        <v>0.69424029600000003</v>
      </c>
      <c r="AQ387">
        <f xml:space="preserve"> [1]Factors!C387</f>
        <v>0.12371705700000001</v>
      </c>
      <c r="AR387">
        <f xml:space="preserve"> [1]Factors!D387</f>
        <v>0.12238919700000001</v>
      </c>
      <c r="AS387">
        <f xml:space="preserve"> [1]Factors!E387</f>
        <v>9.9742982999999993E-2</v>
      </c>
      <c r="AT387">
        <f xml:space="preserve"> [1]Factors!F387</f>
        <v>-0.24176287799999999</v>
      </c>
    </row>
    <row r="388" spans="1:46" x14ac:dyDescent="0.25">
      <c r="A388">
        <f t="shared" si="25"/>
        <v>1991.1666666666429</v>
      </c>
      <c r="B388" s="1">
        <v>33298</v>
      </c>
      <c r="C388" s="7">
        <f t="shared" si="27"/>
        <v>1991</v>
      </c>
      <c r="D388" s="7">
        <f t="shared" si="28"/>
        <v>3</v>
      </c>
      <c r="E388" s="7">
        <f t="shared" si="29"/>
        <v>1</v>
      </c>
      <c r="F388">
        <f xml:space="preserve"> [1]Coibion_update!O394</f>
        <v>4.133042702960763</v>
      </c>
      <c r="G388">
        <f xml:space="preserve"> [1]Coibion_update!P394</f>
        <v>6.8</v>
      </c>
      <c r="H388">
        <f xml:space="preserve"> [1]Coibion_update!Q394</f>
        <v>4.9037921984782065</v>
      </c>
      <c r="I388">
        <f xml:space="preserve"> [1]Coibion_update!W394</f>
        <v>6.12</v>
      </c>
      <c r="J388">
        <f xml:space="preserve"> [1]Coibion_update!X394</f>
        <v>5.5452555664279632</v>
      </c>
      <c r="K388">
        <f xml:space="preserve"> [1]Coibion_update!Y394</f>
        <v>3.6346344392615406</v>
      </c>
      <c r="L388">
        <f xml:space="preserve"> [1]Coibion_update!Z394</f>
        <v>4.1747410534606972</v>
      </c>
      <c r="M388">
        <f xml:space="preserve"> [1]Coibion_update!AA394</f>
        <v>4.1028251666916917</v>
      </c>
      <c r="N388">
        <f xml:space="preserve"> [1]Coibion_update!AB394</f>
        <v>0.25943080000000002</v>
      </c>
      <c r="O388">
        <f xml:space="preserve"> [1]Coibion_update!AC394</f>
        <v>-2.9996864000000016</v>
      </c>
      <c r="P388">
        <f xml:space="preserve"> [1]Coibion_update!AD394</f>
        <v>-2.4853876999999978</v>
      </c>
      <c r="Q388">
        <f xml:space="preserve"> [1]Barakchian_Crowe!B267</f>
        <v>-0.55667529999999998</v>
      </c>
      <c r="R388">
        <f xml:space="preserve"> [1]Barakchian_Crowe!C267</f>
        <v>-2.17902</v>
      </c>
      <c r="S388">
        <f xml:space="preserve"> [1]Gertler_Karadi!C142</f>
        <v>-2.4090299999999999E-2</v>
      </c>
      <c r="T388">
        <f xml:space="preserve"> [1]Gertler_Karadi!D142</f>
        <v>-3.6336399999999998E-2</v>
      </c>
      <c r="U388">
        <f xml:space="preserve"> [1]Gertler_Karadi!E142</f>
        <v>-6.5691200000000005E-2</v>
      </c>
      <c r="V388">
        <f xml:space="preserve"> [1]Gertler_Karadi!F142</f>
        <v>-4.4078399999999997E-2</v>
      </c>
      <c r="W388">
        <f xml:space="preserve"> [1]Gertler_Karadi!G142</f>
        <v>-4.7626700000000001E-2</v>
      </c>
      <c r="X388" s="5">
        <f xml:space="preserve"> [1]misc!N471</f>
        <v>6.4</v>
      </c>
      <c r="Y388">
        <f xml:space="preserve"> [1]Gilchrist_Zak!C220</f>
        <v>9.5200000000000007E-2</v>
      </c>
      <c r="Z388">
        <f xml:space="preserve"> [1]Sims_Zha!B391</f>
        <v>1.5826</v>
      </c>
      <c r="AA388">
        <f xml:space="preserve"> [1]Coibion_update!AI394</f>
        <v>0.27251429999999999</v>
      </c>
      <c r="AB388">
        <f t="shared" si="26"/>
        <v>-0.23924630000000002</v>
      </c>
      <c r="AC388">
        <v>0.27251429999999999</v>
      </c>
      <c r="AD388">
        <v>-4.6949999999999999E-2</v>
      </c>
      <c r="AE388">
        <v>-0.02</v>
      </c>
      <c r="AF388">
        <v>-0.06</v>
      </c>
      <c r="AG388">
        <v>-0.09</v>
      </c>
      <c r="AH388">
        <v>1.9455E-2</v>
      </c>
      <c r="AI388">
        <v>4.9919999999999999E-3</v>
      </c>
      <c r="AJ388">
        <v>-2.54681E-2</v>
      </c>
      <c r="AK388">
        <v>5.53</v>
      </c>
      <c r="AL388">
        <f xml:space="preserve"> LN([1]misc!B407)</f>
        <v>6.7318530739903659</v>
      </c>
      <c r="AM388">
        <f xml:space="preserve"> LN([1]misc!D407)</f>
        <v>8.1083824930569772</v>
      </c>
      <c r="AN388">
        <f xml:space="preserve"> LN([1]misc!G512)</f>
        <v>3.0778651030925133</v>
      </c>
      <c r="AO388">
        <f xml:space="preserve"> LN([1]misc!J418 + [1]misc!L418)</f>
        <v>3.7285087376371298</v>
      </c>
      <c r="AP388">
        <f xml:space="preserve"> [1]Factors!B388</f>
        <v>0.85458666500000002</v>
      </c>
      <c r="AQ388">
        <f xml:space="preserve"> [1]Factors!C388</f>
        <v>-0.23065434500000001</v>
      </c>
      <c r="AR388">
        <f xml:space="preserve"> [1]Factors!D388</f>
        <v>-0.108958016</v>
      </c>
      <c r="AS388">
        <f xml:space="preserve"> [1]Factors!E388</f>
        <v>4.9339028299999997E-2</v>
      </c>
      <c r="AT388">
        <f xml:space="preserve"> [1]Factors!F388</f>
        <v>-0.167083185</v>
      </c>
    </row>
    <row r="389" spans="1:46" x14ac:dyDescent="0.25">
      <c r="A389">
        <f t="shared" si="25"/>
        <v>1991.2499999999761</v>
      </c>
      <c r="B389" s="1">
        <v>33329</v>
      </c>
      <c r="C389" s="7">
        <f t="shared" si="27"/>
        <v>1991</v>
      </c>
      <c r="D389" s="7">
        <f t="shared" si="28"/>
        <v>4</v>
      </c>
      <c r="E389" s="7">
        <f t="shared" si="29"/>
        <v>2</v>
      </c>
      <c r="F389">
        <f xml:space="preserve"> [1]Coibion_update!O395</f>
        <v>4.1353233444505211</v>
      </c>
      <c r="G389">
        <f xml:space="preserve"> [1]Coibion_update!P395</f>
        <v>6.7</v>
      </c>
      <c r="H389">
        <f xml:space="preserve"> [1]Coibion_update!Q395</f>
        <v>4.9060152449661532</v>
      </c>
      <c r="I389">
        <f xml:space="preserve"> [1]Coibion_update!W395</f>
        <v>5.91</v>
      </c>
      <c r="J389">
        <f xml:space="preserve"> [1]Coibion_update!X395</f>
        <v>5.5457632103852115</v>
      </c>
      <c r="K389">
        <f xml:space="preserve"> [1]Coibion_update!Y395</f>
        <v>3.589390555613194</v>
      </c>
      <c r="L389">
        <f xml:space="preserve"> [1]Coibion_update!Z395</f>
        <v>4.1701938745055385</v>
      </c>
      <c r="M389">
        <f xml:space="preserve"> [1]Coibion_update!AA395</f>
        <v>4.1085268497934617</v>
      </c>
      <c r="N389">
        <f xml:space="preserve"> [1]Coibion_update!AB395</f>
        <v>0</v>
      </c>
      <c r="O389">
        <f xml:space="preserve"> [1]Coibion_update!AC395</f>
        <v>-2.9996864000000016</v>
      </c>
      <c r="P389">
        <f xml:space="preserve"> [1]Coibion_update!AD395</f>
        <v>-2.4853876999999978</v>
      </c>
      <c r="Q389">
        <f xml:space="preserve"> [1]Barakchian_Crowe!B268</f>
        <v>0</v>
      </c>
      <c r="R389">
        <f xml:space="preserve"> [1]Barakchian_Crowe!C268</f>
        <v>-2.17902</v>
      </c>
      <c r="S389">
        <f xml:space="preserve"> [1]Gertler_Karadi!C143</f>
        <v>-2.8859900000000001E-2</v>
      </c>
      <c r="T389">
        <f xml:space="preserve"> [1]Gertler_Karadi!D143</f>
        <v>-3.2139800000000003E-2</v>
      </c>
      <c r="U389">
        <f xml:space="preserve"> [1]Gertler_Karadi!E143</f>
        <v>-3.3451599999999998E-2</v>
      </c>
      <c r="V389">
        <f xml:space="preserve"> [1]Gertler_Karadi!F143</f>
        <v>-3.4397799999999999E-2</v>
      </c>
      <c r="W389">
        <f xml:space="preserve"> [1]Gertler_Karadi!G143</f>
        <v>-8.9516200000000004E-2</v>
      </c>
      <c r="X389" s="5">
        <f xml:space="preserve"> [1]misc!N472</f>
        <v>6.24</v>
      </c>
      <c r="Y389">
        <f xml:space="preserve"> [1]Gilchrist_Zak!C221</f>
        <v>9.2600000000000002E-2</v>
      </c>
      <c r="Z389">
        <f xml:space="preserve"> [1]Sims_Zha!B392</f>
        <v>0.64966999999999997</v>
      </c>
      <c r="AA389">
        <f xml:space="preserve"> [1]Coibion_update!AI395</f>
        <v>0</v>
      </c>
      <c r="AB389">
        <f t="shared" si="26"/>
        <v>-0.23924630000000002</v>
      </c>
      <c r="AC389">
        <v>0</v>
      </c>
      <c r="AD389">
        <v>-0.18</v>
      </c>
      <c r="AE389">
        <v>0</v>
      </c>
      <c r="AF389">
        <v>-0.19</v>
      </c>
      <c r="AG389">
        <v>-0.21</v>
      </c>
      <c r="AH389">
        <v>0</v>
      </c>
      <c r="AI389">
        <v>0</v>
      </c>
      <c r="AJ389">
        <v>0</v>
      </c>
      <c r="AK389">
        <v>5.98</v>
      </c>
      <c r="AL389">
        <f xml:space="preserve"> LN([1]misc!B408)</f>
        <v>6.7370855749286296</v>
      </c>
      <c r="AM389">
        <f xml:space="preserve"> LN([1]misc!D408)</f>
        <v>8.1114780520528633</v>
      </c>
      <c r="AN389">
        <f xml:space="preserve"> LN([1]misc!G513)</f>
        <v>3.1569153111453807</v>
      </c>
      <c r="AO389">
        <f xml:space="preserve"> LN([1]misc!J419 + [1]misc!L419)</f>
        <v>3.7309087195892565</v>
      </c>
      <c r="AP389">
        <f xml:space="preserve"> [1]Factors!B389</f>
        <v>0.651534748</v>
      </c>
      <c r="AQ389">
        <f xml:space="preserve"> [1]Factors!C389</f>
        <v>-0.27189470700000001</v>
      </c>
      <c r="AR389">
        <f xml:space="preserve"> [1]Factors!D389</f>
        <v>0.177364783</v>
      </c>
      <c r="AS389">
        <f xml:space="preserve"> [1]Factors!E389</f>
        <v>-0.289276439</v>
      </c>
      <c r="AT389">
        <f xml:space="preserve"> [1]Factors!F389</f>
        <v>-0.28975977400000003</v>
      </c>
    </row>
    <row r="390" spans="1:46" x14ac:dyDescent="0.25">
      <c r="A390">
        <f t="shared" si="25"/>
        <v>1991.3333333333094</v>
      </c>
      <c r="B390" s="1">
        <v>33359</v>
      </c>
      <c r="C390" s="7">
        <f t="shared" si="27"/>
        <v>1991</v>
      </c>
      <c r="D390" s="7">
        <f t="shared" si="28"/>
        <v>5</v>
      </c>
      <c r="E390" s="7">
        <f t="shared" si="29"/>
        <v>2</v>
      </c>
      <c r="F390">
        <f xml:space="preserve"> [1]Coibion_update!O396</f>
        <v>4.1450250021860704</v>
      </c>
      <c r="G390">
        <f xml:space="preserve"> [1]Coibion_update!P396</f>
        <v>6.9</v>
      </c>
      <c r="H390">
        <f xml:space="preserve"> [1]Coibion_update!Q396</f>
        <v>4.9097093755062948</v>
      </c>
      <c r="I390">
        <f xml:space="preserve"> [1]Coibion_update!W396</f>
        <v>5.78</v>
      </c>
      <c r="J390">
        <f xml:space="preserve"> [1]Coibion_update!X396</f>
        <v>5.5260901862459084</v>
      </c>
      <c r="K390">
        <f xml:space="preserve"> [1]Coibion_update!Y396</f>
        <v>3.5870958669464525</v>
      </c>
      <c r="L390">
        <f xml:space="preserve"> [1]Coibion_update!Z396</f>
        <v>4.1756787432770723</v>
      </c>
      <c r="M390">
        <f xml:space="preserve"> [1]Coibion_update!AA396</f>
        <v>4.1107099163083651</v>
      </c>
      <c r="N390">
        <f xml:space="preserve"> [1]Coibion_update!AB396</f>
        <v>0.2320168</v>
      </c>
      <c r="O390">
        <f xml:space="preserve"> [1]Coibion_update!AC396</f>
        <v>-2.7676696000000018</v>
      </c>
      <c r="P390">
        <f xml:space="preserve"> [1]Coibion_update!AD396</f>
        <v>-2.2265709999999976</v>
      </c>
      <c r="Q390">
        <f xml:space="preserve"> [1]Barakchian_Crowe!B269</f>
        <v>6.0473600000000002E-2</v>
      </c>
      <c r="R390">
        <f xml:space="preserve"> [1]Barakchian_Crowe!C269</f>
        <v>-2.118547</v>
      </c>
      <c r="S390">
        <f xml:space="preserve"> [1]Gertler_Karadi!C144</f>
        <v>-0.1633722</v>
      </c>
      <c r="T390">
        <f xml:space="preserve"> [1]Gertler_Karadi!D144</f>
        <v>-0.19463440000000001</v>
      </c>
      <c r="U390">
        <f xml:space="preserve"> [1]Gertler_Karadi!E144</f>
        <v>-0.20300009999999999</v>
      </c>
      <c r="V390">
        <f xml:space="preserve"> [1]Gertler_Karadi!F144</f>
        <v>-0.1781828</v>
      </c>
      <c r="W390">
        <f xml:space="preserve"> [1]Gertler_Karadi!G144</f>
        <v>-0.13403219999999999</v>
      </c>
      <c r="X390" s="5">
        <f xml:space="preserve"> [1]misc!N473</f>
        <v>6.13</v>
      </c>
      <c r="Y390">
        <f xml:space="preserve"> [1]Gilchrist_Zak!C222</f>
        <v>0.107</v>
      </c>
      <c r="Z390">
        <f xml:space="preserve"> [1]Sims_Zha!B393</f>
        <v>0.14788999999999999</v>
      </c>
      <c r="AA390">
        <f xml:space="preserve"> [1]Coibion_update!AI396</f>
        <v>0.1427833</v>
      </c>
      <c r="AB390">
        <f t="shared" si="26"/>
        <v>-9.6463000000000021E-2</v>
      </c>
      <c r="AC390">
        <v>0.1427833</v>
      </c>
      <c r="AD390">
        <v>1.9380000000000001E-2</v>
      </c>
      <c r="AE390">
        <v>0.01</v>
      </c>
      <c r="AF390">
        <v>-0.02</v>
      </c>
      <c r="AG390">
        <v>0</v>
      </c>
      <c r="AH390">
        <v>3.73227E-2</v>
      </c>
      <c r="AI390">
        <v>-1.5692E-3</v>
      </c>
      <c r="AJ390">
        <v>1.9448E-2</v>
      </c>
      <c r="AK390">
        <v>5.92</v>
      </c>
      <c r="AL390">
        <f xml:space="preserve"> LN([1]misc!B409)</f>
        <v>6.7438235872997732</v>
      </c>
      <c r="AM390">
        <f xml:space="preserve"> LN([1]misc!D409)</f>
        <v>8.1146537992242767</v>
      </c>
      <c r="AN390">
        <f xml:space="preserve"> LN([1]misc!G514)</f>
        <v>3.1037791776371249</v>
      </c>
      <c r="AO390">
        <f xml:space="preserve"> LN([1]misc!J420 + [1]misc!L420)</f>
        <v>3.7423254298195623</v>
      </c>
      <c r="AP390">
        <f xml:space="preserve"> [1]Factors!B390</f>
        <v>0.45361998199999998</v>
      </c>
      <c r="AQ390">
        <f xml:space="preserve"> [1]Factors!C390</f>
        <v>-0.16411242300000001</v>
      </c>
      <c r="AR390">
        <f xml:space="preserve"> [1]Factors!D390</f>
        <v>0.22335333499999999</v>
      </c>
      <c r="AS390">
        <f xml:space="preserve"> [1]Factors!E390</f>
        <v>0.13402224400000001</v>
      </c>
      <c r="AT390">
        <f xml:space="preserve"> [1]Factors!F390</f>
        <v>-0.25724400400000003</v>
      </c>
    </row>
    <row r="391" spans="1:46" x14ac:dyDescent="0.25">
      <c r="A391">
        <f t="shared" si="25"/>
        <v>1991.4166666666426</v>
      </c>
      <c r="B391" s="1">
        <v>33390</v>
      </c>
      <c r="C391" s="7">
        <f t="shared" si="27"/>
        <v>1991</v>
      </c>
      <c r="D391" s="7">
        <f t="shared" si="28"/>
        <v>6</v>
      </c>
      <c r="E391" s="7">
        <f t="shared" si="29"/>
        <v>2</v>
      </c>
      <c r="F391">
        <f xml:space="preserve"> [1]Coibion_update!O397</f>
        <v>4.1543619408801931</v>
      </c>
      <c r="G391">
        <f xml:space="preserve"> [1]Coibion_update!P397</f>
        <v>6.9</v>
      </c>
      <c r="H391">
        <f xml:space="preserve"> [1]Coibion_update!Q397</f>
        <v>4.9126548857360524</v>
      </c>
      <c r="I391">
        <f xml:space="preserve"> [1]Coibion_update!W397</f>
        <v>5.9</v>
      </c>
      <c r="J391">
        <f xml:space="preserve"> [1]Coibion_update!X397</f>
        <v>5.5099145139618741</v>
      </c>
      <c r="K391">
        <f xml:space="preserve"> [1]Coibion_update!Y397</f>
        <v>3.5994743052462375</v>
      </c>
      <c r="L391">
        <f xml:space="preserve"> [1]Coibion_update!Z397</f>
        <v>4.1691427722972874</v>
      </c>
      <c r="M391">
        <f xml:space="preserve"> [1]Coibion_update!AA397</f>
        <v>4.1112344548903685</v>
      </c>
      <c r="N391">
        <f xml:space="preserve"> [1]Coibion_update!AB397</f>
        <v>0</v>
      </c>
      <c r="O391">
        <f xml:space="preserve"> [1]Coibion_update!AC397</f>
        <v>-2.7676696000000018</v>
      </c>
      <c r="P391">
        <f xml:space="preserve"> [1]Coibion_update!AD397</f>
        <v>-2.2265709999999976</v>
      </c>
      <c r="Q391">
        <f xml:space="preserve"> [1]Barakchian_Crowe!B270</f>
        <v>0</v>
      </c>
      <c r="R391">
        <f xml:space="preserve"> [1]Barakchian_Crowe!C270</f>
        <v>-2.118547</v>
      </c>
      <c r="S391">
        <f xml:space="preserve"> [1]Gertler_Karadi!C145</f>
        <v>8.7521999999999999E-3</v>
      </c>
      <c r="T391">
        <f xml:space="preserve"> [1]Gertler_Karadi!D145</f>
        <v>-9.0322000000000006E-3</v>
      </c>
      <c r="U391">
        <f xml:space="preserve"> [1]Gertler_Karadi!E145</f>
        <v>0</v>
      </c>
      <c r="V391">
        <f xml:space="preserve"> [1]Gertler_Karadi!F145</f>
        <v>4.5161000000000003E-3</v>
      </c>
      <c r="W391">
        <f xml:space="preserve"> [1]Gertler_Karadi!G145</f>
        <v>9.0322000000000006E-3</v>
      </c>
      <c r="X391" s="5">
        <f xml:space="preserve"> [1]misc!N474</f>
        <v>6.36</v>
      </c>
      <c r="Y391">
        <f xml:space="preserve"> [1]Gilchrist_Zak!C223</f>
        <v>3.32E-2</v>
      </c>
      <c r="Z391">
        <f xml:space="preserve"> [1]Sims_Zha!B394</f>
        <v>2.1915</v>
      </c>
      <c r="AA391">
        <f xml:space="preserve"> [1]Coibion_update!AI397</f>
        <v>0</v>
      </c>
      <c r="AB391">
        <f t="shared" si="26"/>
        <v>-9.6463000000000021E-2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6.74</v>
      </c>
      <c r="AL391">
        <f xml:space="preserve"> LN([1]misc!B410)</f>
        <v>6.7530877989699984</v>
      </c>
      <c r="AM391">
        <f xml:space="preserve"> LN([1]misc!D410)</f>
        <v>8.1173124616019745</v>
      </c>
      <c r="AN391">
        <f xml:space="preserve"> LN([1]misc!G515)</f>
        <v>3.1642506702042539</v>
      </c>
      <c r="AO391">
        <f xml:space="preserve"> LN([1]misc!J421 + [1]misc!L421)</f>
        <v>3.7466765528401531</v>
      </c>
      <c r="AP391">
        <f xml:space="preserve"> [1]Factors!B391</f>
        <v>0.258109013</v>
      </c>
      <c r="AQ391">
        <f xml:space="preserve"> [1]Factors!C391</f>
        <v>-9.3813032800000001E-2</v>
      </c>
      <c r="AR391">
        <f xml:space="preserve"> [1]Factors!D391</f>
        <v>0.26991148100000001</v>
      </c>
      <c r="AS391">
        <f xml:space="preserve"> [1]Factors!E391</f>
        <v>0.18794023100000001</v>
      </c>
      <c r="AT391">
        <f xml:space="preserve"> [1]Factors!F391</f>
        <v>-0.44768322500000002</v>
      </c>
    </row>
    <row r="392" spans="1:46" x14ac:dyDescent="0.25">
      <c r="A392">
        <f t="shared" si="25"/>
        <v>1991.4999999999759</v>
      </c>
      <c r="B392" s="1">
        <v>33420</v>
      </c>
      <c r="C392" s="7">
        <f t="shared" si="27"/>
        <v>1991</v>
      </c>
      <c r="D392" s="7">
        <f t="shared" si="28"/>
        <v>7</v>
      </c>
      <c r="E392" s="7">
        <f t="shared" si="29"/>
        <v>3</v>
      </c>
      <c r="F392">
        <f xml:space="preserve"> [1]Coibion_update!O398</f>
        <v>4.1548327041373421</v>
      </c>
      <c r="G392">
        <f xml:space="preserve"> [1]Coibion_update!P398</f>
        <v>6.8</v>
      </c>
      <c r="H392">
        <f xml:space="preserve"> [1]Coibion_update!Q398</f>
        <v>4.9141243937154115</v>
      </c>
      <c r="I392">
        <f xml:space="preserve"> [1]Coibion_update!W398</f>
        <v>5.82</v>
      </c>
      <c r="J392">
        <f xml:space="preserve"> [1]Coibion_update!X398</f>
        <v>5.4943363504655887</v>
      </c>
      <c r="K392">
        <f xml:space="preserve"> [1]Coibion_update!Y398</f>
        <v>3.6089971502416889</v>
      </c>
      <c r="L392">
        <f xml:space="preserve"> [1]Coibion_update!Z398</f>
        <v>4.1766769542588866</v>
      </c>
      <c r="M392">
        <f xml:space="preserve"> [1]Coibion_update!AA398</f>
        <v>4.1139347486536639</v>
      </c>
      <c r="N392">
        <f xml:space="preserve"> [1]Coibion_update!AB398</f>
        <v>-5.9438199999999997E-2</v>
      </c>
      <c r="O392">
        <f xml:space="preserve"> [1]Coibion_update!AC398</f>
        <v>-2.8271078000000021</v>
      </c>
      <c r="P392">
        <f xml:space="preserve"> [1]Coibion_update!AD398</f>
        <v>-2.3037941999999978</v>
      </c>
      <c r="Q392">
        <f xml:space="preserve"> [1]Barakchian_Crowe!B271</f>
        <v>0.15653529999999999</v>
      </c>
      <c r="R392">
        <f xml:space="preserve"> [1]Barakchian_Crowe!C271</f>
        <v>-1.9620109999999999</v>
      </c>
      <c r="S392">
        <f xml:space="preserve"> [1]Gertler_Karadi!C146</f>
        <v>0</v>
      </c>
      <c r="T392">
        <f xml:space="preserve"> [1]Gertler_Karadi!D146</f>
        <v>8.7097000000000008E-3</v>
      </c>
      <c r="U392">
        <f xml:space="preserve"> [1]Gertler_Karadi!E146</f>
        <v>1.7419299999999999E-2</v>
      </c>
      <c r="V392">
        <f xml:space="preserve"> [1]Gertler_Karadi!F146</f>
        <v>1.7419299999999999E-2</v>
      </c>
      <c r="W392">
        <f xml:space="preserve"> [1]Gertler_Karadi!G146</f>
        <v>8.7097000000000008E-3</v>
      </c>
      <c r="X392" s="5">
        <f xml:space="preserve"> [1]misc!N475</f>
        <v>6.31</v>
      </c>
      <c r="Y392">
        <f xml:space="preserve"> [1]Gilchrist_Zak!C224</f>
        <v>0.11600000000000001</v>
      </c>
      <c r="Z392">
        <f xml:space="preserve"> [1]Sims_Zha!B395</f>
        <v>0.36653999999999998</v>
      </c>
      <c r="AA392">
        <f xml:space="preserve"> [1]Coibion_update!AI398</f>
        <v>3.7841899999999998E-2</v>
      </c>
      <c r="AB392">
        <f t="shared" si="26"/>
        <v>-5.8621100000000023E-2</v>
      </c>
      <c r="AC392">
        <v>3.7841899999999998E-2</v>
      </c>
      <c r="AD392">
        <v>0</v>
      </c>
      <c r="AE392">
        <v>0</v>
      </c>
      <c r="AF392">
        <v>0.01</v>
      </c>
      <c r="AG392">
        <v>0.02</v>
      </c>
      <c r="AH392">
        <v>1.35981E-2</v>
      </c>
      <c r="AI392">
        <v>2.7278400000000001E-2</v>
      </c>
      <c r="AJ392">
        <v>4.1107900000000003E-2</v>
      </c>
      <c r="AK392">
        <v>5.85</v>
      </c>
      <c r="AL392">
        <f xml:space="preserve"> LN([1]misc!B411)</f>
        <v>6.7587911258421789</v>
      </c>
      <c r="AM392">
        <f xml:space="preserve"> LN([1]misc!D411)</f>
        <v>8.118475269765316</v>
      </c>
      <c r="AN392">
        <f xml:space="preserve"> LN([1]misc!G516)</f>
        <v>3.1467781384277704</v>
      </c>
      <c r="AO392">
        <f xml:space="preserve"> LN([1]misc!J422 + [1]misc!L422)</f>
        <v>3.7477142398348287</v>
      </c>
      <c r="AP392">
        <f xml:space="preserve"> [1]Factors!B392</f>
        <v>6.8468989600000002E-2</v>
      </c>
      <c r="AQ392">
        <f xml:space="preserve"> [1]Factors!C392</f>
        <v>-0.27096882799999999</v>
      </c>
      <c r="AR392">
        <f xml:space="preserve"> [1]Factors!D392</f>
        <v>0.28835164699999999</v>
      </c>
      <c r="AS392">
        <f xml:space="preserve"> [1]Factors!E392</f>
        <v>-4.46217717E-2</v>
      </c>
      <c r="AT392">
        <f xml:space="preserve"> [1]Factors!F392</f>
        <v>-0.43251687500000002</v>
      </c>
    </row>
    <row r="393" spans="1:46" x14ac:dyDescent="0.25">
      <c r="A393">
        <f t="shared" si="25"/>
        <v>1991.5833333333092</v>
      </c>
      <c r="B393" s="1">
        <v>33451</v>
      </c>
      <c r="C393" s="7">
        <f t="shared" si="27"/>
        <v>1991</v>
      </c>
      <c r="D393" s="7">
        <f t="shared" si="28"/>
        <v>8</v>
      </c>
      <c r="E393" s="7">
        <f t="shared" si="29"/>
        <v>3</v>
      </c>
      <c r="F393">
        <f xml:space="preserve"> [1]Coibion_update!O399</f>
        <v>4.1557014648750741</v>
      </c>
      <c r="G393">
        <f xml:space="preserve"> [1]Coibion_update!P399</f>
        <v>6.9</v>
      </c>
      <c r="H393">
        <f xml:space="preserve"> [1]Coibion_update!Q399</f>
        <v>4.9170569471366896</v>
      </c>
      <c r="I393">
        <f xml:space="preserve"> [1]Coibion_update!W399</f>
        <v>5.66</v>
      </c>
      <c r="J393">
        <f xml:space="preserve"> [1]Coibion_update!X399</f>
        <v>5.4971272408467939</v>
      </c>
      <c r="K393">
        <f xml:space="preserve"> [1]Coibion_update!Y399</f>
        <v>3.5992008869692564</v>
      </c>
      <c r="L393">
        <f xml:space="preserve"> [1]Coibion_update!Z399</f>
        <v>4.1747718113347156</v>
      </c>
      <c r="M393">
        <f xml:space="preserve"> [1]Coibion_update!AA399</f>
        <v>4.1141635292540668</v>
      </c>
      <c r="N393">
        <f xml:space="preserve"> [1]Coibion_update!AB399</f>
        <v>0.1195838</v>
      </c>
      <c r="O393">
        <f xml:space="preserve"> [1]Coibion_update!AC399</f>
        <v>-2.707524000000002</v>
      </c>
      <c r="P393">
        <f xml:space="preserve"> [1]Coibion_update!AD399</f>
        <v>-2.1669939999999976</v>
      </c>
      <c r="Q393">
        <f xml:space="preserve"> [1]Barakchian_Crowe!B272</f>
        <v>0.83135840000000005</v>
      </c>
      <c r="R393">
        <f xml:space="preserve"> [1]Barakchian_Crowe!C272</f>
        <v>-1.1306529999999999</v>
      </c>
      <c r="S393">
        <f xml:space="preserve"> [1]Gertler_Karadi!C147</f>
        <v>-0.112</v>
      </c>
      <c r="T393">
        <f xml:space="preserve"> [1]Gertler_Karadi!D147</f>
        <v>-8.0322599999999994E-2</v>
      </c>
      <c r="U393">
        <f xml:space="preserve"> [1]Gertler_Karadi!E147</f>
        <v>-9.9354899999999996E-2</v>
      </c>
      <c r="V393">
        <f xml:space="preserve"> [1]Gertler_Karadi!F147</f>
        <v>-7.90323E-2</v>
      </c>
      <c r="W393">
        <f xml:space="preserve"> [1]Gertler_Karadi!G147</f>
        <v>-6.7096799999999998E-2</v>
      </c>
      <c r="X393" s="5">
        <f xml:space="preserve"> [1]misc!N476</f>
        <v>5.78</v>
      </c>
      <c r="Y393">
        <f xml:space="preserve"> [1]Gilchrist_Zak!C225</f>
        <v>7.5200000000000003E-2</v>
      </c>
      <c r="Z393">
        <f xml:space="preserve"> [1]Sims_Zha!B396</f>
        <v>-3.7040999999999998E-2</v>
      </c>
      <c r="AA393">
        <f xml:space="preserve"> [1]Coibion_update!AI399</f>
        <v>-4.5363399999999998E-2</v>
      </c>
      <c r="AB393">
        <f t="shared" si="26"/>
        <v>-0.10398450000000002</v>
      </c>
      <c r="AC393">
        <v>-4.5363399999999998E-2</v>
      </c>
      <c r="AD393">
        <v>-6.2E-2</v>
      </c>
      <c r="AE393">
        <v>-0.11</v>
      </c>
      <c r="AF393">
        <v>-0.08</v>
      </c>
      <c r="AG393">
        <v>-0.11</v>
      </c>
      <c r="AH393">
        <v>3.8296999999999998E-2</v>
      </c>
      <c r="AI393">
        <v>2.7603699999999998E-2</v>
      </c>
      <c r="AJ393">
        <v>1.6163299999999999E-2</v>
      </c>
      <c r="AK393">
        <v>5.5</v>
      </c>
      <c r="AL393">
        <f xml:space="preserve"> LN([1]misc!B412)</f>
        <v>6.7648082696622041</v>
      </c>
      <c r="AM393">
        <f xml:space="preserve"> LN([1]misc!D412)</f>
        <v>8.1181176266297417</v>
      </c>
      <c r="AN393">
        <f xml:space="preserve"> LN([1]misc!G517)</f>
        <v>3.1261901979099687</v>
      </c>
      <c r="AO393">
        <f xml:space="preserve"> LN([1]misc!J423 + [1]misc!L423)</f>
        <v>3.7595475882311802</v>
      </c>
      <c r="AP393">
        <f xml:space="preserve"> [1]Factors!B393</f>
        <v>0.21630344900000001</v>
      </c>
      <c r="AQ393">
        <f xml:space="preserve"> [1]Factors!C393</f>
        <v>-0.18714499600000001</v>
      </c>
      <c r="AR393">
        <f xml:space="preserve"> [1]Factors!D393</f>
        <v>0.169999341</v>
      </c>
      <c r="AS393">
        <f xml:space="preserve"> [1]Factors!E393</f>
        <v>5.1548300999999998E-2</v>
      </c>
      <c r="AT393">
        <f xml:space="preserve"> [1]Factors!F393</f>
        <v>-8.5345203800000005E-2</v>
      </c>
    </row>
    <row r="394" spans="1:46" x14ac:dyDescent="0.25">
      <c r="A394">
        <f t="shared" si="25"/>
        <v>1991.6666666666424</v>
      </c>
      <c r="B394" s="1">
        <v>33482</v>
      </c>
      <c r="C394" s="7">
        <f t="shared" si="27"/>
        <v>1991</v>
      </c>
      <c r="D394" s="7">
        <f t="shared" si="28"/>
        <v>9</v>
      </c>
      <c r="E394" s="7">
        <f t="shared" si="29"/>
        <v>3</v>
      </c>
      <c r="F394">
        <f xml:space="preserve"> [1]Coibion_update!O400</f>
        <v>4.1646539001200971</v>
      </c>
      <c r="G394">
        <f xml:space="preserve"> [1]Coibion_update!P400</f>
        <v>6.9</v>
      </c>
      <c r="H394">
        <f xml:space="preserve"> [1]Coibion_update!Q400</f>
        <v>4.9199809258281251</v>
      </c>
      <c r="I394">
        <f xml:space="preserve"> [1]Coibion_update!W400</f>
        <v>5.45</v>
      </c>
      <c r="J394">
        <f xml:space="preserve"> [1]Coibion_update!X400</f>
        <v>5.4946650950750833</v>
      </c>
      <c r="K394">
        <f xml:space="preserve"> [1]Coibion_update!Y400</f>
        <v>3.6135091470891596</v>
      </c>
      <c r="L394">
        <f xml:space="preserve"> [1]Coibion_update!Z400</f>
        <v>4.1685858588210571</v>
      </c>
      <c r="M394">
        <f xml:space="preserve"> [1]Coibion_update!AA400</f>
        <v>4.1147679118629794</v>
      </c>
      <c r="N394">
        <f xml:space="preserve"> [1]Coibion_update!AB400</f>
        <v>0</v>
      </c>
      <c r="O394">
        <f xml:space="preserve"> [1]Coibion_update!AC400</f>
        <v>-2.707524000000002</v>
      </c>
      <c r="P394">
        <f xml:space="preserve"> [1]Coibion_update!AD400</f>
        <v>-2.1669939999999976</v>
      </c>
      <c r="Q394">
        <f xml:space="preserve"> [1]Barakchian_Crowe!B273</f>
        <v>0</v>
      </c>
      <c r="R394">
        <f xml:space="preserve"> [1]Barakchian_Crowe!C273</f>
        <v>-1.1306529999999999</v>
      </c>
      <c r="S394">
        <f xml:space="preserve"> [1]Gertler_Karadi!C148</f>
        <v>1.8235899999999999E-2</v>
      </c>
      <c r="T394">
        <f xml:space="preserve"> [1]Gertler_Karadi!D148</f>
        <v>1.6129E-3</v>
      </c>
      <c r="U394">
        <f xml:space="preserve"> [1]Gertler_Karadi!E148</f>
        <v>-8.0645000000000005E-3</v>
      </c>
      <c r="V394">
        <f xml:space="preserve"> [1]Gertler_Karadi!F148</f>
        <v>1.3613E-2</v>
      </c>
      <c r="W394">
        <f xml:space="preserve"> [1]Gertler_Karadi!G148</f>
        <v>-1.6129E-3</v>
      </c>
      <c r="X394" s="5">
        <f xml:space="preserve"> [1]misc!N477</f>
        <v>5.57</v>
      </c>
      <c r="Y394">
        <f xml:space="preserve"> [1]Gilchrist_Zak!C226</f>
        <v>8.9300000000000004E-2</v>
      </c>
      <c r="Z394">
        <f xml:space="preserve"> [1]Sims_Zha!B397</f>
        <v>-0.17047999999999999</v>
      </c>
      <c r="AA394">
        <f xml:space="preserve"> [1]Coibion_update!AI400</f>
        <v>0</v>
      </c>
      <c r="AB394">
        <f t="shared" si="26"/>
        <v>-0.10398450000000002</v>
      </c>
      <c r="AC394">
        <v>0</v>
      </c>
      <c r="AD394">
        <v>-5.2940000000000001E-2</v>
      </c>
      <c r="AE394">
        <v>-0.03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5.6</v>
      </c>
      <c r="AL394">
        <f xml:space="preserve"> LN([1]misc!B413)</f>
        <v>6.7681483245957192</v>
      </c>
      <c r="AM394">
        <f xml:space="preserve"> LN([1]misc!D413)</f>
        <v>8.1180878172606548</v>
      </c>
      <c r="AN394">
        <f xml:space="preserve"> LN([1]misc!G518)</f>
        <v>3.1545719428673809</v>
      </c>
      <c r="AO394">
        <f xml:space="preserve"> LN([1]misc!J424 + [1]misc!L424)</f>
        <v>3.7661876572046014</v>
      </c>
      <c r="AP394">
        <f xml:space="preserve"> [1]Factors!B394</f>
        <v>0.27563537999999999</v>
      </c>
      <c r="AQ394">
        <f xml:space="preserve"> [1]Factors!C394</f>
        <v>-0.101241331</v>
      </c>
      <c r="AR394">
        <f xml:space="preserve"> [1]Factors!D394</f>
        <v>3.7705829099999998E-2</v>
      </c>
      <c r="AS394">
        <f xml:space="preserve"> [1]Factors!E394</f>
        <v>0.275076441</v>
      </c>
      <c r="AT394">
        <f xml:space="preserve"> [1]Factors!F394</f>
        <v>2.2018573600000001E-2</v>
      </c>
    </row>
    <row r="395" spans="1:46" x14ac:dyDescent="0.25">
      <c r="A395">
        <f t="shared" si="25"/>
        <v>1991.7499999999757</v>
      </c>
      <c r="B395" s="1">
        <v>33512</v>
      </c>
      <c r="C395" s="7">
        <f t="shared" si="27"/>
        <v>1991</v>
      </c>
      <c r="D395" s="7">
        <f t="shared" si="28"/>
        <v>10</v>
      </c>
      <c r="E395" s="7">
        <f t="shared" si="29"/>
        <v>4</v>
      </c>
      <c r="F395">
        <f xml:space="preserve"> [1]Coibion_update!O401</f>
        <v>4.1626307396151487</v>
      </c>
      <c r="G395">
        <f xml:space="preserve"> [1]Coibion_update!P401</f>
        <v>7</v>
      </c>
      <c r="H395">
        <f xml:space="preserve"> [1]Coibion_update!Q401</f>
        <v>4.9214397152917844</v>
      </c>
      <c r="I395">
        <f xml:space="preserve"> [1]Coibion_update!W401</f>
        <v>5.21</v>
      </c>
      <c r="J395">
        <f xml:space="preserve"> [1]Coibion_update!X401</f>
        <v>5.4983969782636946</v>
      </c>
      <c r="K395">
        <f xml:space="preserve"> [1]Coibion_update!Y401</f>
        <v>3.5831021849597677</v>
      </c>
      <c r="L395">
        <f xml:space="preserve"> [1]Coibion_update!Z401</f>
        <v>4.1663085710614123</v>
      </c>
      <c r="M395">
        <f xml:space="preserve"> [1]Coibion_update!AA401</f>
        <v>4.1152740054031307</v>
      </c>
      <c r="N395">
        <f xml:space="preserve"> [1]Coibion_update!AB401</f>
        <v>-7.2306999999999996E-3</v>
      </c>
      <c r="O395">
        <f xml:space="preserve"> [1]Coibion_update!AC401</f>
        <v>-2.7147547000000021</v>
      </c>
      <c r="P395">
        <f xml:space="preserve"> [1]Coibion_update!AD401</f>
        <v>-2.2033548999999977</v>
      </c>
      <c r="Q395">
        <f xml:space="preserve"> [1]Barakchian_Crowe!B274</f>
        <v>0.1815766</v>
      </c>
      <c r="R395">
        <f xml:space="preserve"> [1]Barakchian_Crowe!C274</f>
        <v>-0.94907640000000004</v>
      </c>
      <c r="S395">
        <f xml:space="preserve"> [1]Gertler_Karadi!C149</f>
        <v>-3.3457300000000002E-2</v>
      </c>
      <c r="T395">
        <f xml:space="preserve"> [1]Gertler_Karadi!D149</f>
        <v>-2.5806000000000002E-3</v>
      </c>
      <c r="U395">
        <f xml:space="preserve"> [1]Gertler_Karadi!E149</f>
        <v>-1.09677E-2</v>
      </c>
      <c r="V395">
        <f xml:space="preserve"> [1]Gertler_Karadi!F149</f>
        <v>1.7677399999999999E-2</v>
      </c>
      <c r="W395">
        <f xml:space="preserve"> [1]Gertler_Karadi!G149</f>
        <v>9.6773999999999992E-3</v>
      </c>
      <c r="X395" s="5">
        <f xml:space="preserve"> [1]misc!N478</f>
        <v>5.33</v>
      </c>
      <c r="Y395">
        <f xml:space="preserve"> [1]Gilchrist_Zak!C227</f>
        <v>8.6300000000000002E-2</v>
      </c>
      <c r="Z395">
        <f xml:space="preserve"> [1]Sims_Zha!B398</f>
        <v>-0.26748</v>
      </c>
      <c r="AA395">
        <f xml:space="preserve"> [1]Coibion_update!AI401</f>
        <v>5.99371E-2</v>
      </c>
      <c r="AB395">
        <f t="shared" si="26"/>
        <v>-4.4047400000000021E-2</v>
      </c>
      <c r="AC395">
        <v>5.99371E-2</v>
      </c>
      <c r="AD395">
        <v>-4.07E-2</v>
      </c>
      <c r="AE395">
        <v>-0.03</v>
      </c>
      <c r="AF395">
        <v>-0.04</v>
      </c>
      <c r="AG395">
        <v>-0.03</v>
      </c>
      <c r="AH395">
        <v>-1.31395E-2</v>
      </c>
      <c r="AI395">
        <v>2.1007499999999998E-2</v>
      </c>
      <c r="AJ395">
        <v>-1.2390399999999999E-2</v>
      </c>
      <c r="AK395">
        <v>5.23</v>
      </c>
      <c r="AL395">
        <f xml:space="preserve"> LN([1]misc!B414)</f>
        <v>6.7776465936351169</v>
      </c>
      <c r="AM395">
        <f xml:space="preserve"> LN([1]misc!D414)</f>
        <v>8.1195771982514717</v>
      </c>
      <c r="AN395">
        <f xml:space="preserve"> LN([1]misc!G519)</f>
        <v>3.1430309605748707</v>
      </c>
      <c r="AO395">
        <f xml:space="preserve"> LN([1]misc!J425 + [1]misc!L425)</f>
        <v>3.7786744532301513</v>
      </c>
      <c r="AP395">
        <f xml:space="preserve"> [1]Factors!B395</f>
        <v>7.3927391299999996E-4</v>
      </c>
      <c r="AQ395">
        <f xml:space="preserve"> [1]Factors!C395</f>
        <v>-0.13966584200000001</v>
      </c>
      <c r="AR395">
        <f xml:space="preserve"> [1]Factors!D395</f>
        <v>0.131416491</v>
      </c>
      <c r="AS395">
        <f xml:space="preserve"> [1]Factors!E395</f>
        <v>0.29700064100000001</v>
      </c>
      <c r="AT395">
        <f xml:space="preserve"> [1]Factors!F395</f>
        <v>-0.222500159</v>
      </c>
    </row>
    <row r="396" spans="1:46" x14ac:dyDescent="0.25">
      <c r="A396">
        <f t="shared" ref="A396:A398" si="30" xml:space="preserve"> A395 + 1/12</f>
        <v>1991.8333333333089</v>
      </c>
      <c r="B396" s="1">
        <v>33543</v>
      </c>
      <c r="C396" s="7">
        <f t="shared" si="27"/>
        <v>1991</v>
      </c>
      <c r="D396" s="7">
        <f t="shared" si="28"/>
        <v>11</v>
      </c>
      <c r="E396" s="7">
        <f t="shared" si="29"/>
        <v>4</v>
      </c>
      <c r="F396">
        <f xml:space="preserve"> [1]Coibion_update!O402</f>
        <v>4.1616838450623952</v>
      </c>
      <c r="G396">
        <f xml:space="preserve"> [1]Coibion_update!P402</f>
        <v>7</v>
      </c>
      <c r="H396">
        <f xml:space="preserve"> [1]Coibion_update!Q402</f>
        <v>4.9258033585795582</v>
      </c>
      <c r="I396">
        <f xml:space="preserve"> [1]Coibion_update!W402</f>
        <v>4.8099999999999996</v>
      </c>
      <c r="J396">
        <f xml:space="preserve"> [1]Coibion_update!X402</f>
        <v>5.4884830773650402</v>
      </c>
      <c r="K396">
        <f xml:space="preserve"> [1]Coibion_update!Y402</f>
        <v>3.588534119165061</v>
      </c>
      <c r="L396">
        <f xml:space="preserve"> [1]Coibion_update!Z402</f>
        <v>4.1657966296287405</v>
      </c>
      <c r="M396">
        <f xml:space="preserve"> [1]Coibion_update!AA402</f>
        <v>4.1221056330074912</v>
      </c>
      <c r="N396">
        <f xml:space="preserve"> [1]Coibion_update!AB402</f>
        <v>0</v>
      </c>
      <c r="O396">
        <f xml:space="preserve"> [1]Coibion_update!AC402</f>
        <v>-2.7147547000000021</v>
      </c>
      <c r="P396">
        <f xml:space="preserve"> [1]Coibion_update!AD402</f>
        <v>-2.2033548999999977</v>
      </c>
      <c r="Q396">
        <f xml:space="preserve"> [1]Barakchian_Crowe!B275</f>
        <v>-2.0316890000000001</v>
      </c>
      <c r="R396">
        <f xml:space="preserve"> [1]Barakchian_Crowe!C275</f>
        <v>-2.980766</v>
      </c>
      <c r="S396">
        <f xml:space="preserve"> [1]Gertler_Karadi!C150</f>
        <v>-0.111752</v>
      </c>
      <c r="T396">
        <f xml:space="preserve"> [1]Gertler_Karadi!D150</f>
        <v>-0.13741929999999999</v>
      </c>
      <c r="U396">
        <f xml:space="preserve"> [1]Gertler_Karadi!E150</f>
        <v>-9.4032299999999999E-2</v>
      </c>
      <c r="V396">
        <f xml:space="preserve"> [1]Gertler_Karadi!F150</f>
        <v>-7.4677499999999994E-2</v>
      </c>
      <c r="W396">
        <f xml:space="preserve"> [1]Gertler_Karadi!G150</f>
        <v>-7.4677400000000005E-2</v>
      </c>
      <c r="X396" s="5">
        <f xml:space="preserve"> [1]misc!N479</f>
        <v>4.8899999999999997</v>
      </c>
      <c r="Y396">
        <f xml:space="preserve"> [1]Gilchrist_Zak!C228</f>
        <v>9.64E-2</v>
      </c>
      <c r="Z396">
        <f xml:space="preserve"> [1]Sims_Zha!B399</f>
        <v>-1.4971000000000001</v>
      </c>
      <c r="AA396">
        <f xml:space="preserve"> [1]Coibion_update!AI402</f>
        <v>0</v>
      </c>
      <c r="AB396">
        <f t="shared" si="26"/>
        <v>-4.4047400000000021E-2</v>
      </c>
      <c r="AC396">
        <v>0</v>
      </c>
      <c r="AD396">
        <v>-0.1</v>
      </c>
      <c r="AE396">
        <v>-0.08</v>
      </c>
      <c r="AF396">
        <v>-0.12</v>
      </c>
      <c r="AG396">
        <v>-0.09</v>
      </c>
      <c r="AH396">
        <v>-3.7527199999999997E-2</v>
      </c>
      <c r="AI396">
        <v>-7.2987300000000005E-2</v>
      </c>
      <c r="AJ396">
        <v>-5.0375099999999999E-2</v>
      </c>
      <c r="AK396">
        <v>4.8600000000000003</v>
      </c>
      <c r="AL396">
        <f xml:space="preserve"> LN([1]misc!B415)</f>
        <v>6.7885211910584387</v>
      </c>
      <c r="AM396">
        <f xml:space="preserve"> LN([1]misc!D415)</f>
        <v>8.1211832420788284</v>
      </c>
      <c r="AN396">
        <f xml:space="preserve"> LN([1]misc!G520)</f>
        <v>3.2188358240681794</v>
      </c>
      <c r="AO396">
        <f xml:space="preserve"> LN([1]misc!J426 + [1]misc!L426)</f>
        <v>3.7956689482954538</v>
      </c>
      <c r="AP396">
        <f xml:space="preserve"> [1]Factors!B396</f>
        <v>0.34549959699999999</v>
      </c>
      <c r="AQ396">
        <f xml:space="preserve"> [1]Factors!C396</f>
        <v>-9.4987217099999993E-2</v>
      </c>
      <c r="AR396">
        <f xml:space="preserve"> [1]Factors!D396</f>
        <v>8.4963122000000002E-2</v>
      </c>
      <c r="AS396">
        <f xml:space="preserve"> [1]Factors!E396</f>
        <v>0.114046542</v>
      </c>
      <c r="AT396">
        <f xml:space="preserve"> [1]Factors!F396</f>
        <v>5.2453964899999997E-2</v>
      </c>
    </row>
    <row r="397" spans="1:46" x14ac:dyDescent="0.25">
      <c r="A397">
        <f t="shared" si="30"/>
        <v>1991.9166666666422</v>
      </c>
      <c r="B397" s="1">
        <v>33573</v>
      </c>
      <c r="C397" s="7">
        <f t="shared" si="27"/>
        <v>1991</v>
      </c>
      <c r="D397" s="7">
        <f t="shared" si="28"/>
        <v>12</v>
      </c>
      <c r="E397" s="7">
        <f t="shared" si="29"/>
        <v>4</v>
      </c>
      <c r="F397">
        <f xml:space="preserve"> [1]Coibion_update!O403</f>
        <v>4.1575118311229113</v>
      </c>
      <c r="G397">
        <f xml:space="preserve"> [1]Coibion_update!P403</f>
        <v>7.3</v>
      </c>
      <c r="H397">
        <f xml:space="preserve"> [1]Coibion_update!Q403</f>
        <v>4.9287019113335697</v>
      </c>
      <c r="I397">
        <f xml:space="preserve"> [1]Coibion_update!W403</f>
        <v>4.43</v>
      </c>
      <c r="J397">
        <f xml:space="preserve"> [1]Coibion_update!X403</f>
        <v>5.4834682503521508</v>
      </c>
      <c r="K397">
        <f xml:space="preserve"> [1]Coibion_update!Y403</f>
        <v>3.6006764583376545</v>
      </c>
      <c r="L397">
        <f xml:space="preserve"> [1]Coibion_update!Z403</f>
        <v>4.1620655140509708</v>
      </c>
      <c r="M397">
        <f xml:space="preserve"> [1]Coibion_update!AA403</f>
        <v>4.1241784075419785</v>
      </c>
      <c r="N397">
        <f xml:space="preserve"> [1]Coibion_update!AB403</f>
        <v>0</v>
      </c>
      <c r="O397">
        <f xml:space="preserve"> [1]Coibion_update!AC403</f>
        <v>-2.7147547000000021</v>
      </c>
      <c r="P397">
        <f xml:space="preserve"> [1]Coibion_update!AD403</f>
        <v>-2.2033548999999977</v>
      </c>
      <c r="Q397">
        <f xml:space="preserve"> [1]Barakchian_Crowe!B276</f>
        <v>1.2794810000000001</v>
      </c>
      <c r="R397">
        <f xml:space="preserve"> [1]Barakchian_Crowe!C276</f>
        <v>-1.7012849999999999</v>
      </c>
      <c r="S397">
        <f xml:space="preserve"> [1]Gertler_Karadi!C151</f>
        <v>-0.13694210000000001</v>
      </c>
      <c r="T397">
        <f xml:space="preserve"> [1]Gertler_Karadi!D151</f>
        <v>-0.12064519999999999</v>
      </c>
      <c r="U397">
        <f xml:space="preserve"> [1]Gertler_Karadi!E151</f>
        <v>-0.1227419</v>
      </c>
      <c r="V397">
        <f xml:space="preserve"> [1]Gertler_Karadi!F151</f>
        <v>-0.11435480000000001</v>
      </c>
      <c r="W397">
        <f xml:space="preserve"> [1]Gertler_Karadi!G151</f>
        <v>-6.4032199999999997E-2</v>
      </c>
      <c r="X397" s="5">
        <f xml:space="preserve"> [1]misc!N480</f>
        <v>4.38</v>
      </c>
      <c r="Y397">
        <f xml:space="preserve"> [1]Gilchrist_Zak!C229</f>
        <v>2.8299999999999999E-2</v>
      </c>
      <c r="Z397">
        <f xml:space="preserve"> [1]Sims_Zha!B400</f>
        <v>-1.5442</v>
      </c>
      <c r="AA397">
        <f xml:space="preserve"> [1]Coibion_update!AI403</f>
        <v>0</v>
      </c>
      <c r="AB397">
        <f t="shared" si="26"/>
        <v>-4.4047400000000021E-2</v>
      </c>
      <c r="AC397">
        <v>0</v>
      </c>
      <c r="AD397">
        <v>-0.31866</v>
      </c>
      <c r="AE397">
        <v>-0.11</v>
      </c>
      <c r="AF397">
        <v>-0.25</v>
      </c>
      <c r="AG397">
        <v>-0.28000000000000003</v>
      </c>
      <c r="AH397">
        <v>7.2592400000000001E-2</v>
      </c>
      <c r="AI397">
        <v>7.6980199999999999E-2</v>
      </c>
      <c r="AJ397">
        <v>7.6642000000000002E-2</v>
      </c>
      <c r="AK397">
        <v>4.09</v>
      </c>
      <c r="AL397">
        <f xml:space="preserve"> LN([1]misc!B416)</f>
        <v>6.799055862058796</v>
      </c>
      <c r="AM397">
        <f xml:space="preserve"> LN([1]misc!D416)</f>
        <v>8.1231426881233268</v>
      </c>
      <c r="AN397">
        <f xml:space="preserve"> LN([1]misc!G521)</f>
        <v>3.2835393381939229</v>
      </c>
      <c r="AO397">
        <f xml:space="preserve"> LN([1]misc!J427 + [1]misc!L427)</f>
        <v>3.8138587566409146</v>
      </c>
      <c r="AP397">
        <f xml:space="preserve"> [1]Factors!B397</f>
        <v>0.335665555</v>
      </c>
      <c r="AQ397">
        <f xml:space="preserve"> [1]Factors!C397</f>
        <v>1.08943748E-2</v>
      </c>
      <c r="AR397">
        <f xml:space="preserve"> [1]Factors!D397</f>
        <v>8.7198827100000001E-2</v>
      </c>
      <c r="AS397">
        <f xml:space="preserve"> [1]Factors!E397</f>
        <v>0.20890046400000001</v>
      </c>
      <c r="AT397">
        <f xml:space="preserve"> [1]Factors!F397</f>
        <v>-5.1210834599999998E-2</v>
      </c>
    </row>
    <row r="398" spans="1:46" x14ac:dyDescent="0.25">
      <c r="A398">
        <f t="shared" si="30"/>
        <v>1991.9999999999754</v>
      </c>
      <c r="B398" s="1">
        <v>33604</v>
      </c>
      <c r="C398" s="7">
        <f t="shared" si="27"/>
        <v>1992</v>
      </c>
      <c r="D398" s="7">
        <f t="shared" si="28"/>
        <v>1</v>
      </c>
      <c r="E398" s="7">
        <f t="shared" si="29"/>
        <v>1</v>
      </c>
      <c r="F398">
        <f xml:space="preserve"> [1]Coibion_update!O404</f>
        <v>4.1514587158233205</v>
      </c>
      <c r="G398">
        <f xml:space="preserve"> [1]Coibion_update!P404</f>
        <v>7.3</v>
      </c>
      <c r="H398">
        <f xml:space="preserve"> [1]Coibion_update!Q404</f>
        <v>4.9294252386707127</v>
      </c>
      <c r="I398">
        <f xml:space="preserve"> [1]Coibion_update!W404</f>
        <v>4.03</v>
      </c>
      <c r="J398">
        <f xml:space="preserve"> [1]Coibion_update!X404</f>
        <v>5.4741177063517261</v>
      </c>
      <c r="K398">
        <f xml:space="preserve"> [1]Coibion_update!Y404</f>
        <v>3.6291294497081621</v>
      </c>
      <c r="L398">
        <f xml:space="preserve"> [1]Coibion_update!Z404</f>
        <v>4.1834232453056446</v>
      </c>
      <c r="M398">
        <f xml:space="preserve"> [1]Coibion_update!AA404</f>
        <v>4.1331645540716826</v>
      </c>
      <c r="N398">
        <f xml:space="preserve"> [1]Coibion_update!AB404</f>
        <v>0</v>
      </c>
      <c r="O398">
        <f xml:space="preserve"> [1]Coibion_update!AC404</f>
        <v>-2.7147547000000021</v>
      </c>
      <c r="P398">
        <f xml:space="preserve"> [1]Coibion_update!AD404</f>
        <v>-2.2033548999999977</v>
      </c>
      <c r="Q398">
        <f xml:space="preserve"> [1]Barakchian_Crowe!B277</f>
        <v>0</v>
      </c>
      <c r="R398">
        <f xml:space="preserve"> [1]Barakchian_Crowe!C277</f>
        <v>-1.7012849999999999</v>
      </c>
      <c r="S398">
        <f xml:space="preserve"> [1]Gertler_Karadi!C152</f>
        <v>-0.19838439999999999</v>
      </c>
      <c r="T398">
        <f xml:space="preserve"> [1]Gertler_Karadi!D152</f>
        <v>-0.14935480000000001</v>
      </c>
      <c r="U398">
        <f xml:space="preserve"> [1]Gertler_Karadi!E152</f>
        <v>-0.17225799999999999</v>
      </c>
      <c r="V398">
        <f xml:space="preserve"> [1]Gertler_Karadi!F152</f>
        <v>-0.17064509999999999</v>
      </c>
      <c r="W398">
        <f xml:space="preserve"> [1]Gertler_Karadi!G152</f>
        <v>-0.1009678</v>
      </c>
      <c r="X398" s="5">
        <f xml:space="preserve"> [1]misc!N481</f>
        <v>4.1500000000000004</v>
      </c>
      <c r="Y398">
        <f xml:space="preserve"> [1]Gilchrist_Zak!C230</f>
        <v>-3.9399999999999998E-2</v>
      </c>
      <c r="Z398">
        <f xml:space="preserve"> [1]Sims_Zha!B401</f>
        <v>-1.3434999999999999</v>
      </c>
      <c r="AA398">
        <f xml:space="preserve"> [1]Coibion_update!AI404</f>
        <v>0</v>
      </c>
      <c r="AB398">
        <f t="shared" si="26"/>
        <v>-4.4047400000000021E-2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4.4000000000000004</v>
      </c>
      <c r="AL398">
        <f xml:space="preserve"> LN([1]misc!B417)</f>
        <v>6.8138840633720665</v>
      </c>
      <c r="AM398">
        <f xml:space="preserve"> LN([1]misc!D417)</f>
        <v>8.1257197419348088</v>
      </c>
      <c r="AN398">
        <f xml:space="preserve"> LN([1]misc!G522)</f>
        <v>3.2348672772862463</v>
      </c>
      <c r="AO398">
        <f xml:space="preserve"> LN([1]misc!J428 + [1]misc!L428)</f>
        <v>3.8317235981434168</v>
      </c>
      <c r="AP398">
        <f xml:space="preserve"> [1]Factors!B398</f>
        <v>0.48983126100000002</v>
      </c>
      <c r="AQ398">
        <f xml:space="preserve"> [1]Factors!C398</f>
        <v>-0.10073583899999999</v>
      </c>
      <c r="AR398">
        <f xml:space="preserve"> [1]Factors!D398</f>
        <v>-9.0927300200000005E-2</v>
      </c>
      <c r="AS398">
        <f xml:space="preserve"> [1]Factors!E398</f>
        <v>0.16025980100000001</v>
      </c>
      <c r="AT398">
        <f xml:space="preserve"> [1]Factors!F398</f>
        <v>2.41567359E-2</v>
      </c>
    </row>
    <row r="399" spans="1:46" x14ac:dyDescent="0.25">
      <c r="A399">
        <f xml:space="preserve"> A398 + 1/12</f>
        <v>1992.0833333333087</v>
      </c>
      <c r="B399" s="1">
        <v>33635</v>
      </c>
      <c r="C399" s="7">
        <f t="shared" si="27"/>
        <v>1992</v>
      </c>
      <c r="D399" s="7">
        <f t="shared" si="28"/>
        <v>2</v>
      </c>
      <c r="E399" s="7">
        <f t="shared" si="29"/>
        <v>1</v>
      </c>
      <c r="F399">
        <f xml:space="preserve"> [1]Coibion_update!O405</f>
        <v>4.1587268211513688</v>
      </c>
      <c r="G399">
        <f xml:space="preserve"> [1]Coibion_update!P405</f>
        <v>7.4</v>
      </c>
      <c r="H399">
        <f xml:space="preserve"> [1]Coibion_update!Q405</f>
        <v>4.9315920867558027</v>
      </c>
      <c r="I399">
        <f xml:space="preserve"> [1]Coibion_update!W405</f>
        <v>4.0599999999999996</v>
      </c>
      <c r="J399">
        <f xml:space="preserve"> [1]Coibion_update!X405</f>
        <v>5.4699991882376464</v>
      </c>
      <c r="K399">
        <f xml:space="preserve"> [1]Coibion_update!Y405</f>
        <v>3.6386645254494336</v>
      </c>
      <c r="L399">
        <f xml:space="preserve"> [1]Coibion_update!Z405</f>
        <v>4.1808433078387175</v>
      </c>
      <c r="M399">
        <f xml:space="preserve"> [1]Coibion_update!AA405</f>
        <v>4.134174064384716</v>
      </c>
      <c r="N399">
        <f xml:space="preserve"> [1]Coibion_update!AB405</f>
        <v>4.9705399999999997E-2</v>
      </c>
      <c r="O399">
        <f xml:space="preserve"> [1]Coibion_update!AC405</f>
        <v>-2.665049300000002</v>
      </c>
      <c r="P399">
        <f xml:space="preserve"> [1]Coibion_update!AD405</f>
        <v>-2.2031348999999976</v>
      </c>
      <c r="Q399">
        <f xml:space="preserve"> [1]Barakchian_Crowe!B278</f>
        <v>5.19576E-2</v>
      </c>
      <c r="R399">
        <f xml:space="preserve"> [1]Barakchian_Crowe!C278</f>
        <v>-1.649327</v>
      </c>
      <c r="S399">
        <f xml:space="preserve"> [1]Gertler_Karadi!C153</f>
        <v>1.04358E-2</v>
      </c>
      <c r="T399">
        <f xml:space="preserve"> [1]Gertler_Karadi!D153</f>
        <v>0</v>
      </c>
      <c r="U399">
        <f xml:space="preserve"> [1]Gertler_Karadi!E153</f>
        <v>-8.2758999999999992E-3</v>
      </c>
      <c r="V399">
        <f xml:space="preserve"> [1]Gertler_Karadi!F153</f>
        <v>8.2758999999999992E-3</v>
      </c>
      <c r="W399">
        <f xml:space="preserve"> [1]Gertler_Karadi!G153</f>
        <v>-8.2758999999999992E-3</v>
      </c>
      <c r="X399" s="5">
        <f xml:space="preserve"> [1]misc!N482</f>
        <v>4.29</v>
      </c>
      <c r="Y399">
        <f xml:space="preserve"> [1]Gilchrist_Zak!C231</f>
        <v>-1.2699999999999999E-2</v>
      </c>
      <c r="Z399">
        <f xml:space="preserve"> [1]Sims_Zha!B402</f>
        <v>0.87444</v>
      </c>
      <c r="AA399">
        <f xml:space="preserve"> [1]Coibion_update!AI405</f>
        <v>5.2373500000000003E-2</v>
      </c>
      <c r="AB399">
        <f t="shared" si="26"/>
        <v>8.3260999999999821E-3</v>
      </c>
      <c r="AC399">
        <v>5.2373500000000003E-2</v>
      </c>
      <c r="AD399">
        <v>1.261E-2</v>
      </c>
      <c r="AE399">
        <v>0.01</v>
      </c>
      <c r="AF399">
        <v>0</v>
      </c>
      <c r="AG399">
        <v>-0.01</v>
      </c>
      <c r="AH399">
        <v>1.4918499999999999E-2</v>
      </c>
      <c r="AI399">
        <v>2.15657E-2</v>
      </c>
      <c r="AJ399">
        <v>1.92687E-2</v>
      </c>
      <c r="AK399">
        <v>4.13</v>
      </c>
      <c r="AL399">
        <f xml:space="preserve"> LN([1]misc!B418)</f>
        <v>6.8300099303572841</v>
      </c>
      <c r="AM399">
        <f xml:space="preserve"> LN([1]misc!D418)</f>
        <v>8.1312365496961156</v>
      </c>
      <c r="AN399">
        <f xml:space="preserve"> LN([1]misc!G523)</f>
        <v>3.2135818364070912</v>
      </c>
      <c r="AO399">
        <f xml:space="preserve"> LN([1]misc!J429 + [1]misc!L429)</f>
        <v>3.8612979706031738</v>
      </c>
      <c r="AP399">
        <f xml:space="preserve"> [1]Factors!B399</f>
        <v>0.48597515099999999</v>
      </c>
      <c r="AQ399">
        <f xml:space="preserve"> [1]Factors!C399</f>
        <v>-0.18558027699999999</v>
      </c>
      <c r="AR399">
        <f xml:space="preserve"> [1]Factors!D399</f>
        <v>-8.0659576600000005E-2</v>
      </c>
      <c r="AS399">
        <f xml:space="preserve"> [1]Factors!E399</f>
        <v>1.7233109699999999E-2</v>
      </c>
      <c r="AT399">
        <f xml:space="preserve"> [1]Factors!F399</f>
        <v>-1.6308447899999998E-2</v>
      </c>
    </row>
    <row r="400" spans="1:46" x14ac:dyDescent="0.25">
      <c r="A400">
        <f t="shared" ref="A400:A463" si="31" xml:space="preserve"> A399 + 1/12</f>
        <v>1992.166666666642</v>
      </c>
      <c r="B400" s="1">
        <v>33664</v>
      </c>
      <c r="C400" s="7">
        <f t="shared" si="27"/>
        <v>1992</v>
      </c>
      <c r="D400" s="7">
        <f t="shared" si="28"/>
        <v>3</v>
      </c>
      <c r="E400" s="7">
        <f t="shared" si="29"/>
        <v>1</v>
      </c>
      <c r="F400">
        <f xml:space="preserve"> [1]Coibion_update!O406</f>
        <v>4.1674292729271123</v>
      </c>
      <c r="G400">
        <f xml:space="preserve"> [1]Coibion_update!P406</f>
        <v>7.4</v>
      </c>
      <c r="H400">
        <f xml:space="preserve"> [1]Coibion_update!Q406</f>
        <v>4.9351930989293971</v>
      </c>
      <c r="I400">
        <f xml:space="preserve"> [1]Coibion_update!W406</f>
        <v>3.98</v>
      </c>
      <c r="J400">
        <f xml:space="preserve"> [1]Coibion_update!X406</f>
        <v>5.4794715755899848</v>
      </c>
      <c r="K400">
        <f xml:space="preserve"> [1]Coibion_update!Y406</f>
        <v>3.6200383568229846</v>
      </c>
      <c r="L400">
        <f xml:space="preserve"> [1]Coibion_update!Z406</f>
        <v>4.1742180248052643</v>
      </c>
      <c r="M400">
        <f xml:space="preserve"> [1]Coibion_update!AA406</f>
        <v>4.1432934439539642</v>
      </c>
      <c r="N400">
        <f xml:space="preserve"> [1]Coibion_update!AB406</f>
        <v>-6.0960199999999999E-2</v>
      </c>
      <c r="O400">
        <f xml:space="preserve"> [1]Coibion_update!AC406</f>
        <v>-2.7260095000000018</v>
      </c>
      <c r="P400">
        <f xml:space="preserve"> [1]Coibion_update!AD406</f>
        <v>-2.3280932999999977</v>
      </c>
      <c r="Q400">
        <f xml:space="preserve"> [1]Barakchian_Crowe!B279</f>
        <v>-0.32216939999999999</v>
      </c>
      <c r="R400">
        <f xml:space="preserve"> [1]Barakchian_Crowe!C279</f>
        <v>-1.9714970000000001</v>
      </c>
      <c r="S400">
        <f xml:space="preserve"> [1]Gertler_Karadi!C154</f>
        <v>2.1741E-3</v>
      </c>
      <c r="T400">
        <f xml:space="preserve"> [1]Gertler_Karadi!D154</f>
        <v>0</v>
      </c>
      <c r="U400">
        <f xml:space="preserve"> [1]Gertler_Karadi!E154</f>
        <v>-1.7240999999999999E-3</v>
      </c>
      <c r="V400">
        <f xml:space="preserve"> [1]Gertler_Karadi!F154</f>
        <v>1.7240999999999999E-3</v>
      </c>
      <c r="W400">
        <f xml:space="preserve"> [1]Gertler_Karadi!G154</f>
        <v>-1.7240999999999999E-3</v>
      </c>
      <c r="X400" s="5">
        <f xml:space="preserve"> [1]misc!N483</f>
        <v>4.63</v>
      </c>
      <c r="Y400">
        <f xml:space="preserve"> [1]Gilchrist_Zak!C232</f>
        <v>-3.7600000000000001E-2</v>
      </c>
      <c r="Z400">
        <f xml:space="preserve"> [1]Sims_Zha!B403</f>
        <v>0.25556000000000001</v>
      </c>
      <c r="AA400">
        <f xml:space="preserve"> [1]Coibion_update!AI406</f>
        <v>-7.2095699999999999E-2</v>
      </c>
      <c r="AB400">
        <f t="shared" si="26"/>
        <v>-6.376960000000001E-2</v>
      </c>
      <c r="AC400">
        <v>-7.2095699999999999E-2</v>
      </c>
      <c r="AD400">
        <v>0</v>
      </c>
      <c r="AE400">
        <v>0</v>
      </c>
      <c r="AF400">
        <v>0</v>
      </c>
      <c r="AG400">
        <v>0</v>
      </c>
      <c r="AH400">
        <v>-1.1016099999999999E-2</v>
      </c>
      <c r="AI400">
        <v>-1.5946499999999999E-2</v>
      </c>
      <c r="AJ400">
        <v>-9.3732999999999993E-3</v>
      </c>
      <c r="AK400">
        <v>4.07</v>
      </c>
      <c r="AL400">
        <f xml:space="preserve"> LN([1]misc!B419)</f>
        <v>6.8423630602150851</v>
      </c>
      <c r="AM400">
        <f xml:space="preserve"> LN([1]misc!D419)</f>
        <v>8.1323832882331057</v>
      </c>
      <c r="AN400">
        <f xml:space="preserve"> LN([1]misc!G524)</f>
        <v>3.3337033862989398</v>
      </c>
      <c r="AO400">
        <f xml:space="preserve"> LN([1]misc!J430 + [1]misc!L430)</f>
        <v>3.8750477693032508</v>
      </c>
      <c r="AP400">
        <f xml:space="preserve"> [1]Factors!B400</f>
        <v>2.9226678499999999E-2</v>
      </c>
      <c r="AQ400">
        <f xml:space="preserve"> [1]Factors!C400</f>
        <v>-0.16231546099999999</v>
      </c>
      <c r="AR400">
        <f xml:space="preserve"> [1]Factors!D400</f>
        <v>0.25322361700000001</v>
      </c>
      <c r="AS400">
        <f xml:space="preserve"> [1]Factors!E400</f>
        <v>1.88457937E-3</v>
      </c>
      <c r="AT400">
        <f xml:space="preserve"> [1]Factors!F400</f>
        <v>-0.28637453099999999</v>
      </c>
    </row>
    <row r="401" spans="1:46" x14ac:dyDescent="0.25">
      <c r="A401">
        <f t="shared" si="31"/>
        <v>1992.2499999999752</v>
      </c>
      <c r="B401" s="1">
        <v>33695</v>
      </c>
      <c r="C401" s="7">
        <f t="shared" si="27"/>
        <v>1992</v>
      </c>
      <c r="D401" s="7">
        <f t="shared" si="28"/>
        <v>4</v>
      </c>
      <c r="E401" s="7">
        <f t="shared" si="29"/>
        <v>2</v>
      </c>
      <c r="F401">
        <f xml:space="preserve"> [1]Coibion_update!O407</f>
        <v>4.1746749208278331</v>
      </c>
      <c r="G401">
        <f xml:space="preserve"> [1]Coibion_update!P407</f>
        <v>7.4</v>
      </c>
      <c r="H401">
        <f xml:space="preserve"> [1]Coibion_update!Q407</f>
        <v>4.9373474983264236</v>
      </c>
      <c r="I401">
        <f xml:space="preserve"> [1]Coibion_update!W407</f>
        <v>3.73</v>
      </c>
      <c r="J401">
        <f xml:space="preserve"> [1]Coibion_update!X407</f>
        <v>5.4948705055887155</v>
      </c>
      <c r="K401">
        <f xml:space="preserve"> [1]Coibion_update!Y407</f>
        <v>3.6146137772177829</v>
      </c>
      <c r="L401">
        <f xml:space="preserve"> [1]Coibion_update!Z407</f>
        <v>4.1824012260423835</v>
      </c>
      <c r="M401">
        <f xml:space="preserve"> [1]Coibion_update!AA407</f>
        <v>4.1424201854536635</v>
      </c>
      <c r="N401">
        <f xml:space="preserve"> [1]Coibion_update!AB407</f>
        <v>0</v>
      </c>
      <c r="O401">
        <f xml:space="preserve"> [1]Coibion_update!AC407</f>
        <v>-2.7260095000000018</v>
      </c>
      <c r="P401">
        <f xml:space="preserve"> [1]Coibion_update!AD407</f>
        <v>-2.3280932999999977</v>
      </c>
      <c r="Q401">
        <f xml:space="preserve"> [1]Barakchian_Crowe!B280</f>
        <v>0</v>
      </c>
      <c r="R401">
        <f xml:space="preserve"> [1]Barakchian_Crowe!C280</f>
        <v>-1.9714970000000001</v>
      </c>
      <c r="S401">
        <f xml:space="preserve"> [1]Gertler_Karadi!C155</f>
        <v>-0.14679600000000001</v>
      </c>
      <c r="T401">
        <f xml:space="preserve"> [1]Gertler_Karadi!D155</f>
        <v>-0.14933340000000001</v>
      </c>
      <c r="U401">
        <f xml:space="preserve"> [1]Gertler_Karadi!E155</f>
        <v>-0.18333340000000001</v>
      </c>
      <c r="V401">
        <f xml:space="preserve"> [1]Gertler_Karadi!F155</f>
        <v>-0.15866669999999999</v>
      </c>
      <c r="W401">
        <f xml:space="preserve"> [1]Gertler_Karadi!G155</f>
        <v>-0.1733333</v>
      </c>
      <c r="X401" s="5">
        <f xml:space="preserve"> [1]misc!N484</f>
        <v>4.3</v>
      </c>
      <c r="Y401">
        <f xml:space="preserve"> [1]Gilchrist_Zak!C233</f>
        <v>-1.4800000000000001E-2</v>
      </c>
      <c r="Z401">
        <f xml:space="preserve"> [1]Sims_Zha!B404</f>
        <v>-1.81</v>
      </c>
      <c r="AA401">
        <f xml:space="preserve"> [1]Coibion_update!AI407</f>
        <v>0</v>
      </c>
      <c r="AB401">
        <f t="shared" si="26"/>
        <v>-6.376960000000001E-2</v>
      </c>
      <c r="AC401">
        <v>0</v>
      </c>
      <c r="AD401">
        <v>-0.20394000000000001</v>
      </c>
      <c r="AE401">
        <v>-0.14000000000000001</v>
      </c>
      <c r="AF401">
        <v>-0.2</v>
      </c>
      <c r="AG401">
        <v>-0.25</v>
      </c>
      <c r="AH401">
        <v>0</v>
      </c>
      <c r="AI401">
        <v>0</v>
      </c>
      <c r="AJ401">
        <v>0</v>
      </c>
      <c r="AK401">
        <v>3.85</v>
      </c>
      <c r="AL401">
        <f xml:space="preserve"> LN([1]misc!B420)</f>
        <v>6.8499142792922871</v>
      </c>
      <c r="AM401">
        <f xml:space="preserve"> LN([1]misc!D420)</f>
        <v>8.1311482845475531</v>
      </c>
      <c r="AN401">
        <f xml:space="preserve"> LN([1]misc!G525)</f>
        <v>3.1199832358918478</v>
      </c>
      <c r="AO401">
        <f xml:space="preserve"> LN([1]misc!J431 + [1]misc!L431)</f>
        <v>3.8908810816747184</v>
      </c>
      <c r="AP401">
        <f xml:space="preserve"> [1]Factors!B401</f>
        <v>-0.111340432</v>
      </c>
      <c r="AQ401">
        <f xml:space="preserve"> [1]Factors!C401</f>
        <v>-0.163660783</v>
      </c>
      <c r="AR401">
        <f xml:space="preserve"> [1]Factors!D401</f>
        <v>0.33563331899999999</v>
      </c>
      <c r="AS401">
        <f xml:space="preserve"> [1]Factors!E401</f>
        <v>-4.3897439900000002E-2</v>
      </c>
      <c r="AT401">
        <f xml:space="preserve"> [1]Factors!F401</f>
        <v>-0.23756079699999999</v>
      </c>
    </row>
    <row r="402" spans="1:46" x14ac:dyDescent="0.25">
      <c r="A402">
        <f t="shared" si="31"/>
        <v>1992.3333333333085</v>
      </c>
      <c r="B402" s="1">
        <v>33725</v>
      </c>
      <c r="C402" s="7">
        <f t="shared" si="27"/>
        <v>1992</v>
      </c>
      <c r="D402" s="7">
        <f t="shared" si="28"/>
        <v>5</v>
      </c>
      <c r="E402" s="7">
        <f t="shared" si="29"/>
        <v>2</v>
      </c>
      <c r="F402">
        <f xml:space="preserve"> [1]Coibion_update!O408</f>
        <v>4.1781264243824765</v>
      </c>
      <c r="G402">
        <f xml:space="preserve"> [1]Coibion_update!P408</f>
        <v>7.6</v>
      </c>
      <c r="H402">
        <f xml:space="preserve"> [1]Coibion_update!Q408</f>
        <v>4.939497266262916</v>
      </c>
      <c r="I402">
        <f xml:space="preserve"> [1]Coibion_update!W408</f>
        <v>3.82</v>
      </c>
      <c r="J402">
        <f xml:space="preserve"> [1]Coibion_update!X408</f>
        <v>5.504640240131903</v>
      </c>
      <c r="K402">
        <f xml:space="preserve"> [1]Coibion_update!Y408</f>
        <v>3.6367436996934077</v>
      </c>
      <c r="L402">
        <f xml:space="preserve"> [1]Coibion_update!Z408</f>
        <v>4.1859205057093103</v>
      </c>
      <c r="M402">
        <f xml:space="preserve"> [1]Coibion_update!AA408</f>
        <v>4.1450218335730833</v>
      </c>
      <c r="N402">
        <f xml:space="preserve"> [1]Coibion_update!AB408</f>
        <v>0.15652759999999999</v>
      </c>
      <c r="O402">
        <f xml:space="preserve"> [1]Coibion_update!AC408</f>
        <v>-2.5694819000000018</v>
      </c>
      <c r="P402">
        <f xml:space="preserve"> [1]Coibion_update!AD408</f>
        <v>-2.1787346999999979</v>
      </c>
      <c r="Q402">
        <f xml:space="preserve"> [1]Barakchian_Crowe!B281</f>
        <v>1.0783499999999999</v>
      </c>
      <c r="R402">
        <f xml:space="preserve"> [1]Barakchian_Crowe!C281</f>
        <v>-0.89314640000000001</v>
      </c>
      <c r="S402">
        <f xml:space="preserve"> [1]Gertler_Karadi!C156</f>
        <v>-5.7143899999999997E-2</v>
      </c>
      <c r="T402">
        <f xml:space="preserve"> [1]Gertler_Karadi!D156</f>
        <v>-4.67997E-2</v>
      </c>
      <c r="U402">
        <f xml:space="preserve"> [1]Gertler_Karadi!E156</f>
        <v>-5.8924700000000003E-2</v>
      </c>
      <c r="V402">
        <f xml:space="preserve"> [1]Gertler_Karadi!F156</f>
        <v>-5.7462300000000001E-2</v>
      </c>
      <c r="W402">
        <f xml:space="preserve"> [1]Gertler_Karadi!G156</f>
        <v>-6.2795799999999999E-2</v>
      </c>
      <c r="X402" s="5">
        <f xml:space="preserve"> [1]misc!N485</f>
        <v>4.1900000000000004</v>
      </c>
      <c r="Y402">
        <f xml:space="preserve"> [1]Gilchrist_Zak!C234</f>
        <v>-9.6199999999999994E-2</v>
      </c>
      <c r="Z402">
        <f xml:space="preserve"> [1]Sims_Zha!B405</f>
        <v>0.52329000000000003</v>
      </c>
      <c r="AA402">
        <f xml:space="preserve"> [1]Coibion_update!AI408</f>
        <v>2.49249E-2</v>
      </c>
      <c r="AB402">
        <f t="shared" si="26"/>
        <v>-3.884470000000001E-2</v>
      </c>
      <c r="AC402">
        <v>2.49249E-2</v>
      </c>
      <c r="AD402">
        <v>0</v>
      </c>
      <c r="AE402">
        <v>0</v>
      </c>
      <c r="AF402">
        <v>9.9900000000000006E-3</v>
      </c>
      <c r="AG402">
        <v>0.02</v>
      </c>
      <c r="AH402">
        <v>5.5148000000000003E-3</v>
      </c>
      <c r="AI402">
        <v>2.52772E-2</v>
      </c>
      <c r="AJ402">
        <v>2.8896600000000001E-2</v>
      </c>
      <c r="AK402">
        <v>3.8</v>
      </c>
      <c r="AL402">
        <f xml:space="preserve"> LN([1]misc!B421)</f>
        <v>6.8570933641799092</v>
      </c>
      <c r="AM402">
        <f xml:space="preserve"> LN([1]misc!D421)</f>
        <v>8.1307951460252994</v>
      </c>
      <c r="AN402">
        <f xml:space="preserve"> LN([1]misc!G526)</f>
        <v>3.0485618871985234</v>
      </c>
      <c r="AO402">
        <f xml:space="preserve"> LN([1]misc!J432 + [1]misc!L432)</f>
        <v>3.8955277028989488</v>
      </c>
      <c r="AP402">
        <f xml:space="preserve"> [1]Factors!B402</f>
        <v>-2.17144053E-2</v>
      </c>
      <c r="AQ402">
        <f xml:space="preserve"> [1]Factors!C402</f>
        <v>-0.19948514000000001</v>
      </c>
      <c r="AR402">
        <f xml:space="preserve"> [1]Factors!D402</f>
        <v>0.13692531399999999</v>
      </c>
      <c r="AS402">
        <f xml:space="preserve"> [1]Factors!E402</f>
        <v>0.229708834</v>
      </c>
      <c r="AT402">
        <f xml:space="preserve"> [1]Factors!F402</f>
        <v>-0.13592897300000001</v>
      </c>
    </row>
    <row r="403" spans="1:46" x14ac:dyDescent="0.25">
      <c r="A403">
        <f t="shared" si="31"/>
        <v>1992.4166666666417</v>
      </c>
      <c r="B403" s="1">
        <v>33756</v>
      </c>
      <c r="C403" s="7">
        <f t="shared" si="27"/>
        <v>1992</v>
      </c>
      <c r="D403" s="7">
        <f t="shared" si="28"/>
        <v>6</v>
      </c>
      <c r="E403" s="7">
        <f t="shared" si="29"/>
        <v>2</v>
      </c>
      <c r="F403">
        <f xml:space="preserve"> [1]Coibion_update!O409</f>
        <v>4.1782383066640412</v>
      </c>
      <c r="G403">
        <f xml:space="preserve"> [1]Coibion_update!P409</f>
        <v>7.8</v>
      </c>
      <c r="H403">
        <f xml:space="preserve"> [1]Coibion_update!Q409</f>
        <v>4.9423564533429616</v>
      </c>
      <c r="I403">
        <f xml:space="preserve"> [1]Coibion_update!W409</f>
        <v>3.76</v>
      </c>
      <c r="J403">
        <f xml:space="preserve"> [1]Coibion_update!X409</f>
        <v>5.5121375904013625</v>
      </c>
      <c r="K403">
        <f xml:space="preserve"> [1]Coibion_update!Y409</f>
        <v>3.65687265797885</v>
      </c>
      <c r="L403">
        <f xml:space="preserve"> [1]Coibion_update!Z409</f>
        <v>4.1827826986839778</v>
      </c>
      <c r="M403">
        <f xml:space="preserve"> [1]Coibion_update!AA409</f>
        <v>4.1467788720705219</v>
      </c>
      <c r="N403">
        <f xml:space="preserve"> [1]Coibion_update!AB409</f>
        <v>0</v>
      </c>
      <c r="O403">
        <f xml:space="preserve"> [1]Coibion_update!AC409</f>
        <v>-2.5694819000000018</v>
      </c>
      <c r="P403">
        <f xml:space="preserve"> [1]Coibion_update!AD409</f>
        <v>-2.1787346999999979</v>
      </c>
      <c r="Q403">
        <f xml:space="preserve"> [1]Barakchian_Crowe!B282</f>
        <v>0</v>
      </c>
      <c r="R403">
        <f xml:space="preserve"> [1]Barakchian_Crowe!C282</f>
        <v>-0.89314640000000001</v>
      </c>
      <c r="S403">
        <f xml:space="preserve"> [1]Gertler_Karadi!C157</f>
        <v>0</v>
      </c>
      <c r="T403">
        <f xml:space="preserve"> [1]Gertler_Karadi!D157</f>
        <v>6.1228999999999997E-3</v>
      </c>
      <c r="U403">
        <f xml:space="preserve"> [1]Gertler_Karadi!E157</f>
        <v>1.2258099999999999E-2</v>
      </c>
      <c r="V403">
        <f xml:space="preserve"> [1]Gertler_Karadi!F157</f>
        <v>6.1289999999999999E-3</v>
      </c>
      <c r="W403">
        <f xml:space="preserve"> [1]Gertler_Karadi!G157</f>
        <v>6.1289999999999999E-3</v>
      </c>
      <c r="X403" s="5">
        <f xml:space="preserve"> [1]misc!N486</f>
        <v>4.17</v>
      </c>
      <c r="Y403">
        <f xml:space="preserve"> [1]Gilchrist_Zak!C235</f>
        <v>-0.14829999999999999</v>
      </c>
      <c r="Z403">
        <f xml:space="preserve"> [1]Sims_Zha!B406</f>
        <v>-0.51383999999999996</v>
      </c>
      <c r="AA403">
        <f xml:space="preserve"> [1]Coibion_update!AI409</f>
        <v>0</v>
      </c>
      <c r="AB403">
        <f t="shared" si="26"/>
        <v>-3.884470000000001E-2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4.53</v>
      </c>
      <c r="AL403">
        <f xml:space="preserve"> LN([1]misc!B422)</f>
        <v>6.8609780874232085</v>
      </c>
      <c r="AM403">
        <f xml:space="preserve"> LN([1]misc!D422)</f>
        <v>8.1292634363971334</v>
      </c>
      <c r="AN403">
        <f xml:space="preserve"> LN([1]misc!G527)</f>
        <v>3.0557449434601618</v>
      </c>
      <c r="AO403">
        <f xml:space="preserve"> LN([1]misc!J433 + [1]misc!L433)</f>
        <v>3.8926566829371807</v>
      </c>
      <c r="AP403">
        <f xml:space="preserve"> [1]Factors!B403</f>
        <v>4.6254155999999998E-2</v>
      </c>
      <c r="AQ403">
        <f xml:space="preserve"> [1]Factors!C403</f>
        <v>-0.13721160700000001</v>
      </c>
      <c r="AR403">
        <f xml:space="preserve"> [1]Factors!D403</f>
        <v>0.11631041</v>
      </c>
      <c r="AS403">
        <f xml:space="preserve"> [1]Factors!E403</f>
        <v>0.20882500400000001</v>
      </c>
      <c r="AT403">
        <f xml:space="preserve"> [1]Factors!F403</f>
        <v>-4.90841479E-2</v>
      </c>
    </row>
    <row r="404" spans="1:46" x14ac:dyDescent="0.25">
      <c r="A404">
        <f t="shared" si="31"/>
        <v>1992.499999999975</v>
      </c>
      <c r="B404" s="1">
        <v>33786</v>
      </c>
      <c r="C404" s="7">
        <f t="shared" si="27"/>
        <v>1992</v>
      </c>
      <c r="D404" s="7">
        <f t="shared" si="28"/>
        <v>7</v>
      </c>
      <c r="E404" s="7">
        <f t="shared" si="29"/>
        <v>3</v>
      </c>
      <c r="F404">
        <f xml:space="preserve"> [1]Coibion_update!O410</f>
        <v>4.1869981862015759</v>
      </c>
      <c r="G404">
        <f xml:space="preserve"> [1]Coibion_update!P410</f>
        <v>7.7</v>
      </c>
      <c r="H404">
        <f xml:space="preserve"> [1]Coibion_update!Q410</f>
        <v>4.9452074887738009</v>
      </c>
      <c r="I404">
        <f xml:space="preserve"> [1]Coibion_update!W410</f>
        <v>3.25</v>
      </c>
      <c r="J404">
        <f xml:space="preserve"> [1]Coibion_update!X410</f>
        <v>5.5093883366279774</v>
      </c>
      <c r="K404">
        <f xml:space="preserve"> [1]Coibion_update!Y410</f>
        <v>3.6480314175879243</v>
      </c>
      <c r="L404">
        <f xml:space="preserve"> [1]Coibion_update!Z410</f>
        <v>4.1865286487632947</v>
      </c>
      <c r="M404">
        <f xml:space="preserve"> [1]Coibion_update!AA410</f>
        <v>4.152346139018757</v>
      </c>
      <c r="N404">
        <f xml:space="preserve"> [1]Coibion_update!AB410</f>
        <v>-4.5701600000000002E-2</v>
      </c>
      <c r="O404">
        <f xml:space="preserve"> [1]Coibion_update!AC410</f>
        <v>-2.6151835000000019</v>
      </c>
      <c r="P404">
        <f xml:space="preserve"> [1]Coibion_update!AD410</f>
        <v>-2.2604483999999978</v>
      </c>
      <c r="Q404">
        <f xml:space="preserve"> [1]Barakchian_Crowe!B283</f>
        <v>-5.5399240000000001</v>
      </c>
      <c r="R404">
        <f xml:space="preserve"> [1]Barakchian_Crowe!C283</f>
        <v>-6.4330699999999998</v>
      </c>
      <c r="S404">
        <f xml:space="preserve"> [1]Gertler_Karadi!C158</f>
        <v>-8.2761299999999996E-2</v>
      </c>
      <c r="T404">
        <f xml:space="preserve"> [1]Gertler_Karadi!D158</f>
        <v>-0.29032249999999998</v>
      </c>
      <c r="U404">
        <f xml:space="preserve"> [1]Gertler_Karadi!E158</f>
        <v>0</v>
      </c>
      <c r="V404">
        <f xml:space="preserve"> [1]Gertler_Karadi!F158</f>
        <v>3.8709599999999997E-2</v>
      </c>
      <c r="W404">
        <f xml:space="preserve"> [1]Gertler_Karadi!G158</f>
        <v>3.8709599999999997E-2</v>
      </c>
      <c r="X404" s="5">
        <f xml:space="preserve"> [1]misc!N487</f>
        <v>3.6</v>
      </c>
      <c r="Y404">
        <f xml:space="preserve"> [1]Gilchrist_Zak!C236</f>
        <v>-0.23319999999999999</v>
      </c>
      <c r="Z404">
        <f xml:space="preserve"> [1]Sims_Zha!B407</f>
        <v>-3.1631</v>
      </c>
      <c r="AA404">
        <f xml:space="preserve"> [1]Coibion_update!AI410</f>
        <v>-6.1490499999999997E-2</v>
      </c>
      <c r="AB404">
        <f t="shared" si="26"/>
        <v>-0.10033520000000001</v>
      </c>
      <c r="AC404">
        <v>-6.1490499999999997E-2</v>
      </c>
      <c r="AD404">
        <v>-8.5519999999999999E-2</v>
      </c>
      <c r="AE404">
        <v>-0.08</v>
      </c>
      <c r="AF404">
        <v>-0.3</v>
      </c>
      <c r="AG404">
        <v>0</v>
      </c>
      <c r="AH404">
        <v>-7.2843400000000003E-2</v>
      </c>
      <c r="AI404">
        <v>-0.26432030000000001</v>
      </c>
      <c r="AJ404">
        <v>1.46065E-2</v>
      </c>
      <c r="AK404">
        <v>3.37</v>
      </c>
      <c r="AL404">
        <f xml:space="preserve"> LN([1]misc!B423)</f>
        <v>6.8703648897635778</v>
      </c>
      <c r="AM404">
        <f xml:space="preserve"> LN([1]misc!D423)</f>
        <v>8.1293518680616224</v>
      </c>
      <c r="AN404">
        <f xml:space="preserve"> LN([1]misc!G528)</f>
        <v>3.0543784689867244</v>
      </c>
      <c r="AO404">
        <f xml:space="preserve"> LN([1]misc!J434 + [1]misc!L434)</f>
        <v>3.9013866393065872</v>
      </c>
      <c r="AP404">
        <f xml:space="preserve"> [1]Factors!B404</f>
        <v>0.18391010499999999</v>
      </c>
      <c r="AQ404">
        <f xml:space="preserve"> [1]Factors!C404</f>
        <v>-4.6680166500000002E-2</v>
      </c>
      <c r="AR404">
        <f xml:space="preserve"> [1]Factors!D404</f>
        <v>0.18051621100000001</v>
      </c>
      <c r="AS404">
        <f xml:space="preserve"> [1]Factors!E404</f>
        <v>0.15552100899999999</v>
      </c>
      <c r="AT404">
        <f xml:space="preserve"> [1]Factors!F404</f>
        <v>0.10781331700000001</v>
      </c>
    </row>
    <row r="405" spans="1:46" x14ac:dyDescent="0.25">
      <c r="A405">
        <f t="shared" si="31"/>
        <v>1992.5833333333082</v>
      </c>
      <c r="B405" s="1">
        <v>33817</v>
      </c>
      <c r="C405" s="7">
        <f t="shared" si="27"/>
        <v>1992</v>
      </c>
      <c r="D405" s="7">
        <f t="shared" si="28"/>
        <v>8</v>
      </c>
      <c r="E405" s="7">
        <f t="shared" si="29"/>
        <v>3</v>
      </c>
      <c r="F405">
        <f xml:space="preserve"> [1]Coibion_update!O411</f>
        <v>4.1821539540465089</v>
      </c>
      <c r="G405">
        <f xml:space="preserve"> [1]Coibion_update!P411</f>
        <v>7.6</v>
      </c>
      <c r="H405">
        <f xml:space="preserve"> [1]Coibion_update!Q411</f>
        <v>4.9473404437239425</v>
      </c>
      <c r="I405">
        <f xml:space="preserve"> [1]Coibion_update!W411</f>
        <v>3.3</v>
      </c>
      <c r="J405">
        <f xml:space="preserve"> [1]Coibion_update!X411</f>
        <v>5.5002781385943393</v>
      </c>
      <c r="K405">
        <f xml:space="preserve"> [1]Coibion_update!Y411</f>
        <v>3.6564079139669734</v>
      </c>
      <c r="L405">
        <f xml:space="preserve"> [1]Coibion_update!Z411</f>
        <v>4.1894274434687926</v>
      </c>
      <c r="M405">
        <f xml:space="preserve"> [1]Coibion_update!AA411</f>
        <v>4.1536035460970222</v>
      </c>
      <c r="N405">
        <f xml:space="preserve"> [1]Coibion_update!AB411</f>
        <v>1.1607299999999999E-2</v>
      </c>
      <c r="O405">
        <f xml:space="preserve"> [1]Coibion_update!AC411</f>
        <v>-2.6035762000000018</v>
      </c>
      <c r="P405">
        <f xml:space="preserve"> [1]Coibion_update!AD411</f>
        <v>-2.2627619999999977</v>
      </c>
      <c r="Q405">
        <f xml:space="preserve"> [1]Barakchian_Crowe!B284</f>
        <v>0.3809592</v>
      </c>
      <c r="R405">
        <f xml:space="preserve"> [1]Barakchian_Crowe!C284</f>
        <v>-6.052111</v>
      </c>
      <c r="S405">
        <f xml:space="preserve"> [1]Gertler_Karadi!C159</f>
        <v>8.0730999999999997E-3</v>
      </c>
      <c r="T405">
        <f xml:space="preserve"> [1]Gertler_Karadi!D159</f>
        <v>-5.4838999999999999E-3</v>
      </c>
      <c r="U405">
        <f xml:space="preserve"> [1]Gertler_Karadi!E159</f>
        <v>4.1935000000000002E-3</v>
      </c>
      <c r="V405">
        <f xml:space="preserve"> [1]Gertler_Karadi!F159</f>
        <v>-2.9031999999999999E-3</v>
      </c>
      <c r="W405">
        <f xml:space="preserve"> [1]Gertler_Karadi!G159</f>
        <v>5.4838999999999999E-3</v>
      </c>
      <c r="X405" s="5">
        <f xml:space="preserve"> [1]misc!N488</f>
        <v>3.47</v>
      </c>
      <c r="Y405">
        <f xml:space="preserve"> [1]Gilchrist_Zak!C237</f>
        <v>-6.3E-2</v>
      </c>
      <c r="Z405">
        <f xml:space="preserve"> [1]Sims_Zha!B408</f>
        <v>0.81420999999999999</v>
      </c>
      <c r="AA405">
        <f xml:space="preserve"> [1]Coibion_update!AI411</f>
        <v>-7.1626899999999993E-2</v>
      </c>
      <c r="AB405">
        <f t="shared" si="26"/>
        <v>-0.17196210000000001</v>
      </c>
      <c r="AC405">
        <v>-7.1626899999999993E-2</v>
      </c>
      <c r="AD405">
        <v>2.5829999999999999E-2</v>
      </c>
      <c r="AE405">
        <v>0.01</v>
      </c>
      <c r="AF405">
        <v>0.01</v>
      </c>
      <c r="AG405">
        <v>0.01</v>
      </c>
      <c r="AH405">
        <v>1.6199000000000001E-3</v>
      </c>
      <c r="AI405">
        <v>2.9634600000000001E-2</v>
      </c>
      <c r="AJ405">
        <v>2.53724E-2</v>
      </c>
      <c r="AK405">
        <v>3.51</v>
      </c>
      <c r="AL405">
        <f xml:space="preserve"> LN([1]misc!B424)</f>
        <v>6.8811032479847105</v>
      </c>
      <c r="AM405">
        <f xml:space="preserve"> LN([1]misc!D424)</f>
        <v>8.1307951460252994</v>
      </c>
      <c r="AN405">
        <f xml:space="preserve"> LN([1]misc!G529)</f>
        <v>3.0572506135324078</v>
      </c>
      <c r="AO405">
        <f xml:space="preserve"> LN([1]misc!J435 + [1]misc!L435)</f>
        <v>3.916592549142516</v>
      </c>
      <c r="AP405">
        <f xml:space="preserve"> [1]Factors!B405</f>
        <v>0.10127937300000001</v>
      </c>
      <c r="AQ405">
        <f xml:space="preserve"> [1]Factors!C405</f>
        <v>-0.18357215800000001</v>
      </c>
      <c r="AR405">
        <f xml:space="preserve"> [1]Factors!D405</f>
        <v>-3.2584049300000001E-2</v>
      </c>
      <c r="AS405">
        <f xml:space="preserve"> [1]Factors!E405</f>
        <v>0.41246054599999998</v>
      </c>
      <c r="AT405">
        <f xml:space="preserve"> [1]Factors!F405</f>
        <v>-0.115532837</v>
      </c>
    </row>
    <row r="406" spans="1:46" x14ac:dyDescent="0.25">
      <c r="A406">
        <f t="shared" si="31"/>
        <v>1992.6666666666415</v>
      </c>
      <c r="B406" s="1">
        <v>33848</v>
      </c>
      <c r="C406" s="7">
        <f t="shared" si="27"/>
        <v>1992</v>
      </c>
      <c r="D406" s="7">
        <f t="shared" si="28"/>
        <v>9</v>
      </c>
      <c r="E406" s="7">
        <f t="shared" si="29"/>
        <v>3</v>
      </c>
      <c r="F406">
        <f xml:space="preserve"> [1]Coibion_update!O412</f>
        <v>4.1843101822464934</v>
      </c>
      <c r="G406">
        <f xml:space="preserve"> [1]Coibion_update!P412</f>
        <v>7.6</v>
      </c>
      <c r="H406">
        <f xml:space="preserve"> [1]Coibion_update!Q412</f>
        <v>4.9494688588587685</v>
      </c>
      <c r="I406">
        <f xml:space="preserve"> [1]Coibion_update!W412</f>
        <v>3.22</v>
      </c>
      <c r="J406">
        <f xml:space="preserve"> [1]Coibion_update!X412</f>
        <v>5.5057379573970104</v>
      </c>
      <c r="K406">
        <f xml:space="preserve"> [1]Coibion_update!Y412</f>
        <v>3.6675025883543508</v>
      </c>
      <c r="L406">
        <f xml:space="preserve"> [1]Coibion_update!Z412</f>
        <v>4.1929523293072162</v>
      </c>
      <c r="M406">
        <f xml:space="preserve"> [1]Coibion_update!AA412</f>
        <v>4.1603663577640981</v>
      </c>
      <c r="N406">
        <f xml:space="preserve"> [1]Coibion_update!AB412</f>
        <v>0</v>
      </c>
      <c r="O406">
        <f xml:space="preserve"> [1]Coibion_update!AC412</f>
        <v>-2.6035762000000018</v>
      </c>
      <c r="P406">
        <f xml:space="preserve"> [1]Coibion_update!AD412</f>
        <v>-2.2627619999999977</v>
      </c>
      <c r="Q406">
        <f xml:space="preserve"> [1]Barakchian_Crowe!B285</f>
        <v>0</v>
      </c>
      <c r="R406">
        <f xml:space="preserve"> [1]Barakchian_Crowe!C285</f>
        <v>-6.052111</v>
      </c>
      <c r="S406">
        <f xml:space="preserve"> [1]Gertler_Karadi!C160</f>
        <v>1.49982E-2</v>
      </c>
      <c r="T406">
        <f xml:space="preserve"> [1]Gertler_Karadi!D160</f>
        <v>1.4806400000000001E-2</v>
      </c>
      <c r="U406">
        <f xml:space="preserve"> [1]Gertler_Karadi!E160</f>
        <v>-3.1936E-3</v>
      </c>
      <c r="V406">
        <f xml:space="preserve"> [1]Gertler_Karadi!F160</f>
        <v>-1.4806400000000001E-2</v>
      </c>
      <c r="W406">
        <f xml:space="preserve"> [1]Gertler_Karadi!G160</f>
        <v>-1.2193600000000001E-2</v>
      </c>
      <c r="X406" s="5">
        <f xml:space="preserve"> [1]misc!N489</f>
        <v>3.18</v>
      </c>
      <c r="Y406">
        <f xml:space="preserve"> [1]Gilchrist_Zak!C238</f>
        <v>1.09E-2</v>
      </c>
      <c r="Z406">
        <f xml:space="preserve"> [1]Sims_Zha!B409</f>
        <v>0.13372000000000001</v>
      </c>
      <c r="AA406">
        <f xml:space="preserve"> [1]Coibion_update!AI412</f>
        <v>0</v>
      </c>
      <c r="AB406">
        <f t="shared" si="26"/>
        <v>-0.17196210000000001</v>
      </c>
      <c r="AC406">
        <v>0</v>
      </c>
      <c r="AD406">
        <v>0</v>
      </c>
      <c r="AE406">
        <v>0</v>
      </c>
      <c r="AF406">
        <v>0.01</v>
      </c>
      <c r="AG406">
        <v>-0.01</v>
      </c>
      <c r="AH406">
        <v>0</v>
      </c>
      <c r="AI406">
        <v>0</v>
      </c>
      <c r="AJ406">
        <v>0</v>
      </c>
      <c r="AK406">
        <v>4.47</v>
      </c>
      <c r="AL406">
        <f xml:space="preserve"> LN([1]misc!B425)</f>
        <v>6.8956826977478682</v>
      </c>
      <c r="AM406">
        <f xml:space="preserve"> LN([1]misc!D425)</f>
        <v>8.1341742721379031</v>
      </c>
      <c r="AN406">
        <f xml:space="preserve"> LN([1]misc!G530)</f>
        <v>3.1197624219708411</v>
      </c>
      <c r="AO406">
        <f xml:space="preserve"> LN([1]misc!J436 + [1]misc!L436)</f>
        <v>3.9339214741292619</v>
      </c>
      <c r="AP406">
        <f xml:space="preserve"> [1]Factors!B406</f>
        <v>0.243793497</v>
      </c>
      <c r="AQ406">
        <f xml:space="preserve"> [1]Factors!C406</f>
        <v>-0.13793793100000001</v>
      </c>
      <c r="AR406">
        <f xml:space="preserve"> [1]Factors!D406</f>
        <v>4.8390280100000004E-3</v>
      </c>
      <c r="AS406">
        <f xml:space="preserve"> [1]Factors!E406</f>
        <v>0.105157124</v>
      </c>
      <c r="AT406">
        <f xml:space="preserve"> [1]Factors!F406</f>
        <v>0.101422022</v>
      </c>
    </row>
    <row r="407" spans="1:46" x14ac:dyDescent="0.25">
      <c r="A407">
        <f t="shared" si="31"/>
        <v>1992.7499999999748</v>
      </c>
      <c r="B407" s="1">
        <v>33878</v>
      </c>
      <c r="C407" s="7">
        <f t="shared" si="27"/>
        <v>1992</v>
      </c>
      <c r="D407" s="7">
        <f t="shared" si="28"/>
        <v>10</v>
      </c>
      <c r="E407" s="7">
        <f t="shared" si="29"/>
        <v>4</v>
      </c>
      <c r="F407">
        <f xml:space="preserve"> [1]Coibion_update!O413</f>
        <v>4.1918825616227799</v>
      </c>
      <c r="G407">
        <f xml:space="preserve"> [1]Coibion_update!P413</f>
        <v>7.3</v>
      </c>
      <c r="H407">
        <f xml:space="preserve"> [1]Coibion_update!Q413</f>
        <v>4.9537121466966347</v>
      </c>
      <c r="I407">
        <f xml:space="preserve"> [1]Coibion_update!W413</f>
        <v>3.1</v>
      </c>
      <c r="J407">
        <f xml:space="preserve"> [1]Coibion_update!X413</f>
        <v>5.4869108801028403</v>
      </c>
      <c r="K407">
        <f xml:space="preserve"> [1]Coibion_update!Y413</f>
        <v>3.6762247196556883</v>
      </c>
      <c r="L407">
        <f xml:space="preserve"> [1]Coibion_update!Z413</f>
        <v>4.1999050578825932</v>
      </c>
      <c r="M407">
        <f xml:space="preserve"> [1]Coibion_update!AA413</f>
        <v>4.1612552675047274</v>
      </c>
      <c r="N407">
        <f xml:space="preserve"> [1]Coibion_update!AB413</f>
        <v>-0.1153874</v>
      </c>
      <c r="O407">
        <f xml:space="preserve"> [1]Coibion_update!AC413</f>
        <v>-2.7189636000000017</v>
      </c>
      <c r="P407">
        <f xml:space="preserve"> [1]Coibion_update!AD413</f>
        <v>-2.4349904999999978</v>
      </c>
      <c r="Q407">
        <f xml:space="preserve"> [1]Barakchian_Crowe!B286</f>
        <v>1.4744699999999999</v>
      </c>
      <c r="R407">
        <f xml:space="preserve"> [1]Barakchian_Crowe!C286</f>
        <v>-4.5776409999999998</v>
      </c>
      <c r="S407">
        <f xml:space="preserve"> [1]Gertler_Karadi!C161</f>
        <v>0</v>
      </c>
      <c r="T407">
        <f xml:space="preserve"> [1]Gertler_Karadi!D161</f>
        <v>9.0646000000000008E-3</v>
      </c>
      <c r="U407">
        <f xml:space="preserve"> [1]Gertler_Karadi!E161</f>
        <v>7.0645999999999999E-3</v>
      </c>
      <c r="V407">
        <f xml:space="preserve"> [1]Gertler_Karadi!F161</f>
        <v>-1E-3</v>
      </c>
      <c r="W407">
        <f xml:space="preserve"> [1]Gertler_Karadi!G161</f>
        <v>-2E-3</v>
      </c>
      <c r="X407" s="5">
        <f xml:space="preserve"> [1]misc!N490</f>
        <v>3.3</v>
      </c>
      <c r="Y407">
        <f xml:space="preserve"> [1]Gilchrist_Zak!C239</f>
        <v>8.0000000000000004E-4</v>
      </c>
      <c r="Z407">
        <f xml:space="preserve"> [1]Sims_Zha!B410</f>
        <v>6.5620999999999999E-2</v>
      </c>
      <c r="AA407">
        <f xml:space="preserve"> [1]Coibion_update!AI413</f>
        <v>-4.8997600000000002E-2</v>
      </c>
      <c r="AB407">
        <f t="shared" si="26"/>
        <v>-0.22095970000000001</v>
      </c>
      <c r="AC407">
        <v>-4.8997600000000002E-2</v>
      </c>
      <c r="AD407">
        <v>0</v>
      </c>
      <c r="AE407">
        <v>0</v>
      </c>
      <c r="AF407">
        <v>0.01</v>
      </c>
      <c r="AG407">
        <v>0.01</v>
      </c>
      <c r="AH407">
        <v>9.2724999999999995E-3</v>
      </c>
      <c r="AI407">
        <v>6.2201100000000002E-2</v>
      </c>
      <c r="AJ407">
        <v>2.6454999999999999E-2</v>
      </c>
      <c r="AK407">
        <v>3.04</v>
      </c>
      <c r="AL407">
        <f xml:space="preserve"> LN([1]misc!B426)</f>
        <v>6.9114484508197549</v>
      </c>
      <c r="AM407">
        <f xml:space="preserve"> LN([1]misc!D426)</f>
        <v>8.1380973383281408</v>
      </c>
      <c r="AN407">
        <f xml:space="preserve"> LN([1]misc!G531)</f>
        <v>3.1626863532168237</v>
      </c>
      <c r="AO407">
        <f xml:space="preserve"> LN([1]misc!J437 + [1]misc!L437)</f>
        <v>3.9631912920025454</v>
      </c>
      <c r="AP407">
        <f xml:space="preserve"> [1]Factors!B407</f>
        <v>0.26595628700000001</v>
      </c>
      <c r="AQ407">
        <f xml:space="preserve"> [1]Factors!C407</f>
        <v>-0.109107868</v>
      </c>
      <c r="AR407">
        <f xml:space="preserve"> [1]Factors!D407</f>
        <v>5.5971710700000003E-2</v>
      </c>
      <c r="AS407">
        <f xml:space="preserve"> [1]Factors!E407</f>
        <v>9.1465233800000004E-2</v>
      </c>
      <c r="AT407">
        <f xml:space="preserve"> [1]Factors!F407</f>
        <v>-1.9479248599999999E-2</v>
      </c>
    </row>
    <row r="408" spans="1:46" x14ac:dyDescent="0.25">
      <c r="A408">
        <f t="shared" si="31"/>
        <v>1992.833333333308</v>
      </c>
      <c r="B408" s="1">
        <v>33909</v>
      </c>
      <c r="C408" s="7">
        <f t="shared" si="27"/>
        <v>1992</v>
      </c>
      <c r="D408" s="7">
        <f t="shared" si="28"/>
        <v>11</v>
      </c>
      <c r="E408" s="7">
        <f t="shared" si="29"/>
        <v>4</v>
      </c>
      <c r="F408">
        <f xml:space="preserve"> [1]Coibion_update!O414</f>
        <v>4.1962180051024394</v>
      </c>
      <c r="G408">
        <f xml:space="preserve"> [1]Coibion_update!P414</f>
        <v>7.4</v>
      </c>
      <c r="H408">
        <f xml:space="preserve"> [1]Coibion_update!Q414</f>
        <v>4.9565310351030547</v>
      </c>
      <c r="I408">
        <f xml:space="preserve"> [1]Coibion_update!W414</f>
        <v>3.09</v>
      </c>
      <c r="J408">
        <f xml:space="preserve"> [1]Coibion_update!X414</f>
        <v>5.4735303841046967</v>
      </c>
      <c r="K408">
        <f xml:space="preserve"> [1]Coibion_update!Y414</f>
        <v>3.6578788629941483</v>
      </c>
      <c r="L408">
        <f xml:space="preserve"> [1]Coibion_update!Z414</f>
        <v>4.1971267568651269</v>
      </c>
      <c r="M408">
        <f xml:space="preserve"> [1]Coibion_update!AA414</f>
        <v>4.1685239603963522</v>
      </c>
      <c r="N408">
        <f xml:space="preserve"> [1]Coibion_update!AB414</f>
        <v>3.2760900000000003E-2</v>
      </c>
      <c r="O408">
        <f xml:space="preserve"> [1]Coibion_update!AC414</f>
        <v>-2.6862027000000017</v>
      </c>
      <c r="P408">
        <f xml:space="preserve"> [1]Coibion_update!AD414</f>
        <v>-2.4600973999999978</v>
      </c>
      <c r="Q408">
        <f xml:space="preserve"> [1]Barakchian_Crowe!B287</f>
        <v>-0.95156399999999997</v>
      </c>
      <c r="R408">
        <f xml:space="preserve"> [1]Barakchian_Crowe!C287</f>
        <v>-5.5292050000000001</v>
      </c>
      <c r="S408">
        <f xml:space="preserve"> [1]Gertler_Karadi!C162</f>
        <v>-2.1662500000000001E-2</v>
      </c>
      <c r="T408">
        <f xml:space="preserve"> [1]Gertler_Karadi!D162</f>
        <v>1.9354999999999999E-3</v>
      </c>
      <c r="U408">
        <f xml:space="preserve"> [1]Gertler_Karadi!E162</f>
        <v>1.9354999999999999E-3</v>
      </c>
      <c r="V408">
        <f xml:space="preserve"> [1]Gertler_Karadi!F162</f>
        <v>4.3334000000000003E-3</v>
      </c>
      <c r="W408">
        <f xml:space="preserve"> [1]Gertler_Karadi!G162</f>
        <v>4.3334000000000003E-3</v>
      </c>
      <c r="X408" s="5">
        <f xml:space="preserve"> [1]misc!N491</f>
        <v>3.68</v>
      </c>
      <c r="Y408">
        <f xml:space="preserve"> [1]Gilchrist_Zak!C240</f>
        <v>5.0799999999999998E-2</v>
      </c>
      <c r="Z408">
        <f xml:space="preserve"> [1]Sims_Zha!B411</f>
        <v>-0.21359</v>
      </c>
      <c r="AA408">
        <f xml:space="preserve"> [1]Coibion_update!AI414</f>
        <v>4.8800400000000001E-2</v>
      </c>
      <c r="AB408">
        <f t="shared" si="26"/>
        <v>-0.17215930000000002</v>
      </c>
      <c r="AC408">
        <v>4.8800400000000001E-2</v>
      </c>
      <c r="AD408">
        <v>-4.999E-2</v>
      </c>
      <c r="AE408">
        <v>-0.02</v>
      </c>
      <c r="AF408">
        <v>0</v>
      </c>
      <c r="AG408">
        <v>0</v>
      </c>
      <c r="AH408">
        <v>-2.1085300000000001E-2</v>
      </c>
      <c r="AI408">
        <v>2.7207599999999998E-2</v>
      </c>
      <c r="AJ408">
        <v>1.16822E-2</v>
      </c>
      <c r="AK408">
        <v>3.45</v>
      </c>
      <c r="AL408">
        <f xml:space="preserve"> LN([1]misc!B427)</f>
        <v>6.9233333089454554</v>
      </c>
      <c r="AM408">
        <f xml:space="preserve"> LN([1]misc!D427)</f>
        <v>8.13882755318979</v>
      </c>
      <c r="AN408">
        <f xml:space="preserve"> LN([1]misc!G532)</f>
        <v>3.237972320559189</v>
      </c>
      <c r="AO408">
        <f xml:space="preserve"> LN([1]misc!J438 + [1]misc!L438)</f>
        <v>3.9824069089812362</v>
      </c>
      <c r="AP408">
        <f xml:space="preserve"> [1]Factors!B408</f>
        <v>-5.0941421399999999E-2</v>
      </c>
      <c r="AQ408">
        <f xml:space="preserve"> [1]Factors!C408</f>
        <v>-5.86453501E-2</v>
      </c>
      <c r="AR408">
        <f xml:space="preserve"> [1]Factors!D408</f>
        <v>0.248049731</v>
      </c>
      <c r="AS408">
        <f xml:space="preserve"> [1]Factors!E408</f>
        <v>-1.0409223299999999E-2</v>
      </c>
      <c r="AT408">
        <f xml:space="preserve"> [1]Factors!F408</f>
        <v>-0.385338299</v>
      </c>
    </row>
    <row r="409" spans="1:46" x14ac:dyDescent="0.25">
      <c r="A409">
        <f t="shared" si="31"/>
        <v>1992.9166666666413</v>
      </c>
      <c r="B409" s="1">
        <v>33939</v>
      </c>
      <c r="C409" s="7">
        <f t="shared" si="27"/>
        <v>1992</v>
      </c>
      <c r="D409" s="7">
        <f t="shared" si="28"/>
        <v>12</v>
      </c>
      <c r="E409" s="7">
        <f t="shared" si="29"/>
        <v>4</v>
      </c>
      <c r="F409">
        <f xml:space="preserve"> [1]Coibion_update!O415</f>
        <v>4.197080135731758</v>
      </c>
      <c r="G409">
        <f xml:space="preserve"> [1]Coibion_update!P415</f>
        <v>7.4</v>
      </c>
      <c r="H409">
        <f xml:space="preserve"> [1]Coibion_update!Q415</f>
        <v>4.9579375050958063</v>
      </c>
      <c r="I409">
        <f xml:space="preserve"> [1]Coibion_update!W415</f>
        <v>2.92</v>
      </c>
      <c r="J409">
        <f xml:space="preserve"> [1]Coibion_update!X415</f>
        <v>5.4704623168904307</v>
      </c>
      <c r="K409">
        <f xml:space="preserve"> [1]Coibion_update!Y415</f>
        <v>3.6965499604181562</v>
      </c>
      <c r="L409">
        <f xml:space="preserve"> [1]Coibion_update!Z415</f>
        <v>4.2017928968682741</v>
      </c>
      <c r="M409">
        <f xml:space="preserve"> [1]Coibion_update!AA415</f>
        <v>4.1696993757935212</v>
      </c>
      <c r="N409">
        <f xml:space="preserve"> [1]Coibion_update!AB415</f>
        <v>-0.17899329999999999</v>
      </c>
      <c r="O409">
        <f xml:space="preserve"> [1]Coibion_update!AC415</f>
        <v>-2.8651960000000019</v>
      </c>
      <c r="P409">
        <f xml:space="preserve"> [1]Coibion_update!AD415</f>
        <v>-2.6926532999999977</v>
      </c>
      <c r="Q409">
        <f xml:space="preserve"> [1]Barakchian_Crowe!B288</f>
        <v>-0.1870231</v>
      </c>
      <c r="R409">
        <f xml:space="preserve"> [1]Barakchian_Crowe!C288</f>
        <v>-5.7162280000000001</v>
      </c>
      <c r="S409">
        <f xml:space="preserve"> [1]Gertler_Karadi!C163</f>
        <v>-1.7083399999999999E-2</v>
      </c>
      <c r="T409">
        <f xml:space="preserve"> [1]Gertler_Karadi!D163</f>
        <v>-2.9031999999999999E-3</v>
      </c>
      <c r="U409">
        <f xml:space="preserve"> [1]Gertler_Karadi!E163</f>
        <v>-2.9031999999999999E-3</v>
      </c>
      <c r="V409">
        <f xml:space="preserve"> [1]Gertler_Karadi!F163</f>
        <v>2.7634000000000001E-3</v>
      </c>
      <c r="W409">
        <f xml:space="preserve"> [1]Gertler_Karadi!G163</f>
        <v>-5.9462999999999998E-3</v>
      </c>
      <c r="X409" s="5">
        <f xml:space="preserve"> [1]misc!N492</f>
        <v>3.71</v>
      </c>
      <c r="Y409">
        <f xml:space="preserve"> [1]Gilchrist_Zak!C241</f>
        <v>8.2500000000000004E-2</v>
      </c>
      <c r="Z409">
        <f xml:space="preserve"> [1]Sims_Zha!B412</f>
        <v>-0.87824000000000002</v>
      </c>
      <c r="AA409">
        <f xml:space="preserve"> [1]Coibion_update!AI415</f>
        <v>-0.18583930000000001</v>
      </c>
      <c r="AB409">
        <f t="shared" si="26"/>
        <v>-0.35799860000000006</v>
      </c>
      <c r="AC409">
        <v>-0.18583930000000001</v>
      </c>
      <c r="AD409">
        <v>3.8730000000000001E-2</v>
      </c>
      <c r="AE409">
        <v>9.9900000000000006E-3</v>
      </c>
      <c r="AF409">
        <v>-0.01</v>
      </c>
      <c r="AG409">
        <v>-0.01</v>
      </c>
      <c r="AH409">
        <v>-1.3778500000000001E-2</v>
      </c>
      <c r="AI409">
        <v>-4.7101000000000001E-3</v>
      </c>
      <c r="AJ409">
        <v>-1.48007E-2</v>
      </c>
      <c r="AK409">
        <v>2.66</v>
      </c>
      <c r="AL409">
        <f xml:space="preserve"> LN([1]misc!B428)</f>
        <v>6.9323503258375174</v>
      </c>
      <c r="AM409">
        <f xml:space="preserve"> LN([1]misc!D428)</f>
        <v>8.1383018522431048</v>
      </c>
      <c r="AN409">
        <f xml:space="preserve"> LN([1]misc!G533)</f>
        <v>3.2347885433282499</v>
      </c>
      <c r="AO409">
        <f xml:space="preserve"> LN([1]misc!J439 + [1]misc!L439)</f>
        <v>3.9945058105640476</v>
      </c>
      <c r="AP409">
        <f xml:space="preserve"> [1]Factors!B409</f>
        <v>7.2247621400000001E-4</v>
      </c>
      <c r="AQ409">
        <f xml:space="preserve"> [1]Factors!C409</f>
        <v>-0.18362372699999999</v>
      </c>
      <c r="AR409">
        <f xml:space="preserve"> [1]Factors!D409</f>
        <v>0.284887995</v>
      </c>
      <c r="AS409">
        <f xml:space="preserve"> [1]Factors!E409</f>
        <v>-0.20197737099999999</v>
      </c>
      <c r="AT409">
        <f xml:space="preserve"> [1]Factors!F409</f>
        <v>-0.20316909999999999</v>
      </c>
    </row>
    <row r="410" spans="1:46" x14ac:dyDescent="0.25">
      <c r="A410">
        <f t="shared" si="31"/>
        <v>1992.9999999999745</v>
      </c>
      <c r="B410" s="1">
        <v>33970</v>
      </c>
      <c r="C410" s="7">
        <f t="shared" si="27"/>
        <v>1993</v>
      </c>
      <c r="D410" s="7">
        <f t="shared" si="28"/>
        <v>1</v>
      </c>
      <c r="E410" s="7">
        <f t="shared" si="29"/>
        <v>1</v>
      </c>
      <c r="F410">
        <f xml:space="preserve"> [1]Coibion_update!O416</f>
        <v>4.2014231012322902</v>
      </c>
      <c r="G410">
        <f xml:space="preserve"> [1]Coibion_update!P416</f>
        <v>7.3</v>
      </c>
      <c r="H410">
        <f xml:space="preserve"> [1]Coibion_update!Q416</f>
        <v>4.9614450499054845</v>
      </c>
      <c r="I410">
        <f xml:space="preserve"> [1]Coibion_update!W416</f>
        <v>3.02</v>
      </c>
      <c r="J410">
        <f xml:space="preserve"> [1]Coibion_update!X416</f>
        <v>5.4745789319621156</v>
      </c>
      <c r="K410">
        <f xml:space="preserve"> [1]Coibion_update!Y416</f>
        <v>3.7051464265778082</v>
      </c>
      <c r="L410">
        <f xml:space="preserve"> [1]Coibion_update!Z416</f>
        <v>4.2015982846325386</v>
      </c>
      <c r="M410">
        <f xml:space="preserve"> [1]Coibion_update!AA416</f>
        <v>4.1657811121599497</v>
      </c>
      <c r="N410">
        <f xml:space="preserve"> [1]Coibion_update!AB416</f>
        <v>0</v>
      </c>
      <c r="O410">
        <f xml:space="preserve"> [1]Coibion_update!AC416</f>
        <v>-2.8651960000000019</v>
      </c>
      <c r="P410">
        <f xml:space="preserve"> [1]Coibion_update!AD416</f>
        <v>-2.6926532999999977</v>
      </c>
      <c r="Q410">
        <f xml:space="preserve"> [1]Barakchian_Crowe!B289</f>
        <v>0</v>
      </c>
      <c r="R410">
        <f xml:space="preserve"> [1]Barakchian_Crowe!C289</f>
        <v>-5.7162280000000001</v>
      </c>
      <c r="S410">
        <f xml:space="preserve"> [1]Gertler_Karadi!C164</f>
        <v>2.7485800000000001E-2</v>
      </c>
      <c r="T410">
        <f xml:space="preserve"> [1]Gertler_Karadi!D164</f>
        <v>-7.0968000000000003E-3</v>
      </c>
      <c r="U410">
        <f xml:space="preserve"> [1]Gertler_Karadi!E164</f>
        <v>-7.0968000000000003E-3</v>
      </c>
      <c r="V410">
        <f xml:space="preserve"> [1]Gertler_Karadi!F164</f>
        <v>-7.0968000000000003E-3</v>
      </c>
      <c r="W410">
        <f xml:space="preserve"> [1]Gertler_Karadi!G164</f>
        <v>-2.8387099999999998E-2</v>
      </c>
      <c r="X410" s="5">
        <f xml:space="preserve"> [1]misc!N493</f>
        <v>3.5</v>
      </c>
      <c r="Y410">
        <f xml:space="preserve"> [1]Gilchrist_Zak!C242</f>
        <v>3.4500000000000003E-2</v>
      </c>
      <c r="Z410">
        <f xml:space="preserve"> [1]Sims_Zha!B413</f>
        <v>0.57986000000000004</v>
      </c>
      <c r="AA410">
        <f xml:space="preserve"> [1]Coibion_update!AI416</f>
        <v>0</v>
      </c>
      <c r="AB410">
        <f t="shared" si="26"/>
        <v>-0.35799860000000006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3.02</v>
      </c>
      <c r="AL410">
        <f xml:space="preserve"> LN([1]misc!B429)</f>
        <v>6.9377023553500896</v>
      </c>
      <c r="AM410">
        <f xml:space="preserve"> LN([1]misc!D429)</f>
        <v>8.136606044573977</v>
      </c>
      <c r="AN410">
        <f xml:space="preserve"> LN([1]misc!G534)</f>
        <v>3.1631516760958389</v>
      </c>
      <c r="AO410">
        <f xml:space="preserve"> LN([1]misc!J440 + [1]misc!L440)</f>
        <v>4.0037996770115756</v>
      </c>
      <c r="AP410">
        <f xml:space="preserve"> [1]Factors!B410</f>
        <v>-2.24900047E-3</v>
      </c>
      <c r="AQ410">
        <f xml:space="preserve"> [1]Factors!C410</f>
        <v>-0.32781993500000001</v>
      </c>
      <c r="AR410">
        <f xml:space="preserve"> [1]Factors!D410</f>
        <v>2.1675078600000001E-2</v>
      </c>
      <c r="AS410">
        <f xml:space="preserve"> [1]Factors!E410</f>
        <v>5.1263338300000003E-2</v>
      </c>
      <c r="AT410">
        <f xml:space="preserve"> [1]Factors!F410</f>
        <v>-4.3895179800000003E-2</v>
      </c>
    </row>
    <row r="411" spans="1:46" x14ac:dyDescent="0.25">
      <c r="A411">
        <f t="shared" si="31"/>
        <v>1993.0833333333078</v>
      </c>
      <c r="B411" s="1">
        <v>34001</v>
      </c>
      <c r="C411" s="7">
        <f t="shared" si="27"/>
        <v>1993</v>
      </c>
      <c r="D411" s="7">
        <f t="shared" si="28"/>
        <v>2</v>
      </c>
      <c r="E411" s="7">
        <f t="shared" si="29"/>
        <v>1</v>
      </c>
      <c r="F411">
        <f xml:space="preserve"> [1]Coibion_update!O417</f>
        <v>4.2054222039257008</v>
      </c>
      <c r="G411">
        <f xml:space="preserve"> [1]Coibion_update!P417</f>
        <v>7.1</v>
      </c>
      <c r="H411">
        <f xml:space="preserve"> [1]Coibion_update!Q417</f>
        <v>4.9635436865624047</v>
      </c>
      <c r="I411">
        <f xml:space="preserve"> [1]Coibion_update!W417</f>
        <v>3.03</v>
      </c>
      <c r="J411">
        <f xml:space="preserve"> [1]Coibion_update!X417</f>
        <v>5.4747465976371537</v>
      </c>
      <c r="K411">
        <f xml:space="preserve"> [1]Coibion_update!Y417</f>
        <v>3.6799900602680191</v>
      </c>
      <c r="L411">
        <f xml:space="preserve"> [1]Coibion_update!Z417</f>
        <v>4.2013587098765823</v>
      </c>
      <c r="M411">
        <f xml:space="preserve"> [1]Coibion_update!AA417</f>
        <v>4.1736023465392673</v>
      </c>
      <c r="N411">
        <f xml:space="preserve"> [1]Coibion_update!AB417</f>
        <v>3.5227000000000001E-2</v>
      </c>
      <c r="O411">
        <f xml:space="preserve"> [1]Coibion_update!AC417</f>
        <v>-2.829969000000002</v>
      </c>
      <c r="P411">
        <f xml:space="preserve"> [1]Coibion_update!AD417</f>
        <v>-2.6626845999999977</v>
      </c>
      <c r="Q411">
        <f xml:space="preserve"> [1]Barakchian_Crowe!B290</f>
        <v>-0.35615010000000002</v>
      </c>
      <c r="R411">
        <f xml:space="preserve"> [1]Barakchian_Crowe!C290</f>
        <v>-6.0723779999999996</v>
      </c>
      <c r="S411">
        <f xml:space="preserve"> [1]Gertler_Karadi!C165</f>
        <v>0</v>
      </c>
      <c r="T411">
        <f xml:space="preserve"> [1]Gertler_Karadi!D165</f>
        <v>-1.7857100000000001E-2</v>
      </c>
      <c r="U411">
        <f xml:space="preserve"> [1]Gertler_Karadi!E165</f>
        <v>0</v>
      </c>
      <c r="V411">
        <f xml:space="preserve"> [1]Gertler_Karadi!F165</f>
        <v>8.9285000000000007E-3</v>
      </c>
      <c r="W411">
        <f xml:space="preserve"> [1]Gertler_Karadi!G165</f>
        <v>0</v>
      </c>
      <c r="X411" s="5">
        <f xml:space="preserve"> [1]misc!N494</f>
        <v>3.39</v>
      </c>
      <c r="Y411">
        <f xml:space="preserve"> [1]Gilchrist_Zak!C243</f>
        <v>-1.11E-2</v>
      </c>
      <c r="Z411">
        <f xml:space="preserve"> [1]Sims_Zha!B414</f>
        <v>0.81493000000000004</v>
      </c>
      <c r="AA411">
        <f xml:space="preserve"> [1]Coibion_update!AI417</f>
        <v>-9.0570899999999996E-2</v>
      </c>
      <c r="AB411">
        <f t="shared" si="26"/>
        <v>-0.44856950000000007</v>
      </c>
      <c r="AC411">
        <v>-9.0570899999999996E-2</v>
      </c>
      <c r="AD411">
        <v>0</v>
      </c>
      <c r="AE411">
        <v>0</v>
      </c>
      <c r="AF411">
        <v>-0.02</v>
      </c>
      <c r="AG411">
        <v>0</v>
      </c>
      <c r="AH411">
        <v>-1.33489E-2</v>
      </c>
      <c r="AI411">
        <v>-1.0101000000000001E-2</v>
      </c>
      <c r="AJ411">
        <v>-2.2956000000000001E-3</v>
      </c>
      <c r="AK411">
        <v>3.18</v>
      </c>
      <c r="AL411">
        <f xml:space="preserve"> LN([1]misc!B430)</f>
        <v>6.9407063791218233</v>
      </c>
      <c r="AM411">
        <f xml:space="preserve"> LN([1]misc!D430)</f>
        <v>8.1352004394932145</v>
      </c>
      <c r="AN411">
        <f xml:space="preserve"> LN([1]misc!G535)</f>
        <v>3.1578511230304263</v>
      </c>
      <c r="AO411">
        <f xml:space="preserve"> LN([1]misc!J441 + [1]misc!L441)</f>
        <v>4.000784516705604</v>
      </c>
      <c r="AP411">
        <f xml:space="preserve"> [1]Factors!B411</f>
        <v>-3.7349033900000002E-2</v>
      </c>
      <c r="AQ411">
        <f xml:space="preserve"> [1]Factors!C411</f>
        <v>-0.11407682500000001</v>
      </c>
      <c r="AR411">
        <f xml:space="preserve"> [1]Factors!D411</f>
        <v>0.117391895</v>
      </c>
      <c r="AS411">
        <f xml:space="preserve"> [1]Factors!E411</f>
        <v>0.19601681500000001</v>
      </c>
      <c r="AT411">
        <f xml:space="preserve"> [1]Factors!F411</f>
        <v>2.01194211E-2</v>
      </c>
    </row>
    <row r="412" spans="1:46" x14ac:dyDescent="0.25">
      <c r="A412">
        <f t="shared" si="31"/>
        <v>1993.166666666641</v>
      </c>
      <c r="B412" s="1">
        <v>34029</v>
      </c>
      <c r="C412" s="7">
        <f t="shared" si="27"/>
        <v>1993</v>
      </c>
      <c r="D412" s="7">
        <f t="shared" si="28"/>
        <v>3</v>
      </c>
      <c r="E412" s="7">
        <f t="shared" si="29"/>
        <v>1</v>
      </c>
      <c r="F412">
        <f xml:space="preserve"> [1]Coibion_update!O418</f>
        <v>4.2047284396449358</v>
      </c>
      <c r="G412">
        <f xml:space="preserve"> [1]Coibion_update!P418</f>
        <v>7</v>
      </c>
      <c r="H412">
        <f xml:space="preserve"> [1]Coibion_update!Q418</f>
        <v>4.9649403348341261</v>
      </c>
      <c r="I412">
        <f xml:space="preserve"> [1]Coibion_update!W418</f>
        <v>3.07</v>
      </c>
      <c r="J412">
        <f xml:space="preserve"> [1]Coibion_update!X418</f>
        <v>5.4737401816508351</v>
      </c>
      <c r="K412">
        <f xml:space="preserve"> [1]Coibion_update!Y418</f>
        <v>3.6746030291951275</v>
      </c>
      <c r="L412">
        <f xml:space="preserve"> [1]Coibion_update!Z418</f>
        <v>4.1988847414960242</v>
      </c>
      <c r="M412">
        <f xml:space="preserve"> [1]Coibion_update!AA418</f>
        <v>4.1713210353379209</v>
      </c>
      <c r="N412">
        <f xml:space="preserve"> [1]Coibion_update!AB418</f>
        <v>-3.8532299999999998E-2</v>
      </c>
      <c r="O412">
        <f xml:space="preserve"> [1]Coibion_update!AC418</f>
        <v>-2.8685013000000019</v>
      </c>
      <c r="P412">
        <f xml:space="preserve"> [1]Coibion_update!AD418</f>
        <v>-2.7226140999999977</v>
      </c>
      <c r="Q412">
        <f xml:space="preserve"> [1]Barakchian_Crowe!B291</f>
        <v>0.28128760000000003</v>
      </c>
      <c r="R412">
        <f xml:space="preserve"> [1]Barakchian_Crowe!C291</f>
        <v>-5.7910899999999996</v>
      </c>
      <c r="S412">
        <f xml:space="preserve"> [1]Gertler_Karadi!C166</f>
        <v>0</v>
      </c>
      <c r="T412">
        <f xml:space="preserve"> [1]Gertler_Karadi!D166</f>
        <v>-2.1429000000000001E-3</v>
      </c>
      <c r="U412">
        <f xml:space="preserve"> [1]Gertler_Karadi!E166</f>
        <v>0</v>
      </c>
      <c r="V412">
        <f xml:space="preserve"> [1]Gertler_Karadi!F166</f>
        <v>1.0715E-3</v>
      </c>
      <c r="W412">
        <f xml:space="preserve"> [1]Gertler_Karadi!G166</f>
        <v>1.0322599999999999E-2</v>
      </c>
      <c r="X412" s="5">
        <f xml:space="preserve"> [1]misc!N495</f>
        <v>3.33</v>
      </c>
      <c r="Y412">
        <f xml:space="preserve"> [1]Gilchrist_Zak!C244</f>
        <v>1.1999999999999999E-3</v>
      </c>
      <c r="Z412">
        <f xml:space="preserve"> [1]Sims_Zha!B415</f>
        <v>0.38141999999999998</v>
      </c>
      <c r="AA412">
        <f xml:space="preserve"> [1]Coibion_update!AI418</f>
        <v>-0.13369030000000001</v>
      </c>
      <c r="AB412">
        <f t="shared" si="26"/>
        <v>-0.58225980000000011</v>
      </c>
      <c r="AC412">
        <v>-0.13369030000000001</v>
      </c>
      <c r="AD412">
        <v>0</v>
      </c>
      <c r="AE412">
        <v>-0.01</v>
      </c>
      <c r="AF412">
        <v>0</v>
      </c>
      <c r="AG412">
        <v>0</v>
      </c>
      <c r="AH412">
        <v>-2.8858499999999999E-2</v>
      </c>
      <c r="AI412">
        <v>1.01242E-2</v>
      </c>
      <c r="AJ412">
        <v>1.2738999999999999E-3</v>
      </c>
      <c r="AK412">
        <v>3.83</v>
      </c>
      <c r="AL412">
        <f xml:space="preserve"> LN([1]misc!B431)</f>
        <v>6.9454363459498261</v>
      </c>
      <c r="AM412">
        <f xml:space="preserve"> LN([1]misc!D431)</f>
        <v>8.1344089175311307</v>
      </c>
      <c r="AN412">
        <f xml:space="preserve"> LN([1]misc!G536)</f>
        <v>3.1940502034325449</v>
      </c>
      <c r="AO412">
        <f xml:space="preserve"> LN([1]misc!J442 + [1]misc!L442)</f>
        <v>4.0051307616772709</v>
      </c>
      <c r="AP412">
        <f xml:space="preserve"> [1]Factors!B412</f>
        <v>-2.2356288299999999E-2</v>
      </c>
      <c r="AQ412">
        <f xml:space="preserve"> [1]Factors!C412</f>
        <v>-0.17081411799999999</v>
      </c>
      <c r="AR412">
        <f xml:space="preserve"> [1]Factors!D412</f>
        <v>6.7201529899999996E-3</v>
      </c>
      <c r="AS412">
        <f xml:space="preserve"> [1]Factors!E412</f>
        <v>0.18307412200000001</v>
      </c>
      <c r="AT412">
        <f xml:space="preserve"> [1]Factors!F412</f>
        <v>3.5330191400000002E-2</v>
      </c>
    </row>
    <row r="413" spans="1:46" x14ac:dyDescent="0.25">
      <c r="A413">
        <f t="shared" si="31"/>
        <v>1993.2499999999743</v>
      </c>
      <c r="B413" s="1">
        <v>34060</v>
      </c>
      <c r="C413" s="7">
        <f t="shared" si="27"/>
        <v>1993</v>
      </c>
      <c r="D413" s="7">
        <f t="shared" si="28"/>
        <v>4</v>
      </c>
      <c r="E413" s="7">
        <f t="shared" si="29"/>
        <v>2</v>
      </c>
      <c r="F413">
        <f xml:space="preserve"> [1]Coibion_update!O419</f>
        <v>4.2077223534662451</v>
      </c>
      <c r="G413">
        <f xml:space="preserve"> [1]Coibion_update!P419</f>
        <v>7.1</v>
      </c>
      <c r="H413">
        <f xml:space="preserve"> [1]Coibion_update!Q419</f>
        <v>4.9684234452869465</v>
      </c>
      <c r="I413">
        <f xml:space="preserve"> [1]Coibion_update!W419</f>
        <v>2.96</v>
      </c>
      <c r="J413">
        <f xml:space="preserve"> [1]Coibion_update!X419</f>
        <v>5.4681023343378126</v>
      </c>
      <c r="K413">
        <f xml:space="preserve"> [1]Coibion_update!Y419</f>
        <v>3.7102494798501287</v>
      </c>
      <c r="L413">
        <f xml:space="preserve"> [1]Coibion_update!Z419</f>
        <v>4.2034978761186235</v>
      </c>
      <c r="M413">
        <f xml:space="preserve"> [1]Coibion_update!AA419</f>
        <v>4.1731865493191185</v>
      </c>
      <c r="N413">
        <f xml:space="preserve"> [1]Coibion_update!AB419</f>
        <v>0</v>
      </c>
      <c r="O413">
        <f xml:space="preserve"> [1]Coibion_update!AC419</f>
        <v>-2.8685013000000019</v>
      </c>
      <c r="P413">
        <f xml:space="preserve"> [1]Coibion_update!AD419</f>
        <v>-2.7226140999999977</v>
      </c>
      <c r="Q413">
        <f xml:space="preserve"> [1]Barakchian_Crowe!B292</f>
        <v>0</v>
      </c>
      <c r="R413">
        <f xml:space="preserve"> [1]Barakchian_Crowe!C292</f>
        <v>-5.7910899999999996</v>
      </c>
      <c r="S413">
        <f xml:space="preserve"> [1]Gertler_Karadi!C167</f>
        <v>0</v>
      </c>
      <c r="T413">
        <f xml:space="preserve"> [1]Gertler_Karadi!D167</f>
        <v>0</v>
      </c>
      <c r="U413">
        <f xml:space="preserve"> [1]Gertler_Karadi!E167</f>
        <v>0</v>
      </c>
      <c r="V413">
        <f xml:space="preserve"> [1]Gertler_Karadi!F167</f>
        <v>0</v>
      </c>
      <c r="W413">
        <f xml:space="preserve"> [1]Gertler_Karadi!G167</f>
        <v>2.96774E-2</v>
      </c>
      <c r="X413" s="5">
        <f xml:space="preserve"> [1]misc!N496</f>
        <v>3.24</v>
      </c>
      <c r="Y413">
        <f xml:space="preserve"> [1]Gilchrist_Zak!C245</f>
        <v>5.8999999999999999E-3</v>
      </c>
      <c r="Z413">
        <f xml:space="preserve"> [1]Sims_Zha!B416</f>
        <v>-0.49020999999999998</v>
      </c>
      <c r="AA413">
        <f xml:space="preserve"> [1]Coibion_update!AI419</f>
        <v>0</v>
      </c>
      <c r="AB413">
        <f t="shared" si="26"/>
        <v>-0.58225980000000011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3.01</v>
      </c>
      <c r="AL413">
        <f xml:space="preserve"> LN([1]misc!B432)</f>
        <v>6.9542571126335568</v>
      </c>
      <c r="AM413">
        <f xml:space="preserve"> LN([1]misc!D432)</f>
        <v>8.134291601716825</v>
      </c>
      <c r="AN413">
        <f xml:space="preserve"> LN([1]misc!G537)</f>
        <v>3.2945397287891902</v>
      </c>
      <c r="AO413">
        <f xml:space="preserve"> LN([1]misc!J443 + [1]misc!L443)</f>
        <v>4.0125016239943649</v>
      </c>
      <c r="AP413">
        <f xml:space="preserve"> [1]Factors!B413</f>
        <v>0.27210077500000002</v>
      </c>
      <c r="AQ413">
        <f xml:space="preserve"> [1]Factors!C413</f>
        <v>-9.5477803900000005E-2</v>
      </c>
      <c r="AR413">
        <f xml:space="preserve"> [1]Factors!D413</f>
        <v>6.3067595300000001E-2</v>
      </c>
      <c r="AS413">
        <f xml:space="preserve"> [1]Factors!E413</f>
        <v>0.100065664</v>
      </c>
      <c r="AT413">
        <f xml:space="preserve"> [1]Factors!F413</f>
        <v>0.106141476</v>
      </c>
    </row>
    <row r="414" spans="1:46" x14ac:dyDescent="0.25">
      <c r="A414">
        <f t="shared" si="31"/>
        <v>1993.3333333333076</v>
      </c>
      <c r="B414" s="1">
        <v>34090</v>
      </c>
      <c r="C414" s="7">
        <f t="shared" si="27"/>
        <v>1993</v>
      </c>
      <c r="D414" s="7">
        <f t="shared" si="28"/>
        <v>5</v>
      </c>
      <c r="E414" s="7">
        <f t="shared" si="29"/>
        <v>2</v>
      </c>
      <c r="F414">
        <f xml:space="preserve"> [1]Coibion_update!O420</f>
        <v>4.2042805942217454</v>
      </c>
      <c r="G414">
        <f xml:space="preserve"> [1]Coibion_update!P420</f>
        <v>7.1</v>
      </c>
      <c r="H414">
        <f xml:space="preserve"> [1]Coibion_update!Q420</f>
        <v>4.9712012248508488</v>
      </c>
      <c r="I414">
        <f xml:space="preserve"> [1]Coibion_update!W420</f>
        <v>3</v>
      </c>
      <c r="J414">
        <f xml:space="preserve"> [1]Coibion_update!X420</f>
        <v>5.460053489732883</v>
      </c>
      <c r="K414">
        <f xml:space="preserve"> [1]Coibion_update!Y420</f>
        <v>3.7267531065420179</v>
      </c>
      <c r="L414">
        <f xml:space="preserve"> [1]Coibion_update!Z420</f>
        <v>4.2123497954130054</v>
      </c>
      <c r="M414">
        <f xml:space="preserve"> [1]Coibion_update!AA420</f>
        <v>4.171938119327204</v>
      </c>
      <c r="N414">
        <f xml:space="preserve"> [1]Coibion_update!AB420</f>
        <v>0.33065349999999999</v>
      </c>
      <c r="O414">
        <f xml:space="preserve"> [1]Coibion_update!AC420</f>
        <v>-2.537847800000002</v>
      </c>
      <c r="P414">
        <f xml:space="preserve"> [1]Coibion_update!AD420</f>
        <v>-2.3865858999999978</v>
      </c>
      <c r="Q414">
        <f xml:space="preserve"> [1]Barakchian_Crowe!B293</f>
        <v>-0.51487110000000003</v>
      </c>
      <c r="R414">
        <f xml:space="preserve"> [1]Barakchian_Crowe!C293</f>
        <v>-6.3059620000000001</v>
      </c>
      <c r="S414">
        <f xml:space="preserve"> [1]Gertler_Karadi!C168</f>
        <v>-1.0831800000000001E-2</v>
      </c>
      <c r="T414">
        <f xml:space="preserve"> [1]Gertler_Karadi!D168</f>
        <v>-8.3870999999999998E-3</v>
      </c>
      <c r="U414">
        <f xml:space="preserve"> [1]Gertler_Karadi!E168</f>
        <v>-8.3870999999999998E-3</v>
      </c>
      <c r="V414">
        <f xml:space="preserve"> [1]Gertler_Karadi!F168</f>
        <v>-8.3870999999999998E-3</v>
      </c>
      <c r="W414">
        <f xml:space="preserve"> [1]Gertler_Karadi!G168</f>
        <v>-1.2580600000000001E-2</v>
      </c>
      <c r="X414" s="5">
        <f xml:space="preserve"> [1]misc!N497</f>
        <v>3.36</v>
      </c>
      <c r="Y414">
        <f xml:space="preserve"> [1]Gilchrist_Zak!C246</f>
        <v>-9.4000000000000004E-3</v>
      </c>
      <c r="Z414">
        <f xml:space="preserve"> [1]Sims_Zha!B417</f>
        <v>-0.16542000000000001</v>
      </c>
      <c r="AA414">
        <f xml:space="preserve"> [1]Coibion_update!AI420</f>
        <v>0.1540541</v>
      </c>
      <c r="AB414">
        <f t="shared" si="26"/>
        <v>-0.42820570000000013</v>
      </c>
      <c r="AC414">
        <v>0.1540541</v>
      </c>
      <c r="AD414">
        <v>-2.5829999999999999E-2</v>
      </c>
      <c r="AE414">
        <v>-0.01</v>
      </c>
      <c r="AF414">
        <v>-0.02</v>
      </c>
      <c r="AG414">
        <v>-0.02</v>
      </c>
      <c r="AH414">
        <v>-7.5846999999999998E-3</v>
      </c>
      <c r="AI414">
        <v>-8.9273000000000009E-3</v>
      </c>
      <c r="AJ414">
        <v>-7.4855E-3</v>
      </c>
      <c r="AK414">
        <v>3.02</v>
      </c>
      <c r="AL414">
        <f xml:space="preserve"> LN([1]misc!B433)</f>
        <v>6.9715747916950912</v>
      </c>
      <c r="AM414">
        <f xml:space="preserve"> LN([1]misc!D433)</f>
        <v>8.1417722046564496</v>
      </c>
      <c r="AN414">
        <f xml:space="preserve"> LN([1]misc!G538)</f>
        <v>3.2564798472655672</v>
      </c>
      <c r="AO414">
        <f xml:space="preserve"> LN([1]misc!J444 + [1]misc!L444)</f>
        <v>4.0348422270729927</v>
      </c>
      <c r="AP414">
        <f xml:space="preserve"> [1]Factors!B414</f>
        <v>-4.83995641E-2</v>
      </c>
      <c r="AQ414">
        <f xml:space="preserve"> [1]Factors!C414</f>
        <v>-3.8490974400000003E-2</v>
      </c>
      <c r="AR414">
        <f xml:space="preserve"> [1]Factors!D414</f>
        <v>3.39017479E-3</v>
      </c>
      <c r="AS414">
        <f xml:space="preserve"> [1]Factors!E414</f>
        <v>0.16513594200000001</v>
      </c>
      <c r="AT414">
        <f xml:space="preserve"> [1]Factors!F414</f>
        <v>-4.0937910899999999E-2</v>
      </c>
    </row>
    <row r="415" spans="1:46" x14ac:dyDescent="0.25">
      <c r="A415">
        <f t="shared" si="31"/>
        <v>1993.4166666666408</v>
      </c>
      <c r="B415" s="1">
        <v>34121</v>
      </c>
      <c r="C415" s="7">
        <f t="shared" si="27"/>
        <v>1993</v>
      </c>
      <c r="D415" s="7">
        <f t="shared" si="28"/>
        <v>6</v>
      </c>
      <c r="E415" s="7">
        <f t="shared" si="29"/>
        <v>2</v>
      </c>
      <c r="F415">
        <f xml:space="preserve"> [1]Coibion_update!O421</f>
        <v>4.2061438047179731</v>
      </c>
      <c r="G415">
        <f xml:space="preserve"> [1]Coibion_update!P421</f>
        <v>7</v>
      </c>
      <c r="H415">
        <f xml:space="preserve"> [1]Coibion_update!Q421</f>
        <v>4.9718944657798252</v>
      </c>
      <c r="I415">
        <f xml:space="preserve"> [1]Coibion_update!W421</f>
        <v>3.04</v>
      </c>
      <c r="J415">
        <f xml:space="preserve"> [1]Coibion_update!X421</f>
        <v>5.4525394723958245</v>
      </c>
      <c r="K415">
        <f xml:space="preserve"> [1]Coibion_update!Y421</f>
        <v>3.7187780044597996</v>
      </c>
      <c r="L415">
        <f xml:space="preserve"> [1]Coibion_update!Z421</f>
        <v>4.2097247132621733</v>
      </c>
      <c r="M415">
        <f xml:space="preserve"> [1]Coibion_update!AA421</f>
        <v>4.180185810433553</v>
      </c>
      <c r="N415">
        <f xml:space="preserve"> [1]Coibion_update!AB421</f>
        <v>0</v>
      </c>
      <c r="O415">
        <f xml:space="preserve"> [1]Coibion_update!AC421</f>
        <v>-2.537847800000002</v>
      </c>
      <c r="P415">
        <f xml:space="preserve"> [1]Coibion_update!AD421</f>
        <v>-2.3865858999999978</v>
      </c>
      <c r="Q415">
        <f xml:space="preserve"> [1]Barakchian_Crowe!B294</f>
        <v>0</v>
      </c>
      <c r="R415">
        <f xml:space="preserve"> [1]Barakchian_Crowe!C294</f>
        <v>-6.3059620000000001</v>
      </c>
      <c r="S415">
        <f xml:space="preserve"> [1]Gertler_Karadi!C169</f>
        <v>-1.49982E-2</v>
      </c>
      <c r="T415">
        <f xml:space="preserve"> [1]Gertler_Karadi!D169</f>
        <v>-1.1612900000000001E-2</v>
      </c>
      <c r="U415">
        <f xml:space="preserve"> [1]Gertler_Karadi!E169</f>
        <v>-1.1612900000000001E-2</v>
      </c>
      <c r="V415">
        <f xml:space="preserve"> [1]Gertler_Karadi!F169</f>
        <v>-1.1612900000000001E-2</v>
      </c>
      <c r="W415">
        <f xml:space="preserve"> [1]Gertler_Karadi!G169</f>
        <v>-1.7419299999999999E-2</v>
      </c>
      <c r="X415" s="5">
        <f xml:space="preserve"> [1]misc!N498</f>
        <v>3.54</v>
      </c>
      <c r="Y415">
        <f xml:space="preserve"> [1]Gilchrist_Zak!C247</f>
        <v>-9.1300000000000006E-2</v>
      </c>
      <c r="Z415">
        <f xml:space="preserve"> [1]Sims_Zha!B418</f>
        <v>1.1287</v>
      </c>
      <c r="AA415">
        <f xml:space="preserve"> [1]Coibion_update!AI421</f>
        <v>0</v>
      </c>
      <c r="AB415">
        <f t="shared" si="26"/>
        <v>-0.42820570000000013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3.92</v>
      </c>
      <c r="AL415">
        <f xml:space="preserve"> LN([1]misc!B434)</f>
        <v>6.9801689594911824</v>
      </c>
      <c r="AM415">
        <f xml:space="preserve"> LN([1]misc!D434)</f>
        <v>8.1433720886425345</v>
      </c>
      <c r="AN415">
        <f xml:space="preserve"> LN([1]misc!G539)</f>
        <v>3.2751049181346312</v>
      </c>
      <c r="AO415">
        <f xml:space="preserve"> LN([1]misc!J445 + [1]misc!L445)</f>
        <v>4.0413832107338532</v>
      </c>
      <c r="AP415">
        <f xml:space="preserve"> [1]Factors!B415</f>
        <v>0.122501922</v>
      </c>
      <c r="AQ415">
        <f xml:space="preserve"> [1]Factors!C415</f>
        <v>-7.1141923400000001E-2</v>
      </c>
      <c r="AR415">
        <f xml:space="preserve"> [1]Factors!D415</f>
        <v>-4.0580755000000003E-2</v>
      </c>
      <c r="AS415">
        <f xml:space="preserve"> [1]Factors!E415</f>
        <v>1.18267531E-2</v>
      </c>
      <c r="AT415">
        <f xml:space="preserve"> [1]Factors!F415</f>
        <v>7.3835896400000003E-2</v>
      </c>
    </row>
    <row r="416" spans="1:46" x14ac:dyDescent="0.25">
      <c r="A416">
        <f t="shared" si="31"/>
        <v>1993.4999999999741</v>
      </c>
      <c r="B416" s="1">
        <v>34151</v>
      </c>
      <c r="C416" s="7">
        <f t="shared" si="27"/>
        <v>1993</v>
      </c>
      <c r="D416" s="7">
        <f t="shared" si="28"/>
        <v>7</v>
      </c>
      <c r="E416" s="7">
        <f t="shared" si="29"/>
        <v>3</v>
      </c>
      <c r="F416">
        <f xml:space="preserve"> [1]Coibion_update!O422</f>
        <v>4.2092835574267493</v>
      </c>
      <c r="G416">
        <f xml:space="preserve"> [1]Coibion_update!P422</f>
        <v>6.9</v>
      </c>
      <c r="H416">
        <f xml:space="preserve"> [1]Coibion_update!Q422</f>
        <v>4.9732795075524869</v>
      </c>
      <c r="I416">
        <f xml:space="preserve"> [1]Coibion_update!W422</f>
        <v>3.06</v>
      </c>
      <c r="J416">
        <f xml:space="preserve"> [1]Coibion_update!X422</f>
        <v>5.4615410476500506</v>
      </c>
      <c r="K416">
        <f xml:space="preserve"> [1]Coibion_update!Y422</f>
        <v>3.7351903569771867</v>
      </c>
      <c r="L416">
        <f xml:space="preserve"> [1]Coibion_update!Z422</f>
        <v>4.2168423916757805</v>
      </c>
      <c r="M416">
        <f xml:space="preserve"> [1]Coibion_update!AA422</f>
        <v>4.1819585353919555</v>
      </c>
      <c r="N416">
        <f xml:space="preserve"> [1]Coibion_update!AB422</f>
        <v>3.5270599999999999E-2</v>
      </c>
      <c r="O416">
        <f xml:space="preserve"> [1]Coibion_update!AC422</f>
        <v>-2.5025772000000019</v>
      </c>
      <c r="P416">
        <f xml:space="preserve"> [1]Coibion_update!AD422</f>
        <v>-2.3738806999999977</v>
      </c>
      <c r="Q416">
        <f xml:space="preserve"> [1]Barakchian_Crowe!B295</f>
        <v>9.6494999999999997E-2</v>
      </c>
      <c r="R416">
        <f xml:space="preserve"> [1]Barakchian_Crowe!C295</f>
        <v>-6.2094659999999999</v>
      </c>
      <c r="S416">
        <f xml:space="preserve"> [1]Gertler_Karadi!C170</f>
        <v>2.0872100000000001E-2</v>
      </c>
      <c r="T416">
        <f xml:space="preserve"> [1]Gertler_Karadi!D170</f>
        <v>0</v>
      </c>
      <c r="U416">
        <f xml:space="preserve"> [1]Gertler_Karadi!E170</f>
        <v>-7.7419000000000003E-3</v>
      </c>
      <c r="V416">
        <f xml:space="preserve"> [1]Gertler_Karadi!F170</f>
        <v>0</v>
      </c>
      <c r="W416">
        <f xml:space="preserve"> [1]Gertler_Karadi!G170</f>
        <v>0</v>
      </c>
      <c r="X416" s="5">
        <f xml:space="preserve"> [1]misc!N499</f>
        <v>3.47</v>
      </c>
      <c r="Y416">
        <f xml:space="preserve"> [1]Gilchrist_Zak!C248</f>
        <v>-9.8100000000000007E-2</v>
      </c>
      <c r="Z416">
        <f xml:space="preserve"> [1]Sims_Zha!B419</f>
        <v>0.11726</v>
      </c>
      <c r="AA416">
        <f xml:space="preserve"> [1]Coibion_update!AI422</f>
        <v>-4.4038599999999997E-2</v>
      </c>
      <c r="AB416">
        <f t="shared" si="26"/>
        <v>-0.47224430000000012</v>
      </c>
      <c r="AC416">
        <v>-4.4038599999999997E-2</v>
      </c>
      <c r="AD416">
        <v>2.6960000000000001E-2</v>
      </c>
      <c r="AE416">
        <v>0.02</v>
      </c>
      <c r="AF416">
        <v>0</v>
      </c>
      <c r="AG416">
        <v>-0.01</v>
      </c>
      <c r="AH416">
        <v>7.2310999999999999E-3</v>
      </c>
      <c r="AI416">
        <v>3.4573999999999998E-3</v>
      </c>
      <c r="AJ416">
        <v>-2.6689999999999999E-3</v>
      </c>
      <c r="AK416">
        <v>3.07</v>
      </c>
      <c r="AL416">
        <f xml:space="preserve"> LN([1]misc!B435)</f>
        <v>6.98896653440696</v>
      </c>
      <c r="AM416">
        <f xml:space="preserve"> LN([1]misc!D435)</f>
        <v>8.1432267503674449</v>
      </c>
      <c r="AN416">
        <f xml:space="preserve"> LN([1]misc!G540)</f>
        <v>3.2780499835066212</v>
      </c>
      <c r="AO416">
        <f xml:space="preserve"> LN([1]misc!J446 + [1]misc!L446)</f>
        <v>4.0515414398967913</v>
      </c>
      <c r="AP416">
        <f xml:space="preserve"> [1]Factors!B416</f>
        <v>0.16833350999999999</v>
      </c>
      <c r="AQ416">
        <f xml:space="preserve"> [1]Factors!C416</f>
        <v>-0.23919369300000001</v>
      </c>
      <c r="AR416">
        <f xml:space="preserve"> [1]Factors!D416</f>
        <v>2.8475193400000001E-2</v>
      </c>
      <c r="AS416">
        <f xml:space="preserve"> [1]Factors!E416</f>
        <v>-0.14869117800000001</v>
      </c>
      <c r="AT416">
        <f xml:space="preserve"> [1]Factors!F416</f>
        <v>-6.4095454299999993E-2</v>
      </c>
    </row>
    <row r="417" spans="1:46" x14ac:dyDescent="0.25">
      <c r="A417">
        <f t="shared" si="31"/>
        <v>1993.5833333333073</v>
      </c>
      <c r="B417" s="1">
        <v>34182</v>
      </c>
      <c r="C417" s="7">
        <f t="shared" si="27"/>
        <v>1993</v>
      </c>
      <c r="D417" s="7">
        <f t="shared" si="28"/>
        <v>8</v>
      </c>
      <c r="E417" s="7">
        <f t="shared" si="29"/>
        <v>3</v>
      </c>
      <c r="F417">
        <f xml:space="preserve"> [1]Coibion_update!O423</f>
        <v>4.2083099495532492</v>
      </c>
      <c r="G417">
        <f xml:space="preserve"> [1]Coibion_update!P423</f>
        <v>6.8</v>
      </c>
      <c r="H417">
        <f xml:space="preserve"> [1]Coibion_update!Q423</f>
        <v>4.9753534799516164</v>
      </c>
      <c r="I417">
        <f xml:space="preserve"> [1]Coibion_update!W423</f>
        <v>3.03</v>
      </c>
      <c r="J417">
        <f xml:space="preserve"> [1]Coibion_update!X423</f>
        <v>5.4636199181723963</v>
      </c>
      <c r="K417">
        <f xml:space="preserve"> [1]Coibion_update!Y423</f>
        <v>3.7211288083294329</v>
      </c>
      <c r="L417">
        <f xml:space="preserve"> [1]Coibion_update!Z423</f>
        <v>4.2145986164699192</v>
      </c>
      <c r="M417">
        <f xml:space="preserve"> [1]Coibion_update!AA423</f>
        <v>4.1871212323691092</v>
      </c>
      <c r="N417">
        <f xml:space="preserve"> [1]Coibion_update!AB423</f>
        <v>6.8245700000000006E-2</v>
      </c>
      <c r="O417">
        <f xml:space="preserve"> [1]Coibion_update!AC423</f>
        <v>-2.4343315000000021</v>
      </c>
      <c r="P417">
        <f xml:space="preserve"> [1]Coibion_update!AD423</f>
        <v>-2.3267187999999979</v>
      </c>
      <c r="Q417">
        <f xml:space="preserve"> [1]Barakchian_Crowe!B296</f>
        <v>0.17742050000000001</v>
      </c>
      <c r="R417">
        <f xml:space="preserve"> [1]Barakchian_Crowe!C296</f>
        <v>-6.0320460000000002</v>
      </c>
      <c r="S417">
        <f xml:space="preserve"> [1]Gertler_Karadi!C171</f>
        <v>6.0878E-3</v>
      </c>
      <c r="T417">
        <f xml:space="preserve"> [1]Gertler_Karadi!D171</f>
        <v>4.5161000000000003E-3</v>
      </c>
      <c r="U417">
        <f xml:space="preserve"> [1]Gertler_Karadi!E171</f>
        <v>6.7742000000000002E-3</v>
      </c>
      <c r="V417">
        <f xml:space="preserve"> [1]Gertler_Karadi!F171</f>
        <v>0</v>
      </c>
      <c r="W417">
        <f xml:space="preserve"> [1]Gertler_Karadi!G171</f>
        <v>9.0322000000000006E-3</v>
      </c>
      <c r="X417" s="5">
        <f xml:space="preserve"> [1]misc!N500</f>
        <v>3.44</v>
      </c>
      <c r="Y417">
        <f xml:space="preserve"> [1]Gilchrist_Zak!C249</f>
        <v>-0.12590000000000001</v>
      </c>
      <c r="Z417">
        <f xml:space="preserve"> [1]Sims_Zha!B420</f>
        <v>0.1158</v>
      </c>
      <c r="AA417">
        <f xml:space="preserve"> [1]Coibion_update!AI423</f>
        <v>-3.3746900000000003E-2</v>
      </c>
      <c r="AB417">
        <f t="shared" si="26"/>
        <v>-0.50599120000000009</v>
      </c>
      <c r="AC417">
        <v>-3.3746900000000003E-2</v>
      </c>
      <c r="AD417">
        <v>0</v>
      </c>
      <c r="AE417">
        <v>0</v>
      </c>
      <c r="AF417">
        <v>0.01</v>
      </c>
      <c r="AG417">
        <v>0.02</v>
      </c>
      <c r="AH417">
        <v>-4.9109999999999996E-3</v>
      </c>
      <c r="AI417">
        <v>1.79817E-2</v>
      </c>
      <c r="AJ417">
        <v>2.70637E-2</v>
      </c>
      <c r="AK417">
        <v>3.19</v>
      </c>
      <c r="AL417">
        <f xml:space="preserve"> LN([1]misc!B436)</f>
        <v>6.9977787816297257</v>
      </c>
      <c r="AM417">
        <f xml:space="preserve"> LN([1]misc!D436)</f>
        <v>8.1442727147837992</v>
      </c>
      <c r="AN417">
        <f xml:space="preserve"> LN([1]misc!G541)</f>
        <v>3.2795192700368867</v>
      </c>
      <c r="AO417">
        <f xml:space="preserve"> LN([1]misc!J447 + [1]misc!L447)</f>
        <v>4.0575422556979959</v>
      </c>
      <c r="AP417">
        <f xml:space="preserve"> [1]Factors!B417</f>
        <v>5.9288706400000002E-3</v>
      </c>
      <c r="AQ417">
        <f xml:space="preserve"> [1]Factors!C417</f>
        <v>-0.218395372</v>
      </c>
      <c r="AR417">
        <f xml:space="preserve"> [1]Factors!D417</f>
        <v>-8.4752065599999996E-2</v>
      </c>
      <c r="AS417">
        <f xml:space="preserve"> [1]Factors!E417</f>
        <v>-4.9405762800000001E-3</v>
      </c>
      <c r="AT417">
        <f xml:space="preserve"> [1]Factors!F417</f>
        <v>-8.05471304E-2</v>
      </c>
    </row>
    <row r="418" spans="1:46" x14ac:dyDescent="0.25">
      <c r="A418">
        <f t="shared" si="31"/>
        <v>1993.6666666666406</v>
      </c>
      <c r="B418" s="1">
        <v>34213</v>
      </c>
      <c r="C418" s="7">
        <f t="shared" si="27"/>
        <v>1993</v>
      </c>
      <c r="D418" s="7">
        <f t="shared" si="28"/>
        <v>9</v>
      </c>
      <c r="E418" s="7">
        <f t="shared" si="29"/>
        <v>3</v>
      </c>
      <c r="F418">
        <f xml:space="preserve"> [1]Coibion_update!O424</f>
        <v>4.2131285782119523</v>
      </c>
      <c r="G418">
        <f xml:space="preserve"> [1]Coibion_update!P424</f>
        <v>6.7</v>
      </c>
      <c r="H418">
        <f xml:space="preserve"> [1]Coibion_update!Q424</f>
        <v>4.9767337424205742</v>
      </c>
      <c r="I418">
        <f xml:space="preserve"> [1]Coibion_update!W424</f>
        <v>3.09</v>
      </c>
      <c r="J418">
        <f xml:space="preserve"> [1]Coibion_update!X424</f>
        <v>5.4618382938782739</v>
      </c>
      <c r="K418">
        <f xml:space="preserve"> [1]Coibion_update!Y424</f>
        <v>3.7327767151511195</v>
      </c>
      <c r="L418">
        <f xml:space="preserve"> [1]Coibion_update!Z424</f>
        <v>4.2236754785185067</v>
      </c>
      <c r="M418">
        <f xml:space="preserve"> [1]Coibion_update!AA424</f>
        <v>4.1903817504190428</v>
      </c>
      <c r="N418">
        <f xml:space="preserve"> [1]Coibion_update!AB424</f>
        <v>0.1846016</v>
      </c>
      <c r="O418">
        <f xml:space="preserve"> [1]Coibion_update!AC424</f>
        <v>-2.2497299000000019</v>
      </c>
      <c r="P418">
        <f xml:space="preserve"> [1]Coibion_update!AD424</f>
        <v>-2.1681071999999979</v>
      </c>
      <c r="Q418">
        <f xml:space="preserve"> [1]Barakchian_Crowe!B297</f>
        <v>9.4637100000000002E-2</v>
      </c>
      <c r="R418">
        <f xml:space="preserve"> [1]Barakchian_Crowe!C297</f>
        <v>-5.9374089999999997</v>
      </c>
      <c r="S418">
        <f xml:space="preserve"> [1]Gertler_Karadi!C172</f>
        <v>0</v>
      </c>
      <c r="T418">
        <f xml:space="preserve"> [1]Gertler_Karadi!D172</f>
        <v>8.4839000000000008E-3</v>
      </c>
      <c r="U418">
        <f xml:space="preserve"> [1]Gertler_Karadi!E172</f>
        <v>1.09677E-2</v>
      </c>
      <c r="V418">
        <f xml:space="preserve"> [1]Gertler_Karadi!F172</f>
        <v>-3.0000000000000001E-3</v>
      </c>
      <c r="W418">
        <f xml:space="preserve"> [1]Gertler_Karadi!G172</f>
        <v>4.9677000000000002E-3</v>
      </c>
      <c r="X418" s="5">
        <f xml:space="preserve"> [1]misc!N501</f>
        <v>3.36</v>
      </c>
      <c r="Y418">
        <f xml:space="preserve"> [1]Gilchrist_Zak!C250</f>
        <v>-3.7600000000000001E-2</v>
      </c>
      <c r="Z418">
        <f xml:space="preserve"> [1]Sims_Zha!B421</f>
        <v>0.72563999999999995</v>
      </c>
      <c r="AA418">
        <f xml:space="preserve"> [1]Coibion_update!AI424</f>
        <v>4.4135199999999999E-2</v>
      </c>
      <c r="AB418">
        <f t="shared" si="26"/>
        <v>-0.4618560000000001</v>
      </c>
      <c r="AC418">
        <v>4.4135199999999999E-2</v>
      </c>
      <c r="AD418">
        <v>0</v>
      </c>
      <c r="AE418">
        <v>0</v>
      </c>
      <c r="AF418">
        <v>0.01</v>
      </c>
      <c r="AG418">
        <v>0</v>
      </c>
      <c r="AH418">
        <v>8.4072000000000001E-3</v>
      </c>
      <c r="AI418">
        <v>2.5862199999999998E-2</v>
      </c>
      <c r="AJ418">
        <v>-1.06391E-2</v>
      </c>
      <c r="AK418">
        <v>3.99</v>
      </c>
      <c r="AL418">
        <f xml:space="preserve"> LN([1]misc!B437)</f>
        <v>7.0068763698499446</v>
      </c>
      <c r="AM418">
        <f xml:space="preserve"> LN([1]misc!D437)</f>
        <v>8.1461584951125801</v>
      </c>
      <c r="AN418">
        <f xml:space="preserve"> LN([1]misc!G542)</f>
        <v>3.3060438562535568</v>
      </c>
      <c r="AO418">
        <f xml:space="preserve"> LN([1]misc!J448 + [1]misc!L448)</f>
        <v>4.0680690308098377</v>
      </c>
      <c r="AP418">
        <f xml:space="preserve"> [1]Factors!B418</f>
        <v>0.15071779900000001</v>
      </c>
      <c r="AQ418">
        <f xml:space="preserve"> [1]Factors!C418</f>
        <v>-0.16026216600000001</v>
      </c>
      <c r="AR418">
        <f xml:space="preserve"> [1]Factors!D418</f>
        <v>-6.5813925400000001E-2</v>
      </c>
      <c r="AS418">
        <f xml:space="preserve"> [1]Factors!E418</f>
        <v>3.3553179400000001E-2</v>
      </c>
      <c r="AT418">
        <f xml:space="preserve"> [1]Factors!F418</f>
        <v>3.03937316E-3</v>
      </c>
    </row>
    <row r="419" spans="1:46" x14ac:dyDescent="0.25">
      <c r="A419">
        <f t="shared" si="31"/>
        <v>1993.7499999999739</v>
      </c>
      <c r="B419" s="1">
        <v>34243</v>
      </c>
      <c r="C419" s="7">
        <f t="shared" si="27"/>
        <v>1993</v>
      </c>
      <c r="D419" s="7">
        <f t="shared" si="28"/>
        <v>10</v>
      </c>
      <c r="E419" s="7">
        <f t="shared" si="29"/>
        <v>4</v>
      </c>
      <c r="F419">
        <f xml:space="preserve"> [1]Coibion_update!O425</f>
        <v>4.2206658577877993</v>
      </c>
      <c r="G419">
        <f xml:space="preserve"> [1]Coibion_update!P425</f>
        <v>6.8</v>
      </c>
      <c r="H419">
        <f xml:space="preserve"> [1]Coibion_update!Q425</f>
        <v>4.9808631357625854</v>
      </c>
      <c r="I419">
        <f xml:space="preserve"> [1]Coibion_update!W425</f>
        <v>2.99</v>
      </c>
      <c r="J419">
        <f xml:space="preserve"> [1]Coibion_update!X425</f>
        <v>5.4705885874884901</v>
      </c>
      <c r="K419">
        <f xml:space="preserve"> [1]Coibion_update!Y425</f>
        <v>3.7451416331220693</v>
      </c>
      <c r="L419">
        <f xml:space="preserve"> [1]Coibion_update!Z425</f>
        <v>4.2214176447855767</v>
      </c>
      <c r="M419">
        <f xml:space="preserve"> [1]Coibion_update!AA425</f>
        <v>4.1913502734971733</v>
      </c>
      <c r="N419">
        <f xml:space="preserve"> [1]Coibion_update!AB425</f>
        <v>0</v>
      </c>
      <c r="O419">
        <f xml:space="preserve"> [1]Coibion_update!AC425</f>
        <v>-2.2497299000000019</v>
      </c>
      <c r="P419">
        <f xml:space="preserve"> [1]Coibion_update!AD425</f>
        <v>-2.1681071999999979</v>
      </c>
      <c r="Q419">
        <f xml:space="preserve"> [1]Barakchian_Crowe!B298</f>
        <v>0</v>
      </c>
      <c r="R419">
        <f xml:space="preserve"> [1]Barakchian_Crowe!C298</f>
        <v>-5.9374089999999997</v>
      </c>
      <c r="S419">
        <f xml:space="preserve"> [1]Gertler_Karadi!C173</f>
        <v>0</v>
      </c>
      <c r="T419">
        <f xml:space="preserve"> [1]Gertler_Karadi!D173</f>
        <v>7.0000000000000001E-3</v>
      </c>
      <c r="U419">
        <f xml:space="preserve"> [1]Gertler_Karadi!E173</f>
        <v>0</v>
      </c>
      <c r="V419">
        <f xml:space="preserve"> [1]Gertler_Karadi!F173</f>
        <v>-7.0000000000000001E-3</v>
      </c>
      <c r="W419">
        <f xml:space="preserve"> [1]Gertler_Karadi!G173</f>
        <v>-1.3999899999999999E-2</v>
      </c>
      <c r="X419" s="5">
        <f xml:space="preserve"> [1]misc!N502</f>
        <v>3.39</v>
      </c>
      <c r="Y419">
        <f xml:space="preserve"> [1]Gilchrist_Zak!C251</f>
        <v>-0.1111</v>
      </c>
      <c r="Z419">
        <f xml:space="preserve"> [1]Sims_Zha!B422</f>
        <v>-0.26668999999999998</v>
      </c>
      <c r="AA419">
        <f xml:space="preserve"> [1]Coibion_update!AI425</f>
        <v>0</v>
      </c>
      <c r="AB419">
        <f t="shared" si="26"/>
        <v>-0.4618560000000001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3.03</v>
      </c>
      <c r="AL419">
        <f xml:space="preserve"> LN([1]misc!B438)</f>
        <v>7.0149041944991799</v>
      </c>
      <c r="AM419">
        <f xml:space="preserve"> LN([1]misc!D438)</f>
        <v>8.1474330079288499</v>
      </c>
      <c r="AN419">
        <f xml:space="preserve"> LN([1]misc!G543)</f>
        <v>3.3420487533644998</v>
      </c>
      <c r="AO419">
        <f xml:space="preserve"> LN([1]misc!J449 + [1]misc!L449)</f>
        <v>4.0827610651453519</v>
      </c>
      <c r="AP419">
        <f xml:space="preserve"> [1]Factors!B419</f>
        <v>-2.7066441200000002E-3</v>
      </c>
      <c r="AQ419">
        <f xml:space="preserve"> [1]Factors!C419</f>
        <v>-0.203141932</v>
      </c>
      <c r="AR419">
        <f xml:space="preserve"> [1]Factors!D419</f>
        <v>-0.11218196800000001</v>
      </c>
      <c r="AS419">
        <f xml:space="preserve"> [1]Factors!E419</f>
        <v>0.13050109600000001</v>
      </c>
      <c r="AT419">
        <f xml:space="preserve"> [1]Factors!F419</f>
        <v>-6.8716561900000001E-2</v>
      </c>
    </row>
    <row r="420" spans="1:46" x14ac:dyDescent="0.25">
      <c r="A420">
        <f t="shared" si="31"/>
        <v>1993.8333333333071</v>
      </c>
      <c r="B420" s="1">
        <v>34274</v>
      </c>
      <c r="C420" s="7">
        <f t="shared" si="27"/>
        <v>1993</v>
      </c>
      <c r="D420" s="7">
        <f t="shared" si="28"/>
        <v>11</v>
      </c>
      <c r="E420" s="7">
        <f t="shared" si="29"/>
        <v>4</v>
      </c>
      <c r="F420">
        <f xml:space="preserve"> [1]Coibion_update!O426</f>
        <v>4.2248083378504377</v>
      </c>
      <c r="G420">
        <f xml:space="preserve"> [1]Coibion_update!P426</f>
        <v>6.6</v>
      </c>
      <c r="H420">
        <f xml:space="preserve"> [1]Coibion_update!Q426</f>
        <v>4.9836066217083363</v>
      </c>
      <c r="I420">
        <f xml:space="preserve"> [1]Coibion_update!W426</f>
        <v>3.02</v>
      </c>
      <c r="J420">
        <f xml:space="preserve"> [1]Coibion_update!X426</f>
        <v>5.4872006811771321</v>
      </c>
      <c r="K420">
        <f xml:space="preserve"> [1]Coibion_update!Y426</f>
        <v>3.7527458744423501</v>
      </c>
      <c r="L420">
        <f xml:space="preserve"> [1]Coibion_update!Z426</f>
        <v>4.2263080596744613</v>
      </c>
      <c r="M420">
        <f xml:space="preserve"> [1]Coibion_update!AA426</f>
        <v>4.1924840690365848</v>
      </c>
      <c r="N420">
        <f xml:space="preserve"> [1]Coibion_update!AB426</f>
        <v>-4.5006299999999999E-2</v>
      </c>
      <c r="O420">
        <f xml:space="preserve"> [1]Coibion_update!AC426</f>
        <v>-2.2947362000000018</v>
      </c>
      <c r="P420">
        <f xml:space="preserve"> [1]Coibion_update!AD426</f>
        <v>-2.2521793999999979</v>
      </c>
      <c r="Q420">
        <f xml:space="preserve"> [1]Barakchian_Crowe!B299</f>
        <v>4.4044100000000003E-2</v>
      </c>
      <c r="R420">
        <f xml:space="preserve"> [1]Barakchian_Crowe!C299</f>
        <v>-5.8933650000000002</v>
      </c>
      <c r="S420">
        <f xml:space="preserve"> [1]Gertler_Karadi!C174</f>
        <v>1.0770800000000001E-2</v>
      </c>
      <c r="T420">
        <f xml:space="preserve"> [1]Gertler_Karadi!D174</f>
        <v>0</v>
      </c>
      <c r="U420">
        <f xml:space="preserve"> [1]Gertler_Karadi!E174</f>
        <v>0</v>
      </c>
      <c r="V420">
        <f xml:space="preserve"> [1]Gertler_Karadi!F174</f>
        <v>0</v>
      </c>
      <c r="W420">
        <f xml:space="preserve"> [1]Gertler_Karadi!G174</f>
        <v>0</v>
      </c>
      <c r="X420" s="5">
        <f xml:space="preserve"> [1]misc!N503</f>
        <v>3.58</v>
      </c>
      <c r="Y420">
        <f xml:space="preserve"> [1]Gilchrist_Zak!C252</f>
        <v>-0.16930000000000001</v>
      </c>
      <c r="Z420">
        <f xml:space="preserve"> [1]Sims_Zha!B423</f>
        <v>-0.41716999999999999</v>
      </c>
      <c r="AA420">
        <f xml:space="preserve"> [1]Coibion_update!AI426</f>
        <v>-0.15888450000000001</v>
      </c>
      <c r="AB420">
        <f t="shared" ref="AB420:AB483" si="32" xml:space="preserve"> AB419 + AA420</f>
        <v>-0.62074050000000014</v>
      </c>
      <c r="AC420">
        <v>-0.15888450000000001</v>
      </c>
      <c r="AD420">
        <v>2.308E-2</v>
      </c>
      <c r="AE420">
        <v>0.01</v>
      </c>
      <c r="AF420">
        <v>0</v>
      </c>
      <c r="AG420">
        <v>0</v>
      </c>
      <c r="AH420">
        <v>-5.9419E-3</v>
      </c>
      <c r="AI420">
        <v>-9.7023999999999999E-3</v>
      </c>
      <c r="AJ420">
        <v>-1.36355E-2</v>
      </c>
      <c r="AK420">
        <v>3.16</v>
      </c>
      <c r="AL420">
        <f xml:space="preserve"> LN([1]misc!B439)</f>
        <v>7.0247379944677517</v>
      </c>
      <c r="AM420">
        <f xml:space="preserve"> LN([1]misc!D439)</f>
        <v>8.1513333379004322</v>
      </c>
      <c r="AN420">
        <f xml:space="preserve"> LN([1]misc!G544)</f>
        <v>3.3679163270934933</v>
      </c>
      <c r="AO420">
        <f xml:space="preserve"> LN([1]misc!J450 + [1]misc!L450)</f>
        <v>4.0979214907124435</v>
      </c>
      <c r="AP420">
        <f xml:space="preserve"> [1]Factors!B420</f>
        <v>-0.16933448800000001</v>
      </c>
      <c r="AQ420">
        <f xml:space="preserve"> [1]Factors!C420</f>
        <v>7.9529934499999993E-3</v>
      </c>
      <c r="AR420">
        <f xml:space="preserve"> [1]Factors!D420</f>
        <v>9.27001977E-2</v>
      </c>
      <c r="AS420">
        <f xml:space="preserve"> [1]Factors!E420</f>
        <v>9.8014957200000002E-2</v>
      </c>
      <c r="AT420">
        <f xml:space="preserve"> [1]Factors!F420</f>
        <v>-8.4958834900000002E-2</v>
      </c>
    </row>
    <row r="421" spans="1:46" x14ac:dyDescent="0.25">
      <c r="A421">
        <f t="shared" si="31"/>
        <v>1993.9166666666404</v>
      </c>
      <c r="B421" s="1">
        <v>34304</v>
      </c>
      <c r="C421" s="7">
        <f t="shared" si="27"/>
        <v>1993</v>
      </c>
      <c r="D421" s="7">
        <f t="shared" si="28"/>
        <v>12</v>
      </c>
      <c r="E421" s="7">
        <f t="shared" si="29"/>
        <v>4</v>
      </c>
      <c r="F421">
        <f xml:space="preserve"> [1]Coibion_update!O427</f>
        <v>4.2300999382944076</v>
      </c>
      <c r="G421">
        <f xml:space="preserve"> [1]Coibion_update!P427</f>
        <v>6.5</v>
      </c>
      <c r="H421">
        <f xml:space="preserve"> [1]Coibion_update!Q427</f>
        <v>4.9856593080260785</v>
      </c>
      <c r="I421">
        <f xml:space="preserve"> [1]Coibion_update!W427</f>
        <v>2.96</v>
      </c>
      <c r="J421">
        <f xml:space="preserve"> [1]Coibion_update!X427</f>
        <v>5.5032154775208966</v>
      </c>
      <c r="K421">
        <f xml:space="preserve"> [1]Coibion_update!Y427</f>
        <v>3.7624783681481286</v>
      </c>
      <c r="L421">
        <f xml:space="preserve"> [1]Coibion_update!Z427</f>
        <v>4.2282050673498279</v>
      </c>
      <c r="M421">
        <f xml:space="preserve"> [1]Coibion_update!AA427</f>
        <v>4.1954108709569038</v>
      </c>
      <c r="N421">
        <f xml:space="preserve"> [1]Coibion_update!AB427</f>
        <v>-0.13331119999999999</v>
      </c>
      <c r="O421">
        <f xml:space="preserve"> [1]Coibion_update!AC427</f>
        <v>-2.4280474000000019</v>
      </c>
      <c r="P421">
        <f xml:space="preserve"> [1]Coibion_update!AD427</f>
        <v>-2.4145505999999979</v>
      </c>
      <c r="Q421">
        <f xml:space="preserve"> [1]Barakchian_Crowe!B300</f>
        <v>0.1056618</v>
      </c>
      <c r="R421">
        <f xml:space="preserve"> [1]Barakchian_Crowe!C300</f>
        <v>-5.7877029999999996</v>
      </c>
      <c r="S421">
        <f xml:space="preserve"> [1]Gertler_Karadi!C175</f>
        <v>1.23093E-2</v>
      </c>
      <c r="T421">
        <f xml:space="preserve"> [1]Gertler_Karadi!D175</f>
        <v>-3.2258E-3</v>
      </c>
      <c r="U421">
        <f xml:space="preserve"> [1]Gertler_Karadi!E175</f>
        <v>0</v>
      </c>
      <c r="V421">
        <f xml:space="preserve"> [1]Gertler_Karadi!F175</f>
        <v>0</v>
      </c>
      <c r="W421">
        <f xml:space="preserve"> [1]Gertler_Karadi!G175</f>
        <v>-2.58064E-2</v>
      </c>
      <c r="X421" s="5">
        <f xml:space="preserve"> [1]misc!N504</f>
        <v>3.61</v>
      </c>
      <c r="Y421">
        <f xml:space="preserve"> [1]Gilchrist_Zak!C253</f>
        <v>-0.19989999999999999</v>
      </c>
      <c r="Z421">
        <f xml:space="preserve"> [1]Sims_Zha!B424</f>
        <v>-0.93964999999999999</v>
      </c>
      <c r="AA421">
        <f xml:space="preserve"> [1]Coibion_update!AI427</f>
        <v>-0.3139902</v>
      </c>
      <c r="AB421">
        <f t="shared" si="32"/>
        <v>-0.93473070000000014</v>
      </c>
      <c r="AC421">
        <v>-0.3139902</v>
      </c>
      <c r="AD421">
        <v>0</v>
      </c>
      <c r="AE421">
        <v>0</v>
      </c>
      <c r="AF421">
        <v>-0.01</v>
      </c>
      <c r="AG421">
        <v>0</v>
      </c>
      <c r="AH421">
        <v>-4.60531E-2</v>
      </c>
      <c r="AI421">
        <v>-5.2294300000000002E-2</v>
      </c>
      <c r="AJ421">
        <v>-4.7501099999999997E-2</v>
      </c>
      <c r="AK421">
        <v>2.85</v>
      </c>
      <c r="AL421">
        <f xml:space="preserve"> LN([1]misc!B440)</f>
        <v>7.0296188667389776</v>
      </c>
      <c r="AM421">
        <f xml:space="preserve"> LN([1]misc!D440)</f>
        <v>8.1526012765176521</v>
      </c>
      <c r="AN421">
        <f xml:space="preserve"> LN([1]misc!G545)</f>
        <v>3.3796332037463146</v>
      </c>
      <c r="AO421">
        <f xml:space="preserve"> LN([1]misc!J451 + [1]misc!L451)</f>
        <v>4.1023954004118117</v>
      </c>
      <c r="AP421">
        <f xml:space="preserve"> [1]Factors!B421</f>
        <v>-0.12681039899999999</v>
      </c>
      <c r="AQ421">
        <f xml:space="preserve"> [1]Factors!C421</f>
        <v>-0.13591931099999999</v>
      </c>
      <c r="AR421">
        <f xml:space="preserve"> [1]Factors!D421</f>
        <v>0.144535574</v>
      </c>
      <c r="AS421">
        <f xml:space="preserve"> [1]Factors!E421</f>
        <v>-0.14134775999999999</v>
      </c>
      <c r="AT421">
        <f xml:space="preserve"> [1]Factors!F421</f>
        <v>-7.2311946500000002E-2</v>
      </c>
    </row>
    <row r="422" spans="1:46" x14ac:dyDescent="0.25">
      <c r="A422">
        <f t="shared" si="31"/>
        <v>1993.9999999999736</v>
      </c>
      <c r="B422" s="1">
        <v>34335</v>
      </c>
      <c r="C422" s="7">
        <f t="shared" si="27"/>
        <v>1994</v>
      </c>
      <c r="D422" s="7">
        <f t="shared" si="28"/>
        <v>1</v>
      </c>
      <c r="E422" s="7">
        <f t="shared" si="29"/>
        <v>1</v>
      </c>
      <c r="F422">
        <f xml:space="preserve"> [1]Coibion_update!O428</f>
        <v>4.2337673166447463</v>
      </c>
      <c r="G422">
        <f xml:space="preserve"> [1]Coibion_update!P428</f>
        <v>6.6</v>
      </c>
      <c r="H422">
        <f xml:space="preserve"> [1]Coibion_update!Q428</f>
        <v>4.9856593080260785</v>
      </c>
      <c r="I422">
        <f xml:space="preserve"> [1]Coibion_update!W428</f>
        <v>3.05</v>
      </c>
      <c r="J422">
        <f xml:space="preserve"> [1]Coibion_update!X428</f>
        <v>5.5127430272425233</v>
      </c>
      <c r="K422">
        <f xml:space="preserve"> [1]Coibion_update!Y428</f>
        <v>3.7635461986966918</v>
      </c>
      <c r="L422">
        <f xml:space="preserve"> [1]Coibion_update!Z428</f>
        <v>4.2322351895615435</v>
      </c>
      <c r="M422">
        <f xml:space="preserve"> [1]Coibion_update!AA428</f>
        <v>4.1980136482189483</v>
      </c>
      <c r="N422">
        <f xml:space="preserve"> [1]Coibion_update!AB428</f>
        <v>0</v>
      </c>
      <c r="O422">
        <f xml:space="preserve"> [1]Coibion_update!AC428</f>
        <v>-2.4280474000000019</v>
      </c>
      <c r="P422">
        <f xml:space="preserve"> [1]Coibion_update!AD428</f>
        <v>-2.4145505999999979</v>
      </c>
      <c r="Q422">
        <f xml:space="preserve"> [1]Barakchian_Crowe!B301</f>
        <v>0</v>
      </c>
      <c r="R422">
        <f xml:space="preserve"> [1]Barakchian_Crowe!C301</f>
        <v>-5.7877029999999996</v>
      </c>
      <c r="S422">
        <f xml:space="preserve"> [1]Gertler_Karadi!C176</f>
        <v>0</v>
      </c>
      <c r="T422">
        <f xml:space="preserve"> [1]Gertler_Karadi!D176</f>
        <v>-6.7742000000000002E-3</v>
      </c>
      <c r="U422">
        <f xml:space="preserve"> [1]Gertler_Karadi!E176</f>
        <v>0</v>
      </c>
      <c r="V422">
        <f xml:space="preserve"> [1]Gertler_Karadi!F176</f>
        <v>0</v>
      </c>
      <c r="W422">
        <f xml:space="preserve"> [1]Gertler_Karadi!G176</f>
        <v>-5.4193600000000001E-2</v>
      </c>
      <c r="X422" s="5">
        <f xml:space="preserve"> [1]misc!N505</f>
        <v>3.54</v>
      </c>
      <c r="Y422">
        <f xml:space="preserve"> [1]Gilchrist_Zak!C254</f>
        <v>-0.26939999999999997</v>
      </c>
      <c r="Z422">
        <f xml:space="preserve"> [1]Sims_Zha!B425</f>
        <v>-0.12523000000000001</v>
      </c>
      <c r="AA422">
        <f xml:space="preserve"> [1]Coibion_update!AI428</f>
        <v>0</v>
      </c>
      <c r="AB422">
        <f t="shared" si="32"/>
        <v>-0.93473070000000014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3.68</v>
      </c>
      <c r="AL422">
        <f xml:space="preserve"> LN([1]misc!B441)</f>
        <v>7.0313878394274116</v>
      </c>
      <c r="AM422">
        <f xml:space="preserve"> LN([1]misc!D441)</f>
        <v>8.1526012765176521</v>
      </c>
      <c r="AN422">
        <f xml:space="preserve"> LN([1]misc!G546)</f>
        <v>3.3247122272739644</v>
      </c>
      <c r="AO422">
        <f xml:space="preserve"> LN([1]misc!J452 + [1]misc!L452)</f>
        <v>4.1079515656283174</v>
      </c>
      <c r="AP422">
        <f xml:space="preserve"> [1]Factors!B422</f>
        <v>-0.21503791999999999</v>
      </c>
      <c r="AQ422">
        <f xml:space="preserve"> [1]Factors!C422</f>
        <v>-0.34283886600000002</v>
      </c>
      <c r="AR422">
        <f xml:space="preserve"> [1]Factors!D422</f>
        <v>-0.114454204</v>
      </c>
      <c r="AS422">
        <f xml:space="preserve"> [1]Factors!E422</f>
        <v>-5.8005160200000003E-2</v>
      </c>
      <c r="AT422">
        <f xml:space="preserve"> [1]Factors!F422</f>
        <v>-5.0489823000000003E-2</v>
      </c>
    </row>
    <row r="423" spans="1:46" x14ac:dyDescent="0.25">
      <c r="A423">
        <f t="shared" si="31"/>
        <v>1994.0833333333069</v>
      </c>
      <c r="B423" s="1">
        <v>34366</v>
      </c>
      <c r="C423" s="7">
        <f t="shared" si="27"/>
        <v>1994</v>
      </c>
      <c r="D423" s="7">
        <f t="shared" si="28"/>
        <v>2</v>
      </c>
      <c r="E423" s="7">
        <f t="shared" si="29"/>
        <v>1</v>
      </c>
      <c r="F423">
        <f xml:space="preserve"> [1]Coibion_update!O429</f>
        <v>4.234034038203518</v>
      </c>
      <c r="G423">
        <f xml:space="preserve"> [1]Coibion_update!P429</f>
        <v>6.6</v>
      </c>
      <c r="H423">
        <f xml:space="preserve"> [1]Coibion_update!Q429</f>
        <v>4.9883896851489355</v>
      </c>
      <c r="I423">
        <f xml:space="preserve"> [1]Coibion_update!W429</f>
        <v>3.25</v>
      </c>
      <c r="J423">
        <f xml:space="preserve"> [1]Coibion_update!X429</f>
        <v>5.5261698135899806</v>
      </c>
      <c r="K423">
        <f xml:space="preserve"> [1]Coibion_update!Y429</f>
        <v>3.7849847722574226</v>
      </c>
      <c r="L423">
        <f xml:space="preserve"> [1]Coibion_update!Z429</f>
        <v>4.2394977428222109</v>
      </c>
      <c r="M423">
        <f xml:space="preserve"> [1]Coibion_update!AA429</f>
        <v>4.2035576471954172</v>
      </c>
      <c r="N423">
        <f xml:space="preserve"> [1]Coibion_update!AB429</f>
        <v>0.26184449999999998</v>
      </c>
      <c r="O423">
        <f xml:space="preserve"> [1]Coibion_update!AC429</f>
        <v>-2.1662029000000018</v>
      </c>
      <c r="P423">
        <f xml:space="preserve"> [1]Coibion_update!AD429</f>
        <v>-2.1872476999999977</v>
      </c>
      <c r="Q423">
        <f xml:space="preserve"> [1]Barakchian_Crowe!B302</f>
        <v>1.650469</v>
      </c>
      <c r="R423">
        <f xml:space="preserve"> [1]Barakchian_Crowe!C302</f>
        <v>-4.1372340000000003</v>
      </c>
      <c r="S423">
        <f xml:space="preserve"> [1]Gertler_Karadi!C177</f>
        <v>0.1458303</v>
      </c>
      <c r="T423">
        <f xml:space="preserve"> [1]Gertler_Karadi!D177</f>
        <v>0</v>
      </c>
      <c r="U423">
        <f xml:space="preserve"> [1]Gertler_Karadi!E177</f>
        <v>0.13392850000000001</v>
      </c>
      <c r="V423">
        <f xml:space="preserve"> [1]Gertler_Karadi!F177</f>
        <v>0.125</v>
      </c>
      <c r="W423">
        <f xml:space="preserve"> [1]Gertler_Karadi!G177</f>
        <v>0.14285709999999999</v>
      </c>
      <c r="X423" s="5">
        <f xml:space="preserve"> [1]misc!N506</f>
        <v>3.87</v>
      </c>
      <c r="Y423">
        <f xml:space="preserve"> [1]Gilchrist_Zak!C255</f>
        <v>-0.46</v>
      </c>
      <c r="Z423">
        <f xml:space="preserve"> [1]Sims_Zha!B426</f>
        <v>0.92871000000000004</v>
      </c>
      <c r="AA423">
        <f xml:space="preserve"> [1]Coibion_update!AI429</f>
        <v>8.6272299999999996E-2</v>
      </c>
      <c r="AB423">
        <f t="shared" si="32"/>
        <v>-0.84845840000000017</v>
      </c>
      <c r="AC423">
        <v>8.6272299999999996E-2</v>
      </c>
      <c r="AD423">
        <v>0.16333</v>
      </c>
      <c r="AE423">
        <v>0.14000000000000001</v>
      </c>
      <c r="AF423">
        <v>0</v>
      </c>
      <c r="AG423">
        <v>0.15</v>
      </c>
      <c r="AH423">
        <v>0.11365749999999999</v>
      </c>
      <c r="AI423">
        <v>1.3753999999999999E-3</v>
      </c>
      <c r="AJ423">
        <v>0.1185914</v>
      </c>
      <c r="AK423">
        <v>3.49</v>
      </c>
      <c r="AL423">
        <f xml:space="preserve"> LN([1]misc!B442)</f>
        <v>7.0355326489239634</v>
      </c>
      <c r="AM423">
        <f xml:space="preserve"> LN([1]misc!D442)</f>
        <v>8.1528316381864894</v>
      </c>
      <c r="AN423">
        <f xml:space="preserve"> LN([1]misc!G547)</f>
        <v>3.292609441245256</v>
      </c>
      <c r="AO423">
        <f xml:space="preserve"> LN([1]misc!J453 + [1]misc!L453)</f>
        <v>4.1017504044826936</v>
      </c>
      <c r="AP423">
        <f xml:space="preserve"> [1]Factors!B423</f>
        <v>3.3960233400000001E-3</v>
      </c>
      <c r="AQ423">
        <f xml:space="preserve"> [1]Factors!C423</f>
        <v>-0.173167771</v>
      </c>
      <c r="AR423">
        <f xml:space="preserve"> [1]Factors!D423</f>
        <v>6.5985244299999996E-2</v>
      </c>
      <c r="AS423">
        <f xml:space="preserve"> [1]Factors!E423</f>
        <v>1.8764136399999999E-2</v>
      </c>
      <c r="AT423">
        <f xml:space="preserve"> [1]Factors!F423</f>
        <v>0.1173877</v>
      </c>
    </row>
    <row r="424" spans="1:46" x14ac:dyDescent="0.25">
      <c r="A424">
        <f t="shared" si="31"/>
        <v>1994.1666666666401</v>
      </c>
      <c r="B424" s="1">
        <v>34394</v>
      </c>
      <c r="C424" s="7">
        <f t="shared" si="27"/>
        <v>1994</v>
      </c>
      <c r="D424" s="7">
        <f t="shared" si="28"/>
        <v>3</v>
      </c>
      <c r="E424" s="7">
        <f t="shared" si="29"/>
        <v>1</v>
      </c>
      <c r="F424">
        <f xml:space="preserve"> [1]Coibion_update!O430</f>
        <v>4.2443193924558589</v>
      </c>
      <c r="G424">
        <f xml:space="preserve"> [1]Coibion_update!P430</f>
        <v>6.5</v>
      </c>
      <c r="H424">
        <f xml:space="preserve"> [1]Coibion_update!Q430</f>
        <v>4.991112627607392</v>
      </c>
      <c r="I424">
        <f xml:space="preserve"> [1]Coibion_update!W430</f>
        <v>3.34</v>
      </c>
      <c r="J424">
        <f xml:space="preserve"> [1]Coibion_update!X430</f>
        <v>5.5362312967656964</v>
      </c>
      <c r="K424">
        <f xml:space="preserve"> [1]Coibion_update!Y430</f>
        <v>3.7823925656123825</v>
      </c>
      <c r="L424">
        <f xml:space="preserve"> [1]Coibion_update!Z430</f>
        <v>4.2440568354504276</v>
      </c>
      <c r="M424">
        <f xml:space="preserve"> [1]Coibion_update!AA430</f>
        <v>4.2024363445729414</v>
      </c>
      <c r="N424">
        <f xml:space="preserve"> [1]Coibion_update!AB430</f>
        <v>0.33554929999999999</v>
      </c>
      <c r="O424">
        <f xml:space="preserve"> [1]Coibion_update!AC430</f>
        <v>-1.8306536000000018</v>
      </c>
      <c r="P424">
        <f xml:space="preserve"> [1]Coibion_update!AD430</f>
        <v>-1.8726574999999976</v>
      </c>
      <c r="Q424">
        <f xml:space="preserve"> [1]Barakchian_Crowe!B303</f>
        <v>-0.44397809999999999</v>
      </c>
      <c r="R424">
        <f xml:space="preserve"> [1]Barakchian_Crowe!C303</f>
        <v>-4.581213</v>
      </c>
      <c r="S424">
        <f xml:space="preserve"> [1]Gertler_Karadi!C178</f>
        <v>1.7496500000000002E-2</v>
      </c>
      <c r="T424">
        <f xml:space="preserve"> [1]Gertler_Karadi!D178</f>
        <v>0</v>
      </c>
      <c r="U424">
        <f xml:space="preserve"> [1]Gertler_Karadi!E178</f>
        <v>-5.7500000000000002E-5</v>
      </c>
      <c r="V424">
        <f xml:space="preserve"> [1]Gertler_Karadi!F178</f>
        <v>-1.129E-3</v>
      </c>
      <c r="W424">
        <f xml:space="preserve"> [1]Gertler_Karadi!G178</f>
        <v>1.0139000000000001E-3</v>
      </c>
      <c r="X424" s="5">
        <f xml:space="preserve"> [1]misc!N507</f>
        <v>4.32</v>
      </c>
      <c r="Y424">
        <f xml:space="preserve"> [1]Gilchrist_Zak!C256</f>
        <v>-0.35199999999999998</v>
      </c>
      <c r="Z424">
        <f xml:space="preserve"> [1]Sims_Zha!B427</f>
        <v>3.7052000000000001E-3</v>
      </c>
      <c r="AA424">
        <f xml:space="preserve"> [1]Coibion_update!AI430</f>
        <v>0.15797919999999999</v>
      </c>
      <c r="AB424">
        <f t="shared" si="32"/>
        <v>-0.69047920000000018</v>
      </c>
      <c r="AC424">
        <v>0.15797919999999999</v>
      </c>
      <c r="AD424" s="6">
        <v>-1.0000000000000001E-5</v>
      </c>
      <c r="AE424">
        <v>0</v>
      </c>
      <c r="AF424">
        <v>0</v>
      </c>
      <c r="AG424">
        <v>-0.05</v>
      </c>
      <c r="AH424">
        <v>1.1647000000000001E-3</v>
      </c>
      <c r="AI424">
        <v>2.2178300000000001E-2</v>
      </c>
      <c r="AJ424">
        <v>-4.7771000000000001E-2</v>
      </c>
      <c r="AK424">
        <v>4.18</v>
      </c>
      <c r="AL424">
        <f xml:space="preserve"> LN([1]misc!B443)</f>
        <v>7.0388712568396743</v>
      </c>
      <c r="AM424">
        <f xml:space="preserve"> LN([1]misc!D443)</f>
        <v>8.1540976796745817</v>
      </c>
      <c r="AN424">
        <f xml:space="preserve"> LN([1]misc!G548)</f>
        <v>3.310360514990379</v>
      </c>
      <c r="AO424">
        <f xml:space="preserve"> LN([1]misc!J454 + [1]misc!L454)</f>
        <v>4.0984029823496018</v>
      </c>
      <c r="AP424">
        <f xml:space="preserve"> [1]Factors!B424</f>
        <v>-6.7428505400000005E-2</v>
      </c>
      <c r="AQ424">
        <f xml:space="preserve"> [1]Factors!C424</f>
        <v>-5.9459337000000001E-2</v>
      </c>
      <c r="AR424">
        <f xml:space="preserve"> [1]Factors!D424</f>
        <v>0.15164122799999999</v>
      </c>
      <c r="AS424">
        <f xml:space="preserve"> [1]Factors!E424</f>
        <v>-0.11630720899999999</v>
      </c>
      <c r="AT424">
        <f xml:space="preserve"> [1]Factors!F424</f>
        <v>5.1642948899999999E-2</v>
      </c>
    </row>
    <row r="425" spans="1:46" x14ac:dyDescent="0.25">
      <c r="A425">
        <f t="shared" si="31"/>
        <v>1994.2499999999734</v>
      </c>
      <c r="B425" s="1">
        <v>34425</v>
      </c>
      <c r="C425" s="7">
        <f t="shared" si="27"/>
        <v>1994</v>
      </c>
      <c r="D425" s="7">
        <f t="shared" si="28"/>
        <v>4</v>
      </c>
      <c r="E425" s="7">
        <f t="shared" si="29"/>
        <v>2</v>
      </c>
      <c r="F425">
        <f xml:space="preserve"> [1]Coibion_update!O431</f>
        <v>4.2495732322376689</v>
      </c>
      <c r="G425">
        <f xml:space="preserve"> [1]Coibion_update!P431</f>
        <v>6.4</v>
      </c>
      <c r="H425">
        <f xml:space="preserve"> [1]Coibion_update!Q431</f>
        <v>4.9917922062947762</v>
      </c>
      <c r="I425">
        <f xml:space="preserve"> [1]Coibion_update!W431</f>
        <v>3.56</v>
      </c>
      <c r="J425">
        <f xml:space="preserve"> [1]Coibion_update!X431</f>
        <v>5.5335080587729131</v>
      </c>
      <c r="K425">
        <f xml:space="preserve"> [1]Coibion_update!Y431</f>
        <v>3.8044377947482086</v>
      </c>
      <c r="L425">
        <f xml:space="preserve"> [1]Coibion_update!Z431</f>
        <v>4.2456053560626845</v>
      </c>
      <c r="M425">
        <f xml:space="preserve"> [1]Coibion_update!AA431</f>
        <v>4.2040655571568895</v>
      </c>
      <c r="N425">
        <f xml:space="preserve"> [1]Coibion_update!AB431</f>
        <v>0</v>
      </c>
      <c r="O425">
        <f xml:space="preserve"> [1]Coibion_update!AC431</f>
        <v>-1.8306536000000018</v>
      </c>
      <c r="P425">
        <f xml:space="preserve"> [1]Coibion_update!AD431</f>
        <v>-1.8726574999999976</v>
      </c>
      <c r="Q425">
        <f xml:space="preserve"> [1]Barakchian_Crowe!B304</f>
        <v>0</v>
      </c>
      <c r="R425">
        <f xml:space="preserve"> [1]Barakchian_Crowe!C304</f>
        <v>-4.581213</v>
      </c>
      <c r="S425">
        <f xml:space="preserve"> [1]Gertler_Karadi!C179</f>
        <v>6.4997600000000003E-2</v>
      </c>
      <c r="T425">
        <f xml:space="preserve"> [1]Gertler_Karadi!D179</f>
        <v>5.1999999999999998E-2</v>
      </c>
      <c r="U425">
        <f xml:space="preserve"> [1]Gertler_Karadi!E179</f>
        <v>7.9560000000000004E-4</v>
      </c>
      <c r="V425">
        <f xml:space="preserve"> [1]Gertler_Karadi!F179</f>
        <v>5.1291000000000002E-3</v>
      </c>
      <c r="W425">
        <f xml:space="preserve"> [1]Gertler_Karadi!G179</f>
        <v>5.1291000000000002E-3</v>
      </c>
      <c r="X425" s="5">
        <f xml:space="preserve"> [1]misc!N508</f>
        <v>4.82</v>
      </c>
      <c r="Y425">
        <f xml:space="preserve"> [1]Gilchrist_Zak!C257</f>
        <v>-0.3216</v>
      </c>
      <c r="Z425">
        <f xml:space="preserve"> [1]Sims_Zha!B428</f>
        <v>0.52159</v>
      </c>
      <c r="AA425">
        <f xml:space="preserve"> [1]Coibion_update!AI431</f>
        <v>0</v>
      </c>
      <c r="AB425">
        <f t="shared" si="32"/>
        <v>-0.69047920000000018</v>
      </c>
      <c r="AC425">
        <v>0</v>
      </c>
      <c r="AD425">
        <v>0.15001</v>
      </c>
      <c r="AE425">
        <v>6.0010000000000001E-2</v>
      </c>
      <c r="AF425">
        <v>0.12</v>
      </c>
      <c r="AG425">
        <v>0.08</v>
      </c>
      <c r="AH425">
        <v>0</v>
      </c>
      <c r="AI425">
        <v>0</v>
      </c>
      <c r="AJ425">
        <v>0</v>
      </c>
      <c r="AK425">
        <v>3.73</v>
      </c>
      <c r="AL425">
        <f xml:space="preserve"> LN([1]misc!B444)</f>
        <v>7.0397479884406335</v>
      </c>
      <c r="AM425">
        <f xml:space="preserve"> LN([1]misc!D444)</f>
        <v>8.15444268571561</v>
      </c>
      <c r="AN425">
        <f xml:space="preserve"> LN([1]misc!G549)</f>
        <v>3.3878419266149971</v>
      </c>
      <c r="AO425">
        <f xml:space="preserve"> LN([1]misc!J455 + [1]misc!L455)</f>
        <v>4.1006579242786927</v>
      </c>
      <c r="AP425">
        <f xml:space="preserve"> [1]Factors!B425</f>
        <v>-0.46616437900000002</v>
      </c>
      <c r="AQ425">
        <f xml:space="preserve"> [1]Factors!C425</f>
        <v>-0.16407287200000001</v>
      </c>
      <c r="AR425">
        <f xml:space="preserve"> [1]Factors!D425</f>
        <v>0.21450878500000001</v>
      </c>
      <c r="AS425">
        <f xml:space="preserve"> [1]Factors!E425</f>
        <v>-9.5196166999999998E-2</v>
      </c>
      <c r="AT425">
        <f xml:space="preserve"> [1]Factors!F425</f>
        <v>-5.1509975600000001E-2</v>
      </c>
    </row>
    <row r="426" spans="1:46" x14ac:dyDescent="0.25">
      <c r="A426">
        <f t="shared" si="31"/>
        <v>1994.3333333333067</v>
      </c>
      <c r="B426" s="1">
        <v>34455</v>
      </c>
      <c r="C426" s="7">
        <f t="shared" si="27"/>
        <v>1994</v>
      </c>
      <c r="D426" s="7">
        <f t="shared" si="28"/>
        <v>5</v>
      </c>
      <c r="E426" s="7">
        <f t="shared" si="29"/>
        <v>2</v>
      </c>
      <c r="F426">
        <f xml:space="preserve"> [1]Coibion_update!O432</f>
        <v>4.254996917420117</v>
      </c>
      <c r="G426">
        <f xml:space="preserve"> [1]Coibion_update!P432</f>
        <v>6.1</v>
      </c>
      <c r="H426">
        <f xml:space="preserve"> [1]Coibion_update!Q432</f>
        <v>4.9938281757798748</v>
      </c>
      <c r="I426">
        <f xml:space="preserve"> [1]Coibion_update!W432</f>
        <v>4.01</v>
      </c>
      <c r="J426">
        <f xml:space="preserve"> [1]Coibion_update!X432</f>
        <v>5.5477912131082761</v>
      </c>
      <c r="K426">
        <f xml:space="preserve"> [1]Coibion_update!Y432</f>
        <v>3.7707589354239652</v>
      </c>
      <c r="L426">
        <f xml:space="preserve"> [1]Coibion_update!Z432</f>
        <v>4.2441142308473321</v>
      </c>
      <c r="M426">
        <f xml:space="preserve"> [1]Coibion_update!AA432</f>
        <v>4.2085954412253743</v>
      </c>
      <c r="N426">
        <f xml:space="preserve"> [1]Coibion_update!AB432</f>
        <v>0.32162099999999999</v>
      </c>
      <c r="O426">
        <f xml:space="preserve"> [1]Coibion_update!AC432</f>
        <v>-1.5090326000000018</v>
      </c>
      <c r="P426">
        <f xml:space="preserve"> [1]Coibion_update!AD432</f>
        <v>-1.5839440999999976</v>
      </c>
      <c r="Q426">
        <f xml:space="preserve"> [1]Barakchian_Crowe!B305</f>
        <v>-1.0938509999999999</v>
      </c>
      <c r="R426">
        <f xml:space="preserve"> [1]Barakchian_Crowe!C305</f>
        <v>-5.6750639999999999</v>
      </c>
      <c r="S426">
        <f xml:space="preserve"> [1]Gertler_Karadi!C180</f>
        <v>0.1385798</v>
      </c>
      <c r="T426">
        <f xml:space="preserve"> [1]Gertler_Karadi!D180</f>
        <v>9.2193499999999998E-2</v>
      </c>
      <c r="U426">
        <f xml:space="preserve"> [1]Gertler_Karadi!E180</f>
        <v>1.14625E-2</v>
      </c>
      <c r="V426">
        <f xml:space="preserve"> [1]Gertler_Karadi!F180</f>
        <v>1.7129100000000001E-2</v>
      </c>
      <c r="W426">
        <f xml:space="preserve"> [1]Gertler_Karadi!G180</f>
        <v>1.7129100000000001E-2</v>
      </c>
      <c r="X426" s="5">
        <f xml:space="preserve"> [1]misc!N509</f>
        <v>5.31</v>
      </c>
      <c r="Y426">
        <f xml:space="preserve"> [1]Gilchrist_Zak!C258</f>
        <v>-0.32150000000000001</v>
      </c>
      <c r="Z426">
        <f xml:space="preserve"> [1]Sims_Zha!B429</f>
        <v>1.1674</v>
      </c>
      <c r="AA426">
        <f xml:space="preserve"> [1]Coibion_update!AI432</f>
        <v>0.30976330000000002</v>
      </c>
      <c r="AB426">
        <f t="shared" si="32"/>
        <v>-0.38071590000000016</v>
      </c>
      <c r="AC426">
        <v>0.30976330000000002</v>
      </c>
      <c r="AD426">
        <v>0.11072</v>
      </c>
      <c r="AE426">
        <v>0.05</v>
      </c>
      <c r="AF426">
        <v>0.05</v>
      </c>
      <c r="AG426">
        <v>-7.0000000000000007E-2</v>
      </c>
      <c r="AH426">
        <v>2.0826600000000001E-2</v>
      </c>
      <c r="AI426">
        <v>3.7891500000000002E-2</v>
      </c>
      <c r="AJ426">
        <v>-8.1692500000000001E-2</v>
      </c>
      <c r="AK426">
        <v>4.5999999999999996</v>
      </c>
      <c r="AL426">
        <f xml:space="preserve"> LN([1]misc!B445)</f>
        <v>7.0416740965479239</v>
      </c>
      <c r="AM426">
        <f xml:space="preserve"> LN([1]misc!D445)</f>
        <v>8.1571411228345685</v>
      </c>
      <c r="AN426">
        <f xml:space="preserve"> LN([1]misc!G550)</f>
        <v>3.2880286835565173</v>
      </c>
      <c r="AO426">
        <f xml:space="preserve"> LN([1]misc!J456 + [1]misc!L456)</f>
        <v>4.0905373238791469</v>
      </c>
      <c r="AP426">
        <f xml:space="preserve"> [1]Factors!B426</f>
        <v>-0.31368693800000003</v>
      </c>
      <c r="AQ426">
        <f xml:space="preserve"> [1]Factors!C426</f>
        <v>-0.26406881500000001</v>
      </c>
      <c r="AR426">
        <f xml:space="preserve"> [1]Factors!D426</f>
        <v>0.228670979</v>
      </c>
      <c r="AS426">
        <f xml:space="preserve"> [1]Factors!E426</f>
        <v>-0.20496800000000001</v>
      </c>
      <c r="AT426">
        <f xml:space="preserve"> [1]Factors!F426</f>
        <v>8.7446957500000005E-2</v>
      </c>
    </row>
    <row r="427" spans="1:46" x14ac:dyDescent="0.25">
      <c r="A427">
        <f t="shared" si="31"/>
        <v>1994.4166666666399</v>
      </c>
      <c r="B427" s="1">
        <v>34486</v>
      </c>
      <c r="C427" s="7">
        <f t="shared" si="27"/>
        <v>1994</v>
      </c>
      <c r="D427" s="7">
        <f t="shared" si="28"/>
        <v>6</v>
      </c>
      <c r="E427" s="7">
        <f t="shared" si="29"/>
        <v>2</v>
      </c>
      <c r="F427">
        <f xml:space="preserve"> [1]Coibion_update!O433</f>
        <v>4.2614805666066777</v>
      </c>
      <c r="G427">
        <f xml:space="preserve"> [1]Coibion_update!P433</f>
        <v>6.1</v>
      </c>
      <c r="H427">
        <f xml:space="preserve"> [1]Coibion_update!Q433</f>
        <v>4.996536369716754</v>
      </c>
      <c r="I427">
        <f xml:space="preserve"> [1]Coibion_update!W433</f>
        <v>4.25</v>
      </c>
      <c r="J427">
        <f xml:space="preserve"> [1]Coibion_update!X433</f>
        <v>5.5479080878770946</v>
      </c>
      <c r="K427">
        <f xml:space="preserve"> [1]Coibion_update!Y433</f>
        <v>3.7876835231725172</v>
      </c>
      <c r="L427">
        <f xml:space="preserve"> [1]Coibion_update!Z433</f>
        <v>4.2497515953640628</v>
      </c>
      <c r="M427">
        <f xml:space="preserve"> [1]Coibion_update!AA433</f>
        <v>4.2125571352437294</v>
      </c>
      <c r="N427">
        <f xml:space="preserve"> [1]Coibion_update!AB433</f>
        <v>0</v>
      </c>
      <c r="O427">
        <f xml:space="preserve"> [1]Coibion_update!AC433</f>
        <v>-1.5090326000000018</v>
      </c>
      <c r="P427">
        <f xml:space="preserve"> [1]Coibion_update!AD433</f>
        <v>-1.5839440999999976</v>
      </c>
      <c r="Q427">
        <f xml:space="preserve"> [1]Barakchian_Crowe!B306</f>
        <v>0</v>
      </c>
      <c r="R427">
        <f xml:space="preserve"> [1]Barakchian_Crowe!C306</f>
        <v>-5.6750639999999999</v>
      </c>
      <c r="S427">
        <f xml:space="preserve"> [1]Gertler_Karadi!C181</f>
        <v>5.7145799999999997E-2</v>
      </c>
      <c r="T427">
        <f xml:space="preserve"> [1]Gertler_Karadi!D181</f>
        <v>2.58064E-2</v>
      </c>
      <c r="U427">
        <f xml:space="preserve"> [1]Gertler_Karadi!E181</f>
        <v>-3.6129000000000001E-2</v>
      </c>
      <c r="V427">
        <f xml:space="preserve"> [1]Gertler_Karadi!F181</f>
        <v>-3.6129099999999997E-2</v>
      </c>
      <c r="W427">
        <f xml:space="preserve"> [1]Gertler_Karadi!G181</f>
        <v>-3.6129099999999997E-2</v>
      </c>
      <c r="X427" s="5">
        <f xml:space="preserve"> [1]misc!N510</f>
        <v>5.27</v>
      </c>
      <c r="Y427">
        <f xml:space="preserve"> [1]Gilchrist_Zak!C259</f>
        <v>-0.36609999999999998</v>
      </c>
      <c r="Z427">
        <f xml:space="preserve"> [1]Sims_Zha!B430</f>
        <v>0.29731999999999997</v>
      </c>
      <c r="AA427">
        <f xml:space="preserve"> [1]Coibion_update!AI433</f>
        <v>0</v>
      </c>
      <c r="AB427">
        <f t="shared" si="32"/>
        <v>-0.38071590000000016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5.96</v>
      </c>
      <c r="AL427">
        <f xml:space="preserve"> LN([1]misc!B446)</f>
        <v>7.0433345732239596</v>
      </c>
      <c r="AM427">
        <f xml:space="preserve"> LN([1]misc!D446)</f>
        <v>8.1538388470084548</v>
      </c>
      <c r="AN427">
        <f xml:space="preserve"> LN([1]misc!G551)</f>
        <v>3.2773333944397693</v>
      </c>
      <c r="AO427">
        <f xml:space="preserve"> LN([1]misc!J457 + [1]misc!L457)</f>
        <v>4.08958324512039</v>
      </c>
      <c r="AP427">
        <f xml:space="preserve"> [1]Factors!B427</f>
        <v>-0.29370923399999999</v>
      </c>
      <c r="AQ427">
        <f xml:space="preserve"> [1]Factors!C427</f>
        <v>-0.23271966899999999</v>
      </c>
      <c r="AR427">
        <f xml:space="preserve"> [1]Factors!D427</f>
        <v>0.167778911</v>
      </c>
      <c r="AS427">
        <f xml:space="preserve"> [1]Factors!E427</f>
        <v>-0.102397549</v>
      </c>
      <c r="AT427">
        <f xml:space="preserve"> [1]Factors!F427</f>
        <v>0.13091433</v>
      </c>
    </row>
    <row r="428" spans="1:46" x14ac:dyDescent="0.25">
      <c r="A428">
        <f t="shared" si="31"/>
        <v>1994.4999999999732</v>
      </c>
      <c r="B428" s="1">
        <v>34516</v>
      </c>
      <c r="C428" s="7">
        <f t="shared" si="27"/>
        <v>1994</v>
      </c>
      <c r="D428" s="7">
        <f t="shared" si="28"/>
        <v>7</v>
      </c>
      <c r="E428" s="7">
        <f t="shared" si="29"/>
        <v>3</v>
      </c>
      <c r="F428">
        <f xml:space="preserve"> [1]Coibion_update!O434</f>
        <v>4.263267028577773</v>
      </c>
      <c r="G428">
        <f xml:space="preserve"> [1]Coibion_update!P434</f>
        <v>6.1</v>
      </c>
      <c r="H428">
        <f xml:space="preserve"> [1]Coibion_update!Q434</f>
        <v>4.9999113307332799</v>
      </c>
      <c r="I428">
        <f xml:space="preserve"> [1]Coibion_update!W434</f>
        <v>4.26</v>
      </c>
      <c r="J428">
        <f xml:space="preserve"> [1]Coibion_update!X434</f>
        <v>5.5604893048297246</v>
      </c>
      <c r="K428">
        <f xml:space="preserve"> [1]Coibion_update!Y434</f>
        <v>3.7867771923903959</v>
      </c>
      <c r="L428">
        <f xml:space="preserve"> [1]Coibion_update!Z434</f>
        <v>4.249066507417651</v>
      </c>
      <c r="M428">
        <f xml:space="preserve"> [1]Coibion_update!AA434</f>
        <v>4.2120238887971793</v>
      </c>
      <c r="N428">
        <f xml:space="preserve"> [1]Coibion_update!AB434</f>
        <v>7.9991199999999998E-2</v>
      </c>
      <c r="O428">
        <f xml:space="preserve"> [1]Coibion_update!AC434</f>
        <v>-1.4290414000000018</v>
      </c>
      <c r="P428">
        <f xml:space="preserve"> [1]Coibion_update!AD434</f>
        <v>-1.5122119999999977</v>
      </c>
      <c r="Q428">
        <f xml:space="preserve"> [1]Barakchian_Crowe!B307</f>
        <v>2.6715599999999999E-2</v>
      </c>
      <c r="R428">
        <f xml:space="preserve"> [1]Barakchian_Crowe!C307</f>
        <v>-5.6483480000000004</v>
      </c>
      <c r="S428">
        <f xml:space="preserve"> [1]Gertler_Karadi!C182</f>
        <v>-4.1599999999999998E-2</v>
      </c>
      <c r="T428">
        <f xml:space="preserve"> [1]Gertler_Karadi!D182</f>
        <v>0</v>
      </c>
      <c r="U428">
        <f xml:space="preserve"> [1]Gertler_Karadi!E182</f>
        <v>0</v>
      </c>
      <c r="V428">
        <f xml:space="preserve"> [1]Gertler_Karadi!F182</f>
        <v>8.3870999999999998E-3</v>
      </c>
      <c r="W428">
        <f xml:space="preserve"> [1]Gertler_Karadi!G182</f>
        <v>8.3870999999999998E-3</v>
      </c>
      <c r="X428" s="5">
        <f xml:space="preserve"> [1]misc!N511</f>
        <v>5.48</v>
      </c>
      <c r="Y428">
        <f xml:space="preserve"> [1]Gilchrist_Zak!C260</f>
        <v>-0.32519999999999999</v>
      </c>
      <c r="Z428">
        <f xml:space="preserve"> [1]Sims_Zha!B431</f>
        <v>-2.032</v>
      </c>
      <c r="AA428">
        <f xml:space="preserve"> [1]Coibion_update!AI434</f>
        <v>-3.8329700000000001E-2</v>
      </c>
      <c r="AB428">
        <f t="shared" si="32"/>
        <v>-0.41904560000000018</v>
      </c>
      <c r="AC428">
        <v>-3.8329700000000001E-2</v>
      </c>
      <c r="AD428">
        <v>-4.9599999999999998E-2</v>
      </c>
      <c r="AE428">
        <v>-0.04</v>
      </c>
      <c r="AF428">
        <v>0</v>
      </c>
      <c r="AG428">
        <v>0</v>
      </c>
      <c r="AH428">
        <v>-3.6586300000000002E-2</v>
      </c>
      <c r="AI428">
        <v>1.07008E-2</v>
      </c>
      <c r="AJ428">
        <v>-7.1253999999999996E-3</v>
      </c>
      <c r="AK428">
        <v>4.29</v>
      </c>
      <c r="AL428">
        <f xml:space="preserve"> LN([1]misc!B447)</f>
        <v>7.0481257318294128</v>
      </c>
      <c r="AM428">
        <f xml:space="preserve"> LN([1]misc!D447)</f>
        <v>8.156280710357132</v>
      </c>
      <c r="AN428">
        <f xml:space="preserve"> LN([1]misc!G552)</f>
        <v>3.2579042118356791</v>
      </c>
      <c r="AO428">
        <f xml:space="preserve"> LN([1]misc!J458 + [1]misc!L458)</f>
        <v>4.0920586181082665</v>
      </c>
      <c r="AP428">
        <f xml:space="preserve"> [1]Factors!B428</f>
        <v>-0.26478272800000002</v>
      </c>
      <c r="AQ428">
        <f xml:space="preserve"> [1]Factors!C428</f>
        <v>-0.101859094</v>
      </c>
      <c r="AR428">
        <f xml:space="preserve"> [1]Factors!D428</f>
        <v>0.13544757199999999</v>
      </c>
      <c r="AS428">
        <f xml:space="preserve"> [1]Factors!E428</f>
        <v>0.125452589</v>
      </c>
      <c r="AT428">
        <f xml:space="preserve"> [1]Factors!F428</f>
        <v>0.146434008</v>
      </c>
    </row>
    <row r="429" spans="1:46" x14ac:dyDescent="0.25">
      <c r="A429">
        <f t="shared" si="31"/>
        <v>1994.5833333333064</v>
      </c>
      <c r="B429" s="1">
        <v>34547</v>
      </c>
      <c r="C429" s="7">
        <f t="shared" si="27"/>
        <v>1994</v>
      </c>
      <c r="D429" s="7">
        <f t="shared" si="28"/>
        <v>8</v>
      </c>
      <c r="E429" s="7">
        <f t="shared" si="29"/>
        <v>3</v>
      </c>
      <c r="F429">
        <f xml:space="preserve"> [1]Coibion_update!O435</f>
        <v>4.2688005441038586</v>
      </c>
      <c r="G429">
        <f xml:space="preserve"> [1]Coibion_update!P435</f>
        <v>6</v>
      </c>
      <c r="H429">
        <f xml:space="preserve"> [1]Coibion_update!Q435</f>
        <v>5.0039463059454592</v>
      </c>
      <c r="I429">
        <f xml:space="preserve"> [1]Coibion_update!W435</f>
        <v>4.47</v>
      </c>
      <c r="J429">
        <f xml:space="preserve"> [1]Coibion_update!X435</f>
        <v>5.5764414061877101</v>
      </c>
      <c r="K429">
        <f xml:space="preserve"> [1]Coibion_update!Y435</f>
        <v>3.8025429048093251</v>
      </c>
      <c r="L429">
        <f xml:space="preserve"> [1]Coibion_update!Z435</f>
        <v>4.2583607036718156</v>
      </c>
      <c r="M429">
        <f xml:space="preserve"> [1]Coibion_update!AA435</f>
        <v>4.2158096995032768</v>
      </c>
      <c r="N429">
        <f xml:space="preserve"> [1]Coibion_update!AB435</f>
        <v>0.43144569999999999</v>
      </c>
      <c r="O429">
        <f xml:space="preserve"> [1]Coibion_update!AC435</f>
        <v>-0.99759570000000175</v>
      </c>
      <c r="P429">
        <f xml:space="preserve"> [1]Coibion_update!AD435</f>
        <v>-1.0959364999999976</v>
      </c>
      <c r="Q429">
        <f xml:space="preserve"> [1]Barakchian_Crowe!B308</f>
        <v>0.52684330000000001</v>
      </c>
      <c r="R429">
        <f xml:space="preserve"> [1]Barakchian_Crowe!C308</f>
        <v>-5.121505</v>
      </c>
      <c r="S429">
        <f xml:space="preserve"> [1]Gertler_Karadi!C183</f>
        <v>5.59949E-2</v>
      </c>
      <c r="T429">
        <f xml:space="preserve"> [1]Gertler_Karadi!D183</f>
        <v>0</v>
      </c>
      <c r="U429">
        <f xml:space="preserve"> [1]Gertler_Karadi!E183</f>
        <v>1.54839E-2</v>
      </c>
      <c r="V429">
        <f xml:space="preserve"> [1]Gertler_Karadi!F183</f>
        <v>6.7742000000000002E-3</v>
      </c>
      <c r="W429">
        <f xml:space="preserve"> [1]Gertler_Karadi!G183</f>
        <v>1.6129E-3</v>
      </c>
      <c r="X429" s="5">
        <f xml:space="preserve"> [1]misc!N512</f>
        <v>5.56</v>
      </c>
      <c r="Y429">
        <f xml:space="preserve"> [1]Gilchrist_Zak!C261</f>
        <v>-0.29770000000000002</v>
      </c>
      <c r="Z429">
        <f xml:space="preserve"> [1]Sims_Zha!B432</f>
        <v>0.60216000000000003</v>
      </c>
      <c r="AA429">
        <f xml:space="preserve"> [1]Coibion_update!AI435</f>
        <v>0.44434259999999998</v>
      </c>
      <c r="AB429">
        <f t="shared" si="32"/>
        <v>2.5296999999999792E-2</v>
      </c>
      <c r="AC429">
        <v>0.44434259999999998</v>
      </c>
      <c r="AD429">
        <v>0.12399</v>
      </c>
      <c r="AE429">
        <v>0.06</v>
      </c>
      <c r="AF429">
        <v>0</v>
      </c>
      <c r="AG429">
        <v>0.03</v>
      </c>
      <c r="AH429">
        <v>4.6937E-2</v>
      </c>
      <c r="AI429">
        <v>1.9189000000000001E-2</v>
      </c>
      <c r="AJ429">
        <v>3.86752E-2</v>
      </c>
      <c r="AK429">
        <v>4.7</v>
      </c>
      <c r="AL429">
        <f xml:space="preserve"> LN([1]misc!B448)</f>
        <v>7.0480388244291934</v>
      </c>
      <c r="AM429">
        <f xml:space="preserve"> LN([1]misc!D448)</f>
        <v>8.1555057056539599</v>
      </c>
      <c r="AN429">
        <f xml:space="preserve"> LN([1]misc!G553)</f>
        <v>3.2304881401963668</v>
      </c>
      <c r="AO429">
        <f xml:space="preserve"> LN([1]misc!J459 + [1]misc!L459)</f>
        <v>4.085825040606359</v>
      </c>
      <c r="AP429">
        <f xml:space="preserve"> [1]Factors!B429</f>
        <v>-0.19969756399999999</v>
      </c>
      <c r="AQ429">
        <f xml:space="preserve"> [1]Factors!C429</f>
        <v>-8.9834809200000004E-2</v>
      </c>
      <c r="AR429">
        <f xml:space="preserve"> [1]Factors!D429</f>
        <v>0.15741365099999999</v>
      </c>
      <c r="AS429">
        <f xml:space="preserve"> [1]Factors!E429</f>
        <v>4.1444653099999999E-2</v>
      </c>
      <c r="AT429">
        <f xml:space="preserve"> [1]Factors!F429</f>
        <v>0.27734341899999998</v>
      </c>
    </row>
    <row r="430" spans="1:46" x14ac:dyDescent="0.25">
      <c r="A430">
        <f t="shared" si="31"/>
        <v>1994.6666666666397</v>
      </c>
      <c r="B430" s="1">
        <v>34578</v>
      </c>
      <c r="C430" s="7">
        <f t="shared" si="27"/>
        <v>1994</v>
      </c>
      <c r="D430" s="7">
        <f t="shared" si="28"/>
        <v>9</v>
      </c>
      <c r="E430" s="7">
        <f t="shared" si="29"/>
        <v>3</v>
      </c>
      <c r="F430">
        <f xml:space="preserve"> [1]Coibion_update!O436</f>
        <v>4.2725590855773161</v>
      </c>
      <c r="G430">
        <f xml:space="preserve"> [1]Coibion_update!P436</f>
        <v>5.9</v>
      </c>
      <c r="H430">
        <f xml:space="preserve"> [1]Coibion_update!Q436</f>
        <v>5.0059577045451444</v>
      </c>
      <c r="I430">
        <f xml:space="preserve"> [1]Coibion_update!W436</f>
        <v>4.7300000000000004</v>
      </c>
      <c r="J430">
        <f xml:space="preserve"> [1]Coibion_update!X436</f>
        <v>5.5898295945801699</v>
      </c>
      <c r="K430">
        <f xml:space="preserve"> [1]Coibion_update!Y436</f>
        <v>3.805150235779323</v>
      </c>
      <c r="L430">
        <f xml:space="preserve"> [1]Coibion_update!Z436</f>
        <v>4.2577522633120353</v>
      </c>
      <c r="M430">
        <f xml:space="preserve"> [1]Coibion_update!AA436</f>
        <v>4.2178887483135554</v>
      </c>
      <c r="N430">
        <f xml:space="preserve"> [1]Coibion_update!AB436</f>
        <v>6.9489999999999996E-2</v>
      </c>
      <c r="O430">
        <f xml:space="preserve"> [1]Coibion_update!AC436</f>
        <v>-0.9281057000000017</v>
      </c>
      <c r="P430">
        <f xml:space="preserve"> [1]Coibion_update!AD436</f>
        <v>-1.0538581999999976</v>
      </c>
      <c r="Q430">
        <f xml:space="preserve"> [1]Barakchian_Crowe!B309</f>
        <v>-0.18210499999999999</v>
      </c>
      <c r="R430">
        <f xml:space="preserve"> [1]Barakchian_Crowe!C309</f>
        <v>-5.3036099999999999</v>
      </c>
      <c r="S430">
        <f xml:space="preserve"> [1]Gertler_Karadi!C184</f>
        <v>4.7995200000000002E-2</v>
      </c>
      <c r="T430">
        <f xml:space="preserve"> [1]Gertler_Karadi!D184</f>
        <v>-3.9998999999999998E-3</v>
      </c>
      <c r="U430">
        <f xml:space="preserve"> [1]Gertler_Karadi!E184</f>
        <v>1.18494E-2</v>
      </c>
      <c r="V430">
        <f xml:space="preserve"> [1]Gertler_Karadi!F184</f>
        <v>3.5052999999999998E-3</v>
      </c>
      <c r="W430">
        <f xml:space="preserve"> [1]Gertler_Karadi!G184</f>
        <v>0</v>
      </c>
      <c r="X430" s="5">
        <f xml:space="preserve"> [1]misc!N513</f>
        <v>5.76</v>
      </c>
      <c r="Y430">
        <f xml:space="preserve"> [1]Gilchrist_Zak!C262</f>
        <v>-0.43070000000000003</v>
      </c>
      <c r="Z430">
        <f xml:space="preserve"> [1]Sims_Zha!B433</f>
        <v>0.41399000000000002</v>
      </c>
      <c r="AA430">
        <f xml:space="preserve"> [1]Coibion_update!AI436</f>
        <v>5.73064E-2</v>
      </c>
      <c r="AB430">
        <f t="shared" si="32"/>
        <v>8.2603399999999799E-2</v>
      </c>
      <c r="AC430">
        <v>5.73064E-2</v>
      </c>
      <c r="AD430">
        <v>-0.09</v>
      </c>
      <c r="AE430">
        <v>-0.02</v>
      </c>
      <c r="AF430">
        <v>-0.03</v>
      </c>
      <c r="AG430">
        <v>-0.02</v>
      </c>
      <c r="AH430">
        <v>-2.4353099999999999E-2</v>
      </c>
      <c r="AI430">
        <v>-1.44244E-2</v>
      </c>
      <c r="AJ430">
        <v>-1.6677999999999998E-2</v>
      </c>
      <c r="AK430">
        <v>5.44</v>
      </c>
      <c r="AL430">
        <f xml:space="preserve"> LN([1]misc!B449)</f>
        <v>7.049168031932461</v>
      </c>
      <c r="AM430">
        <f xml:space="preserve"> LN([1]misc!D449)</f>
        <v>8.1555631340121</v>
      </c>
      <c r="AN430">
        <f xml:space="preserve"> LN([1]misc!G554)</f>
        <v>3.2256130785208659</v>
      </c>
      <c r="AO430">
        <f xml:space="preserve"> LN([1]misc!J460 + [1]misc!L460)</f>
        <v>4.0828285062608529</v>
      </c>
      <c r="AP430">
        <f xml:space="preserve"> [1]Factors!B430</f>
        <v>-0.303451148</v>
      </c>
      <c r="AQ430">
        <f xml:space="preserve"> [1]Factors!C430</f>
        <v>-0.121369377</v>
      </c>
      <c r="AR430">
        <f xml:space="preserve"> [1]Factors!D430</f>
        <v>0.135628001</v>
      </c>
      <c r="AS430">
        <f xml:space="preserve"> [1]Factors!E430</f>
        <v>0.13324042899999999</v>
      </c>
      <c r="AT430">
        <f xml:space="preserve"> [1]Factors!F430</f>
        <v>0.110059885</v>
      </c>
    </row>
    <row r="431" spans="1:46" x14ac:dyDescent="0.25">
      <c r="A431">
        <f t="shared" si="31"/>
        <v>1994.7499999999729</v>
      </c>
      <c r="B431" s="1">
        <v>34608</v>
      </c>
      <c r="C431" s="7">
        <f t="shared" si="27"/>
        <v>1994</v>
      </c>
      <c r="D431" s="7">
        <f t="shared" si="28"/>
        <v>10</v>
      </c>
      <c r="E431" s="7">
        <f t="shared" si="29"/>
        <v>4</v>
      </c>
      <c r="F431">
        <f xml:space="preserve"> [1]Coibion_update!O437</f>
        <v>4.2812293029490194</v>
      </c>
      <c r="G431">
        <f xml:space="preserve"> [1]Coibion_update!P437</f>
        <v>5.8</v>
      </c>
      <c r="H431">
        <f xml:space="preserve"> [1]Coibion_update!Q437</f>
        <v>5.0066272726987169</v>
      </c>
      <c r="I431">
        <f xml:space="preserve"> [1]Coibion_update!W437</f>
        <v>4.76</v>
      </c>
      <c r="J431">
        <f xml:space="preserve"> [1]Coibion_update!X437</f>
        <v>5.594488306395724</v>
      </c>
      <c r="K431">
        <f xml:space="preserve"> [1]Coibion_update!Y437</f>
        <v>3.8302053902043713</v>
      </c>
      <c r="L431">
        <f xml:space="preserve"> [1]Coibion_update!Z437</f>
        <v>4.2647200479976544</v>
      </c>
      <c r="M431">
        <f xml:space="preserve"> [1]Coibion_update!AA437</f>
        <v>4.219845883281562</v>
      </c>
      <c r="N431">
        <f xml:space="preserve"> [1]Coibion_update!AB437</f>
        <v>0</v>
      </c>
      <c r="O431">
        <f xml:space="preserve"> [1]Coibion_update!AC437</f>
        <v>-0.9281057000000017</v>
      </c>
      <c r="P431">
        <f xml:space="preserve"> [1]Coibion_update!AD437</f>
        <v>-1.0538581999999976</v>
      </c>
      <c r="Q431">
        <f xml:space="preserve"> [1]Barakchian_Crowe!B310</f>
        <v>0</v>
      </c>
      <c r="R431">
        <f xml:space="preserve"> [1]Barakchian_Crowe!C310</f>
        <v>-5.3036099999999999</v>
      </c>
      <c r="S431">
        <f xml:space="preserve"> [1]Gertler_Karadi!C185</f>
        <v>-7.8000100000000003E-2</v>
      </c>
      <c r="T431">
        <f xml:space="preserve"> [1]Gertler_Karadi!D185</f>
        <v>-2.5999999999999999E-2</v>
      </c>
      <c r="U431">
        <f xml:space="preserve"> [1]Gertler_Karadi!E185</f>
        <v>-1.7333299999999999E-2</v>
      </c>
      <c r="V431">
        <f xml:space="preserve"> [1]Gertler_Karadi!F185</f>
        <v>-8.6666E-3</v>
      </c>
      <c r="W431">
        <f xml:space="preserve"> [1]Gertler_Karadi!G185</f>
        <v>0</v>
      </c>
      <c r="X431" s="5">
        <f xml:space="preserve"> [1]misc!N514</f>
        <v>6.11</v>
      </c>
      <c r="Y431">
        <f xml:space="preserve"> [1]Gilchrist_Zak!C263</f>
        <v>-0.32800000000000001</v>
      </c>
      <c r="Z431">
        <f xml:space="preserve"> [1]Sims_Zha!B434</f>
        <v>-0.85070000000000001</v>
      </c>
      <c r="AA431">
        <f xml:space="preserve"> [1]Coibion_update!AI437</f>
        <v>0</v>
      </c>
      <c r="AB431">
        <f t="shared" si="32"/>
        <v>8.2603399999999799E-2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4.9000000000000004</v>
      </c>
      <c r="AL431">
        <f xml:space="preserve"> LN([1]misc!B450)</f>
        <v>7.0476911192796541</v>
      </c>
      <c r="AM431">
        <f xml:space="preserve"> LN([1]misc!D450)</f>
        <v>8.1550174314064705</v>
      </c>
      <c r="AN431">
        <f xml:space="preserve"> LN([1]misc!G555)</f>
        <v>3.2083405229528181</v>
      </c>
      <c r="AO431">
        <f xml:space="preserve"> LN([1]misc!J461 + [1]misc!L461)</f>
        <v>4.0774357438191871</v>
      </c>
      <c r="AP431">
        <f xml:space="preserve"> [1]Factors!B431</f>
        <v>-0.230201244</v>
      </c>
      <c r="AQ431">
        <f xml:space="preserve"> [1]Factors!C431</f>
        <v>-0.20760315700000001</v>
      </c>
      <c r="AR431">
        <f xml:space="preserve"> [1]Factors!D431</f>
        <v>9.8831158099999997E-2</v>
      </c>
      <c r="AS431">
        <f xml:space="preserve"> [1]Factors!E431</f>
        <v>-5.7270341099999997E-2</v>
      </c>
      <c r="AT431">
        <f xml:space="preserve"> [1]Factors!F431</f>
        <v>0.23518983399999999</v>
      </c>
    </row>
    <row r="432" spans="1:46" x14ac:dyDescent="0.25">
      <c r="A432">
        <f t="shared" si="31"/>
        <v>1994.8333333333062</v>
      </c>
      <c r="B432" s="1">
        <v>34639</v>
      </c>
      <c r="C432" s="7">
        <f t="shared" si="27"/>
        <v>1994</v>
      </c>
      <c r="D432" s="7">
        <f t="shared" si="28"/>
        <v>11</v>
      </c>
      <c r="E432" s="7">
        <f t="shared" si="29"/>
        <v>4</v>
      </c>
      <c r="F432">
        <f xml:space="preserve"> [1]Coibion_update!O438</f>
        <v>4.2874604280528645</v>
      </c>
      <c r="G432">
        <f xml:space="preserve"> [1]Coibion_update!P438</f>
        <v>5.6</v>
      </c>
      <c r="H432">
        <f xml:space="preserve"> [1]Coibion_update!Q438</f>
        <v>5.0093010710831196</v>
      </c>
      <c r="I432">
        <f xml:space="preserve"> [1]Coibion_update!W438</f>
        <v>5.29</v>
      </c>
      <c r="J432">
        <f xml:space="preserve"> [1]Coibion_update!X438</f>
        <v>5.6168074606417937</v>
      </c>
      <c r="K432">
        <f xml:space="preserve"> [1]Coibion_update!Y438</f>
        <v>3.8369114529330175</v>
      </c>
      <c r="L432">
        <f xml:space="preserve"> [1]Coibion_update!Z438</f>
        <v>4.2621163380013236</v>
      </c>
      <c r="M432">
        <f xml:space="preserve"> [1]Coibion_update!AA438</f>
        <v>4.2205365874598604</v>
      </c>
      <c r="N432">
        <f xml:space="preserve"> [1]Coibion_update!AB438</f>
        <v>0.60612829999999995</v>
      </c>
      <c r="O432">
        <f xml:space="preserve"> [1]Coibion_update!AC438</f>
        <v>-0.32197740000000175</v>
      </c>
      <c r="P432">
        <f xml:space="preserve"> [1]Coibion_update!AD438</f>
        <v>-0.50438389999999766</v>
      </c>
      <c r="Q432">
        <f xml:space="preserve"> [1]Barakchian_Crowe!B311</f>
        <v>1.2590380000000001</v>
      </c>
      <c r="R432">
        <f xml:space="preserve"> [1]Barakchian_Crowe!C311</f>
        <v>-4.0445719999999996</v>
      </c>
      <c r="S432">
        <f xml:space="preserve"> [1]Gertler_Karadi!C186</f>
        <v>6.4000000000000001E-2</v>
      </c>
      <c r="T432">
        <f xml:space="preserve"> [1]Gertler_Karadi!D186</f>
        <v>4.2666700000000002E-2</v>
      </c>
      <c r="U432">
        <f xml:space="preserve"> [1]Gertler_Karadi!E186</f>
        <v>2.13332E-2</v>
      </c>
      <c r="V432">
        <f xml:space="preserve"> [1]Gertler_Karadi!F186</f>
        <v>1.6E-2</v>
      </c>
      <c r="W432">
        <f xml:space="preserve"> [1]Gertler_Karadi!G186</f>
        <v>1.6E-2</v>
      </c>
      <c r="X432" s="5">
        <f xml:space="preserve"> [1]misc!N515</f>
        <v>6.54</v>
      </c>
      <c r="Y432">
        <f xml:space="preserve"> [1]Gilchrist_Zak!C264</f>
        <v>-0.3049</v>
      </c>
      <c r="Z432">
        <f xml:space="preserve"> [1]Sims_Zha!B435</f>
        <v>2.5708000000000002</v>
      </c>
      <c r="AA432">
        <f xml:space="preserve"> [1]Coibion_update!AI438</f>
        <v>0.51236000000000004</v>
      </c>
      <c r="AB432">
        <f t="shared" si="32"/>
        <v>0.59496339999999981</v>
      </c>
      <c r="AC432">
        <v>0.51236000000000004</v>
      </c>
      <c r="AD432">
        <v>0.12</v>
      </c>
      <c r="AE432">
        <v>0.06</v>
      </c>
      <c r="AF432">
        <v>0.08</v>
      </c>
      <c r="AG432">
        <v>0.04</v>
      </c>
      <c r="AH432">
        <v>3.8143099999999999E-2</v>
      </c>
      <c r="AI432">
        <v>5.0638000000000002E-2</v>
      </c>
      <c r="AJ432">
        <v>8.5892E-3</v>
      </c>
      <c r="AK432">
        <v>5.66</v>
      </c>
      <c r="AL432">
        <f xml:space="preserve"> LN([1]misc!B451)</f>
        <v>7.0482995239744453</v>
      </c>
      <c r="AM432">
        <f xml:space="preserve"> LN([1]misc!D451)</f>
        <v>8.1558502263429649</v>
      </c>
      <c r="AN432">
        <f xml:space="preserve"> LN([1]misc!G556)</f>
        <v>3.2072484886272212</v>
      </c>
      <c r="AO432">
        <f xml:space="preserve"> LN([1]misc!J462 + [1]misc!L462)</f>
        <v>4.0802963464960413</v>
      </c>
      <c r="AP432">
        <f xml:space="preserve"> [1]Factors!B432</f>
        <v>-0.34035433399999998</v>
      </c>
      <c r="AQ432">
        <f xml:space="preserve"> [1]Factors!C432</f>
        <v>-0.30657965500000001</v>
      </c>
      <c r="AR432">
        <f xml:space="preserve"> [1]Factors!D432</f>
        <v>0.23795572500000001</v>
      </c>
      <c r="AS432">
        <f xml:space="preserve"> [1]Factors!E432</f>
        <v>-8.0094560699999998E-2</v>
      </c>
      <c r="AT432">
        <f xml:space="preserve"> [1]Factors!F432</f>
        <v>1.5325171E-2</v>
      </c>
    </row>
    <row r="433" spans="1:46" x14ac:dyDescent="0.25">
      <c r="A433">
        <f t="shared" si="31"/>
        <v>1994.9166666666395</v>
      </c>
      <c r="B433" s="1">
        <v>34669</v>
      </c>
      <c r="C433" s="7">
        <f t="shared" si="27"/>
        <v>1994</v>
      </c>
      <c r="D433" s="7">
        <f t="shared" si="28"/>
        <v>12</v>
      </c>
      <c r="E433" s="7">
        <f t="shared" si="29"/>
        <v>4</v>
      </c>
      <c r="F433">
        <f xml:space="preserve"> [1]Coibion_update!O439</f>
        <v>4.2979872007197395</v>
      </c>
      <c r="G433">
        <f xml:space="preserve"> [1]Coibion_update!P439</f>
        <v>5.5</v>
      </c>
      <c r="H433">
        <f xml:space="preserve"> [1]Coibion_update!Q439</f>
        <v>5.0113017386394159</v>
      </c>
      <c r="I433">
        <f xml:space="preserve"> [1]Coibion_update!W439</f>
        <v>5.45</v>
      </c>
      <c r="J433">
        <f xml:space="preserve"> [1]Coibion_update!X439</f>
        <v>5.6439616963376613</v>
      </c>
      <c r="K433">
        <f xml:space="preserve"> [1]Coibion_update!Y439</f>
        <v>3.8310949059109047</v>
      </c>
      <c r="L433">
        <f xml:space="preserve"> [1]Coibion_update!Z439</f>
        <v>4.2700470389361742</v>
      </c>
      <c r="M433">
        <f xml:space="preserve"> [1]Coibion_update!AA439</f>
        <v>4.2230015944303627</v>
      </c>
      <c r="N433">
        <f xml:space="preserve"> [1]Coibion_update!AB439</f>
        <v>-0.21635309999999999</v>
      </c>
      <c r="O433">
        <f xml:space="preserve"> [1]Coibion_update!AC439</f>
        <v>-0.53833050000000171</v>
      </c>
      <c r="P433">
        <f xml:space="preserve"> [1]Coibion_update!AD439</f>
        <v>-0.75275459999999761</v>
      </c>
      <c r="Q433">
        <f xml:space="preserve"> [1]Barakchian_Crowe!B312</f>
        <v>-0.79857920000000004</v>
      </c>
      <c r="R433">
        <f xml:space="preserve"> [1]Barakchian_Crowe!C312</f>
        <v>-4.8431509999999998</v>
      </c>
      <c r="S433">
        <f xml:space="preserve"> [1]Gertler_Karadi!C187</f>
        <v>-3.1274900000000001E-2</v>
      </c>
      <c r="T433">
        <f xml:space="preserve"> [1]Gertler_Karadi!D187</f>
        <v>1.7978399999999999E-2</v>
      </c>
      <c r="U433">
        <f xml:space="preserve"> [1]Gertler_Karadi!E187</f>
        <v>2.2537700000000001E-2</v>
      </c>
      <c r="V433">
        <f xml:space="preserve"> [1]Gertler_Karadi!F187</f>
        <v>1.7870899999999999E-2</v>
      </c>
      <c r="W433">
        <f xml:space="preserve"> [1]Gertler_Karadi!G187</f>
        <v>2.1742000000000001E-2</v>
      </c>
      <c r="X433" s="5">
        <f xml:space="preserve"> [1]misc!N516</f>
        <v>7.14</v>
      </c>
      <c r="Y433">
        <f xml:space="preserve"> [1]Gilchrist_Zak!C265</f>
        <v>-0.25409999999999999</v>
      </c>
      <c r="Z433">
        <f xml:space="preserve"> [1]Sims_Zha!B436</f>
        <v>-0.15071999999999999</v>
      </c>
      <c r="AA433">
        <f xml:space="preserve"> [1]Coibion_update!AI439</f>
        <v>-0.2378768</v>
      </c>
      <c r="AB433">
        <f t="shared" si="32"/>
        <v>0.35708659999999981</v>
      </c>
      <c r="AC433">
        <v>-0.2378768</v>
      </c>
      <c r="AD433">
        <v>-0.22545999999999999</v>
      </c>
      <c r="AE433">
        <v>-0.08</v>
      </c>
      <c r="AF433">
        <v>-0.05</v>
      </c>
      <c r="AG433">
        <v>0.01</v>
      </c>
      <c r="AH433">
        <v>-0.1016249</v>
      </c>
      <c r="AI433">
        <v>-6.3660300000000003E-2</v>
      </c>
      <c r="AJ433">
        <v>-1.6436599999999999E-2</v>
      </c>
      <c r="AK433">
        <v>4.9400000000000004</v>
      </c>
      <c r="AL433">
        <f xml:space="preserve"> LN([1]misc!B452)</f>
        <v>7.0481257318294128</v>
      </c>
      <c r="AM433">
        <f xml:space="preserve"> LN([1]misc!D452)</f>
        <v>8.1555631340121</v>
      </c>
      <c r="AN433">
        <f xml:space="preserve"> LN([1]misc!G557)</f>
        <v>3.205628464782571</v>
      </c>
      <c r="AO433">
        <f xml:space="preserve"> LN([1]misc!J463 + [1]misc!L463)</f>
        <v>4.0818839164967669</v>
      </c>
      <c r="AP433">
        <f xml:space="preserve"> [1]Factors!B433</f>
        <v>-0.39956497000000002</v>
      </c>
      <c r="AQ433">
        <f xml:space="preserve"> [1]Factors!C433</f>
        <v>-0.148442725</v>
      </c>
      <c r="AR433">
        <f xml:space="preserve"> [1]Factors!D433</f>
        <v>0.176676365</v>
      </c>
      <c r="AS433">
        <f xml:space="preserve"> [1]Factors!E433</f>
        <v>-6.1843497300000001E-2</v>
      </c>
      <c r="AT433">
        <f xml:space="preserve"> [1]Factors!F433</f>
        <v>0.22637133800000001</v>
      </c>
    </row>
    <row r="434" spans="1:46" x14ac:dyDescent="0.25">
      <c r="A434">
        <f t="shared" si="31"/>
        <v>1994.9999999999727</v>
      </c>
      <c r="B434" s="1">
        <v>34700</v>
      </c>
      <c r="C434" s="7">
        <f t="shared" si="27"/>
        <v>1995</v>
      </c>
      <c r="D434" s="7">
        <f t="shared" si="28"/>
        <v>1</v>
      </c>
      <c r="E434" s="7">
        <f t="shared" si="29"/>
        <v>1</v>
      </c>
      <c r="F434">
        <f xml:space="preserve"> [1]Coibion_update!O440</f>
        <v>4.3000747097711285</v>
      </c>
      <c r="G434">
        <f xml:space="preserve"> [1]Coibion_update!P440</f>
        <v>5.6</v>
      </c>
      <c r="H434">
        <f xml:space="preserve"> [1]Coibion_update!Q440</f>
        <v>5.01396308418893</v>
      </c>
      <c r="I434">
        <f xml:space="preserve"> [1]Coibion_update!W440</f>
        <v>5.53</v>
      </c>
      <c r="J434">
        <f xml:space="preserve"> [1]Coibion_update!X440</f>
        <v>5.6638281591491682</v>
      </c>
      <c r="K434">
        <f xml:space="preserve"> [1]Coibion_update!Y440</f>
        <v>3.8161506676426282</v>
      </c>
      <c r="L434">
        <f xml:space="preserve"> [1]Coibion_update!Z440</f>
        <v>4.2742743721796517</v>
      </c>
      <c r="M434">
        <f xml:space="preserve"> [1]Coibion_update!AA440</f>
        <v>4.2244513475673164</v>
      </c>
      <c r="N434">
        <f xml:space="preserve"> [1]Coibion_update!AB440</f>
        <v>0</v>
      </c>
      <c r="O434">
        <f xml:space="preserve"> [1]Coibion_update!AC440</f>
        <v>-0.53833050000000171</v>
      </c>
      <c r="P434">
        <f xml:space="preserve"> [1]Coibion_update!AD440</f>
        <v>-0.75275459999999761</v>
      </c>
      <c r="Q434">
        <f xml:space="preserve"> [1]Barakchian_Crowe!B313</f>
        <v>0</v>
      </c>
      <c r="R434">
        <f xml:space="preserve"> [1]Barakchian_Crowe!C313</f>
        <v>-4.8431509999999998</v>
      </c>
      <c r="S434">
        <f xml:space="preserve"> [1]Gertler_Karadi!C188</f>
        <v>-0.13818510000000001</v>
      </c>
      <c r="T434">
        <f xml:space="preserve"> [1]Gertler_Karadi!D188</f>
        <v>-3.0645100000000002E-2</v>
      </c>
      <c r="U434">
        <f xml:space="preserve"> [1]Gertler_Karadi!E188</f>
        <v>6.1289999999999999E-3</v>
      </c>
      <c r="V434">
        <f xml:space="preserve"> [1]Gertler_Karadi!F188</f>
        <v>6.1289999999999999E-3</v>
      </c>
      <c r="W434">
        <f xml:space="preserve"> [1]Gertler_Karadi!G188</f>
        <v>1.2258099999999999E-2</v>
      </c>
      <c r="X434" s="5">
        <f xml:space="preserve"> [1]misc!N517</f>
        <v>7.05</v>
      </c>
      <c r="Y434">
        <f xml:space="preserve"> [1]Gilchrist_Zak!C266</f>
        <v>-0.27360000000000001</v>
      </c>
      <c r="Z434">
        <f xml:space="preserve"> [1]Sims_Zha!B437</f>
        <v>-1.1105</v>
      </c>
      <c r="AA434">
        <f xml:space="preserve"> [1]Coibion_update!AI440</f>
        <v>0</v>
      </c>
      <c r="AB434">
        <f t="shared" si="32"/>
        <v>0.35708659999999981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5.86</v>
      </c>
      <c r="AL434">
        <f xml:space="preserve"> LN([1]misc!B453)</f>
        <v>7.0487338722417094</v>
      </c>
      <c r="AM434">
        <f xml:space="preserve"> LN([1]misc!D453)</f>
        <v>8.1571411228345685</v>
      </c>
      <c r="AN434">
        <f xml:space="preserve"> LN([1]misc!G558)</f>
        <v>3.1030608513065157</v>
      </c>
      <c r="AO434">
        <f xml:space="preserve"> LN([1]misc!J464 + [1]misc!L464)</f>
        <v>4.0821370191143558</v>
      </c>
      <c r="AP434">
        <f xml:space="preserve"> [1]Factors!B434</f>
        <v>-0.322074519</v>
      </c>
      <c r="AQ434">
        <f xml:space="preserve"> [1]Factors!C434</f>
        <v>-0.32515508500000001</v>
      </c>
      <c r="AR434">
        <f xml:space="preserve"> [1]Factors!D434</f>
        <v>0.18455439800000001</v>
      </c>
      <c r="AS434">
        <f xml:space="preserve"> [1]Factors!E434</f>
        <v>-1.49750643E-2</v>
      </c>
      <c r="AT434">
        <f xml:space="preserve"> [1]Factors!F434</f>
        <v>8.0602975600000001E-2</v>
      </c>
    </row>
    <row r="435" spans="1:46" x14ac:dyDescent="0.25">
      <c r="A435">
        <f t="shared" si="31"/>
        <v>1995.083333333306</v>
      </c>
      <c r="B435" s="1">
        <v>34731</v>
      </c>
      <c r="C435" s="7">
        <f t="shared" si="27"/>
        <v>1995</v>
      </c>
      <c r="D435" s="7">
        <f t="shared" si="28"/>
        <v>2</v>
      </c>
      <c r="E435" s="7">
        <f t="shared" si="29"/>
        <v>1</v>
      </c>
      <c r="F435">
        <f xml:space="preserve"> [1]Coibion_update!O441</f>
        <v>4.2988895610510243</v>
      </c>
      <c r="G435">
        <f xml:space="preserve"> [1]Coibion_update!P441</f>
        <v>5.4</v>
      </c>
      <c r="H435">
        <f xml:space="preserve"> [1]Coibion_update!Q441</f>
        <v>5.0166173657738033</v>
      </c>
      <c r="I435">
        <f xml:space="preserve"> [1]Coibion_update!W441</f>
        <v>5.92</v>
      </c>
      <c r="J435">
        <f xml:space="preserve"> [1]Coibion_update!X441</f>
        <v>5.6546972669657096</v>
      </c>
      <c r="K435">
        <f xml:space="preserve"> [1]Coibion_update!Y441</f>
        <v>3.7991678080080593</v>
      </c>
      <c r="L435">
        <f xml:space="preserve"> [1]Coibion_update!Z441</f>
        <v>4.2638763440876613</v>
      </c>
      <c r="M435">
        <f xml:space="preserve"> [1]Coibion_update!AA441</f>
        <v>4.2290502650743917</v>
      </c>
      <c r="N435">
        <f xml:space="preserve"> [1]Coibion_update!AB441</f>
        <v>0.51598120000000003</v>
      </c>
      <c r="O435">
        <f xml:space="preserve"> [1]Coibion_update!AC441</f>
        <v>-2.2349300000001682E-2</v>
      </c>
      <c r="P435">
        <f xml:space="preserve"> [1]Coibion_update!AD441</f>
        <v>-0.2506210999999976</v>
      </c>
      <c r="Q435">
        <f xml:space="preserve"> [1]Barakchian_Crowe!B314</f>
        <v>0.73424330000000004</v>
      </c>
      <c r="R435">
        <f xml:space="preserve"> [1]Barakchian_Crowe!C314</f>
        <v>-4.1089079999999996</v>
      </c>
      <c r="S435">
        <f xml:space="preserve"> [1]Gertler_Karadi!C189</f>
        <v>6.2230000000000001E-2</v>
      </c>
      <c r="T435">
        <f xml:space="preserve"> [1]Gertler_Karadi!D189</f>
        <v>0</v>
      </c>
      <c r="U435">
        <f xml:space="preserve"> [1]Gertler_Karadi!E189</f>
        <v>0.05</v>
      </c>
      <c r="V435">
        <f xml:space="preserve"> [1]Gertler_Karadi!F189</f>
        <v>6.0000100000000001E-2</v>
      </c>
      <c r="W435">
        <f xml:space="preserve"> [1]Gertler_Karadi!G189</f>
        <v>5.9999900000000002E-2</v>
      </c>
      <c r="X435" s="5">
        <f xml:space="preserve"> [1]misc!N518</f>
        <v>6.7</v>
      </c>
      <c r="Y435">
        <f xml:space="preserve"> [1]Gilchrist_Zak!C267</f>
        <v>-0.32700000000000001</v>
      </c>
      <c r="Z435">
        <f xml:space="preserve"> [1]Sims_Zha!B438</f>
        <v>1.8563000000000001</v>
      </c>
      <c r="AA435">
        <f xml:space="preserve"> [1]Coibion_update!AI441</f>
        <v>0.41366530000000001</v>
      </c>
      <c r="AB435">
        <f t="shared" si="32"/>
        <v>0.77075189999999982</v>
      </c>
      <c r="AC435">
        <v>0.41366530000000001</v>
      </c>
      <c r="AD435">
        <v>6.2230000000000001E-2</v>
      </c>
      <c r="AE435">
        <v>6.0010000000000001E-2</v>
      </c>
      <c r="AF435">
        <v>0</v>
      </c>
      <c r="AG435">
        <v>0.05</v>
      </c>
      <c r="AH435">
        <v>5.6611500000000002E-2</v>
      </c>
      <c r="AI435">
        <v>9.3804000000000005E-3</v>
      </c>
      <c r="AJ435">
        <v>4.5325400000000002E-2</v>
      </c>
      <c r="AK435">
        <v>6.1</v>
      </c>
      <c r="AL435">
        <f xml:space="preserve"> LN([1]misc!B454)</f>
        <v>7.0452537921677711</v>
      </c>
      <c r="AM435">
        <f xml:space="preserve"> LN([1]misc!D454)</f>
        <v>8.1563380942265411</v>
      </c>
      <c r="AN435">
        <f xml:space="preserve"> LN([1]misc!G559)</f>
        <v>3.0791998787952539</v>
      </c>
      <c r="AO435">
        <f xml:space="preserve"> LN([1]misc!J465 + [1]misc!L465)</f>
        <v>4.0706152355228644</v>
      </c>
      <c r="AP435">
        <f xml:space="preserve"> [1]Factors!B435</f>
        <v>-0.18665579600000001</v>
      </c>
      <c r="AQ435">
        <f xml:space="preserve"> [1]Factors!C435</f>
        <v>-0.14914641200000001</v>
      </c>
      <c r="AR435">
        <f xml:space="preserve"> [1]Factors!D435</f>
        <v>8.2787070700000007E-2</v>
      </c>
      <c r="AS435">
        <f xml:space="preserve"> [1]Factors!E435</f>
        <v>8.0412706099999995E-2</v>
      </c>
      <c r="AT435">
        <f xml:space="preserve"> [1]Factors!F435</f>
        <v>0.25596453400000002</v>
      </c>
    </row>
    <row r="436" spans="1:46" x14ac:dyDescent="0.25">
      <c r="A436">
        <f t="shared" si="31"/>
        <v>1995.1666666666392</v>
      </c>
      <c r="B436" s="1">
        <v>34759</v>
      </c>
      <c r="C436" s="7">
        <f t="shared" si="27"/>
        <v>1995</v>
      </c>
      <c r="D436" s="7">
        <f t="shared" si="28"/>
        <v>3</v>
      </c>
      <c r="E436" s="7">
        <f t="shared" si="29"/>
        <v>1</v>
      </c>
      <c r="F436">
        <f xml:space="preserve"> [1]Coibion_update!O442</f>
        <v>4.3005711586796425</v>
      </c>
      <c r="G436">
        <f xml:space="preserve"> [1]Coibion_update!P442</f>
        <v>5.4</v>
      </c>
      <c r="H436">
        <f xml:space="preserve"> [1]Coibion_update!Q442</f>
        <v>5.0186034637454329</v>
      </c>
      <c r="I436">
        <f xml:space="preserve"> [1]Coibion_update!W442</f>
        <v>5.98</v>
      </c>
      <c r="J436">
        <f xml:space="preserve"> [1]Coibion_update!X442</f>
        <v>5.6558869102130815</v>
      </c>
      <c r="K436">
        <f xml:space="preserve"> [1]Coibion_update!Y442</f>
        <v>3.8199954319714733</v>
      </c>
      <c r="L436">
        <f xml:space="preserve"> [1]Coibion_update!Z442</f>
        <v>4.269459659192278</v>
      </c>
      <c r="M436">
        <f xml:space="preserve"> [1]Coibion_update!AA442</f>
        <v>4.2311746747493224</v>
      </c>
      <c r="N436">
        <f xml:space="preserve"> [1]Coibion_update!AB442</f>
        <v>0.24220469999999999</v>
      </c>
      <c r="O436">
        <f xml:space="preserve"> [1]Coibion_update!AC442</f>
        <v>0.21985539999999831</v>
      </c>
      <c r="P436">
        <f xml:space="preserve"> [1]Coibion_update!AD442</f>
        <v>-6.9163999999976022E-3</v>
      </c>
      <c r="Q436">
        <f xml:space="preserve"> [1]Barakchian_Crowe!B315</f>
        <v>1.065744</v>
      </c>
      <c r="R436">
        <f xml:space="preserve"> [1]Barakchian_Crowe!C315</f>
        <v>-3.043164</v>
      </c>
      <c r="S436">
        <f xml:space="preserve"> [1]Gertler_Karadi!C190</f>
        <v>-1.2903000000000001E-3</v>
      </c>
      <c r="T436">
        <f xml:space="preserve"> [1]Gertler_Karadi!D190</f>
        <v>2.5806000000000002E-3</v>
      </c>
      <c r="U436">
        <f xml:space="preserve"> [1]Gertler_Karadi!E190</f>
        <v>2.5806000000000002E-3</v>
      </c>
      <c r="V436">
        <f xml:space="preserve"> [1]Gertler_Karadi!F190</f>
        <v>2.5806000000000002E-3</v>
      </c>
      <c r="W436">
        <f xml:space="preserve"> [1]Gertler_Karadi!G190</f>
        <v>2.5806000000000002E-3</v>
      </c>
      <c r="X436" s="5">
        <f xml:space="preserve"> [1]misc!N519</f>
        <v>6.43</v>
      </c>
      <c r="Y436">
        <f xml:space="preserve"> [1]Gilchrist_Zak!C268</f>
        <v>-0.32969999999999999</v>
      </c>
      <c r="Z436">
        <f xml:space="preserve"> [1]Sims_Zha!B439</f>
        <v>-0.75983000000000001</v>
      </c>
      <c r="AA436">
        <f xml:space="preserve"> [1]Coibion_update!AI442</f>
        <v>7.3612700000000003E-2</v>
      </c>
      <c r="AB436">
        <f t="shared" si="32"/>
        <v>0.8443645999999998</v>
      </c>
      <c r="AC436">
        <v>7.3612700000000003E-2</v>
      </c>
      <c r="AD436">
        <v>-0.01</v>
      </c>
      <c r="AE436">
        <v>0.01</v>
      </c>
      <c r="AF436">
        <v>0.02</v>
      </c>
      <c r="AG436">
        <v>0.02</v>
      </c>
      <c r="AH436">
        <v>2.6832700000000001E-2</v>
      </c>
      <c r="AI436">
        <v>3.8588299999999999E-2</v>
      </c>
      <c r="AJ436">
        <v>3.3220199999999998E-2</v>
      </c>
      <c r="AK436">
        <v>6.3</v>
      </c>
      <c r="AL436">
        <f xml:space="preserve"> LN([1]misc!B455)</f>
        <v>7.044643531044259</v>
      </c>
      <c r="AM436">
        <f xml:space="preserve"> LN([1]misc!D455)</f>
        <v>8.1567110091345505</v>
      </c>
      <c r="AN436">
        <f xml:space="preserve"> LN([1]misc!G560)</f>
        <v>3.1192322695396038</v>
      </c>
      <c r="AO436">
        <f xml:space="preserve"> LN([1]misc!J466 + [1]misc!L466)</f>
        <v>4.0628710948452147</v>
      </c>
      <c r="AP436">
        <f xml:space="preserve"> [1]Factors!B436</f>
        <v>5.2773136800000002E-2</v>
      </c>
      <c r="AQ436">
        <f xml:space="preserve"> [1]Factors!C436</f>
        <v>-9.52519753E-2</v>
      </c>
      <c r="AR436">
        <f xml:space="preserve"> [1]Factors!D436</f>
        <v>-1.6922291799999999E-2</v>
      </c>
      <c r="AS436">
        <f xml:space="preserve"> [1]Factors!E436</f>
        <v>0.102875086</v>
      </c>
      <c r="AT436">
        <f xml:space="preserve"> [1]Factors!F436</f>
        <v>0.273229104</v>
      </c>
    </row>
    <row r="437" spans="1:46" x14ac:dyDescent="0.25">
      <c r="A437">
        <f t="shared" si="31"/>
        <v>1995.2499999999725</v>
      </c>
      <c r="B437" s="1">
        <v>34790</v>
      </c>
      <c r="C437" s="7">
        <f t="shared" si="27"/>
        <v>1995</v>
      </c>
      <c r="D437" s="7">
        <f t="shared" si="28"/>
        <v>4</v>
      </c>
      <c r="E437" s="7">
        <f t="shared" si="29"/>
        <v>2</v>
      </c>
      <c r="F437">
        <f xml:space="preserve"> [1]Coibion_update!O443</f>
        <v>4.3002361505284874</v>
      </c>
      <c r="G437">
        <f xml:space="preserve"> [1]Coibion_update!P443</f>
        <v>5.8</v>
      </c>
      <c r="H437">
        <f xml:space="preserve"> [1]Coibion_update!Q443</f>
        <v>5.0225638649615298</v>
      </c>
      <c r="I437">
        <f xml:space="preserve"> [1]Coibion_update!W443</f>
        <v>6.05</v>
      </c>
      <c r="J437">
        <f xml:space="preserve"> [1]Coibion_update!X443</f>
        <v>5.6572846809966206</v>
      </c>
      <c r="K437">
        <f xml:space="preserve"> [1]Coibion_update!Y443</f>
        <v>3.7969263581970703</v>
      </c>
      <c r="L437">
        <f xml:space="preserve"> [1]Coibion_update!Z443</f>
        <v>4.2674992311912385</v>
      </c>
      <c r="M437">
        <f xml:space="preserve"> [1]Coibion_update!AA443</f>
        <v>4.234005050175571</v>
      </c>
      <c r="N437">
        <f xml:space="preserve"> [1]Coibion_update!AB443</f>
        <v>0</v>
      </c>
      <c r="O437">
        <f xml:space="preserve"> [1]Coibion_update!AC443</f>
        <v>0.21985539999999831</v>
      </c>
      <c r="P437">
        <f xml:space="preserve"> [1]Coibion_update!AD443</f>
        <v>-6.9163999999976022E-3</v>
      </c>
      <c r="Q437">
        <f xml:space="preserve"> [1]Barakchian_Crowe!B316</f>
        <v>0</v>
      </c>
      <c r="R437">
        <f xml:space="preserve"> [1]Barakchian_Crowe!C316</f>
        <v>-3.043164</v>
      </c>
      <c r="S437">
        <f xml:space="preserve"> [1]Gertler_Karadi!C191</f>
        <v>-8.7097000000000008E-3</v>
      </c>
      <c r="T437">
        <f xml:space="preserve"> [1]Gertler_Karadi!D191</f>
        <v>1.7419299999999999E-2</v>
      </c>
      <c r="U437">
        <f xml:space="preserve"> [1]Gertler_Karadi!E191</f>
        <v>1.7419299999999999E-2</v>
      </c>
      <c r="V437">
        <f xml:space="preserve"> [1]Gertler_Karadi!F191</f>
        <v>1.7419299999999999E-2</v>
      </c>
      <c r="W437">
        <f xml:space="preserve"> [1]Gertler_Karadi!G191</f>
        <v>1.7419299999999999E-2</v>
      </c>
      <c r="X437" s="5">
        <f xml:space="preserve"> [1]misc!N520</f>
        <v>6.27</v>
      </c>
      <c r="Y437">
        <f xml:space="preserve"> [1]Gilchrist_Zak!C269</f>
        <v>-0.2596</v>
      </c>
      <c r="Z437">
        <f xml:space="preserve"> [1]Sims_Zha!B440</f>
        <v>-0.16261</v>
      </c>
      <c r="AA437">
        <f xml:space="preserve"> [1]Coibion_update!AI443</f>
        <v>0</v>
      </c>
      <c r="AB437">
        <f t="shared" si="32"/>
        <v>0.8443645999999998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6.06</v>
      </c>
      <c r="AL437">
        <f xml:space="preserve"> LN([1]misc!B456)</f>
        <v>7.0469083403747126</v>
      </c>
      <c r="AM437">
        <f xml:space="preserve"> LN([1]misc!D456)</f>
        <v>8.1590028140738404</v>
      </c>
      <c r="AN437">
        <f xml:space="preserve"> LN([1]misc!G561)</f>
        <v>3.1860633351216503</v>
      </c>
      <c r="AO437">
        <f xml:space="preserve"> LN([1]misc!J467 + [1]misc!L467)</f>
        <v>4.0580781474952543</v>
      </c>
      <c r="AP437">
        <f xml:space="preserve"> [1]Factors!B437</f>
        <v>5.7935274799999999E-2</v>
      </c>
      <c r="AQ437">
        <f xml:space="preserve"> [1]Factors!C437</f>
        <v>-0.113029562</v>
      </c>
      <c r="AR437">
        <f xml:space="preserve"> [1]Factors!D437</f>
        <v>-0.109060773</v>
      </c>
      <c r="AS437">
        <f xml:space="preserve"> [1]Factors!E437</f>
        <v>0.19933567199999999</v>
      </c>
      <c r="AT437">
        <f xml:space="preserve"> [1]Factors!F437</f>
        <v>0.16132682800000001</v>
      </c>
    </row>
    <row r="438" spans="1:46" x14ac:dyDescent="0.25">
      <c r="A438">
        <f t="shared" si="31"/>
        <v>1995.3333333333057</v>
      </c>
      <c r="B438" s="1">
        <v>34820</v>
      </c>
      <c r="C438" s="7">
        <f t="shared" si="27"/>
        <v>1995</v>
      </c>
      <c r="D438" s="7">
        <f t="shared" si="28"/>
        <v>5</v>
      </c>
      <c r="E438" s="7">
        <f t="shared" si="29"/>
        <v>2</v>
      </c>
      <c r="F438">
        <f xml:space="preserve"> [1]Coibion_update!O444</f>
        <v>4.3032106742381675</v>
      </c>
      <c r="G438">
        <f xml:space="preserve"> [1]Coibion_update!P444</f>
        <v>5.6</v>
      </c>
      <c r="H438">
        <f xml:space="preserve"> [1]Coibion_update!Q444</f>
        <v>5.0245381992652467</v>
      </c>
      <c r="I438">
        <f xml:space="preserve"> [1]Coibion_update!W444</f>
        <v>6.01</v>
      </c>
      <c r="J438">
        <f xml:space="preserve"> [1]Coibion_update!X444</f>
        <v>5.6642096995363778</v>
      </c>
      <c r="K438">
        <f xml:space="preserve"> [1]Coibion_update!Y444</f>
        <v>3.8189642891765412</v>
      </c>
      <c r="L438">
        <f xml:space="preserve"> [1]Coibion_update!Z444</f>
        <v>4.2749563248173326</v>
      </c>
      <c r="M438">
        <f xml:space="preserve"> [1]Coibion_update!AA444</f>
        <v>4.2382139993080337</v>
      </c>
      <c r="N438">
        <f xml:space="preserve"> [1]Coibion_update!AB444</f>
        <v>0.2246379</v>
      </c>
      <c r="O438">
        <f xml:space="preserve"> [1]Coibion_update!AC444</f>
        <v>0.44449329999999831</v>
      </c>
      <c r="P438">
        <f xml:space="preserve"> [1]Coibion_update!AD444</f>
        <v>0.2053223000000024</v>
      </c>
      <c r="Q438">
        <f xml:space="preserve"> [1]Barakchian_Crowe!B317</f>
        <v>-0.26358009999999998</v>
      </c>
      <c r="R438">
        <f xml:space="preserve"> [1]Barakchian_Crowe!C317</f>
        <v>-3.3067440000000001</v>
      </c>
      <c r="S438">
        <f xml:space="preserve"> [1]Gertler_Karadi!C192</f>
        <v>2.8600000000000001E-6</v>
      </c>
      <c r="T438">
        <f xml:space="preserve"> [1]Gertler_Karadi!D192</f>
        <v>0</v>
      </c>
      <c r="U438">
        <f xml:space="preserve"> [1]Gertler_Karadi!E192</f>
        <v>-2.9031999999999999E-3</v>
      </c>
      <c r="V438">
        <f xml:space="preserve"> [1]Gertler_Karadi!F192</f>
        <v>-2.9031999999999999E-3</v>
      </c>
      <c r="W438">
        <f xml:space="preserve"> [1]Gertler_Karadi!G192</f>
        <v>0</v>
      </c>
      <c r="X438" s="5">
        <f xml:space="preserve"> [1]misc!N521</f>
        <v>6</v>
      </c>
      <c r="Y438">
        <f xml:space="preserve"> [1]Gilchrist_Zak!C270</f>
        <v>-0.40110000000000001</v>
      </c>
      <c r="Z438">
        <f xml:space="preserve"> [1]Sims_Zha!B441</f>
        <v>-0.43503999999999998</v>
      </c>
      <c r="AA438">
        <f xml:space="preserve"> [1]Coibion_update!AI444</f>
        <v>0.18821370000000001</v>
      </c>
      <c r="AB438">
        <f t="shared" si="32"/>
        <v>1.0325782999999997</v>
      </c>
      <c r="AC438">
        <v>0.18821370000000001</v>
      </c>
      <c r="AD438" s="6">
        <v>1.0000000000000001E-5</v>
      </c>
      <c r="AE438">
        <v>0</v>
      </c>
      <c r="AF438">
        <v>0</v>
      </c>
      <c r="AG438">
        <v>-0.01</v>
      </c>
      <c r="AH438">
        <v>3.5657399999999999E-2</v>
      </c>
      <c r="AI438">
        <v>3.6889199999999997E-2</v>
      </c>
      <c r="AJ438">
        <v>3.2170400000000002E-2</v>
      </c>
      <c r="AK438">
        <v>6.17</v>
      </c>
      <c r="AL438">
        <f xml:space="preserve"> LN([1]misc!B457)</f>
        <v>7.0434218904036703</v>
      </c>
      <c r="AM438">
        <f xml:space="preserve"> LN([1]misc!D457)</f>
        <v>8.1660457995176614</v>
      </c>
      <c r="AN438">
        <f xml:space="preserve"> LN([1]misc!G562)</f>
        <v>3.0667497607892713</v>
      </c>
      <c r="AO438">
        <f xml:space="preserve"> LN([1]misc!J468 + [1]misc!L468)</f>
        <v>4.0516458076889856</v>
      </c>
      <c r="AP438">
        <f xml:space="preserve"> [1]Factors!B438</f>
        <v>0.17172464300000001</v>
      </c>
      <c r="AQ438">
        <f xml:space="preserve"> [1]Factors!C438</f>
        <v>5.9378835999999997E-2</v>
      </c>
      <c r="AR438">
        <f xml:space="preserve"> [1]Factors!D438</f>
        <v>-2.4890345299999998E-2</v>
      </c>
      <c r="AS438">
        <f xml:space="preserve"> [1]Factors!E438</f>
        <v>0.17616200600000001</v>
      </c>
      <c r="AT438">
        <f xml:space="preserve"> [1]Factors!F438</f>
        <v>0.207530667</v>
      </c>
    </row>
    <row r="439" spans="1:46" x14ac:dyDescent="0.25">
      <c r="A439">
        <f t="shared" si="31"/>
        <v>1995.416666666639</v>
      </c>
      <c r="B439" s="1">
        <v>34851</v>
      </c>
      <c r="C439" s="7">
        <f t="shared" si="27"/>
        <v>1995</v>
      </c>
      <c r="D439" s="7">
        <f t="shared" si="28"/>
        <v>6</v>
      </c>
      <c r="E439" s="7">
        <f t="shared" si="29"/>
        <v>2</v>
      </c>
      <c r="F439">
        <f xml:space="preserve"> [1]Coibion_update!O445</f>
        <v>4.3068652232323972</v>
      </c>
      <c r="G439">
        <f xml:space="preserve"> [1]Coibion_update!P445</f>
        <v>5.6</v>
      </c>
      <c r="H439">
        <f xml:space="preserve"> [1]Coibion_update!Q445</f>
        <v>5.0265086432525461</v>
      </c>
      <c r="I439">
        <f xml:space="preserve"> [1]Coibion_update!W445</f>
        <v>6</v>
      </c>
      <c r="J439">
        <f xml:space="preserve"> [1]Coibion_update!X445</f>
        <v>5.6868058504490842</v>
      </c>
      <c r="K439">
        <f xml:space="preserve"> [1]Coibion_update!Y445</f>
        <v>3.8492109930162757</v>
      </c>
      <c r="L439">
        <f xml:space="preserve"> [1]Coibion_update!Z445</f>
        <v>4.2798554720627555</v>
      </c>
      <c r="M439">
        <f xml:space="preserve"> [1]Coibion_update!AA445</f>
        <v>4.2430087903890605</v>
      </c>
      <c r="N439">
        <f xml:space="preserve"> [1]Coibion_update!AB445</f>
        <v>0</v>
      </c>
      <c r="O439">
        <f xml:space="preserve"> [1]Coibion_update!AC445</f>
        <v>0.44449329999999831</v>
      </c>
      <c r="P439">
        <f xml:space="preserve"> [1]Coibion_update!AD445</f>
        <v>0.2053223000000024</v>
      </c>
      <c r="Q439">
        <f xml:space="preserve"> [1]Barakchian_Crowe!B318</f>
        <v>0</v>
      </c>
      <c r="R439">
        <f xml:space="preserve"> [1]Barakchian_Crowe!C318</f>
        <v>-3.3067440000000001</v>
      </c>
      <c r="S439">
        <f xml:space="preserve"> [1]Gertler_Karadi!C193</f>
        <v>7.1500000000000002E-6</v>
      </c>
      <c r="T439">
        <f xml:space="preserve"> [1]Gertler_Karadi!D193</f>
        <v>0</v>
      </c>
      <c r="U439">
        <f xml:space="preserve"> [1]Gertler_Karadi!E193</f>
        <v>-7.0968000000000003E-3</v>
      </c>
      <c r="V439">
        <f xml:space="preserve"> [1]Gertler_Karadi!F193</f>
        <v>-7.0968000000000003E-3</v>
      </c>
      <c r="W439">
        <f xml:space="preserve"> [1]Gertler_Karadi!G193</f>
        <v>0</v>
      </c>
      <c r="X439" s="5">
        <f xml:space="preserve"> [1]misc!N522</f>
        <v>5.64</v>
      </c>
      <c r="Y439">
        <f xml:space="preserve"> [1]Gilchrist_Zak!C271</f>
        <v>-0.18629999999999999</v>
      </c>
      <c r="Z439">
        <f xml:space="preserve"> [1]Sims_Zha!B442</f>
        <v>0.42163</v>
      </c>
      <c r="AA439">
        <f xml:space="preserve"> [1]Coibion_update!AI445</f>
        <v>0</v>
      </c>
      <c r="AB439">
        <f t="shared" si="32"/>
        <v>1.0325782999999997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6.11</v>
      </c>
      <c r="AL439">
        <f xml:space="preserve"> LN([1]misc!B458)</f>
        <v>7.0424609818344281</v>
      </c>
      <c r="AM439">
        <f xml:space="preserve"> LN([1]misc!D458)</f>
        <v>8.1730395280311772</v>
      </c>
      <c r="AN439">
        <f xml:space="preserve"> LN([1]misc!G563)</f>
        <v>3.0471380616138912</v>
      </c>
      <c r="AO439">
        <f xml:space="preserve"> LN([1]misc!J469 + [1]misc!L469)</f>
        <v>4.0448741667478041</v>
      </c>
      <c r="AP439">
        <f xml:space="preserve"> [1]Factors!B439</f>
        <v>0.26442573800000002</v>
      </c>
      <c r="AQ439">
        <f xml:space="preserve"> [1]Factors!C439</f>
        <v>-0.159579002</v>
      </c>
      <c r="AR439">
        <f xml:space="preserve"> [1]Factors!D439</f>
        <v>-8.2087323200000006E-2</v>
      </c>
      <c r="AS439">
        <f xml:space="preserve"> [1]Factors!E439</f>
        <v>0.124040054</v>
      </c>
      <c r="AT439">
        <f xml:space="preserve"> [1]Factors!F439</f>
        <v>-4.13297517E-2</v>
      </c>
    </row>
    <row r="440" spans="1:46" x14ac:dyDescent="0.25">
      <c r="A440">
        <f t="shared" si="31"/>
        <v>1995.4999999999723</v>
      </c>
      <c r="B440" s="1">
        <v>34881</v>
      </c>
      <c r="C440" s="7">
        <f t="shared" si="27"/>
        <v>1995</v>
      </c>
      <c r="D440" s="7">
        <f t="shared" si="28"/>
        <v>7</v>
      </c>
      <c r="E440" s="7">
        <f t="shared" si="29"/>
        <v>3</v>
      </c>
      <c r="F440">
        <f xml:space="preserve"> [1]Coibion_update!O446</f>
        <v>4.302858960713321</v>
      </c>
      <c r="G440">
        <f xml:space="preserve"> [1]Coibion_update!P446</f>
        <v>5.7</v>
      </c>
      <c r="H440">
        <f xml:space="preserve"> [1]Coibion_update!Q446</f>
        <v>5.0278201188503564</v>
      </c>
      <c r="I440">
        <f xml:space="preserve"> [1]Coibion_update!W446</f>
        <v>5.85</v>
      </c>
      <c r="J440">
        <f xml:space="preserve"> [1]Coibion_update!X446</f>
        <v>5.688228807729435</v>
      </c>
      <c r="K440">
        <f xml:space="preserve"> [1]Coibion_update!Y446</f>
        <v>3.8314851752016654</v>
      </c>
      <c r="L440">
        <f xml:space="preserve"> [1]Coibion_update!Z446</f>
        <v>4.2777627397299272</v>
      </c>
      <c r="M440">
        <f xml:space="preserve"> [1]Coibion_update!AA446</f>
        <v>4.2431093354872127</v>
      </c>
      <c r="N440">
        <f xml:space="preserve"> [1]Coibion_update!AB446</f>
        <v>1.93463E-2</v>
      </c>
      <c r="O440">
        <f xml:space="preserve"> [1]Coibion_update!AC446</f>
        <v>0.4638395999999983</v>
      </c>
      <c r="P440">
        <f xml:space="preserve"> [1]Coibion_update!AD446</f>
        <v>0.20067140000000239</v>
      </c>
      <c r="Q440">
        <f xml:space="preserve"> [1]Barakchian_Crowe!B319</f>
        <v>-1.861424</v>
      </c>
      <c r="R440">
        <f xml:space="preserve"> [1]Barakchian_Crowe!C319</f>
        <v>-5.1681679999999997</v>
      </c>
      <c r="S440">
        <f xml:space="preserve"> [1]Gertler_Karadi!C194</f>
        <v>-9.3600000000000003E-2</v>
      </c>
      <c r="T440">
        <f xml:space="preserve"> [1]Gertler_Karadi!D194</f>
        <v>-0.12580649999999999</v>
      </c>
      <c r="U440">
        <f xml:space="preserve"> [1]Gertler_Karadi!E194</f>
        <v>-0.2264516</v>
      </c>
      <c r="V440">
        <f xml:space="preserve"> [1]Gertler_Karadi!F194</f>
        <v>-0.21806449999999999</v>
      </c>
      <c r="W440">
        <f xml:space="preserve"> [1]Gertler_Karadi!G194</f>
        <v>-0.20967749999999999</v>
      </c>
      <c r="X440" s="5">
        <f xml:space="preserve"> [1]misc!N523</f>
        <v>5.59</v>
      </c>
      <c r="Y440">
        <f xml:space="preserve"> [1]Gilchrist_Zak!C272</f>
        <v>-0.34639999999999999</v>
      </c>
      <c r="Z440">
        <f xml:space="preserve"> [1]Sims_Zha!B443</f>
        <v>-0.54151000000000005</v>
      </c>
      <c r="AA440">
        <f xml:space="preserve"> [1]Coibion_update!AI446</f>
        <v>7.7700900000000003E-2</v>
      </c>
      <c r="AB440">
        <f t="shared" si="32"/>
        <v>1.1102791999999997</v>
      </c>
      <c r="AC440">
        <v>7.7700900000000003E-2</v>
      </c>
      <c r="AD440">
        <v>-0.1116</v>
      </c>
      <c r="AE440">
        <v>-0.09</v>
      </c>
      <c r="AF440">
        <v>-0.15</v>
      </c>
      <c r="AG440">
        <v>-0.27</v>
      </c>
      <c r="AH440">
        <v>-4.1084500000000003E-2</v>
      </c>
      <c r="AI440">
        <v>-8.9264899999999994E-2</v>
      </c>
      <c r="AJ440">
        <v>-0.20676459999999999</v>
      </c>
      <c r="AK440">
        <v>5.97</v>
      </c>
      <c r="AL440">
        <f xml:space="preserve"> LN([1]misc!B459)</f>
        <v>7.0435965018935498</v>
      </c>
      <c r="AM440">
        <f xml:space="preserve"> LN([1]misc!D459)</f>
        <v>8.1781897540074926</v>
      </c>
      <c r="AN440">
        <f xml:space="preserve"> LN([1]misc!G564)</f>
        <v>3.035673880646939</v>
      </c>
      <c r="AO440">
        <f xml:space="preserve"> LN([1]misc!J470 + [1]misc!L470)</f>
        <v>4.0508453761092467</v>
      </c>
      <c r="AP440">
        <f xml:space="preserve"> [1]Factors!B440</f>
        <v>6.3668765399999994E-2</v>
      </c>
      <c r="AQ440">
        <f xml:space="preserve"> [1]Factors!C440</f>
        <v>-0.17877804899999999</v>
      </c>
      <c r="AR440">
        <f xml:space="preserve"> [1]Factors!D440</f>
        <v>-0.26743152100000001</v>
      </c>
      <c r="AS440">
        <f xml:space="preserve"> [1]Factors!E440</f>
        <v>0.18236587500000001</v>
      </c>
      <c r="AT440">
        <f xml:space="preserve"> [1]Factors!F440</f>
        <v>3.68037458E-3</v>
      </c>
    </row>
    <row r="441" spans="1:46" x14ac:dyDescent="0.25">
      <c r="A441">
        <f t="shared" si="31"/>
        <v>1995.5833333333055</v>
      </c>
      <c r="B441" s="1">
        <v>34912</v>
      </c>
      <c r="C441" s="7">
        <f t="shared" si="27"/>
        <v>1995</v>
      </c>
      <c r="D441" s="7">
        <f t="shared" si="28"/>
        <v>8</v>
      </c>
      <c r="E441" s="7">
        <f t="shared" si="29"/>
        <v>3</v>
      </c>
      <c r="F441">
        <f xml:space="preserve"> [1]Coibion_update!O447</f>
        <v>4.3155635961735266</v>
      </c>
      <c r="G441">
        <f xml:space="preserve"> [1]Coibion_update!P447</f>
        <v>5.7</v>
      </c>
      <c r="H441">
        <f xml:space="preserve"> [1]Coibion_update!Q447</f>
        <v>5.0297841129350163</v>
      </c>
      <c r="I441">
        <f xml:space="preserve"> [1]Coibion_update!W447</f>
        <v>5.74</v>
      </c>
      <c r="J441">
        <f xml:space="preserve"> [1]Coibion_update!X447</f>
        <v>5.676445535580906</v>
      </c>
      <c r="K441">
        <f xml:space="preserve"> [1]Coibion_update!Y447</f>
        <v>3.8531855357036515</v>
      </c>
      <c r="L441">
        <f xml:space="preserve"> [1]Coibion_update!Z447</f>
        <v>4.2731460419189009</v>
      </c>
      <c r="M441">
        <f xml:space="preserve"> [1]Coibion_update!AA447</f>
        <v>4.2481951970403573</v>
      </c>
      <c r="N441">
        <f xml:space="preserve"> [1]Coibion_update!AB447</f>
        <v>-4.90342E-2</v>
      </c>
      <c r="O441">
        <f xml:space="preserve"> [1]Coibion_update!AC447</f>
        <v>0.41480539999999833</v>
      </c>
      <c r="P441">
        <f xml:space="preserve"> [1]Coibion_update!AD447</f>
        <v>0.11159520000000239</v>
      </c>
      <c r="Q441">
        <f xml:space="preserve"> [1]Barakchian_Crowe!B320</f>
        <v>0.33828439999999999</v>
      </c>
      <c r="R441">
        <f xml:space="preserve"> [1]Barakchian_Crowe!C320</f>
        <v>-4.8298839999999998</v>
      </c>
      <c r="S441">
        <f xml:space="preserve"> [1]Gertler_Karadi!C195</f>
        <v>-6.8935000000000003E-3</v>
      </c>
      <c r="T441">
        <f xml:space="preserve"> [1]Gertler_Karadi!D195</f>
        <v>-2.41935E-2</v>
      </c>
      <c r="U441">
        <f xml:space="preserve"> [1]Gertler_Karadi!E195</f>
        <v>-2.41935E-2</v>
      </c>
      <c r="V441">
        <f xml:space="preserve"> [1]Gertler_Karadi!F195</f>
        <v>-2.2580599999999999E-2</v>
      </c>
      <c r="W441">
        <f xml:space="preserve"> [1]Gertler_Karadi!G195</f>
        <v>-2.41935E-2</v>
      </c>
      <c r="X441" s="5">
        <f xml:space="preserve"> [1]misc!N524</f>
        <v>5.75</v>
      </c>
      <c r="Y441">
        <f xml:space="preserve"> [1]Gilchrist_Zak!C273</f>
        <v>-0.24829999999999999</v>
      </c>
      <c r="Z441">
        <f xml:space="preserve"> [1]Sims_Zha!B444</f>
        <v>-5.3538000000000002E-2</v>
      </c>
      <c r="AA441">
        <f xml:space="preserve"> [1]Coibion_update!AI447</f>
        <v>1.18946E-2</v>
      </c>
      <c r="AB441">
        <f t="shared" si="32"/>
        <v>1.1221737999999997</v>
      </c>
      <c r="AC441">
        <v>1.18946E-2</v>
      </c>
      <c r="AD441">
        <v>3.4430000000000002E-2</v>
      </c>
      <c r="AE441">
        <v>0.01</v>
      </c>
      <c r="AF441">
        <v>0</v>
      </c>
      <c r="AG441">
        <v>0.06</v>
      </c>
      <c r="AH441">
        <v>2.0897700000000002E-2</v>
      </c>
      <c r="AI441">
        <v>7.4666999999999997E-3</v>
      </c>
      <c r="AJ441">
        <v>7.7311299999999999E-2</v>
      </c>
      <c r="AK441">
        <v>5.93</v>
      </c>
      <c r="AL441">
        <f xml:space="preserve"> LN([1]misc!B460)</f>
        <v>7.0435091999597574</v>
      </c>
      <c r="AM441">
        <f xml:space="preserve"> LN([1]misc!D460)</f>
        <v>8.1842068719198444</v>
      </c>
      <c r="AN441">
        <f xml:space="preserve"> LN([1]misc!G565)</f>
        <v>3.0232988012717965</v>
      </c>
      <c r="AO441">
        <f xml:space="preserve"> LN([1]misc!J471 + [1]misc!L471)</f>
        <v>4.0475499057022493</v>
      </c>
      <c r="AP441">
        <f xml:space="preserve"> [1]Factors!B441</f>
        <v>0.24842547700000001</v>
      </c>
      <c r="AQ441">
        <f xml:space="preserve"> [1]Factors!C441</f>
        <v>-7.9054455199999998E-2</v>
      </c>
      <c r="AR441">
        <f xml:space="preserve"> [1]Factors!D441</f>
        <v>-3.4429280700000002E-2</v>
      </c>
      <c r="AS441">
        <f xml:space="preserve"> [1]Factors!E441</f>
        <v>-0.18216981099999999</v>
      </c>
      <c r="AT441">
        <f xml:space="preserve"> [1]Factors!F441</f>
        <v>0.14596827600000001</v>
      </c>
    </row>
    <row r="442" spans="1:46" x14ac:dyDescent="0.25">
      <c r="A442">
        <f t="shared" si="31"/>
        <v>1995.6666666666388</v>
      </c>
      <c r="B442" s="1">
        <v>34943</v>
      </c>
      <c r="C442" s="7">
        <f t="shared" si="27"/>
        <v>1995</v>
      </c>
      <c r="D442" s="7">
        <f t="shared" si="28"/>
        <v>9</v>
      </c>
      <c r="E442" s="7">
        <f t="shared" si="29"/>
        <v>3</v>
      </c>
      <c r="F442">
        <f xml:space="preserve"> [1]Coibion_update!O448</f>
        <v>4.3195992169219508</v>
      </c>
      <c r="G442">
        <f xml:space="preserve"> [1]Coibion_update!P448</f>
        <v>5.6</v>
      </c>
      <c r="H442">
        <f xml:space="preserve"> [1]Coibion_update!Q448</f>
        <v>5.0310913026636381</v>
      </c>
      <c r="I442">
        <f xml:space="preserve"> [1]Coibion_update!W448</f>
        <v>5.8</v>
      </c>
      <c r="J442">
        <f xml:space="preserve"> [1]Coibion_update!X448</f>
        <v>5.6721541991980242</v>
      </c>
      <c r="K442">
        <f xml:space="preserve"> [1]Coibion_update!Y448</f>
        <v>3.8642812914426852</v>
      </c>
      <c r="L442">
        <f xml:space="preserve"> [1]Coibion_update!Z448</f>
        <v>4.2820543541469194</v>
      </c>
      <c r="M442">
        <f xml:space="preserve"> [1]Coibion_update!AA448</f>
        <v>4.2463500857029706</v>
      </c>
      <c r="N442">
        <f xml:space="preserve"> [1]Coibion_update!AB448</f>
        <v>6.1397899999999998E-2</v>
      </c>
      <c r="O442">
        <f xml:space="preserve"> [1]Coibion_update!AC448</f>
        <v>0.47620329999999833</v>
      </c>
      <c r="P442">
        <f xml:space="preserve"> [1]Coibion_update!AD448</f>
        <v>0.13751510000000239</v>
      </c>
      <c r="Q442">
        <f xml:space="preserve"> [1]Barakchian_Crowe!B321</f>
        <v>0.67204019999999998</v>
      </c>
      <c r="R442">
        <f xml:space="preserve"> [1]Barakchian_Crowe!C321</f>
        <v>-4.1578439999999999</v>
      </c>
      <c r="S442">
        <f xml:space="preserve"> [1]Gertler_Karadi!C196</f>
        <v>2.8325199999999998E-2</v>
      </c>
      <c r="T442">
        <f xml:space="preserve"> [1]Gertler_Karadi!D196</f>
        <v>5.0000000000000001E-3</v>
      </c>
      <c r="U442">
        <f xml:space="preserve"> [1]Gertler_Karadi!E196</f>
        <v>5.0645099999999998E-2</v>
      </c>
      <c r="V442">
        <f xml:space="preserve"> [1]Gertler_Karadi!F196</f>
        <v>5.3978400000000003E-2</v>
      </c>
      <c r="W442">
        <f xml:space="preserve"> [1]Gertler_Karadi!G196</f>
        <v>4.2204400000000003E-2</v>
      </c>
      <c r="X442" s="5">
        <f xml:space="preserve"> [1]misc!N525</f>
        <v>5.62</v>
      </c>
      <c r="Y442">
        <f xml:space="preserve"> [1]Gilchrist_Zak!C274</f>
        <v>-0.20660000000000001</v>
      </c>
      <c r="Z442">
        <f xml:space="preserve"> [1]Sims_Zha!B445</f>
        <v>1.5872999999999999</v>
      </c>
      <c r="AA442">
        <f xml:space="preserve"> [1]Coibion_update!AI448</f>
        <v>5.2804299999999998E-2</v>
      </c>
      <c r="AB442">
        <f t="shared" si="32"/>
        <v>1.1749780999999997</v>
      </c>
      <c r="AC442">
        <v>5.2804299999999998E-2</v>
      </c>
      <c r="AD442">
        <v>3.0009999999999998E-2</v>
      </c>
      <c r="AE442">
        <v>0</v>
      </c>
      <c r="AF442">
        <v>0.03</v>
      </c>
      <c r="AG442">
        <v>0.06</v>
      </c>
      <c r="AH442">
        <v>1.3641800000000001E-2</v>
      </c>
      <c r="AI442">
        <v>3.6268399999999999E-2</v>
      </c>
      <c r="AJ442">
        <v>7.1878600000000001E-2</v>
      </c>
      <c r="AK442">
        <v>6.2</v>
      </c>
      <c r="AL442">
        <f xml:space="preserve"> LN([1]misc!B461)</f>
        <v>7.0405363902159559</v>
      </c>
      <c r="AM442">
        <f xml:space="preserve"> LN([1]misc!D461)</f>
        <v>8.1878554436956232</v>
      </c>
      <c r="AN442">
        <f xml:space="preserve"> LN([1]misc!G566)</f>
        <v>3.0214487520586273</v>
      </c>
      <c r="AO442">
        <f xml:space="preserve"> LN([1]misc!J472 + [1]misc!L472)</f>
        <v>4.043630047677599</v>
      </c>
      <c r="AP442">
        <f xml:space="preserve"> [1]Factors!B442</f>
        <v>-0.152409832</v>
      </c>
      <c r="AQ442">
        <f xml:space="preserve"> [1]Factors!C442</f>
        <v>-0.17261427200000001</v>
      </c>
      <c r="AR442">
        <f xml:space="preserve"> [1]Factors!D442</f>
        <v>8.4925981900000003E-2</v>
      </c>
      <c r="AS442">
        <f xml:space="preserve"> [1]Factors!E442</f>
        <v>-9.0357982399999995E-2</v>
      </c>
      <c r="AT442">
        <f xml:space="preserve"> [1]Factors!F442</f>
        <v>-0.34298740900000002</v>
      </c>
    </row>
    <row r="443" spans="1:46" x14ac:dyDescent="0.25">
      <c r="A443">
        <f t="shared" si="31"/>
        <v>1995.749999999972</v>
      </c>
      <c r="B443" s="1">
        <v>34973</v>
      </c>
      <c r="C443" s="7">
        <f t="shared" si="27"/>
        <v>1995</v>
      </c>
      <c r="D443" s="7">
        <f t="shared" si="28"/>
        <v>10</v>
      </c>
      <c r="E443" s="7">
        <f t="shared" si="29"/>
        <v>4</v>
      </c>
      <c r="F443">
        <f xml:space="preserve"> [1]Coibion_update!O449</f>
        <v>4.3182411632565163</v>
      </c>
      <c r="G443">
        <f xml:space="preserve"> [1]Coibion_update!P449</f>
        <v>5.5</v>
      </c>
      <c r="H443">
        <f xml:space="preserve"> [1]Coibion_update!Q449</f>
        <v>5.0337005670272514</v>
      </c>
      <c r="I443">
        <f xml:space="preserve"> [1]Coibion_update!W449</f>
        <v>5.76</v>
      </c>
      <c r="J443">
        <f xml:space="preserve"> [1]Coibion_update!X449</f>
        <v>5.6790456944237873</v>
      </c>
      <c r="K443">
        <f xml:space="preserve"> [1]Coibion_update!Y449</f>
        <v>3.8440439056152851</v>
      </c>
      <c r="L443">
        <f xml:space="preserve"> [1]Coibion_update!Z449</f>
        <v>4.2734386942569822</v>
      </c>
      <c r="M443">
        <f xml:space="preserve"> [1]Coibion_update!AA449</f>
        <v>4.2475233413354028</v>
      </c>
      <c r="N443">
        <f xml:space="preserve"> [1]Coibion_update!AB449</f>
        <v>0</v>
      </c>
      <c r="O443">
        <f xml:space="preserve"> [1]Coibion_update!AC449</f>
        <v>0.47620329999999833</v>
      </c>
      <c r="P443">
        <f xml:space="preserve"> [1]Coibion_update!AD449</f>
        <v>0.13751510000000239</v>
      </c>
      <c r="Q443">
        <f xml:space="preserve"> [1]Barakchian_Crowe!B322</f>
        <v>0</v>
      </c>
      <c r="R443">
        <f xml:space="preserve"> [1]Barakchian_Crowe!C322</f>
        <v>-4.1578439999999999</v>
      </c>
      <c r="S443">
        <f xml:space="preserve"> [1]Gertler_Karadi!C197</f>
        <v>2.5008300000000001E-2</v>
      </c>
      <c r="T443">
        <f xml:space="preserve"> [1]Gertler_Karadi!D197</f>
        <v>2.5000000000000001E-2</v>
      </c>
      <c r="U443">
        <f xml:space="preserve"> [1]Gertler_Karadi!E197</f>
        <v>0.05</v>
      </c>
      <c r="V443">
        <f xml:space="preserve"> [1]Gertler_Karadi!F197</f>
        <v>6.6666699999999995E-2</v>
      </c>
      <c r="W443">
        <f xml:space="preserve"> [1]Gertler_Karadi!G197</f>
        <v>4.1666599999999998E-2</v>
      </c>
      <c r="X443" s="5">
        <f xml:space="preserve"> [1]misc!N526</f>
        <v>5.59</v>
      </c>
      <c r="Y443">
        <f xml:space="preserve"> [1]Gilchrist_Zak!C275</f>
        <v>-0.17749999999999999</v>
      </c>
      <c r="Z443">
        <f xml:space="preserve"> [1]Sims_Zha!B446</f>
        <v>0.13394</v>
      </c>
      <c r="AA443">
        <f xml:space="preserve"> [1]Coibion_update!AI449</f>
        <v>0</v>
      </c>
      <c r="AB443">
        <f t="shared" si="32"/>
        <v>1.1749780999999997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5.97</v>
      </c>
      <c r="AL443">
        <f xml:space="preserve"> LN([1]misc!B462)</f>
        <v>7.0364123111903991</v>
      </c>
      <c r="AM443">
        <f xml:space="preserve"> LN([1]misc!D462)</f>
        <v>8.190936596984681</v>
      </c>
      <c r="AN443">
        <f xml:space="preserve"> LN([1]misc!G567)</f>
        <v>2.9976803747720071</v>
      </c>
      <c r="AO443">
        <f xml:space="preserve"> LN([1]misc!J473 + [1]misc!L473)</f>
        <v>4.0337803552473188</v>
      </c>
      <c r="AP443">
        <f xml:space="preserve"> [1]Factors!B443</f>
        <v>2.0689146799999999E-2</v>
      </c>
      <c r="AQ443">
        <f xml:space="preserve"> [1]Factors!C443</f>
        <v>-0.176560679</v>
      </c>
      <c r="AR443">
        <f xml:space="preserve"> [1]Factors!D443</f>
        <v>-0.122343782</v>
      </c>
      <c r="AS443">
        <f xml:space="preserve"> [1]Factors!E443</f>
        <v>9.8775873400000005E-2</v>
      </c>
      <c r="AT443">
        <f xml:space="preserve"> [1]Factors!F443</f>
        <v>-2.94822504E-2</v>
      </c>
    </row>
    <row r="444" spans="1:46" x14ac:dyDescent="0.25">
      <c r="A444">
        <f t="shared" si="31"/>
        <v>1995.8333333333053</v>
      </c>
      <c r="B444" s="1">
        <v>35004</v>
      </c>
      <c r="C444" s="7">
        <f t="shared" si="27"/>
        <v>1995</v>
      </c>
      <c r="D444" s="7">
        <f t="shared" si="28"/>
        <v>11</v>
      </c>
      <c r="E444" s="7">
        <f t="shared" si="29"/>
        <v>4</v>
      </c>
      <c r="F444">
        <f xml:space="preserve"> [1]Coibion_update!O450</f>
        <v>4.320750785229758</v>
      </c>
      <c r="G444">
        <f xml:space="preserve"> [1]Coibion_update!P450</f>
        <v>5.6</v>
      </c>
      <c r="H444">
        <f xml:space="preserve"> [1]Coibion_update!Q450</f>
        <v>5.0350026505445502</v>
      </c>
      <c r="I444">
        <f xml:space="preserve"> [1]Coibion_update!W450</f>
        <v>5.8</v>
      </c>
      <c r="J444">
        <f xml:space="preserve"> [1]Coibion_update!X450</f>
        <v>5.6925867018954666</v>
      </c>
      <c r="K444">
        <f xml:space="preserve"> [1]Coibion_update!Y450</f>
        <v>3.8658743494021657</v>
      </c>
      <c r="L444">
        <f xml:space="preserve"> [1]Coibion_update!Z450</f>
        <v>4.2841932743251183</v>
      </c>
      <c r="M444">
        <f xml:space="preserve"> [1]Coibion_update!AA450</f>
        <v>4.2521884138869765</v>
      </c>
      <c r="N444">
        <f xml:space="preserve"> [1]Coibion_update!AB450</f>
        <v>0.1075207</v>
      </c>
      <c r="O444">
        <f xml:space="preserve"> [1]Coibion_update!AC450</f>
        <v>0.58372399999999836</v>
      </c>
      <c r="P444">
        <f xml:space="preserve"> [1]Coibion_update!AD450</f>
        <v>0.19129830000000239</v>
      </c>
      <c r="Q444">
        <f xml:space="preserve"> [1]Barakchian_Crowe!B323</f>
        <v>0.5877289</v>
      </c>
      <c r="R444">
        <f xml:space="preserve"> [1]Barakchian_Crowe!C323</f>
        <v>-3.5701149999999999</v>
      </c>
      <c r="S444">
        <f xml:space="preserve"> [1]Gertler_Karadi!C198</f>
        <v>2.1328099999999999E-2</v>
      </c>
      <c r="T444">
        <f xml:space="preserve"> [1]Gertler_Karadi!D198</f>
        <v>0</v>
      </c>
      <c r="U444">
        <f xml:space="preserve"> [1]Gertler_Karadi!E198</f>
        <v>1.6E-2</v>
      </c>
      <c r="V444">
        <f xml:space="preserve"> [1]Gertler_Karadi!F198</f>
        <v>1.06666E-2</v>
      </c>
      <c r="W444">
        <f xml:space="preserve"> [1]Gertler_Karadi!G198</f>
        <v>1.6E-2</v>
      </c>
      <c r="X444" s="5">
        <f xml:space="preserve"> [1]misc!N527</f>
        <v>5.43</v>
      </c>
      <c r="Y444">
        <f xml:space="preserve"> [1]Gilchrist_Zak!C276</f>
        <v>-9.4100000000000003E-2</v>
      </c>
      <c r="Z444">
        <f xml:space="preserve"> [1]Sims_Zha!B447</f>
        <v>0.74450000000000005</v>
      </c>
      <c r="AA444">
        <f xml:space="preserve"> [1]Coibion_update!AI450</f>
        <v>2.3649E-2</v>
      </c>
      <c r="AB444">
        <f t="shared" si="32"/>
        <v>1.1986270999999997</v>
      </c>
      <c r="AC444">
        <v>2.3649E-2</v>
      </c>
      <c r="AD444">
        <v>3.9989999999999998E-2</v>
      </c>
      <c r="AE444">
        <v>0.02</v>
      </c>
      <c r="AF444">
        <v>0</v>
      </c>
      <c r="AG444">
        <v>0.03</v>
      </c>
      <c r="AH444">
        <v>4.5467599999999997E-2</v>
      </c>
      <c r="AI444">
        <v>1.11018E-2</v>
      </c>
      <c r="AJ444">
        <v>2.7006499999999999E-2</v>
      </c>
      <c r="AK444">
        <v>6.11</v>
      </c>
      <c r="AL444">
        <f xml:space="preserve"> LN([1]misc!B463)</f>
        <v>7.033594663821285</v>
      </c>
      <c r="AM444">
        <f xml:space="preserve"> LN([1]misc!D463)</f>
        <v>8.1927641435973406</v>
      </c>
      <c r="AN444">
        <f xml:space="preserve"> LN([1]misc!G568)</f>
        <v>2.9984784992220161</v>
      </c>
      <c r="AO444">
        <f xml:space="preserve"> LN([1]misc!J474 + [1]misc!L474)</f>
        <v>4.0271714625170683</v>
      </c>
      <c r="AP444">
        <f xml:space="preserve"> [1]Factors!B444</f>
        <v>0.23777953700000001</v>
      </c>
      <c r="AQ444">
        <f xml:space="preserve"> [1]Factors!C444</f>
        <v>8.2814102800000001E-3</v>
      </c>
      <c r="AR444">
        <f xml:space="preserve"> [1]Factors!D444</f>
        <v>-9.6693506799999995E-2</v>
      </c>
      <c r="AS444">
        <f xml:space="preserve"> [1]Factors!E444</f>
        <v>-1.6985250800000001E-2</v>
      </c>
      <c r="AT444">
        <f xml:space="preserve"> [1]Factors!F444</f>
        <v>0.113618237</v>
      </c>
    </row>
    <row r="445" spans="1:46" x14ac:dyDescent="0.25">
      <c r="A445">
        <f t="shared" si="31"/>
        <v>1995.9166666666385</v>
      </c>
      <c r="B445" s="1">
        <v>35034</v>
      </c>
      <c r="C445" s="7">
        <f t="shared" si="27"/>
        <v>1995</v>
      </c>
      <c r="D445" s="7">
        <f t="shared" si="28"/>
        <v>12</v>
      </c>
      <c r="E445" s="7">
        <f t="shared" si="29"/>
        <v>4</v>
      </c>
      <c r="F445">
        <f xml:space="preserve"> [1]Coibion_update!O451</f>
        <v>4.324566999000603</v>
      </c>
      <c r="G445">
        <f xml:space="preserve"> [1]Coibion_update!P451</f>
        <v>5.6</v>
      </c>
      <c r="H445">
        <f xml:space="preserve"> [1]Coibion_update!Q451</f>
        <v>5.0363030408448335</v>
      </c>
      <c r="I445">
        <f xml:space="preserve"> [1]Coibion_update!W451</f>
        <v>5.6</v>
      </c>
      <c r="J445">
        <f xml:space="preserve"> [1]Coibion_update!X451</f>
        <v>5.6727732877818564</v>
      </c>
      <c r="K445">
        <f xml:space="preserve"> [1]Coibion_update!Y451</f>
        <v>3.8903907053010323</v>
      </c>
      <c r="L445">
        <f xml:space="preserve"> [1]Coibion_update!Z451</f>
        <v>4.2907059860961532</v>
      </c>
      <c r="M445">
        <f xml:space="preserve"> [1]Coibion_update!AA451</f>
        <v>4.2547896761834796</v>
      </c>
      <c r="N445">
        <f xml:space="preserve"> [1]Coibion_update!AB451</f>
        <v>-0.1249469</v>
      </c>
      <c r="O445">
        <f xml:space="preserve"> [1]Coibion_update!AC451</f>
        <v>0.45877709999999838</v>
      </c>
      <c r="P445">
        <f xml:space="preserve"> [1]Coibion_update!AD451</f>
        <v>2.09554000000024E-2</v>
      </c>
      <c r="Q445">
        <f xml:space="preserve"> [1]Barakchian_Crowe!B324</f>
        <v>-1.4427239999999999</v>
      </c>
      <c r="R445">
        <f xml:space="preserve"> [1]Barakchian_Crowe!C324</f>
        <v>-5.0128380000000003</v>
      </c>
      <c r="S445">
        <f xml:space="preserve"> [1]Gertler_Karadi!C199</f>
        <v>-1.9251899999999999E-2</v>
      </c>
      <c r="T445">
        <f xml:space="preserve"> [1]Gertler_Karadi!D199</f>
        <v>-2.0967699999999999E-2</v>
      </c>
      <c r="U445">
        <f xml:space="preserve"> [1]Gertler_Karadi!E199</f>
        <v>1.4195E-3</v>
      </c>
      <c r="V445">
        <f xml:space="preserve"> [1]Gertler_Karadi!F199</f>
        <v>-3.2472999999999998E-3</v>
      </c>
      <c r="W445">
        <f xml:space="preserve"> [1]Gertler_Karadi!G199</f>
        <v>-2.7742000000000001E-3</v>
      </c>
      <c r="X445" s="5">
        <f xml:space="preserve"> [1]misc!N528</f>
        <v>5.31</v>
      </c>
      <c r="Y445">
        <f xml:space="preserve"> [1]Gilchrist_Zak!C277</f>
        <v>-8.6300000000000002E-2</v>
      </c>
      <c r="Z445">
        <f xml:space="preserve"> [1]Sims_Zha!B448</f>
        <v>-0.77954999999999997</v>
      </c>
      <c r="AA445">
        <f xml:space="preserve"> [1]Coibion_update!AI451</f>
        <v>-9.2613600000000004E-2</v>
      </c>
      <c r="AB445">
        <f t="shared" si="32"/>
        <v>1.1060134999999998</v>
      </c>
      <c r="AC445">
        <v>-9.2613600000000004E-2</v>
      </c>
      <c r="AD445">
        <v>-9.0410000000000004E-2</v>
      </c>
      <c r="AE445">
        <v>-3.5000000000000003E-2</v>
      </c>
      <c r="AF445">
        <v>-0.05</v>
      </c>
      <c r="AG445">
        <v>-0.03</v>
      </c>
      <c r="AH445">
        <v>-5.0794999999999998E-3</v>
      </c>
      <c r="AI445">
        <v>-1.0006599999999999E-2</v>
      </c>
      <c r="AJ445">
        <v>-9.2835999999999995E-3</v>
      </c>
      <c r="AK445">
        <v>4.7300000000000004</v>
      </c>
      <c r="AL445">
        <f xml:space="preserve"> LN([1]misc!B464)</f>
        <v>7.0277580713768337</v>
      </c>
      <c r="AM445">
        <f xml:space="preserve"> LN([1]misc!D464)</f>
        <v>8.1954440363479062</v>
      </c>
      <c r="AN445">
        <f xml:space="preserve"> LN([1]misc!G569)</f>
        <v>3.0182273513813618</v>
      </c>
      <c r="AO445">
        <f xml:space="preserve"> LN([1]misc!J475 + [1]misc!L475)</f>
        <v>4.0293792833697415</v>
      </c>
      <c r="AP445">
        <f xml:space="preserve"> [1]Factors!B445</f>
        <v>0.16426545300000001</v>
      </c>
      <c r="AQ445">
        <f xml:space="preserve"> [1]Factors!C445</f>
        <v>-0.15722993599999999</v>
      </c>
      <c r="AR445">
        <f xml:space="preserve"> [1]Factors!D445</f>
        <v>-9.3931711500000001E-2</v>
      </c>
      <c r="AS445">
        <f xml:space="preserve"> [1]Factors!E445</f>
        <v>-4.8002503000000002E-2</v>
      </c>
      <c r="AT445">
        <f xml:space="preserve"> [1]Factors!F445</f>
        <v>-7.5606392199999997E-2</v>
      </c>
    </row>
    <row r="446" spans="1:46" x14ac:dyDescent="0.25">
      <c r="A446">
        <f t="shared" si="31"/>
        <v>1995.9999999999718</v>
      </c>
      <c r="B446" s="1">
        <v>35065</v>
      </c>
      <c r="C446" s="7">
        <f t="shared" si="27"/>
        <v>1996</v>
      </c>
      <c r="D446" s="7">
        <f t="shared" si="28"/>
        <v>1</v>
      </c>
      <c r="E446" s="7">
        <f t="shared" si="29"/>
        <v>1</v>
      </c>
      <c r="F446">
        <f xml:space="preserve"> [1]Coibion_update!O452</f>
        <v>4.3179879885779613</v>
      </c>
      <c r="G446">
        <f xml:space="preserve"> [1]Coibion_update!P452</f>
        <v>5.6</v>
      </c>
      <c r="H446">
        <f xml:space="preserve"> [1]Coibion_update!Q452</f>
        <v>5.04148775757902</v>
      </c>
      <c r="I446">
        <f xml:space="preserve"> [1]Coibion_update!W452</f>
        <v>5.56</v>
      </c>
      <c r="J446">
        <f xml:space="preserve"> [1]Coibion_update!X452</f>
        <v>5.6586456289846714</v>
      </c>
      <c r="K446">
        <f xml:space="preserve"> [1]Coibion_update!Y452</f>
        <v>3.8559181540433736</v>
      </c>
      <c r="L446">
        <f xml:space="preserve"> [1]Coibion_update!Z452</f>
        <v>4.2836693170570133</v>
      </c>
      <c r="M446">
        <f xml:space="preserve"> [1]Coibion_update!AA452</f>
        <v>4.25731339050024</v>
      </c>
      <c r="N446">
        <f xml:space="preserve"> [1]Coibion_update!AB452</f>
        <v>7.3092000000000004E-2</v>
      </c>
      <c r="O446">
        <f xml:space="preserve"> [1]Coibion_update!AC452</f>
        <v>0.53186909999999843</v>
      </c>
      <c r="P446">
        <f xml:space="preserve"> [1]Coibion_update!AD452</f>
        <v>9.5663600000002402E-2</v>
      </c>
      <c r="Q446">
        <f xml:space="preserve"> [1]Barakchian_Crowe!B325</f>
        <v>-1.078066</v>
      </c>
      <c r="R446">
        <f xml:space="preserve"> [1]Barakchian_Crowe!C325</f>
        <v>-6.0909040000000001</v>
      </c>
      <c r="S446">
        <f xml:space="preserve"> [1]Gertler_Karadi!C200</f>
        <v>-5.3464200000000003E-2</v>
      </c>
      <c r="T446">
        <f xml:space="preserve"> [1]Gertler_Karadi!D200</f>
        <v>-2.96774E-2</v>
      </c>
      <c r="U446">
        <f xml:space="preserve"> [1]Gertler_Karadi!E200</f>
        <v>-1.80647E-2</v>
      </c>
      <c r="V446">
        <f xml:space="preserve"> [1]Gertler_Karadi!F200</f>
        <v>-1.83871E-2</v>
      </c>
      <c r="W446">
        <f xml:space="preserve"> [1]Gertler_Karadi!G200</f>
        <v>-2.4516099999999999E-2</v>
      </c>
      <c r="X446" s="5">
        <f xml:space="preserve"> [1]misc!N529</f>
        <v>5.09</v>
      </c>
      <c r="Y446">
        <f xml:space="preserve"> [1]Gilchrist_Zak!C278</f>
        <v>-0.1154</v>
      </c>
      <c r="Z446">
        <f xml:space="preserve"> [1]Sims_Zha!B449</f>
        <v>0.40849999999999997</v>
      </c>
      <c r="AA446">
        <f xml:space="preserve"> [1]Coibion_update!AI452</f>
        <v>-6.3769500000000007E-2</v>
      </c>
      <c r="AB446">
        <f t="shared" si="32"/>
        <v>1.0422439999999997</v>
      </c>
      <c r="AC446">
        <v>-6.3769500000000007E-2</v>
      </c>
      <c r="AD446">
        <v>-3.0009999999999998E-2</v>
      </c>
      <c r="AE446">
        <v>0</v>
      </c>
      <c r="AF446">
        <v>-0.02</v>
      </c>
      <c r="AG446">
        <v>-0.02</v>
      </c>
      <c r="AH446">
        <v>3.7754799999999998E-2</v>
      </c>
      <c r="AI446">
        <v>6.9131000000000001E-3</v>
      </c>
      <c r="AJ446">
        <v>8.0402000000000008E-3</v>
      </c>
      <c r="AK446">
        <v>5.71</v>
      </c>
      <c r="AL446">
        <f xml:space="preserve"> LN([1]misc!B465)</f>
        <v>7.0242040916253838</v>
      </c>
      <c r="AM446">
        <f xml:space="preserve"> LN([1]misc!D465)</f>
        <v>8.2004529913644433</v>
      </c>
      <c r="AN446">
        <f xml:space="preserve"> LN([1]misc!G570)</f>
        <v>2.8778492328972742</v>
      </c>
      <c r="AO446">
        <f xml:space="preserve"> LN([1]misc!J476 + [1]misc!L476)</f>
        <v>4.0225979025385286</v>
      </c>
      <c r="AP446">
        <f xml:space="preserve"> [1]Factors!B446</f>
        <v>0.118061259</v>
      </c>
      <c r="AQ446">
        <f xml:space="preserve"> [1]Factors!C446</f>
        <v>-7.5835610799999995E-2</v>
      </c>
      <c r="AR446">
        <f xml:space="preserve"> [1]Factors!D446</f>
        <v>-8.2566440399999996E-2</v>
      </c>
      <c r="AS446">
        <f xml:space="preserve"> [1]Factors!E446</f>
        <v>8.4122068300000005E-2</v>
      </c>
      <c r="AT446">
        <f xml:space="preserve"> [1]Factors!F446</f>
        <v>-9.9069348200000004E-2</v>
      </c>
    </row>
    <row r="447" spans="1:46" x14ac:dyDescent="0.25">
      <c r="A447">
        <f t="shared" si="31"/>
        <v>1996.0833333333051</v>
      </c>
      <c r="B447" s="1">
        <v>35096</v>
      </c>
      <c r="C447" s="7">
        <f t="shared" si="27"/>
        <v>1996</v>
      </c>
      <c r="D447" s="7">
        <f t="shared" si="28"/>
        <v>2</v>
      </c>
      <c r="E447" s="7">
        <f t="shared" si="29"/>
        <v>1</v>
      </c>
      <c r="F447">
        <f xml:space="preserve"> [1]Coibion_update!O453</f>
        <v>4.3335228669890613</v>
      </c>
      <c r="G447">
        <f xml:space="preserve"> [1]Coibion_update!P453</f>
        <v>5.5</v>
      </c>
      <c r="H447">
        <f xml:space="preserve"> [1]Coibion_update!Q453</f>
        <v>5.0434251169192468</v>
      </c>
      <c r="I447">
        <f xml:space="preserve"> [1]Coibion_update!W453</f>
        <v>5.22</v>
      </c>
      <c r="J447">
        <f xml:space="preserve"> [1]Coibion_update!X453</f>
        <v>5.6524891802686508</v>
      </c>
      <c r="K447">
        <f xml:space="preserve"> [1]Coibion_update!Y453</f>
        <v>3.8835412229924957</v>
      </c>
      <c r="L447">
        <f xml:space="preserve"> [1]Coibion_update!Z453</f>
        <v>4.2890337678247166</v>
      </c>
      <c r="M447">
        <f xml:space="preserve"> [1]Coibion_update!AA453</f>
        <v>4.2618062561090317</v>
      </c>
      <c r="N447">
        <f xml:space="preserve"> [1]Coibion_update!AB453</f>
        <v>0</v>
      </c>
      <c r="O447">
        <f xml:space="preserve"> [1]Coibion_update!AC453</f>
        <v>0.53186909999999843</v>
      </c>
      <c r="P447">
        <f xml:space="preserve"> [1]Coibion_update!AD453</f>
        <v>9.5663600000002402E-2</v>
      </c>
      <c r="Q447">
        <f xml:space="preserve"> [1]Barakchian_Crowe!B326</f>
        <v>0</v>
      </c>
      <c r="R447">
        <f xml:space="preserve"> [1]Barakchian_Crowe!C326</f>
        <v>-6.0909040000000001</v>
      </c>
      <c r="S447">
        <f xml:space="preserve"> [1]Gertler_Karadi!C201</f>
        <v>-2.9041899999999999E-2</v>
      </c>
      <c r="T447">
        <f xml:space="preserve"> [1]Gertler_Karadi!D201</f>
        <v>-1.9354799999999998E-2</v>
      </c>
      <c r="U447">
        <f xml:space="preserve"> [1]Gertler_Karadi!E201</f>
        <v>-1.9354799999999998E-2</v>
      </c>
      <c r="V447">
        <f xml:space="preserve"> [1]Gertler_Karadi!F201</f>
        <v>-2.9032200000000001E-2</v>
      </c>
      <c r="W447">
        <f xml:space="preserve"> [1]Gertler_Karadi!G201</f>
        <v>-3.8709599999999997E-2</v>
      </c>
      <c r="X447" s="5">
        <f xml:space="preserve"> [1]misc!N530</f>
        <v>4.9400000000000004</v>
      </c>
      <c r="Y447">
        <f xml:space="preserve"> [1]Gilchrist_Zak!C279</f>
        <v>-0.33019999999999999</v>
      </c>
      <c r="Z447">
        <f xml:space="preserve"> [1]Sims_Zha!B450</f>
        <v>-1.4117</v>
      </c>
      <c r="AA447">
        <f xml:space="preserve"> [1]Coibion_update!AI453</f>
        <v>0</v>
      </c>
      <c r="AB447">
        <f t="shared" si="32"/>
        <v>1.0422439999999997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6.05</v>
      </c>
      <c r="AL447">
        <f xml:space="preserve"> LN([1]misc!B466)</f>
        <v>7.0197437809301846</v>
      </c>
      <c r="AM447">
        <f xml:space="preserve"> LN([1]misc!D466)</f>
        <v>8.2042890328944047</v>
      </c>
      <c r="AN447">
        <f xml:space="preserve"> LN([1]misc!G571)</f>
        <v>2.826129489167811</v>
      </c>
      <c r="AO447">
        <f xml:space="preserve"> LN([1]misc!J477 + [1]misc!L477)</f>
        <v>3.9998140783758673</v>
      </c>
      <c r="AP447">
        <f xml:space="preserve"> [1]Factors!B447</f>
        <v>0.408980803</v>
      </c>
      <c r="AQ447">
        <f xml:space="preserve"> [1]Factors!C447</f>
        <v>0.23699535299999999</v>
      </c>
      <c r="AR447">
        <f xml:space="preserve"> [1]Factors!D447</f>
        <v>-3.0601668799999999E-2</v>
      </c>
      <c r="AS447">
        <f xml:space="preserve"> [1]Factors!E447</f>
        <v>-4.9089526100000003E-2</v>
      </c>
      <c r="AT447">
        <f xml:space="preserve"> [1]Factors!F447</f>
        <v>8.0703987199999994E-2</v>
      </c>
    </row>
    <row r="448" spans="1:46" x14ac:dyDescent="0.25">
      <c r="A448">
        <f t="shared" si="31"/>
        <v>1996.1666666666383</v>
      </c>
      <c r="B448" s="1">
        <v>35125</v>
      </c>
      <c r="C448" s="7">
        <f t="shared" si="27"/>
        <v>1996</v>
      </c>
      <c r="D448" s="7">
        <f t="shared" si="28"/>
        <v>3</v>
      </c>
      <c r="E448" s="7">
        <f t="shared" si="29"/>
        <v>1</v>
      </c>
      <c r="F448">
        <f xml:space="preserve"> [1]Coibion_update!O454</f>
        <v>4.3322217058048667</v>
      </c>
      <c r="G448">
        <f xml:space="preserve"> [1]Coibion_update!P454</f>
        <v>5.5</v>
      </c>
      <c r="H448">
        <f xml:space="preserve"> [1]Coibion_update!Q454</f>
        <v>5.0466457316192885</v>
      </c>
      <c r="I448">
        <f xml:space="preserve"> [1]Coibion_update!W454</f>
        <v>5.31</v>
      </c>
      <c r="J448">
        <f xml:space="preserve"> [1]Coibion_update!X454</f>
        <v>5.6581224066206763</v>
      </c>
      <c r="K448">
        <f xml:space="preserve"> [1]Coibion_update!Y454</f>
        <v>3.8934108692161642</v>
      </c>
      <c r="L448">
        <f xml:space="preserve"> [1]Coibion_update!Z454</f>
        <v>4.2950243485520208</v>
      </c>
      <c r="M448">
        <f xml:space="preserve"> [1]Coibion_update!AA454</f>
        <v>4.2652118800820471</v>
      </c>
      <c r="N448">
        <f xml:space="preserve"> [1]Coibion_update!AB454</f>
        <v>6.5497E-2</v>
      </c>
      <c r="O448">
        <f xml:space="preserve"> [1]Coibion_update!AC454</f>
        <v>0.59736609999999846</v>
      </c>
      <c r="P448">
        <f xml:space="preserve"> [1]Coibion_update!AD454</f>
        <v>0.15244400000000241</v>
      </c>
      <c r="Q448">
        <f xml:space="preserve"> [1]Barakchian_Crowe!B327</f>
        <v>-8.6669999999999998E-4</v>
      </c>
      <c r="R448">
        <f xml:space="preserve"> [1]Barakchian_Crowe!C327</f>
        <v>-6.0917709999999996</v>
      </c>
      <c r="S448">
        <f xml:space="preserve"> [1]Gertler_Karadi!C202</f>
        <v>1.9354999999999999E-3</v>
      </c>
      <c r="T448">
        <f xml:space="preserve"> [1]Gertler_Karadi!D202</f>
        <v>1.9335999999999999E-3</v>
      </c>
      <c r="U448">
        <f xml:space="preserve"> [1]Gertler_Karadi!E202</f>
        <v>1.9354999999999999E-3</v>
      </c>
      <c r="V448">
        <f xml:space="preserve"> [1]Gertler_Karadi!F202</f>
        <v>3.8709999999999999E-3</v>
      </c>
      <c r="W448">
        <f xml:space="preserve"> [1]Gertler_Karadi!G202</f>
        <v>1.9354999999999999E-3</v>
      </c>
      <c r="X448" s="5">
        <f xml:space="preserve"> [1]misc!N531</f>
        <v>5.34</v>
      </c>
      <c r="Y448">
        <f xml:space="preserve"> [1]Gilchrist_Zak!C280</f>
        <v>-0.34110000000000001</v>
      </c>
      <c r="Z448">
        <f xml:space="preserve"> [1]Sims_Zha!B451</f>
        <v>0.84936999999999996</v>
      </c>
      <c r="AA448">
        <f xml:space="preserve"> [1]Coibion_update!AI454</f>
        <v>-5.8749500000000003E-2</v>
      </c>
      <c r="AB448">
        <f t="shared" si="32"/>
        <v>0.98349449999999972</v>
      </c>
      <c r="AC448">
        <v>-5.8749500000000003E-2</v>
      </c>
      <c r="AD448">
        <v>0.01</v>
      </c>
      <c r="AE448">
        <v>0</v>
      </c>
      <c r="AF448">
        <v>9.9900000000000006E-3</v>
      </c>
      <c r="AG448">
        <v>0.01</v>
      </c>
      <c r="AH448">
        <v>-1.5042700000000001E-2</v>
      </c>
      <c r="AI448">
        <v>-1.00669E-2</v>
      </c>
      <c r="AJ448">
        <v>1.7149000000000001E-3</v>
      </c>
      <c r="AK448">
        <v>5.25</v>
      </c>
      <c r="AL448">
        <f xml:space="preserve"> LN([1]misc!B467)</f>
        <v>7.0234027025080987</v>
      </c>
      <c r="AM448">
        <f xml:space="preserve"> LN([1]misc!D467)</f>
        <v>8.2111298810156512</v>
      </c>
      <c r="AN448">
        <f xml:space="preserve"> LN([1]misc!G572)</f>
        <v>2.9175004252844174</v>
      </c>
      <c r="AO448">
        <f xml:space="preserve"> LN([1]misc!J478 + [1]misc!L478)</f>
        <v>4.0123026352184841</v>
      </c>
      <c r="AP448">
        <f xml:space="preserve"> [1]Factors!B448</f>
        <v>-0.25682031500000002</v>
      </c>
      <c r="AQ448">
        <f xml:space="preserve"> [1]Factors!C448</f>
        <v>-0.225860435</v>
      </c>
      <c r="AR448">
        <f xml:space="preserve"> [1]Factors!D448</f>
        <v>-0.11208164900000001</v>
      </c>
      <c r="AS448">
        <f xml:space="preserve"> [1]Factors!E448</f>
        <v>7.3303434299999998E-2</v>
      </c>
      <c r="AT448">
        <f xml:space="preserve"> [1]Factors!F448</f>
        <v>-0.31476085100000001</v>
      </c>
    </row>
    <row r="449" spans="1:46" x14ac:dyDescent="0.25">
      <c r="A449">
        <f t="shared" si="31"/>
        <v>1996.2499999999716</v>
      </c>
      <c r="B449" s="1">
        <v>35156</v>
      </c>
      <c r="C449" s="7">
        <f t="shared" si="27"/>
        <v>1996</v>
      </c>
      <c r="D449" s="7">
        <f t="shared" si="28"/>
        <v>4</v>
      </c>
      <c r="E449" s="7">
        <f t="shared" si="29"/>
        <v>2</v>
      </c>
      <c r="F449">
        <f xml:space="preserve"> [1]Coibion_update!O455</f>
        <v>4.3410353549923686</v>
      </c>
      <c r="G449">
        <f xml:space="preserve"> [1]Coibion_update!P455</f>
        <v>5.6</v>
      </c>
      <c r="H449">
        <f xml:space="preserve"> [1]Coibion_update!Q455</f>
        <v>5.0504968275213864</v>
      </c>
      <c r="I449">
        <f xml:space="preserve"> [1]Coibion_update!W455</f>
        <v>5.22</v>
      </c>
      <c r="J449">
        <f xml:space="preserve"> [1]Coibion_update!X455</f>
        <v>5.6866024054463482</v>
      </c>
      <c r="K449">
        <f xml:space="preserve"> [1]Coibion_update!Y455</f>
        <v>3.9105018490562071</v>
      </c>
      <c r="L449">
        <f xml:space="preserve"> [1]Coibion_update!Z455</f>
        <v>4.2996228084190662</v>
      </c>
      <c r="M449">
        <f xml:space="preserve"> [1]Coibion_update!AA455</f>
        <v>4.2659842706691951</v>
      </c>
      <c r="N449">
        <f xml:space="preserve"> [1]Coibion_update!AB455</f>
        <v>0</v>
      </c>
      <c r="O449">
        <f xml:space="preserve"> [1]Coibion_update!AC455</f>
        <v>0.59736609999999846</v>
      </c>
      <c r="P449">
        <f xml:space="preserve"> [1]Coibion_update!AD455</f>
        <v>0.15244400000000241</v>
      </c>
      <c r="Q449">
        <f xml:space="preserve"> [1]Barakchian_Crowe!B328</f>
        <v>0</v>
      </c>
      <c r="R449">
        <f xml:space="preserve"> [1]Barakchian_Crowe!C328</f>
        <v>-6.0917709999999996</v>
      </c>
      <c r="S449">
        <f xml:space="preserve"> [1]Gertler_Karadi!C203</f>
        <v>8.0645000000000005E-3</v>
      </c>
      <c r="T449">
        <f xml:space="preserve"> [1]Gertler_Karadi!D203</f>
        <v>8.0564E-3</v>
      </c>
      <c r="U449">
        <f xml:space="preserve"> [1]Gertler_Karadi!E203</f>
        <v>8.0645000000000005E-3</v>
      </c>
      <c r="V449">
        <f xml:space="preserve"> [1]Gertler_Karadi!F203</f>
        <v>1.6129000000000001E-2</v>
      </c>
      <c r="W449">
        <f xml:space="preserve"> [1]Gertler_Karadi!G203</f>
        <v>8.0645000000000005E-3</v>
      </c>
      <c r="X449" s="5">
        <f xml:space="preserve"> [1]misc!N532</f>
        <v>5.54</v>
      </c>
      <c r="Y449">
        <f xml:space="preserve"> [1]Gilchrist_Zak!C281</f>
        <v>-0.29530000000000001</v>
      </c>
      <c r="Z449">
        <f xml:space="preserve"> [1]Sims_Zha!B452</f>
        <v>-6.7604999999999998E-2</v>
      </c>
      <c r="AA449">
        <f xml:space="preserve"> [1]Coibion_update!AI455</f>
        <v>0</v>
      </c>
      <c r="AB449">
        <f t="shared" si="32"/>
        <v>0.98349449999999972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5.5</v>
      </c>
      <c r="AL449">
        <f xml:space="preserve"> LN([1]misc!B468)</f>
        <v>7.0253605210564007</v>
      </c>
      <c r="AM449">
        <f xml:space="preserve"> LN([1]misc!D468)</f>
        <v>8.2139506808464002</v>
      </c>
      <c r="AN449">
        <f xml:space="preserve"> LN([1]misc!G573)</f>
        <v>2.9567835234154161</v>
      </c>
      <c r="AO449">
        <f xml:space="preserve"> LN([1]misc!J479 + [1]misc!L479)</f>
        <v>4.0089319065961684</v>
      </c>
      <c r="AP449">
        <f xml:space="preserve"> [1]Factors!B449</f>
        <v>7.9720522099999996E-2</v>
      </c>
      <c r="AQ449">
        <f xml:space="preserve"> [1]Factors!C449</f>
        <v>0.12493945100000001</v>
      </c>
      <c r="AR449">
        <f xml:space="preserve"> [1]Factors!D449</f>
        <v>0.15765995299999999</v>
      </c>
      <c r="AS449">
        <f xml:space="preserve"> [1]Factors!E449</f>
        <v>-0.18887863099999999</v>
      </c>
      <c r="AT449">
        <f xml:space="preserve"> [1]Factors!F449</f>
        <v>6.7265495999999994E-2</v>
      </c>
    </row>
    <row r="450" spans="1:46" x14ac:dyDescent="0.25">
      <c r="A450">
        <f t="shared" si="31"/>
        <v>1996.3333333333048</v>
      </c>
      <c r="B450" s="1">
        <v>35186</v>
      </c>
      <c r="C450" s="7">
        <f t="shared" si="27"/>
        <v>1996</v>
      </c>
      <c r="D450" s="7">
        <f t="shared" si="28"/>
        <v>5</v>
      </c>
      <c r="E450" s="7">
        <f t="shared" si="29"/>
        <v>2</v>
      </c>
      <c r="F450">
        <f xml:space="preserve"> [1]Coibion_update!O456</f>
        <v>4.3482953271265359</v>
      </c>
      <c r="G450">
        <f xml:space="preserve"> [1]Coibion_update!P456</f>
        <v>5.6</v>
      </c>
      <c r="H450">
        <f xml:space="preserve"> [1]Coibion_update!Q456</f>
        <v>5.0524168281112107</v>
      </c>
      <c r="I450">
        <f xml:space="preserve"> [1]Coibion_update!W456</f>
        <v>5.24</v>
      </c>
      <c r="J450">
        <f xml:space="preserve"> [1]Coibion_update!X456</f>
        <v>5.7297750549304549</v>
      </c>
      <c r="K450">
        <f xml:space="preserve"> [1]Coibion_update!Y456</f>
        <v>3.9157161772657636</v>
      </c>
      <c r="L450">
        <f xml:space="preserve"> [1]Coibion_update!Z456</f>
        <v>4.2991340365843156</v>
      </c>
      <c r="M450">
        <f xml:space="preserve"> [1]Coibion_update!AA456</f>
        <v>4.2670926615816223</v>
      </c>
      <c r="N450">
        <f xml:space="preserve"> [1]Coibion_update!AB456</f>
        <v>6.3027999999999999E-3</v>
      </c>
      <c r="O450">
        <f xml:space="preserve"> [1]Coibion_update!AC456</f>
        <v>0.60366889999999851</v>
      </c>
      <c r="P450">
        <f xml:space="preserve"> [1]Coibion_update!AD456</f>
        <v>0.12625170000000241</v>
      </c>
      <c r="Q450">
        <f xml:space="preserve"> [1]Barakchian_Crowe!B329</f>
        <v>0.45165529999999998</v>
      </c>
      <c r="R450">
        <f xml:space="preserve"> [1]Barakchian_Crowe!C329</f>
        <v>-5.6401159999999999</v>
      </c>
      <c r="S450">
        <f xml:space="preserve"> [1]Gertler_Karadi!C204</f>
        <v>-3.58E-6</v>
      </c>
      <c r="T450">
        <f xml:space="preserve"> [1]Gertler_Karadi!D204</f>
        <v>0</v>
      </c>
      <c r="U450">
        <f xml:space="preserve"> [1]Gertler_Karadi!E204</f>
        <v>7.0968000000000003E-3</v>
      </c>
      <c r="V450">
        <f xml:space="preserve"> [1]Gertler_Karadi!F204</f>
        <v>3.5484000000000002E-3</v>
      </c>
      <c r="W450">
        <f xml:space="preserve"> [1]Gertler_Karadi!G204</f>
        <v>7.0968000000000003E-3</v>
      </c>
      <c r="X450" s="5">
        <f xml:space="preserve"> [1]misc!N533</f>
        <v>5.64</v>
      </c>
      <c r="Y450">
        <f xml:space="preserve"> [1]Gilchrist_Zak!C282</f>
        <v>-0.32869999999999999</v>
      </c>
      <c r="Z450">
        <f xml:space="preserve"> [1]Sims_Zha!B453</f>
        <v>-3.2936E-2</v>
      </c>
      <c r="AA450">
        <f xml:space="preserve"> [1]Coibion_update!AI456</f>
        <v>-5.9616700000000002E-2</v>
      </c>
      <c r="AB450">
        <f t="shared" si="32"/>
        <v>0.92387779999999975</v>
      </c>
      <c r="AC450">
        <v>-5.9616700000000002E-2</v>
      </c>
      <c r="AD450" s="6">
        <v>-1.0000000000000001E-5</v>
      </c>
      <c r="AE450">
        <v>0</v>
      </c>
      <c r="AF450">
        <v>0</v>
      </c>
      <c r="AG450">
        <v>0.02</v>
      </c>
      <c r="AH450">
        <v>-6.5554999999999997E-3</v>
      </c>
      <c r="AI450">
        <v>-1.04189E-2</v>
      </c>
      <c r="AJ450">
        <v>5.7184000000000002E-3</v>
      </c>
      <c r="AK450">
        <v>5.31</v>
      </c>
      <c r="AL450">
        <f xml:space="preserve"> LN([1]misc!B469)</f>
        <v>7.0179540712802124</v>
      </c>
      <c r="AM450">
        <f xml:space="preserve"> LN([1]misc!D469)</f>
        <v>8.2169525897170601</v>
      </c>
      <c r="AN450">
        <f xml:space="preserve"> LN([1]misc!G574)</f>
        <v>2.8220929171428701</v>
      </c>
      <c r="AO450">
        <f xml:space="preserve"> LN([1]misc!J480 + [1]misc!L480)</f>
        <v>3.9873901844480306</v>
      </c>
      <c r="AP450">
        <f xml:space="preserve"> [1]Factors!B450</f>
        <v>-0.164108905</v>
      </c>
      <c r="AQ450">
        <f xml:space="preserve"> [1]Factors!C450</f>
        <v>-7.2413479500000003E-2</v>
      </c>
      <c r="AR450">
        <f xml:space="preserve"> [1]Factors!D450</f>
        <v>0.23076361100000001</v>
      </c>
      <c r="AS450">
        <f xml:space="preserve"> [1]Factors!E450</f>
        <v>4.09343255E-2</v>
      </c>
      <c r="AT450">
        <f xml:space="preserve"> [1]Factors!F450</f>
        <v>-0.17245978200000001</v>
      </c>
    </row>
    <row r="451" spans="1:46" x14ac:dyDescent="0.25">
      <c r="A451">
        <f t="shared" si="31"/>
        <v>1996.4166666666381</v>
      </c>
      <c r="B451" s="1">
        <v>35217</v>
      </c>
      <c r="C451" s="7">
        <f t="shared" ref="C451:C514" si="33">YEAR(B451)</f>
        <v>1996</v>
      </c>
      <c r="D451" s="7">
        <f t="shared" ref="D451:D514" si="34">MONTH(B451)</f>
        <v>6</v>
      </c>
      <c r="E451" s="7">
        <f t="shared" ref="E451:E514" si="35">ROUNDUP(D451/3,0)</f>
        <v>2</v>
      </c>
      <c r="F451">
        <f xml:space="preserve"> [1]Coibion_update!O457</f>
        <v>4.3567216471202306</v>
      </c>
      <c r="G451">
        <f xml:space="preserve"> [1]Coibion_update!P457</f>
        <v>5.3</v>
      </c>
      <c r="H451">
        <f xml:space="preserve"> [1]Coibion_update!Q457</f>
        <v>5.054333149361975</v>
      </c>
      <c r="I451">
        <f xml:space="preserve"> [1]Coibion_update!W457</f>
        <v>5.27</v>
      </c>
      <c r="J451">
        <f xml:space="preserve"> [1]Coibion_update!X457</f>
        <v>5.7349580921246508</v>
      </c>
      <c r="K451">
        <f xml:space="preserve"> [1]Coibion_update!Y457</f>
        <v>3.9009216123569721</v>
      </c>
      <c r="L451">
        <f xml:space="preserve"> [1]Coibion_update!Z457</f>
        <v>4.3072896185596399</v>
      </c>
      <c r="M451">
        <f xml:space="preserve"> [1]Coibion_update!AA457</f>
        <v>4.2690258955866378</v>
      </c>
      <c r="N451">
        <f xml:space="preserve"> [1]Coibion_update!AB457</f>
        <v>0</v>
      </c>
      <c r="O451">
        <f xml:space="preserve"> [1]Coibion_update!AC457</f>
        <v>0.60366889999999851</v>
      </c>
      <c r="P451">
        <f xml:space="preserve"> [1]Coibion_update!AD457</f>
        <v>0.12625170000000241</v>
      </c>
      <c r="Q451">
        <f xml:space="preserve"> [1]Barakchian_Crowe!B330</f>
        <v>0</v>
      </c>
      <c r="R451">
        <f xml:space="preserve"> [1]Barakchian_Crowe!C330</f>
        <v>-5.6401159999999999</v>
      </c>
      <c r="S451">
        <f xml:space="preserve"> [1]Gertler_Karadi!C205</f>
        <v>-6.4400000000000002E-6</v>
      </c>
      <c r="T451">
        <f xml:space="preserve"> [1]Gertler_Karadi!D205</f>
        <v>0</v>
      </c>
      <c r="U451">
        <f xml:space="preserve"> [1]Gertler_Karadi!E205</f>
        <v>1.29032E-2</v>
      </c>
      <c r="V451">
        <f xml:space="preserve"> [1]Gertler_Karadi!F205</f>
        <v>6.4516E-3</v>
      </c>
      <c r="W451">
        <f xml:space="preserve"> [1]Gertler_Karadi!G205</f>
        <v>1.29032E-2</v>
      </c>
      <c r="X451" s="5">
        <f xml:space="preserve"> [1]misc!N534</f>
        <v>5.81</v>
      </c>
      <c r="Y451">
        <f xml:space="preserve"> [1]Gilchrist_Zak!C283</f>
        <v>-0.30499999999999999</v>
      </c>
      <c r="Z451">
        <f xml:space="preserve"> [1]Sims_Zha!B454</f>
        <v>-0.24082999999999999</v>
      </c>
      <c r="AA451">
        <f xml:space="preserve"> [1]Coibion_update!AI457</f>
        <v>0</v>
      </c>
      <c r="AB451">
        <f t="shared" si="32"/>
        <v>0.92387779999999975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5</v>
      </c>
      <c r="AL451">
        <f xml:space="preserve"> LN([1]misc!B470)</f>
        <v>7.0167890400062598</v>
      </c>
      <c r="AM451">
        <f xml:space="preserve"> LN([1]misc!D470)</f>
        <v>8.2205376441653488</v>
      </c>
      <c r="AN451">
        <f xml:space="preserve"> LN([1]misc!G575)</f>
        <v>2.8112082932048361</v>
      </c>
      <c r="AO451">
        <f xml:space="preserve"> LN([1]misc!J481 + [1]misc!L481)</f>
        <v>3.9845110948514137</v>
      </c>
      <c r="AP451">
        <f xml:space="preserve"> [1]Factors!B451</f>
        <v>-0.16621897399999999</v>
      </c>
      <c r="AQ451">
        <f xml:space="preserve"> [1]Factors!C451</f>
        <v>-0.17458458399999999</v>
      </c>
      <c r="AR451">
        <f xml:space="preserve"> [1]Factors!D451</f>
        <v>1.13219884E-2</v>
      </c>
      <c r="AS451">
        <f xml:space="preserve"> [1]Factors!E451</f>
        <v>-5.5996176500000001E-2</v>
      </c>
      <c r="AT451">
        <f xml:space="preserve"> [1]Factors!F451</f>
        <v>-4.4394208800000001E-2</v>
      </c>
    </row>
    <row r="452" spans="1:46" x14ac:dyDescent="0.25">
      <c r="A452">
        <f t="shared" si="31"/>
        <v>1996.4999999999714</v>
      </c>
      <c r="B452" s="1">
        <v>35247</v>
      </c>
      <c r="C452" s="7">
        <f t="shared" si="33"/>
        <v>1996</v>
      </c>
      <c r="D452" s="7">
        <f t="shared" si="34"/>
        <v>7</v>
      </c>
      <c r="E452" s="7">
        <f t="shared" si="35"/>
        <v>3</v>
      </c>
      <c r="F452">
        <f xml:space="preserve"> [1]Coibion_update!O458</f>
        <v>4.3549341760050853</v>
      </c>
      <c r="G452">
        <f xml:space="preserve"> [1]Coibion_update!P458</f>
        <v>5.5</v>
      </c>
      <c r="H452">
        <f xml:space="preserve"> [1]Coibion_update!Q458</f>
        <v>5.0562458053483077</v>
      </c>
      <c r="I452">
        <f xml:space="preserve"> [1]Coibion_update!W458</f>
        <v>5.4</v>
      </c>
      <c r="J452">
        <f xml:space="preserve"> [1]Coibion_update!X458</f>
        <v>5.7351196299652409</v>
      </c>
      <c r="K452">
        <f xml:space="preserve"> [1]Coibion_update!Y458</f>
        <v>3.90614576825527</v>
      </c>
      <c r="L452">
        <f xml:space="preserve"> [1]Coibion_update!Z458</f>
        <v>4.3074243095786464</v>
      </c>
      <c r="M452">
        <f xml:space="preserve"> [1]Coibion_update!AA458</f>
        <v>4.2711788693383514</v>
      </c>
      <c r="N452">
        <f xml:space="preserve"> [1]Coibion_update!AB458</f>
        <v>-1.0540300000000001E-2</v>
      </c>
      <c r="O452">
        <f xml:space="preserve"> [1]Coibion_update!AC458</f>
        <v>0.59312859999999856</v>
      </c>
      <c r="P452">
        <f xml:space="preserve"> [1]Coibion_update!AD458</f>
        <v>8.5704000000002417E-2</v>
      </c>
      <c r="Q452">
        <f xml:space="preserve"> [1]Barakchian_Crowe!B331</f>
        <v>-0.36684909999999998</v>
      </c>
      <c r="R452">
        <f xml:space="preserve"> [1]Barakchian_Crowe!C331</f>
        <v>-6.0069650000000001</v>
      </c>
      <c r="S452">
        <f xml:space="preserve"> [1]Gertler_Karadi!C206</f>
        <v>-6.7326800000000006E-2</v>
      </c>
      <c r="T452">
        <f xml:space="preserve"> [1]Gertler_Karadi!D206</f>
        <v>-2.8064499999999999E-2</v>
      </c>
      <c r="U452">
        <f xml:space="preserve"> [1]Gertler_Karadi!E206</f>
        <v>-1.8709699999999999E-2</v>
      </c>
      <c r="V452">
        <f xml:space="preserve"> [1]Gertler_Karadi!F206</f>
        <v>-9.3547999999999999E-3</v>
      </c>
      <c r="W452">
        <f xml:space="preserve"> [1]Gertler_Karadi!G206</f>
        <v>-9.3547999999999999E-3</v>
      </c>
      <c r="X452" s="5">
        <f xml:space="preserve"> [1]misc!N535</f>
        <v>5.85</v>
      </c>
      <c r="Y452">
        <f xml:space="preserve"> [1]Gilchrist_Zak!C284</f>
        <v>-0.37369999999999998</v>
      </c>
      <c r="Z452">
        <f xml:space="preserve"> [1]Sims_Zha!B455</f>
        <v>0.25026999999999999</v>
      </c>
      <c r="AA452">
        <f xml:space="preserve"> [1]Coibion_update!AI458</f>
        <v>-6.5106700000000003E-2</v>
      </c>
      <c r="AB452">
        <f t="shared" si="32"/>
        <v>0.85877109999999979</v>
      </c>
      <c r="AC452">
        <v>-6.5106700000000003E-2</v>
      </c>
      <c r="AD452">
        <v>-7.1970000000000006E-2</v>
      </c>
      <c r="AE452">
        <v>-6.5000000000000002E-2</v>
      </c>
      <c r="AF452">
        <v>-0.03</v>
      </c>
      <c r="AG452">
        <v>-0.02</v>
      </c>
      <c r="AH452">
        <v>-7.1738899999999994E-2</v>
      </c>
      <c r="AI452">
        <v>-3.8010500000000003E-2</v>
      </c>
      <c r="AJ452">
        <v>-4.0318800000000002E-2</v>
      </c>
      <c r="AK452">
        <v>6.75</v>
      </c>
      <c r="AL452">
        <f xml:space="preserve"> LN([1]misc!B471)</f>
        <v>7.0142751223598099</v>
      </c>
      <c r="AM452">
        <f xml:space="preserve"> LN([1]misc!D471)</f>
        <v>8.224538777337898</v>
      </c>
      <c r="AN452">
        <f xml:space="preserve"> LN([1]misc!G576)</f>
        <v>2.7350815401532405</v>
      </c>
      <c r="AO452">
        <f xml:space="preserve"> LN([1]misc!J482 + [1]misc!L482)</f>
        <v>3.9704805749997147</v>
      </c>
      <c r="AP452">
        <f xml:space="preserve"> [1]Factors!B452</f>
        <v>-0.20812549999999999</v>
      </c>
      <c r="AQ452">
        <f xml:space="preserve"> [1]Factors!C452</f>
        <v>-0.30844915299999998</v>
      </c>
      <c r="AR452">
        <f xml:space="preserve"> [1]Factors!D452</f>
        <v>1.85539924E-2</v>
      </c>
      <c r="AS452">
        <f xml:space="preserve"> [1]Factors!E452</f>
        <v>-5.3662978600000001E-2</v>
      </c>
      <c r="AT452">
        <f xml:space="preserve"> [1]Factors!F452</f>
        <v>-4.1652756499999999E-2</v>
      </c>
    </row>
    <row r="453" spans="1:46" x14ac:dyDescent="0.25">
      <c r="A453">
        <f t="shared" si="31"/>
        <v>1996.5833333333046</v>
      </c>
      <c r="B453" s="1">
        <v>35278</v>
      </c>
      <c r="C453" s="7">
        <f t="shared" si="33"/>
        <v>1996</v>
      </c>
      <c r="D453" s="7">
        <f t="shared" si="34"/>
        <v>8</v>
      </c>
      <c r="E453" s="7">
        <f t="shared" si="35"/>
        <v>3</v>
      </c>
      <c r="F453">
        <f xml:space="preserve"> [1]Coibion_update!O459</f>
        <v>4.3607749079400859</v>
      </c>
      <c r="G453">
        <f xml:space="preserve"> [1]Coibion_update!P459</f>
        <v>5.0999999999999996</v>
      </c>
      <c r="H453">
        <f xml:space="preserve"> [1]Coibion_update!Q459</f>
        <v>5.0575188799951061</v>
      </c>
      <c r="I453">
        <f xml:space="preserve"> [1]Coibion_update!W459</f>
        <v>5.22</v>
      </c>
      <c r="J453">
        <f xml:space="preserve"> [1]Coibion_update!X459</f>
        <v>5.7503479438035221</v>
      </c>
      <c r="K453">
        <f xml:space="preserve"> [1]Coibion_update!Y459</f>
        <v>3.919455317245442</v>
      </c>
      <c r="L453">
        <f xml:space="preserve"> [1]Coibion_update!Z459</f>
        <v>4.3106783127188297</v>
      </c>
      <c r="M453">
        <f xml:space="preserve"> [1]Coibion_update!AA459</f>
        <v>4.2726441528537293</v>
      </c>
      <c r="N453">
        <f xml:space="preserve"> [1]Coibion_update!AB459</f>
        <v>-2.3885400000000001E-2</v>
      </c>
      <c r="O453">
        <f xml:space="preserve"> [1]Coibion_update!AC459</f>
        <v>0.56924319999999851</v>
      </c>
      <c r="P453">
        <f xml:space="preserve"> [1]Coibion_update!AD459</f>
        <v>2.1323300000002418E-2</v>
      </c>
      <c r="Q453">
        <f xml:space="preserve"> [1]Barakchian_Crowe!B332</f>
        <v>0.109957</v>
      </c>
      <c r="R453">
        <f xml:space="preserve"> [1]Barakchian_Crowe!C332</f>
        <v>-5.8970070000000003</v>
      </c>
      <c r="S453">
        <f xml:space="preserve"> [1]Gertler_Karadi!C207</f>
        <v>-1.55555E-2</v>
      </c>
      <c r="T453">
        <f xml:space="preserve"> [1]Gertler_Karadi!D207</f>
        <v>-1.9354999999999999E-3</v>
      </c>
      <c r="U453">
        <f xml:space="preserve"> [1]Gertler_Karadi!E207</f>
        <v>-1.2903000000000001E-3</v>
      </c>
      <c r="V453">
        <f xml:space="preserve"> [1]Gertler_Karadi!F207</f>
        <v>7.0968000000000003E-3</v>
      </c>
      <c r="W453">
        <f xml:space="preserve"> [1]Gertler_Karadi!G207</f>
        <v>3.2258E-3</v>
      </c>
      <c r="X453" s="5">
        <f xml:space="preserve"> [1]misc!N536</f>
        <v>5.67</v>
      </c>
      <c r="Y453">
        <f xml:space="preserve"> [1]Gilchrist_Zak!C285</f>
        <v>-0.43759999999999999</v>
      </c>
      <c r="Z453">
        <f xml:space="preserve"> [1]Sims_Zha!B456</f>
        <v>-0.94608999999999999</v>
      </c>
      <c r="AA453">
        <f xml:space="preserve"> [1]Coibion_update!AI459</f>
        <v>-3.2294799999999999E-2</v>
      </c>
      <c r="AB453">
        <f t="shared" si="32"/>
        <v>0.82647629999999983</v>
      </c>
      <c r="AC453">
        <v>-3.2294799999999999E-2</v>
      </c>
      <c r="AD453">
        <v>-2.819E-2</v>
      </c>
      <c r="AE453">
        <v>-0.01</v>
      </c>
      <c r="AF453">
        <v>0</v>
      </c>
      <c r="AG453">
        <v>0</v>
      </c>
      <c r="AH453">
        <v>-9.6947000000000005E-3</v>
      </c>
      <c r="AI453">
        <v>4.8704000000000004E-3</v>
      </c>
      <c r="AJ453">
        <v>8.7007999999999999E-3</v>
      </c>
      <c r="AK453">
        <v>5.28</v>
      </c>
      <c r="AL453">
        <f xml:space="preserve"> LN([1]misc!B472)</f>
        <v>7.0045189474144447</v>
      </c>
      <c r="AM453">
        <f xml:space="preserve"> LN([1]misc!D472)</f>
        <v>8.2263862416169324</v>
      </c>
      <c r="AN453">
        <f xml:space="preserve"> LN([1]misc!G577)</f>
        <v>2.6955051735999151</v>
      </c>
      <c r="AO453">
        <f xml:space="preserve"> LN([1]misc!J483 + [1]misc!L483)</f>
        <v>3.9479305437665646</v>
      </c>
      <c r="AP453">
        <f xml:space="preserve"> [1]Factors!B453</f>
        <v>0.113935597</v>
      </c>
      <c r="AQ453">
        <f xml:space="preserve"> [1]Factors!C453</f>
        <v>-0.14081075700000001</v>
      </c>
      <c r="AR453">
        <f xml:space="preserve"> [1]Factors!D453</f>
        <v>-7.8886147899999995E-2</v>
      </c>
      <c r="AS453">
        <f xml:space="preserve"> [1]Factors!E453</f>
        <v>-9.8940370400000005E-2</v>
      </c>
      <c r="AT453">
        <f xml:space="preserve"> [1]Factors!F453</f>
        <v>0.114420488</v>
      </c>
    </row>
    <row r="454" spans="1:46" x14ac:dyDescent="0.25">
      <c r="A454">
        <f t="shared" si="31"/>
        <v>1996.6666666666379</v>
      </c>
      <c r="B454" s="1">
        <v>35309</v>
      </c>
      <c r="C454" s="7">
        <f t="shared" si="33"/>
        <v>1996</v>
      </c>
      <c r="D454" s="7">
        <f t="shared" si="34"/>
        <v>9</v>
      </c>
      <c r="E454" s="7">
        <f t="shared" si="35"/>
        <v>3</v>
      </c>
      <c r="F454">
        <f xml:space="preserve"> [1]Coibion_update!O460</f>
        <v>4.3676335493862437</v>
      </c>
      <c r="G454">
        <f xml:space="preserve"> [1]Coibion_update!P460</f>
        <v>5.2</v>
      </c>
      <c r="H454">
        <f xml:space="preserve"> [1]Coibion_update!Q460</f>
        <v>5.0606944939689926</v>
      </c>
      <c r="I454">
        <f xml:space="preserve"> [1]Coibion_update!W460</f>
        <v>5.3</v>
      </c>
      <c r="J454">
        <f xml:space="preserve"> [1]Coibion_update!X460</f>
        <v>5.7348611568934649</v>
      </c>
      <c r="K454">
        <f xml:space="preserve"> [1]Coibion_update!Y460</f>
        <v>3.9228244591220016</v>
      </c>
      <c r="L454">
        <f xml:space="preserve"> [1]Coibion_update!Z460</f>
        <v>4.3092408649482286</v>
      </c>
      <c r="M454">
        <f xml:space="preserve"> [1]Coibion_update!AA460</f>
        <v>4.2744135839627617</v>
      </c>
      <c r="N454">
        <f xml:space="preserve"> [1]Coibion_update!AB460</f>
        <v>1.37985E-2</v>
      </c>
      <c r="O454">
        <f xml:space="preserve"> [1]Coibion_update!AC460</f>
        <v>0.58304169999999855</v>
      </c>
      <c r="P454">
        <f xml:space="preserve"> [1]Coibion_update!AD460</f>
        <v>-2.0987899999997582E-2</v>
      </c>
      <c r="Q454">
        <f xml:space="preserve"> [1]Barakchian_Crowe!B333</f>
        <v>-1.9894639999999999</v>
      </c>
      <c r="R454">
        <f xml:space="preserve"> [1]Barakchian_Crowe!C333</f>
        <v>-7.8864710000000002</v>
      </c>
      <c r="S454">
        <f xml:space="preserve"> [1]Gertler_Karadi!C208</f>
        <v>-4.5277699999999997E-2</v>
      </c>
      <c r="T454">
        <f xml:space="preserve"> [1]Gertler_Karadi!D208</f>
        <v>-3.0333300000000001E-2</v>
      </c>
      <c r="U454">
        <f xml:space="preserve"> [1]Gertler_Karadi!E208</f>
        <v>-2.0999899999999998E-2</v>
      </c>
      <c r="V454">
        <f xml:space="preserve"> [1]Gertler_Karadi!F208</f>
        <v>-4.0752999999999996E-3</v>
      </c>
      <c r="W454">
        <f xml:space="preserve"> [1]Gertler_Karadi!G208</f>
        <v>-1.2537599999999999E-2</v>
      </c>
      <c r="X454" s="5">
        <f xml:space="preserve"> [1]misc!N537</f>
        <v>5.83</v>
      </c>
      <c r="Y454">
        <f xml:space="preserve"> [1]Gilchrist_Zak!C286</f>
        <v>-0.4249</v>
      </c>
      <c r="Z454">
        <f xml:space="preserve"> [1]Sims_Zha!B457</f>
        <v>0.11804000000000001</v>
      </c>
      <c r="AA454">
        <f xml:space="preserve"> [1]Coibion_update!AI460</f>
        <v>3.2207199999999998E-2</v>
      </c>
      <c r="AB454">
        <f t="shared" si="32"/>
        <v>0.85868349999999982</v>
      </c>
      <c r="AC454">
        <v>3.2207199999999998E-2</v>
      </c>
      <c r="AD454">
        <v>-0.12</v>
      </c>
      <c r="AE454">
        <v>-2.4989999999999998E-2</v>
      </c>
      <c r="AF454">
        <v>-0.13</v>
      </c>
      <c r="AG454">
        <v>-0.09</v>
      </c>
      <c r="AH454">
        <v>-1.1717200000000001E-2</v>
      </c>
      <c r="AI454">
        <v>-0.10214280000000001</v>
      </c>
      <c r="AJ454">
        <v>-9.13934E-2</v>
      </c>
      <c r="AK454">
        <v>6.09</v>
      </c>
      <c r="AL454">
        <f xml:space="preserve"> LN([1]misc!B473)</f>
        <v>6.9996049326120158</v>
      </c>
      <c r="AM454">
        <f xml:space="preserve"> LN([1]misc!D473)</f>
        <v>8.2286040410269585</v>
      </c>
      <c r="AN454">
        <f xml:space="preserve"> LN([1]misc!G578)</f>
        <v>2.6198745101984846</v>
      </c>
      <c r="AO454">
        <f xml:space="preserve"> LN([1]misc!J484 + [1]misc!L484)</f>
        <v>3.9307466194262486</v>
      </c>
      <c r="AP454">
        <f xml:space="preserve"> [1]Factors!B454</f>
        <v>6.3766080800000003E-3</v>
      </c>
      <c r="AQ454">
        <f xml:space="preserve"> [1]Factors!C454</f>
        <v>-0.25486349899999999</v>
      </c>
      <c r="AR454">
        <f xml:space="preserve"> [1]Factors!D454</f>
        <v>-8.7153606999999994E-2</v>
      </c>
      <c r="AS454">
        <f xml:space="preserve"> [1]Factors!E454</f>
        <v>7.5617245599999994E-2</v>
      </c>
      <c r="AT454">
        <f xml:space="preserve"> [1]Factors!F454</f>
        <v>6.1407080500000003E-2</v>
      </c>
    </row>
    <row r="455" spans="1:46" x14ac:dyDescent="0.25">
      <c r="A455">
        <f t="shared" si="31"/>
        <v>1996.7499999999711</v>
      </c>
      <c r="B455" s="1">
        <v>35339</v>
      </c>
      <c r="C455" s="7">
        <f t="shared" si="33"/>
        <v>1996</v>
      </c>
      <c r="D455" s="7">
        <f t="shared" si="34"/>
        <v>10</v>
      </c>
      <c r="E455" s="7">
        <f t="shared" si="35"/>
        <v>4</v>
      </c>
      <c r="F455">
        <f xml:space="preserve"> [1]Coibion_update!O461</f>
        <v>4.3668698487248436</v>
      </c>
      <c r="G455">
        <f xml:space="preserve"> [1]Coibion_update!P461</f>
        <v>5.2</v>
      </c>
      <c r="H455">
        <f xml:space="preserve"> [1]Coibion_update!Q461</f>
        <v>5.0638600553335538</v>
      </c>
      <c r="I455">
        <f xml:space="preserve"> [1]Coibion_update!W461</f>
        <v>5.24</v>
      </c>
      <c r="J455">
        <f xml:space="preserve"> [1]Coibion_update!X461</f>
        <v>5.6966235774577214</v>
      </c>
      <c r="K455">
        <f xml:space="preserve"> [1]Coibion_update!Y461</f>
        <v>3.9306681002969857</v>
      </c>
      <c r="L455">
        <f xml:space="preserve"> [1]Coibion_update!Z461</f>
        <v>4.3164742664336462</v>
      </c>
      <c r="M455">
        <f xml:space="preserve"> [1]Coibion_update!AA461</f>
        <v>4.2747336975362229</v>
      </c>
      <c r="N455">
        <f xml:space="preserve"> [1]Coibion_update!AB461</f>
        <v>0</v>
      </c>
      <c r="O455">
        <f xml:space="preserve"> [1]Coibion_update!AC461</f>
        <v>0.58304169999999855</v>
      </c>
      <c r="P455">
        <f xml:space="preserve"> [1]Coibion_update!AD461</f>
        <v>-2.0987899999997582E-2</v>
      </c>
      <c r="Q455">
        <f xml:space="preserve"> [1]Barakchian_Crowe!B334</f>
        <v>0</v>
      </c>
      <c r="R455">
        <f xml:space="preserve"> [1]Barakchian_Crowe!C334</f>
        <v>-7.8864710000000002</v>
      </c>
      <c r="S455">
        <f xml:space="preserve"> [1]Gertler_Karadi!C209</f>
        <v>-9.2000100000000001E-2</v>
      </c>
      <c r="T455">
        <f xml:space="preserve"> [1]Gertler_Karadi!D209</f>
        <v>-9.9666699999999997E-2</v>
      </c>
      <c r="U455">
        <f xml:space="preserve"> [1]Gertler_Karadi!E209</f>
        <v>-6.9000000000000006E-2</v>
      </c>
      <c r="V455">
        <f xml:space="preserve"> [1]Gertler_Karadi!F209</f>
        <v>-5.3666600000000002E-2</v>
      </c>
      <c r="W455">
        <f xml:space="preserve"> [1]Gertler_Karadi!G209</f>
        <v>-6.1333400000000003E-2</v>
      </c>
      <c r="X455" s="5">
        <f xml:space="preserve"> [1]misc!N538</f>
        <v>5.55</v>
      </c>
      <c r="Y455">
        <f xml:space="preserve"> [1]Gilchrist_Zak!C287</f>
        <v>-0.38109999999999999</v>
      </c>
      <c r="Z455">
        <f xml:space="preserve"> [1]Sims_Zha!B458</f>
        <v>-0.28664000000000001</v>
      </c>
      <c r="AA455">
        <f xml:space="preserve"> [1]Coibion_update!AI461</f>
        <v>0</v>
      </c>
      <c r="AB455">
        <f t="shared" si="32"/>
        <v>0.85868349999999982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5.63</v>
      </c>
      <c r="AL455">
        <f xml:space="preserve"> LN([1]misc!B474)</f>
        <v>6.9899802192378067</v>
      </c>
      <c r="AM455">
        <f xml:space="preserve"> LN([1]misc!D474)</f>
        <v>8.2325730930002763</v>
      </c>
      <c r="AN455">
        <f xml:space="preserve"> LN([1]misc!G579)</f>
        <v>2.5503041768742967</v>
      </c>
      <c r="AO455">
        <f xml:space="preserve"> LN([1]misc!J485 + [1]misc!L485)</f>
        <v>3.9070305639051019</v>
      </c>
      <c r="AP455">
        <f xml:space="preserve"> [1]Factors!B455</f>
        <v>-0.193069832</v>
      </c>
      <c r="AQ455">
        <f xml:space="preserve"> [1]Factors!C455</f>
        <v>-6.9896528099999994E-2</v>
      </c>
      <c r="AR455">
        <f xml:space="preserve"> [1]Factors!D455</f>
        <v>0.10526917399999999</v>
      </c>
      <c r="AS455">
        <f xml:space="preserve"> [1]Factors!E455</f>
        <v>-2.3311071900000001E-2</v>
      </c>
      <c r="AT455">
        <f xml:space="preserve"> [1]Factors!F455</f>
        <v>-8.6887770000000003E-2</v>
      </c>
    </row>
    <row r="456" spans="1:46" x14ac:dyDescent="0.25">
      <c r="A456">
        <f t="shared" si="31"/>
        <v>1996.8333333333044</v>
      </c>
      <c r="B456" s="1">
        <v>35370</v>
      </c>
      <c r="C456" s="7">
        <f t="shared" si="33"/>
        <v>1996</v>
      </c>
      <c r="D456" s="7">
        <f t="shared" si="34"/>
        <v>11</v>
      </c>
      <c r="E456" s="7">
        <f t="shared" si="35"/>
        <v>4</v>
      </c>
      <c r="F456">
        <f xml:space="preserve"> [1]Coibion_update!O462</f>
        <v>4.3755570016576195</v>
      </c>
      <c r="G456">
        <f xml:space="preserve"> [1]Coibion_update!P462</f>
        <v>5.4</v>
      </c>
      <c r="H456">
        <f xml:space="preserve"> [1]Coibion_update!Q462</f>
        <v>5.0670156275323635</v>
      </c>
      <c r="I456">
        <f xml:space="preserve"> [1]Coibion_update!W462</f>
        <v>5.31</v>
      </c>
      <c r="J456">
        <f xml:space="preserve"> [1]Coibion_update!X462</f>
        <v>5.6519276191139243</v>
      </c>
      <c r="K456">
        <f xml:space="preserve"> [1]Coibion_update!Y462</f>
        <v>3.9385675606502581</v>
      </c>
      <c r="L456">
        <f xml:space="preserve"> [1]Coibion_update!Z462</f>
        <v>4.3157532762425941</v>
      </c>
      <c r="M456">
        <f xml:space="preserve"> [1]Coibion_update!AA462</f>
        <v>4.2774158379066014</v>
      </c>
      <c r="N456">
        <f xml:space="preserve"> [1]Coibion_update!AB462</f>
        <v>7.3000399999999993E-2</v>
      </c>
      <c r="O456">
        <f xml:space="preserve"> [1]Coibion_update!AC462</f>
        <v>0.65604209999999852</v>
      </c>
      <c r="P456">
        <f xml:space="preserve"> [1]Coibion_update!AD462</f>
        <v>2.6894700000002415E-2</v>
      </c>
      <c r="Q456">
        <f xml:space="preserve"> [1]Barakchian_Crowe!B335</f>
        <v>0.32868439999999999</v>
      </c>
      <c r="R456">
        <f xml:space="preserve"> [1]Barakchian_Crowe!C335</f>
        <v>-7.5577870000000003</v>
      </c>
      <c r="S456">
        <f xml:space="preserve"> [1]Gertler_Karadi!C210</f>
        <v>-1.05898E-2</v>
      </c>
      <c r="T456">
        <f xml:space="preserve"> [1]Gertler_Karadi!D210</f>
        <v>-6.0000000000000001E-3</v>
      </c>
      <c r="U456">
        <f xml:space="preserve"> [1]Gertler_Karadi!E210</f>
        <v>-6.0000000000000001E-3</v>
      </c>
      <c r="V456">
        <f xml:space="preserve"> [1]Gertler_Karadi!F210</f>
        <v>-1.20001E-2</v>
      </c>
      <c r="W456">
        <f xml:space="preserve"> [1]Gertler_Karadi!G210</f>
        <v>-1.7999999999999999E-2</v>
      </c>
      <c r="X456" s="5">
        <f xml:space="preserve"> [1]misc!N539</f>
        <v>5.42</v>
      </c>
      <c r="Y456">
        <f xml:space="preserve"> [1]Gilchrist_Zak!C288</f>
        <v>-0.34899999999999998</v>
      </c>
      <c r="Z456">
        <f xml:space="preserve"> [1]Sims_Zha!B459</f>
        <v>0.24576999999999999</v>
      </c>
      <c r="AA456">
        <f xml:space="preserve"> [1]Coibion_update!AI462</f>
        <v>5.0052100000000002E-2</v>
      </c>
      <c r="AB456">
        <f t="shared" si="32"/>
        <v>0.90873559999999987</v>
      </c>
      <c r="AC456">
        <v>5.0052100000000002E-2</v>
      </c>
      <c r="AD456">
        <v>-1.7649999999999999E-2</v>
      </c>
      <c r="AE456">
        <v>-0.01</v>
      </c>
      <c r="AF456">
        <v>-0.01</v>
      </c>
      <c r="AG456">
        <v>-0.01</v>
      </c>
      <c r="AH456">
        <v>3.7812000000000002E-3</v>
      </c>
      <c r="AI456">
        <v>2.1551999999999999E-3</v>
      </c>
      <c r="AJ456">
        <v>-2.3243000000000001E-3</v>
      </c>
      <c r="AK456">
        <v>5.44</v>
      </c>
      <c r="AL456">
        <f xml:space="preserve"> LN([1]misc!B475)</f>
        <v>6.9879518209764138</v>
      </c>
      <c r="AM456">
        <f xml:space="preserve"> LN([1]misc!D475)</f>
        <v>8.2377966985512288</v>
      </c>
      <c r="AN456">
        <f xml:space="preserve"> LN([1]misc!G580)</f>
        <v>2.5544327124366104</v>
      </c>
      <c r="AO456">
        <f xml:space="preserve"> LN([1]misc!J486 + [1]misc!L486)</f>
        <v>3.9033051148084232</v>
      </c>
      <c r="AP456">
        <f xml:space="preserve"> [1]Factors!B456</f>
        <v>0.101404706</v>
      </c>
      <c r="AQ456">
        <f xml:space="preserve"> [1]Factors!C456</f>
        <v>-4.3249655900000003E-2</v>
      </c>
      <c r="AR456">
        <f xml:space="preserve"> [1]Factors!D456</f>
        <v>-0.11606028</v>
      </c>
      <c r="AS456">
        <f xml:space="preserve"> [1]Factors!E456</f>
        <v>0.11220627399999999</v>
      </c>
      <c r="AT456">
        <f xml:space="preserve"> [1]Factors!F456</f>
        <v>0.181361467</v>
      </c>
    </row>
    <row r="457" spans="1:46" x14ac:dyDescent="0.25">
      <c r="A457">
        <f t="shared" si="31"/>
        <v>1996.9166666666376</v>
      </c>
      <c r="B457" s="1">
        <v>35400</v>
      </c>
      <c r="C457" s="7">
        <f t="shared" si="33"/>
        <v>1996</v>
      </c>
      <c r="D457" s="7">
        <f t="shared" si="34"/>
        <v>12</v>
      </c>
      <c r="E457" s="7">
        <f t="shared" si="35"/>
        <v>4</v>
      </c>
      <c r="F457">
        <f xml:space="preserve"> [1]Coibion_update!O463</f>
        <v>4.3821553763863115</v>
      </c>
      <c r="G457">
        <f xml:space="preserve"> [1]Coibion_update!P463</f>
        <v>5.4</v>
      </c>
      <c r="H457">
        <f xml:space="preserve"> [1]Coibion_update!Q463</f>
        <v>5.0695329353437408</v>
      </c>
      <c r="I457">
        <f xml:space="preserve"> [1]Coibion_update!W463</f>
        <v>5.29</v>
      </c>
      <c r="J457">
        <f xml:space="preserve"> [1]Coibion_update!X463</f>
        <v>5.6571449918048442</v>
      </c>
      <c r="K457">
        <f xml:space="preserve"> [1]Coibion_update!Y463</f>
        <v>3.937183801086646</v>
      </c>
      <c r="L457">
        <f xml:space="preserve"> [1]Coibion_update!Z463</f>
        <v>4.3193131138763281</v>
      </c>
      <c r="M457">
        <f xml:space="preserve"> [1]Coibion_update!AA463</f>
        <v>4.2823306010581641</v>
      </c>
      <c r="N457">
        <f xml:space="preserve"> [1]Coibion_update!AB463</f>
        <v>1.6142199999999999E-2</v>
      </c>
      <c r="O457">
        <f xml:space="preserve"> [1]Coibion_update!AC463</f>
        <v>0.67218429999999851</v>
      </c>
      <c r="P457">
        <f xml:space="preserve"> [1]Coibion_update!AD463</f>
        <v>5.0000000241523512E-7</v>
      </c>
      <c r="Q457">
        <f xml:space="preserve"> [1]Barakchian_Crowe!B336</f>
        <v>0.39568500000000001</v>
      </c>
      <c r="R457">
        <f xml:space="preserve"> [1]Barakchian_Crowe!C336</f>
        <v>-7.162102</v>
      </c>
      <c r="S457">
        <f xml:space="preserve"> [1]Gertler_Karadi!C211</f>
        <v>-1.7034999999999999E-3</v>
      </c>
      <c r="T457">
        <f xml:space="preserve"> [1]Gertler_Karadi!D211</f>
        <v>-8.8386999999999997E-3</v>
      </c>
      <c r="U457">
        <f xml:space="preserve"> [1]Gertler_Karadi!E211</f>
        <v>-3.9998999999999998E-3</v>
      </c>
      <c r="V457">
        <f xml:space="preserve"> [1]Gertler_Karadi!F211</f>
        <v>-8.0000000000000002E-3</v>
      </c>
      <c r="W457">
        <f xml:space="preserve"> [1]Gertler_Karadi!G211</f>
        <v>-1.6838700000000002E-2</v>
      </c>
      <c r="X457" s="5">
        <f xml:space="preserve"> [1]misc!N540</f>
        <v>5.47</v>
      </c>
      <c r="Y457">
        <f xml:space="preserve"> [1]Gilchrist_Zak!C289</f>
        <v>-0.443</v>
      </c>
      <c r="Z457">
        <f xml:space="preserve"> [1]Sims_Zha!B460</f>
        <v>7.4361999999999998E-2</v>
      </c>
      <c r="AA457">
        <f xml:space="preserve"> [1]Coibion_update!AI463</f>
        <v>2.8171700000000001E-2</v>
      </c>
      <c r="AB457">
        <f t="shared" si="32"/>
        <v>0.93690729999999989</v>
      </c>
      <c r="AC457">
        <v>2.8171700000000001E-2</v>
      </c>
      <c r="AD457">
        <v>1.107E-2</v>
      </c>
      <c r="AE457">
        <v>5.0000000000000001E-3</v>
      </c>
      <c r="AF457">
        <v>-0.01</v>
      </c>
      <c r="AG457">
        <v>0</v>
      </c>
      <c r="AH457">
        <v>2.3899400000000001E-2</v>
      </c>
      <c r="AI457">
        <v>-7.9339999999999999E-4</v>
      </c>
      <c r="AJ457">
        <v>1.4021E-2</v>
      </c>
      <c r="AK457">
        <v>6.26</v>
      </c>
      <c r="AL457">
        <f xml:space="preserve"> LN([1]misc!B476)</f>
        <v>6.9859192999514912</v>
      </c>
      <c r="AM457">
        <f xml:space="preserve"> LN([1]misc!D476)</f>
        <v>8.2433877252997991</v>
      </c>
      <c r="AN457">
        <f xml:space="preserve"> LN([1]misc!G581)</f>
        <v>2.5901671604454934</v>
      </c>
      <c r="AO457">
        <f xml:space="preserve"> LN([1]misc!J487 + [1]misc!L487)</f>
        <v>3.9126228255001139</v>
      </c>
      <c r="AP457">
        <f xml:space="preserve"> [1]Factors!B457</f>
        <v>-0.165639129</v>
      </c>
      <c r="AQ457">
        <f xml:space="preserve"> [1]Factors!C457</f>
        <v>-0.16038912799999999</v>
      </c>
      <c r="AR457">
        <f xml:space="preserve"> [1]Factors!D457</f>
        <v>-0.13492204099999999</v>
      </c>
      <c r="AS457">
        <f xml:space="preserve"> [1]Factors!E457</f>
        <v>0.230880053</v>
      </c>
      <c r="AT457">
        <f xml:space="preserve"> [1]Factors!F457</f>
        <v>-3.2891270299999997E-2</v>
      </c>
    </row>
    <row r="458" spans="1:46" x14ac:dyDescent="0.25">
      <c r="A458">
        <f t="shared" si="31"/>
        <v>1996.9999999999709</v>
      </c>
      <c r="B458" s="1">
        <v>35431</v>
      </c>
      <c r="C458" s="7">
        <f t="shared" si="33"/>
        <v>1997</v>
      </c>
      <c r="D458" s="7">
        <f t="shared" si="34"/>
        <v>1</v>
      </c>
      <c r="E458" s="7">
        <f t="shared" si="35"/>
        <v>1</v>
      </c>
      <c r="F458">
        <f xml:space="preserve"> [1]Coibion_update!O464</f>
        <v>4.3834818253701329</v>
      </c>
      <c r="G458">
        <f xml:space="preserve"> [1]Coibion_update!P464</f>
        <v>5.3</v>
      </c>
      <c r="H458">
        <f xml:space="preserve"> [1]Coibion_update!Q464</f>
        <v>5.0714167663561147</v>
      </c>
      <c r="I458">
        <f xml:space="preserve"> [1]Coibion_update!W464</f>
        <v>5.25</v>
      </c>
      <c r="J458">
        <f xml:space="preserve"> [1]Coibion_update!X464</f>
        <v>5.6773015974066041</v>
      </c>
      <c r="K458">
        <f xml:space="preserve"> [1]Coibion_update!Y464</f>
        <v>3.9597840688264059</v>
      </c>
      <c r="L458">
        <f xml:space="preserve"> [1]Coibion_update!Z464</f>
        <v>4.3158734773793075</v>
      </c>
      <c r="M458">
        <f xml:space="preserve"> [1]Coibion_update!AA464</f>
        <v>4.2866439522413042</v>
      </c>
      <c r="N458">
        <f xml:space="preserve"> [1]Coibion_update!AB464</f>
        <v>0</v>
      </c>
      <c r="O458">
        <f xml:space="preserve"> [1]Coibion_update!AC464</f>
        <v>0.67218429999999851</v>
      </c>
      <c r="Q458">
        <f xml:space="preserve"> [1]Barakchian_Crowe!B337</f>
        <v>0</v>
      </c>
      <c r="R458">
        <f xml:space="preserve"> [1]Barakchian_Crowe!C337</f>
        <v>-7.162102</v>
      </c>
      <c r="S458">
        <f xml:space="preserve"> [1]Gertler_Karadi!C212</f>
        <v>5.7134999999999998E-3</v>
      </c>
      <c r="T458">
        <f xml:space="preserve"> [1]Gertler_Karadi!D212</f>
        <v>-5.1612999999999997E-3</v>
      </c>
      <c r="U458">
        <f xml:space="preserve"> [1]Gertler_Karadi!E212</f>
        <v>0</v>
      </c>
      <c r="V458">
        <f xml:space="preserve"> [1]Gertler_Karadi!F212</f>
        <v>0</v>
      </c>
      <c r="W458">
        <f xml:space="preserve"> [1]Gertler_Karadi!G212</f>
        <v>-5.1612999999999997E-3</v>
      </c>
      <c r="X458" s="5">
        <f xml:space="preserve"> [1]misc!N541</f>
        <v>5.61</v>
      </c>
      <c r="Y458">
        <f xml:space="preserve"> [1]Gilchrist_Zak!C290</f>
        <v>-0.35010000000000002</v>
      </c>
      <c r="Z458">
        <f xml:space="preserve"> [1]Sims_Zha!B461</f>
        <v>-0.17193</v>
      </c>
      <c r="AA458">
        <f xml:space="preserve"> [1]Coibion_update!AI464</f>
        <v>0</v>
      </c>
      <c r="AB458">
        <f t="shared" si="32"/>
        <v>0.93690729999999989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5.37</v>
      </c>
      <c r="AL458">
        <f xml:space="preserve"> LN([1]misc!B477)</f>
        <v>6.9858268144022926</v>
      </c>
      <c r="AM458">
        <f xml:space="preserve"> LN([1]misc!D477)</f>
        <v>8.2472724485430984</v>
      </c>
      <c r="AN458">
        <f xml:space="preserve"> LN([1]misc!G582)</f>
        <v>2.4577923572964284</v>
      </c>
      <c r="AO458">
        <f xml:space="preserve"> LN([1]misc!J488 + [1]misc!L488)</f>
        <v>3.9047768150891731</v>
      </c>
      <c r="AP458">
        <f xml:space="preserve"> [1]Factors!B458</f>
        <v>-0.14464362</v>
      </c>
      <c r="AQ458">
        <f xml:space="preserve"> [1]Factors!C458</f>
        <v>-0.13302352100000001</v>
      </c>
      <c r="AR458">
        <f xml:space="preserve"> [1]Factors!D458</f>
        <v>0.110244445</v>
      </c>
      <c r="AS458">
        <f xml:space="preserve"> [1]Factors!E458</f>
        <v>-9.0876658499999992E-3</v>
      </c>
      <c r="AT458">
        <f xml:space="preserve"> [1]Factors!F458</f>
        <v>4.9529588800000003E-2</v>
      </c>
    </row>
    <row r="459" spans="1:46" x14ac:dyDescent="0.25">
      <c r="A459">
        <f t="shared" si="31"/>
        <v>1997.0833333333042</v>
      </c>
      <c r="B459" s="1">
        <v>35462</v>
      </c>
      <c r="C459" s="7">
        <f t="shared" si="33"/>
        <v>1997</v>
      </c>
      <c r="D459" s="7">
        <f t="shared" si="34"/>
        <v>2</v>
      </c>
      <c r="E459" s="7">
        <f t="shared" si="35"/>
        <v>1</v>
      </c>
      <c r="F459">
        <f xml:space="preserve"> [1]Coibion_update!O465</f>
        <v>4.3956632321967906</v>
      </c>
      <c r="G459">
        <f xml:space="preserve"> [1]Coibion_update!P465</f>
        <v>5.2</v>
      </c>
      <c r="H459">
        <f xml:space="preserve"> [1]Coibion_update!Q465</f>
        <v>5.0732970552209666</v>
      </c>
      <c r="I459">
        <f xml:space="preserve"> [1]Coibion_update!W465</f>
        <v>5.19</v>
      </c>
      <c r="J459">
        <f xml:space="preserve"> [1]Coibion_update!X465</f>
        <v>5.6908323154805727</v>
      </c>
      <c r="K459">
        <f xml:space="preserve"> [1]Coibion_update!Y465</f>
        <v>3.9566903969233054</v>
      </c>
      <c r="L459">
        <f xml:space="preserve"> [1]Coibion_update!Z465</f>
        <v>4.3236689726113919</v>
      </c>
      <c r="M459">
        <f xml:space="preserve"> [1]Coibion_update!AA465</f>
        <v>4.28771595520264</v>
      </c>
      <c r="N459">
        <f xml:space="preserve"> [1]Coibion_update!AB465</f>
        <v>1.9776700000000001E-2</v>
      </c>
      <c r="O459">
        <f xml:space="preserve"> [1]Coibion_update!AC465</f>
        <v>0.69196099999999849</v>
      </c>
      <c r="Q459">
        <f xml:space="preserve"> [1]Barakchian_Crowe!B338</f>
        <v>0.15748100000000001</v>
      </c>
      <c r="R459">
        <f xml:space="preserve"> [1]Barakchian_Crowe!C338</f>
        <v>-7.0046210000000002</v>
      </c>
      <c r="S459">
        <f xml:space="preserve"> [1]Gertler_Karadi!C213</f>
        <v>-3.1302900000000002E-2</v>
      </c>
      <c r="T459">
        <f xml:space="preserve"> [1]Gertler_Karadi!D213</f>
        <v>0</v>
      </c>
      <c r="U459">
        <f xml:space="preserve"> [1]Gertler_Karadi!E213</f>
        <v>8.5713999999999999E-3</v>
      </c>
      <c r="V459">
        <f xml:space="preserve"> [1]Gertler_Karadi!F213</f>
        <v>1.7142899999999999E-2</v>
      </c>
      <c r="W459">
        <f xml:space="preserve"> [1]Gertler_Karadi!G213</f>
        <v>2.5714299999999999E-2</v>
      </c>
      <c r="X459" s="5">
        <f xml:space="preserve"> [1]misc!N542</f>
        <v>5.53</v>
      </c>
      <c r="Y459">
        <f xml:space="preserve"> [1]Gilchrist_Zak!C291</f>
        <v>-0.48609999999999998</v>
      </c>
      <c r="Z459">
        <f xml:space="preserve"> [1]Sims_Zha!B462</f>
        <v>-0.23041</v>
      </c>
      <c r="AA459">
        <f xml:space="preserve"> [1]Coibion_update!AI465</f>
        <v>9.9153999999999996E-3</v>
      </c>
      <c r="AB459">
        <f t="shared" si="32"/>
        <v>0.94682269999999991</v>
      </c>
      <c r="AC459">
        <v>9.9153999999999996E-3</v>
      </c>
      <c r="AD459">
        <v>-3.6519999999999997E-2</v>
      </c>
      <c r="AE459">
        <v>-0.03</v>
      </c>
      <c r="AF459">
        <v>0</v>
      </c>
      <c r="AG459">
        <v>0.01</v>
      </c>
      <c r="AH459">
        <v>-1.7018999999999999E-2</v>
      </c>
      <c r="AI459">
        <v>1.6840500000000001E-2</v>
      </c>
      <c r="AJ459">
        <v>2.5180000000000001E-2</v>
      </c>
      <c r="AK459">
        <v>5.5</v>
      </c>
      <c r="AL459">
        <f xml:space="preserve"> LN([1]misc!B478)</f>
        <v>6.9836045912655749</v>
      </c>
      <c r="AM459">
        <f xml:space="preserve"> LN([1]misc!D478)</f>
        <v>8.2503328346567546</v>
      </c>
      <c r="AN459">
        <f xml:space="preserve"> LN([1]misc!G583)</f>
        <v>2.4367662744600653</v>
      </c>
      <c r="AO459">
        <f xml:space="preserve"> LN([1]misc!J489 + [1]misc!L489)</f>
        <v>3.8851244615594451</v>
      </c>
      <c r="AP459">
        <f xml:space="preserve"> [1]Factors!B459</f>
        <v>-1.8413651499999999E-2</v>
      </c>
      <c r="AQ459">
        <f xml:space="preserve"> [1]Factors!C459</f>
        <v>-0.108312783</v>
      </c>
      <c r="AR459">
        <f xml:space="preserve"> [1]Factors!D459</f>
        <v>0.107319737</v>
      </c>
      <c r="AS459">
        <f xml:space="preserve"> [1]Factors!E459</f>
        <v>-0.130233457</v>
      </c>
      <c r="AT459">
        <f xml:space="preserve"> [1]Factors!F459</f>
        <v>9.2577758900000001E-2</v>
      </c>
    </row>
    <row r="460" spans="1:46" x14ac:dyDescent="0.25">
      <c r="A460">
        <f t="shared" si="31"/>
        <v>1997.1666666666374</v>
      </c>
      <c r="B460" s="1">
        <v>35490</v>
      </c>
      <c r="C460" s="7">
        <f t="shared" si="33"/>
        <v>1997</v>
      </c>
      <c r="D460" s="7">
        <f t="shared" si="34"/>
        <v>3</v>
      </c>
      <c r="E460" s="7">
        <f t="shared" si="35"/>
        <v>1</v>
      </c>
      <c r="F460">
        <f xml:space="preserve"> [1]Coibion_update!O466</f>
        <v>4.4026708195258522</v>
      </c>
      <c r="G460">
        <f xml:space="preserve"> [1]Coibion_update!P466</f>
        <v>5.2</v>
      </c>
      <c r="H460">
        <f xml:space="preserve"> [1]Coibion_update!Q466</f>
        <v>5.0739230333321741</v>
      </c>
      <c r="I460">
        <f xml:space="preserve"> [1]Coibion_update!W466</f>
        <v>5.39</v>
      </c>
      <c r="J460">
        <f xml:space="preserve"> [1]Coibion_update!X466</f>
        <v>5.6960190840383671</v>
      </c>
      <c r="K460">
        <f xml:space="preserve"> [1]Coibion_update!Y466</f>
        <v>3.97002772771472</v>
      </c>
      <c r="L460">
        <f xml:space="preserve"> [1]Coibion_update!Z466</f>
        <v>4.3301410596596259</v>
      </c>
      <c r="M460">
        <f xml:space="preserve"> [1]Coibion_update!AA466</f>
        <v>4.2866989547164298</v>
      </c>
      <c r="N460">
        <f xml:space="preserve"> [1]Coibion_update!AB466</f>
        <v>0.102688</v>
      </c>
      <c r="O460">
        <f xml:space="preserve"> [1]Coibion_update!AC466</f>
        <v>0.7946489999999985</v>
      </c>
      <c r="Q460">
        <f xml:space="preserve"> [1]Barakchian_Crowe!B339</f>
        <v>0.9079431</v>
      </c>
      <c r="R460">
        <f xml:space="preserve"> [1]Barakchian_Crowe!C339</f>
        <v>-6.0966769999999997</v>
      </c>
      <c r="S460">
        <f xml:space="preserve"> [1]Gertler_Karadi!C214</f>
        <v>3.8151999999999999E-3</v>
      </c>
      <c r="T460">
        <f xml:space="preserve"> [1]Gertler_Karadi!D214</f>
        <v>9.0322000000000006E-3</v>
      </c>
      <c r="U460">
        <f xml:space="preserve"> [1]Gertler_Karadi!E214</f>
        <v>1.6106100000000002E-2</v>
      </c>
      <c r="V460">
        <f xml:space="preserve"> [1]Gertler_Karadi!F214</f>
        <v>1.97927E-2</v>
      </c>
      <c r="W460">
        <f xml:space="preserve"> [1]Gertler_Karadi!G214</f>
        <v>1.89631E-2</v>
      </c>
      <c r="X460" s="5">
        <f xml:space="preserve"> [1]misc!N543</f>
        <v>5.8</v>
      </c>
      <c r="Y460">
        <f xml:space="preserve"> [1]Gilchrist_Zak!C292</f>
        <v>-0.51300000000000001</v>
      </c>
      <c r="Z460">
        <f xml:space="preserve"> [1]Sims_Zha!B463</f>
        <v>0.83113999999999999</v>
      </c>
      <c r="AA460">
        <f xml:space="preserve"> [1]Coibion_update!AI466</f>
        <v>0.1135224</v>
      </c>
      <c r="AB460">
        <f t="shared" si="32"/>
        <v>1.0603450999999999</v>
      </c>
      <c r="AC460">
        <v>0.1135224</v>
      </c>
      <c r="AD460">
        <v>0.04</v>
      </c>
      <c r="AE460">
        <v>0.01</v>
      </c>
      <c r="AF460">
        <v>0.04</v>
      </c>
      <c r="AG460">
        <v>6.5000000000000002E-2</v>
      </c>
      <c r="AH460">
        <v>5.8564000000000003E-3</v>
      </c>
      <c r="AI460">
        <v>3.8079399999999999E-2</v>
      </c>
      <c r="AJ460">
        <v>5.77463E-2</v>
      </c>
      <c r="AK460">
        <v>7.07</v>
      </c>
      <c r="AL460">
        <f xml:space="preserve"> LN([1]misc!B479)</f>
        <v>6.9777476508021721</v>
      </c>
      <c r="AM460">
        <f xml:space="preserve"> LN([1]misc!D479)</f>
        <v>8.2542947843199688</v>
      </c>
      <c r="AN460">
        <f xml:space="preserve"> LN([1]misc!G584)</f>
        <v>2.4406934951116748</v>
      </c>
      <c r="AO460">
        <f xml:space="preserve"> LN([1]misc!J490 + [1]misc!L490)</f>
        <v>3.8648056038190308</v>
      </c>
      <c r="AP460">
        <f xml:space="preserve"> [1]Factors!B460</f>
        <v>-0.192169486</v>
      </c>
      <c r="AQ460">
        <f xml:space="preserve"> [1]Factors!C460</f>
        <v>-0.28981562900000002</v>
      </c>
      <c r="AR460">
        <f xml:space="preserve"> [1]Factors!D460</f>
        <v>-7.8117842899999998E-2</v>
      </c>
      <c r="AS460">
        <f xml:space="preserve"> [1]Factors!E460</f>
        <v>-2.0972930200000001E-4</v>
      </c>
      <c r="AT460">
        <f xml:space="preserve"> [1]Factors!F460</f>
        <v>-0.19262093699999999</v>
      </c>
    </row>
    <row r="461" spans="1:46" x14ac:dyDescent="0.25">
      <c r="A461">
        <f t="shared" si="31"/>
        <v>1997.2499999999707</v>
      </c>
      <c r="B461" s="1">
        <v>35521</v>
      </c>
      <c r="C461" s="7">
        <f t="shared" si="33"/>
        <v>1997</v>
      </c>
      <c r="D461" s="7">
        <f t="shared" si="34"/>
        <v>4</v>
      </c>
      <c r="E461" s="7">
        <f t="shared" si="35"/>
        <v>2</v>
      </c>
      <c r="F461">
        <f xml:space="preserve"> [1]Coibion_update!O467</f>
        <v>4.4034676250024427</v>
      </c>
      <c r="G461">
        <f xml:space="preserve"> [1]Coibion_update!P467</f>
        <v>5.0999999999999996</v>
      </c>
      <c r="H461">
        <f xml:space="preserve"> [1]Coibion_update!Q467</f>
        <v>5.0745486198399083</v>
      </c>
      <c r="I461">
        <f xml:space="preserve"> [1]Coibion_update!W467</f>
        <v>5.51</v>
      </c>
      <c r="J461">
        <f xml:space="preserve"> [1]Coibion_update!X467</f>
        <v>5.6771304436587746</v>
      </c>
      <c r="K461">
        <f xml:space="preserve"> [1]Coibion_update!Y467</f>
        <v>3.9577035779201202</v>
      </c>
      <c r="L461">
        <f xml:space="preserve"> [1]Coibion_update!Z467</f>
        <v>4.3213871689972772</v>
      </c>
      <c r="M461">
        <f xml:space="preserve"> [1]Coibion_update!AA467</f>
        <v>4.2924164291072868</v>
      </c>
      <c r="N461">
        <f xml:space="preserve"> [1]Coibion_update!AB467</f>
        <v>0</v>
      </c>
      <c r="O461">
        <f xml:space="preserve"> [1]Coibion_update!AC467</f>
        <v>0.7946489999999985</v>
      </c>
      <c r="Q461">
        <f xml:space="preserve"> [1]Barakchian_Crowe!B340</f>
        <v>0</v>
      </c>
      <c r="R461">
        <f xml:space="preserve"> [1]Barakchian_Crowe!C340</f>
        <v>-6.0966769999999997</v>
      </c>
      <c r="S461">
        <f xml:space="preserve"> [1]Gertler_Karadi!C215</f>
        <v>3.0967700000000001E-2</v>
      </c>
      <c r="T461">
        <f xml:space="preserve"> [1]Gertler_Karadi!D215</f>
        <v>3.0967700000000001E-2</v>
      </c>
      <c r="U461">
        <f xml:space="preserve"> [1]Gertler_Karadi!E215</f>
        <v>5.0322499999999999E-2</v>
      </c>
      <c r="V461">
        <f xml:space="preserve"> [1]Gertler_Karadi!F215</f>
        <v>5.8064499999999998E-2</v>
      </c>
      <c r="W461">
        <f xml:space="preserve"> [1]Gertler_Karadi!G215</f>
        <v>5.0322699999999998E-2</v>
      </c>
      <c r="X461" s="5">
        <f xml:space="preserve"> [1]misc!N544</f>
        <v>5.99</v>
      </c>
      <c r="Y461">
        <f xml:space="preserve"> [1]Gilchrist_Zak!C293</f>
        <v>-0.43880000000000002</v>
      </c>
      <c r="Z461">
        <f xml:space="preserve"> [1]Sims_Zha!B464</f>
        <v>9.2981999999999995E-2</v>
      </c>
      <c r="AA461">
        <f xml:space="preserve"> [1]Coibion_update!AI467</f>
        <v>0</v>
      </c>
      <c r="AB461">
        <f t="shared" si="32"/>
        <v>1.0603450999999999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5.82</v>
      </c>
      <c r="AL461">
        <f xml:space="preserve"> LN([1]misc!B480)</f>
        <v>6.9696966805223202</v>
      </c>
      <c r="AM461">
        <f xml:space="preserve"> LN([1]misc!D480)</f>
        <v>8.2583965553875398</v>
      </c>
      <c r="AN461">
        <f xml:space="preserve"> LN([1]misc!G585)</f>
        <v>2.5052810090391504</v>
      </c>
      <c r="AO461">
        <f xml:space="preserve"> LN([1]misc!J491 + [1]misc!L491)</f>
        <v>3.8521243700197947</v>
      </c>
      <c r="AP461">
        <f xml:space="preserve"> [1]Factors!B461</f>
        <v>-0.23003472899999999</v>
      </c>
      <c r="AQ461">
        <f xml:space="preserve"> [1]Factors!C461</f>
        <v>-0.299600643</v>
      </c>
      <c r="AR461">
        <f xml:space="preserve"> [1]Factors!D461</f>
        <v>-2.70643796E-3</v>
      </c>
      <c r="AS461">
        <f xml:space="preserve"> [1]Factors!E461</f>
        <v>-0.20561141899999999</v>
      </c>
      <c r="AT461">
        <f xml:space="preserve"> [1]Factors!F461</f>
        <v>-9.7754603300000006E-2</v>
      </c>
    </row>
    <row r="462" spans="1:46" x14ac:dyDescent="0.25">
      <c r="A462">
        <f t="shared" si="31"/>
        <v>1997.3333333333039</v>
      </c>
      <c r="B462" s="1">
        <v>35551</v>
      </c>
      <c r="C462" s="7">
        <f t="shared" si="33"/>
        <v>1997</v>
      </c>
      <c r="D462" s="7">
        <f t="shared" si="34"/>
        <v>5</v>
      </c>
      <c r="E462" s="7">
        <f t="shared" si="35"/>
        <v>2</v>
      </c>
      <c r="F462">
        <f xml:space="preserve"> [1]Coibion_update!O468</f>
        <v>4.4096296420998531</v>
      </c>
      <c r="G462">
        <f xml:space="preserve"> [1]Coibion_update!P468</f>
        <v>4.9000000000000004</v>
      </c>
      <c r="H462">
        <f xml:space="preserve"> [1]Coibion_update!Q468</f>
        <v>5.0745486198399083</v>
      </c>
      <c r="I462">
        <f xml:space="preserve"> [1]Coibion_update!W468</f>
        <v>5.5</v>
      </c>
      <c r="J462">
        <f xml:space="preserve"> [1]Coibion_update!X468</f>
        <v>5.6786014094589428</v>
      </c>
      <c r="K462">
        <f xml:space="preserve"> [1]Coibion_update!Y468</f>
        <v>3.9500699530650487</v>
      </c>
      <c r="L462">
        <f xml:space="preserve"> [1]Coibion_update!Z468</f>
        <v>4.3201379329950358</v>
      </c>
      <c r="M462">
        <f xml:space="preserve"> [1]Coibion_update!AA468</f>
        <v>4.2954060903901077</v>
      </c>
      <c r="N462">
        <f xml:space="preserve"> [1]Coibion_update!AB468</f>
        <v>9.8442500000000002E-2</v>
      </c>
      <c r="O462">
        <f xml:space="preserve"> [1]Coibion_update!AC468</f>
        <v>0.89309149999999848</v>
      </c>
      <c r="Q462">
        <f xml:space="preserve"> [1]Barakchian_Crowe!B341</f>
        <v>-1.153122</v>
      </c>
      <c r="R462">
        <f xml:space="preserve"> [1]Barakchian_Crowe!C341</f>
        <v>-7.2497990000000003</v>
      </c>
      <c r="S462">
        <f xml:space="preserve"> [1]Gertler_Karadi!C216</f>
        <v>-3.8186999999999999E-2</v>
      </c>
      <c r="T462">
        <f xml:space="preserve"> [1]Gertler_Karadi!D216</f>
        <v>-3.48387E-2</v>
      </c>
      <c r="U462">
        <f xml:space="preserve"> [1]Gertler_Karadi!E216</f>
        <v>-2.7096700000000001E-2</v>
      </c>
      <c r="V462">
        <f xml:space="preserve"> [1]Gertler_Karadi!F216</f>
        <v>-2.1290300000000002E-2</v>
      </c>
      <c r="W462">
        <f xml:space="preserve"> [1]Gertler_Karadi!G216</f>
        <v>-1.9354799999999998E-2</v>
      </c>
      <c r="X462" s="5">
        <f xml:space="preserve"> [1]misc!N545</f>
        <v>5.87</v>
      </c>
      <c r="Y462">
        <f xml:space="preserve"> [1]Gilchrist_Zak!C294</f>
        <v>-0.437</v>
      </c>
      <c r="Z462">
        <f xml:space="preserve"> [1]Sims_Zha!B465</f>
        <v>-0.92184999999999995</v>
      </c>
      <c r="AA462">
        <f xml:space="preserve"> [1]Coibion_update!AI468</f>
        <v>7.4719999999999995E-2</v>
      </c>
      <c r="AB462">
        <f t="shared" si="32"/>
        <v>1.1350650999999998</v>
      </c>
      <c r="AC462">
        <v>7.4719999999999995E-2</v>
      </c>
      <c r="AD462">
        <v>-9.8650000000000002E-2</v>
      </c>
      <c r="AE462">
        <v>-3.5000000000000003E-2</v>
      </c>
      <c r="AF462">
        <v>-0.09</v>
      </c>
      <c r="AG462">
        <v>-7.0000000000000007E-2</v>
      </c>
      <c r="AH462">
        <v>-2.0745E-3</v>
      </c>
      <c r="AI462">
        <v>-5.2791299999999999E-2</v>
      </c>
      <c r="AJ462">
        <v>-5.2775500000000003E-2</v>
      </c>
      <c r="AK462">
        <v>5.58</v>
      </c>
      <c r="AL462">
        <f xml:space="preserve"> LN([1]misc!B481)</f>
        <v>6.9696026823082171</v>
      </c>
      <c r="AM462">
        <f xml:space="preserve"> LN([1]misc!D481)</f>
        <v>8.2613198154791085</v>
      </c>
      <c r="AN462">
        <f xml:space="preserve"> LN([1]misc!G586)</f>
        <v>2.3857306740807145</v>
      </c>
      <c r="AO462">
        <f xml:space="preserve"> LN([1]misc!J492 + [1]misc!L492)</f>
        <v>3.8376011378605668</v>
      </c>
      <c r="AP462">
        <f xml:space="preserve"> [1]Factors!B462</f>
        <v>3.1853633300000003E-2</v>
      </c>
      <c r="AQ462">
        <f xml:space="preserve"> [1]Factors!C462</f>
        <v>-0.247559682</v>
      </c>
      <c r="AR462">
        <f xml:space="preserve"> [1]Factors!D462</f>
        <v>-7.5045774799999999E-3</v>
      </c>
      <c r="AS462">
        <f xml:space="preserve"> [1]Factors!E462</f>
        <v>-0.30925070399999999</v>
      </c>
      <c r="AT462">
        <f xml:space="preserve"> [1]Factors!F462</f>
        <v>0.16178256999999999</v>
      </c>
    </row>
    <row r="463" spans="1:46" x14ac:dyDescent="0.25">
      <c r="A463">
        <f t="shared" si="31"/>
        <v>1997.4166666666372</v>
      </c>
      <c r="B463" s="1">
        <v>35582</v>
      </c>
      <c r="C463" s="7">
        <f t="shared" si="33"/>
        <v>1997</v>
      </c>
      <c r="D463" s="7">
        <f t="shared" si="34"/>
        <v>6</v>
      </c>
      <c r="E463" s="7">
        <f t="shared" si="35"/>
        <v>2</v>
      </c>
      <c r="F463">
        <f xml:space="preserve"> [1]Coibion_update!O469</f>
        <v>4.4146862070791713</v>
      </c>
      <c r="G463">
        <f xml:space="preserve"> [1]Coibion_update!P469</f>
        <v>5</v>
      </c>
      <c r="H463">
        <f xml:space="preserve"> [1]Coibion_update!Q469</f>
        <v>5.0764230346342591</v>
      </c>
      <c r="I463">
        <f xml:space="preserve"> [1]Coibion_update!W469</f>
        <v>5.56</v>
      </c>
      <c r="J463">
        <f xml:space="preserve"> [1]Coibion_update!X469</f>
        <v>5.6838178342366037</v>
      </c>
      <c r="K463">
        <f xml:space="preserve"> [1]Coibion_update!Y469</f>
        <v>3.9691214174680227</v>
      </c>
      <c r="L463">
        <f xml:space="preserve"> [1]Coibion_update!Z469</f>
        <v>4.3298250331634414</v>
      </c>
      <c r="M463">
        <f xml:space="preserve"> [1]Coibion_update!AA469</f>
        <v>4.2957876865569711</v>
      </c>
      <c r="N463">
        <f xml:space="preserve"> [1]Coibion_update!AB469</f>
        <v>0</v>
      </c>
      <c r="O463">
        <f xml:space="preserve"> [1]Coibion_update!AC469</f>
        <v>0.89309149999999848</v>
      </c>
      <c r="Q463">
        <f xml:space="preserve"> [1]Barakchian_Crowe!B342</f>
        <v>0</v>
      </c>
      <c r="R463">
        <f xml:space="preserve"> [1]Barakchian_Crowe!C342</f>
        <v>-7.2497990000000003</v>
      </c>
      <c r="S463">
        <f xml:space="preserve"> [1]Gertler_Karadi!C217</f>
        <v>-6.0463000000000003E-2</v>
      </c>
      <c r="T463">
        <f xml:space="preserve"> [1]Gertler_Karadi!D217</f>
        <v>-5.5161500000000002E-2</v>
      </c>
      <c r="U463">
        <f xml:space="preserve"> [1]Gertler_Karadi!E217</f>
        <v>-4.2903400000000001E-2</v>
      </c>
      <c r="V463">
        <f xml:space="preserve"> [1]Gertler_Karadi!F217</f>
        <v>-3.3709599999999999E-2</v>
      </c>
      <c r="W463">
        <f xml:space="preserve"> [1]Gertler_Karadi!G217</f>
        <v>-3.06453E-2</v>
      </c>
      <c r="X463" s="5">
        <f xml:space="preserve"> [1]misc!N546</f>
        <v>5.69</v>
      </c>
      <c r="Y463">
        <f xml:space="preserve"> [1]Gilchrist_Zak!C295</f>
        <v>-0.50770000000000004</v>
      </c>
      <c r="Z463">
        <f xml:space="preserve"> [1]Sims_Zha!B466</f>
        <v>-0.44741999999999998</v>
      </c>
      <c r="AA463">
        <f xml:space="preserve"> [1]Coibion_update!AI469</f>
        <v>0</v>
      </c>
      <c r="AB463">
        <f t="shared" si="32"/>
        <v>1.1350650999999998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6.87</v>
      </c>
      <c r="AL463">
        <f xml:space="preserve"> LN([1]misc!B482)</f>
        <v>6.9717624089564296</v>
      </c>
      <c r="AM463">
        <f xml:space="preserve"> LN([1]misc!D482)</f>
        <v>8.2656501655803289</v>
      </c>
      <c r="AN463">
        <f xml:space="preserve"> LN([1]misc!G587)</f>
        <v>2.3333082656368864</v>
      </c>
      <c r="AO463">
        <f xml:space="preserve"> LN([1]misc!J493 + [1]misc!L493)</f>
        <v>3.8409780298150635</v>
      </c>
      <c r="AP463">
        <f xml:space="preserve"> [1]Factors!B463</f>
        <v>-9.9819355100000007E-2</v>
      </c>
      <c r="AQ463">
        <f xml:space="preserve"> [1]Factors!C463</f>
        <v>-0.37213004399999999</v>
      </c>
      <c r="AR463">
        <f xml:space="preserve"> [1]Factors!D463</f>
        <v>-0.170069581</v>
      </c>
      <c r="AS463">
        <f xml:space="preserve"> [1]Factors!E463</f>
        <v>0.102005393</v>
      </c>
      <c r="AT463">
        <f xml:space="preserve"> [1]Factors!F463</f>
        <v>8.5257351699999998E-2</v>
      </c>
    </row>
    <row r="464" spans="1:46" x14ac:dyDescent="0.25">
      <c r="A464">
        <f t="shared" ref="A464:A527" si="36" xml:space="preserve"> A463 + 1/12</f>
        <v>1997.4999999999704</v>
      </c>
      <c r="B464" s="1">
        <v>35612</v>
      </c>
      <c r="C464" s="7">
        <f t="shared" si="33"/>
        <v>1997</v>
      </c>
      <c r="D464" s="7">
        <f t="shared" si="34"/>
        <v>7</v>
      </c>
      <c r="E464" s="7">
        <f t="shared" si="35"/>
        <v>3</v>
      </c>
      <c r="F464">
        <f xml:space="preserve"> [1]Coibion_update!O470</f>
        <v>4.4223008792064986</v>
      </c>
      <c r="G464">
        <f xml:space="preserve"> [1]Coibion_update!P470</f>
        <v>4.9000000000000004</v>
      </c>
      <c r="H464">
        <f xml:space="preserve"> [1]Coibion_update!Q470</f>
        <v>5.0776706954324142</v>
      </c>
      <c r="I464">
        <f xml:space="preserve"> [1]Coibion_update!W470</f>
        <v>5.52</v>
      </c>
      <c r="J464">
        <f xml:space="preserve"> [1]Coibion_update!X470</f>
        <v>5.6739416326451799</v>
      </c>
      <c r="K464">
        <f xml:space="preserve"> [1]Coibion_update!Y470</f>
        <v>3.9906308380067603</v>
      </c>
      <c r="L464">
        <f xml:space="preserve"> [1]Coibion_update!Z470</f>
        <v>4.3376044171211348</v>
      </c>
      <c r="M464">
        <f xml:space="preserve"> [1]Coibion_update!AA470</f>
        <v>4.3032539535084862</v>
      </c>
      <c r="N464">
        <f xml:space="preserve"> [1]Coibion_update!AB470</f>
        <v>-4.9381800000000003E-2</v>
      </c>
      <c r="O464">
        <f xml:space="preserve"> [1]Coibion_update!AC470</f>
        <v>0.84370969999999845</v>
      </c>
      <c r="Q464">
        <f xml:space="preserve"> [1]Barakchian_Crowe!B343</f>
        <v>-0.25677939999999999</v>
      </c>
      <c r="R464">
        <f xml:space="preserve"> [1]Barakchian_Crowe!C343</f>
        <v>-7.5065780000000002</v>
      </c>
      <c r="S464">
        <f xml:space="preserve"> [1]Gertler_Karadi!C218</f>
        <v>-2.0690199999999999E-2</v>
      </c>
      <c r="T464">
        <f xml:space="preserve"> [1]Gertler_Karadi!D218</f>
        <v>-1.9354799999999998E-2</v>
      </c>
      <c r="U464">
        <f xml:space="preserve"> [1]Gertler_Karadi!E218</f>
        <v>0</v>
      </c>
      <c r="V464">
        <f xml:space="preserve"> [1]Gertler_Karadi!F218</f>
        <v>0</v>
      </c>
      <c r="W464">
        <f xml:space="preserve"> [1]Gertler_Karadi!G218</f>
        <v>0</v>
      </c>
      <c r="X464" s="5">
        <f xml:space="preserve"> [1]misc!N547</f>
        <v>5.54</v>
      </c>
      <c r="Y464">
        <f xml:space="preserve"> [1]Gilchrist_Zak!C296</f>
        <v>-0.52539999999999998</v>
      </c>
      <c r="Z464">
        <f xml:space="preserve"> [1]Sims_Zha!B467</f>
        <v>-0.27695999999999998</v>
      </c>
      <c r="AA464">
        <f xml:space="preserve"> [1]Coibion_update!AI470</f>
        <v>-1.9380600000000001E-2</v>
      </c>
      <c r="AB464">
        <f t="shared" si="32"/>
        <v>1.1156844999999997</v>
      </c>
      <c r="AC464">
        <v>-1.9380600000000001E-2</v>
      </c>
      <c r="AD464">
        <v>-2.138E-2</v>
      </c>
      <c r="AE464">
        <v>-0.02</v>
      </c>
      <c r="AF464">
        <v>-0.02</v>
      </c>
      <c r="AG464">
        <v>0</v>
      </c>
      <c r="AH464">
        <v>-1.5320800000000001E-2</v>
      </c>
      <c r="AI464">
        <v>-1.77532E-2</v>
      </c>
      <c r="AJ464">
        <v>-6.0309999999999999E-3</v>
      </c>
      <c r="AK464">
        <v>5.96</v>
      </c>
      <c r="AL464">
        <f xml:space="preserve"> LN([1]misc!B483)</f>
        <v>6.9711994515386717</v>
      </c>
      <c r="AM464">
        <f xml:space="preserve"> LN([1]misc!D483)</f>
        <v>8.2702179068486821</v>
      </c>
      <c r="AN464">
        <f xml:space="preserve"> LN([1]misc!G588)</f>
        <v>2.2901075714829329</v>
      </c>
      <c r="AO464">
        <f xml:space="preserve"> LN([1]misc!J494 + [1]misc!L494)</f>
        <v>3.8361565649980225</v>
      </c>
      <c r="AP464">
        <f xml:space="preserve"> [1]Factors!B464</f>
        <v>-4.6449513200000001E-2</v>
      </c>
      <c r="AQ464">
        <f xml:space="preserve"> [1]Factors!C464</f>
        <v>-0.24083423300000001</v>
      </c>
      <c r="AR464">
        <f xml:space="preserve"> [1]Factors!D464</f>
        <v>-0.20797141199999999</v>
      </c>
      <c r="AS464">
        <f xml:space="preserve"> [1]Factors!E464</f>
        <v>8.3470811699999994E-2</v>
      </c>
      <c r="AT464">
        <f xml:space="preserve"> [1]Factors!F464</f>
        <v>7.86685518E-2</v>
      </c>
    </row>
    <row r="465" spans="1:46" x14ac:dyDescent="0.25">
      <c r="A465">
        <f t="shared" si="36"/>
        <v>1997.5833333333037</v>
      </c>
      <c r="B465" s="1">
        <v>35643</v>
      </c>
      <c r="C465" s="7">
        <f t="shared" si="33"/>
        <v>1997</v>
      </c>
      <c r="D465" s="7">
        <f t="shared" si="34"/>
        <v>8</v>
      </c>
      <c r="E465" s="7">
        <f t="shared" si="35"/>
        <v>3</v>
      </c>
      <c r="F465">
        <f xml:space="preserve"> [1]Coibion_update!O471</f>
        <v>4.432773217141702</v>
      </c>
      <c r="G465">
        <f xml:space="preserve"> [1]Coibion_update!P471</f>
        <v>4.8</v>
      </c>
      <c r="H465">
        <f xml:space="preserve"> [1]Coibion_update!Q471</f>
        <v>5.080161356744866</v>
      </c>
      <c r="I465">
        <f xml:space="preserve"> [1]Coibion_update!W471</f>
        <v>5.54</v>
      </c>
      <c r="J465">
        <f xml:space="preserve"> [1]Coibion_update!X471</f>
        <v>5.6874498200353036</v>
      </c>
      <c r="K465">
        <f xml:space="preserve"> [1]Coibion_update!Y471</f>
        <v>4.0166172275580676</v>
      </c>
      <c r="L465">
        <f xml:space="preserve"> [1]Coibion_update!Z471</f>
        <v>4.340019041776209</v>
      </c>
      <c r="M465">
        <f xml:space="preserve"> [1]Coibion_update!AA471</f>
        <v>4.3066832843700915</v>
      </c>
      <c r="N465">
        <f xml:space="preserve"> [1]Coibion_update!AB471</f>
        <v>0.1114467</v>
      </c>
      <c r="O465">
        <f xml:space="preserve"> [1]Coibion_update!AC471</f>
        <v>0.95515639999999846</v>
      </c>
      <c r="Q465">
        <f xml:space="preserve"> [1]Barakchian_Crowe!B344</f>
        <v>0.41531760000000001</v>
      </c>
      <c r="R465">
        <f xml:space="preserve"> [1]Barakchian_Crowe!C344</f>
        <v>-7.0912600000000001</v>
      </c>
      <c r="S465">
        <f xml:space="preserve"> [1]Gertler_Karadi!C219</f>
        <v>-6.9399999999999996E-4</v>
      </c>
      <c r="T465">
        <f xml:space="preserve"> [1]Gertler_Karadi!D219</f>
        <v>3.5484000000000002E-3</v>
      </c>
      <c r="U465">
        <f xml:space="preserve"> [1]Gertler_Karadi!E219</f>
        <v>4.1935000000000002E-3</v>
      </c>
      <c r="V465">
        <f xml:space="preserve"> [1]Gertler_Karadi!F219</f>
        <v>6.2903000000000004E-3</v>
      </c>
      <c r="W465">
        <f xml:space="preserve"> [1]Gertler_Karadi!G219</f>
        <v>6.2903000000000004E-3</v>
      </c>
      <c r="X465" s="5">
        <f xml:space="preserve"> [1]misc!N548</f>
        <v>5.56</v>
      </c>
      <c r="Y465">
        <f xml:space="preserve"> [1]Gilchrist_Zak!C297</f>
        <v>-0.50119999999999998</v>
      </c>
      <c r="Z465">
        <f xml:space="preserve"> [1]Sims_Zha!B468</f>
        <v>0.15792999999999999</v>
      </c>
      <c r="AA465">
        <f xml:space="preserve"> [1]Coibion_update!AI471</f>
        <v>0.10917109999999999</v>
      </c>
      <c r="AB465">
        <f t="shared" si="32"/>
        <v>1.2248555999999997</v>
      </c>
      <c r="AC465">
        <v>0.10917109999999999</v>
      </c>
      <c r="AD465" s="6">
        <v>-1.0000000000000001E-5</v>
      </c>
      <c r="AE465">
        <v>0</v>
      </c>
      <c r="AF465">
        <v>0.01</v>
      </c>
      <c r="AG465">
        <v>0.01</v>
      </c>
      <c r="AH465">
        <v>2.5125700000000001E-2</v>
      </c>
      <c r="AI465">
        <v>2.5035499999999999E-2</v>
      </c>
      <c r="AJ465">
        <v>2.8591999999999999E-2</v>
      </c>
      <c r="AK465">
        <v>5.52</v>
      </c>
      <c r="AL465">
        <f xml:space="preserve"> LN([1]misc!B484)</f>
        <v>6.9803549713964808</v>
      </c>
      <c r="AM465">
        <f xml:space="preserve"> LN([1]misc!D484)</f>
        <v>8.2788344742955466</v>
      </c>
      <c r="AN465">
        <f xml:space="preserve"> LN([1]misc!G589)</f>
        <v>2.3502317464613989</v>
      </c>
      <c r="AO465">
        <f xml:space="preserve"> LN([1]misc!J495 + [1]misc!L495)</f>
        <v>3.8354874737500269</v>
      </c>
      <c r="AP465">
        <f xml:space="preserve"> [1]Factors!B465</f>
        <v>-0.14996654000000001</v>
      </c>
      <c r="AQ465">
        <f xml:space="preserve"> [1]Factors!C465</f>
        <v>-0.31508353</v>
      </c>
      <c r="AR465">
        <f xml:space="preserve"> [1]Factors!D465</f>
        <v>-0.19937089799999999</v>
      </c>
      <c r="AS465">
        <f xml:space="preserve"> [1]Factors!E465</f>
        <v>4.3537138599999997E-2</v>
      </c>
      <c r="AT465">
        <f xml:space="preserve"> [1]Factors!F465</f>
        <v>1.09111408E-2</v>
      </c>
    </row>
    <row r="466" spans="1:46" x14ac:dyDescent="0.25">
      <c r="A466">
        <f t="shared" si="36"/>
        <v>1997.666666666637</v>
      </c>
      <c r="B466" s="1">
        <v>35674</v>
      </c>
      <c r="C466" s="7">
        <f t="shared" si="33"/>
        <v>1997</v>
      </c>
      <c r="D466" s="7">
        <f t="shared" si="34"/>
        <v>9</v>
      </c>
      <c r="E466" s="7">
        <f t="shared" si="35"/>
        <v>3</v>
      </c>
      <c r="F466">
        <f xml:space="preserve"> [1]Coibion_update!O472</f>
        <v>4.4420169377056284</v>
      </c>
      <c r="G466">
        <f xml:space="preserve"> [1]Coibion_update!P472</f>
        <v>4.9000000000000004</v>
      </c>
      <c r="H466">
        <f xml:space="preserve"> [1]Coibion_update!Q472</f>
        <v>5.0826458300725275</v>
      </c>
      <c r="I466">
        <f xml:space="preserve"> [1]Coibion_update!W472</f>
        <v>5.54</v>
      </c>
      <c r="J466">
        <f xml:space="preserve"> [1]Coibion_update!X472</f>
        <v>5.6814686970596169</v>
      </c>
      <c r="K466">
        <f xml:space="preserve"> [1]Coibion_update!Y472</f>
        <v>4.0003085702955063</v>
      </c>
      <c r="L466">
        <f xml:space="preserve"> [1]Coibion_update!Z472</f>
        <v>4.3416602655072953</v>
      </c>
      <c r="M466">
        <f xml:space="preserve"> [1]Coibion_update!AA472</f>
        <v>4.3096440961799187</v>
      </c>
      <c r="N466">
        <f xml:space="preserve"> [1]Coibion_update!AB472</f>
        <v>-0.1585259</v>
      </c>
      <c r="O466">
        <f xml:space="preserve"> [1]Coibion_update!AC472</f>
        <v>0.79663049999999846</v>
      </c>
      <c r="Q466">
        <f xml:space="preserve"> [1]Barakchian_Crowe!B345</f>
        <v>0.1356504</v>
      </c>
      <c r="R466">
        <f xml:space="preserve"> [1]Barakchian_Crowe!C345</f>
        <v>-6.9556100000000001</v>
      </c>
      <c r="S466">
        <f xml:space="preserve"> [1]Gertler_Karadi!C220</f>
        <v>-5.7200000000000003E-6</v>
      </c>
      <c r="T466">
        <f xml:space="preserve"> [1]Gertler_Karadi!D220</f>
        <v>5.8063999999999998E-3</v>
      </c>
      <c r="U466">
        <f xml:space="preserve"> [1]Gertler_Karadi!E220</f>
        <v>5.64E-3</v>
      </c>
      <c r="V466">
        <f xml:space="preserve"> [1]Gertler_Karadi!F220</f>
        <v>8.5430000000000002E-3</v>
      </c>
      <c r="W466">
        <f xml:space="preserve"> [1]Gertler_Karadi!G220</f>
        <v>8.8763999999999996E-3</v>
      </c>
      <c r="X466" s="5">
        <f xml:space="preserve"> [1]misc!N549</f>
        <v>5.52</v>
      </c>
      <c r="Y466">
        <f xml:space="preserve"> [1]Gilchrist_Zak!C298</f>
        <v>-0.59899999999999998</v>
      </c>
      <c r="Z466">
        <f xml:space="preserve"> [1]Sims_Zha!B469</f>
        <v>0.39479999999999998</v>
      </c>
      <c r="AA466">
        <f xml:space="preserve"> [1]Coibion_update!AI472</f>
        <v>-4.3888299999999998E-2</v>
      </c>
      <c r="AB466">
        <f t="shared" si="32"/>
        <v>1.1809672999999996</v>
      </c>
      <c r="AC466">
        <v>-4.3888299999999998E-2</v>
      </c>
      <c r="AD466">
        <v>0</v>
      </c>
      <c r="AE466">
        <v>-0.02</v>
      </c>
      <c r="AF466">
        <v>0</v>
      </c>
      <c r="AG466">
        <v>-5.0000000000000001E-3</v>
      </c>
      <c r="AH466">
        <v>-1.38327E-2</v>
      </c>
      <c r="AI466">
        <v>1.22121E-2</v>
      </c>
      <c r="AJ466">
        <v>1.2224E-3</v>
      </c>
      <c r="AK466">
        <v>5.81</v>
      </c>
      <c r="AL466">
        <f xml:space="preserve"> LN([1]misc!B485)</f>
        <v>6.9725125261974155</v>
      </c>
      <c r="AM466">
        <f xml:space="preserve"> LN([1]misc!D485)</f>
        <v>8.2827611643321717</v>
      </c>
      <c r="AN466">
        <f xml:space="preserve"> LN([1]misc!G590)</f>
        <v>2.276651710967541</v>
      </c>
      <c r="AO466">
        <f xml:space="preserve"> LN([1]misc!J496 + [1]misc!L496)</f>
        <v>3.8245024078986507</v>
      </c>
      <c r="AP466">
        <f xml:space="preserve"> [1]Factors!B466</f>
        <v>-0.20497906499999999</v>
      </c>
      <c r="AQ466">
        <f xml:space="preserve"> [1]Factors!C466</f>
        <v>-0.25652959400000003</v>
      </c>
      <c r="AR466">
        <f xml:space="preserve"> [1]Factors!D466</f>
        <v>4.9012170000000001E-2</v>
      </c>
      <c r="AS466">
        <f xml:space="preserve"> [1]Factors!E466</f>
        <v>5.1477084100000001E-4</v>
      </c>
      <c r="AT466">
        <f xml:space="preserve"> [1]Factors!F466</f>
        <v>-4.8528782800000003E-2</v>
      </c>
    </row>
    <row r="467" spans="1:46" x14ac:dyDescent="0.25">
      <c r="A467">
        <f t="shared" si="36"/>
        <v>1997.7499999999702</v>
      </c>
      <c r="B467" s="1">
        <v>35704</v>
      </c>
      <c r="C467" s="7">
        <f t="shared" si="33"/>
        <v>1997</v>
      </c>
      <c r="D467" s="7">
        <f t="shared" si="34"/>
        <v>10</v>
      </c>
      <c r="E467" s="7">
        <f t="shared" si="35"/>
        <v>4</v>
      </c>
      <c r="F467">
        <f xml:space="preserve"> [1]Coibion_update!O473</f>
        <v>4.4510231728207774</v>
      </c>
      <c r="G467">
        <f xml:space="preserve"> [1]Coibion_update!P473</f>
        <v>4.7</v>
      </c>
      <c r="H467">
        <f xml:space="preserve"> [1]Coibion_update!Q473</f>
        <v>5.084505142662711</v>
      </c>
      <c r="I467">
        <f xml:space="preserve"> [1]Coibion_update!W473</f>
        <v>5.5</v>
      </c>
      <c r="J467">
        <f xml:space="preserve"> [1]Coibion_update!X473</f>
        <v>5.6894468758888346</v>
      </c>
      <c r="K467">
        <f xml:space="preserve"> [1]Coibion_update!Y473</f>
        <v>4.0069512941395313</v>
      </c>
      <c r="L467">
        <f xml:space="preserve"> [1]Coibion_update!Z473</f>
        <v>4.3422457646620369</v>
      </c>
      <c r="M467">
        <f xml:space="preserve"> [1]Coibion_update!AA473</f>
        <v>4.3159268954693557</v>
      </c>
      <c r="N467">
        <f xml:space="preserve"> [1]Coibion_update!AB473</f>
        <v>0</v>
      </c>
      <c r="O467">
        <f xml:space="preserve"> [1]Coibion_update!AC473</f>
        <v>0.79663049999999846</v>
      </c>
      <c r="Q467">
        <f xml:space="preserve"> [1]Barakchian_Crowe!B346</f>
        <v>0</v>
      </c>
      <c r="R467">
        <f xml:space="preserve"> [1]Barakchian_Crowe!C346</f>
        <v>-6.9556100000000001</v>
      </c>
      <c r="S467">
        <f xml:space="preserve"> [1]Gertler_Karadi!C221</f>
        <v>0</v>
      </c>
      <c r="T467">
        <f xml:space="preserve"> [1]Gertler_Karadi!D221</f>
        <v>0</v>
      </c>
      <c r="U467">
        <f xml:space="preserve"> [1]Gertler_Karadi!E221</f>
        <v>-4.8335000000000001E-3</v>
      </c>
      <c r="V467">
        <f xml:space="preserve"> [1]Gertler_Karadi!F221</f>
        <v>-4.8332999999999996E-3</v>
      </c>
      <c r="W467">
        <f xml:space="preserve"> [1]Gertler_Karadi!G221</f>
        <v>4.8332999999999996E-3</v>
      </c>
      <c r="X467" s="5">
        <f xml:space="preserve"> [1]misc!N550</f>
        <v>5.46</v>
      </c>
      <c r="Y467">
        <f xml:space="preserve"> [1]Gilchrist_Zak!C299</f>
        <v>-0.4728</v>
      </c>
      <c r="Z467">
        <f xml:space="preserve"> [1]Sims_Zha!B470</f>
        <v>1.2478E-2</v>
      </c>
      <c r="AA467">
        <f xml:space="preserve"> [1]Coibion_update!AI473</f>
        <v>0</v>
      </c>
      <c r="AB467">
        <f t="shared" si="32"/>
        <v>1.1809672999999996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5.56</v>
      </c>
      <c r="AL467">
        <f xml:space="preserve"> LN([1]misc!B486)</f>
        <v>6.971293299786125</v>
      </c>
      <c r="AM467">
        <f xml:space="preserve"> LN([1]misc!D486)</f>
        <v>8.2875787489717165</v>
      </c>
      <c r="AN467">
        <f xml:space="preserve"> LN([1]misc!G591)</f>
        <v>2.3020849679523634</v>
      </c>
      <c r="AO467">
        <f xml:space="preserve"> LN([1]misc!J497 + [1]misc!L497)</f>
        <v>3.8218794555751803</v>
      </c>
      <c r="AP467">
        <f xml:space="preserve"> [1]Factors!B467</f>
        <v>-0.24479056599999999</v>
      </c>
      <c r="AQ467">
        <f xml:space="preserve"> [1]Factors!C467</f>
        <v>-9.2504792000000002E-2</v>
      </c>
      <c r="AR467">
        <f xml:space="preserve"> [1]Factors!D467</f>
        <v>-8.5998086099999996E-2</v>
      </c>
      <c r="AS467">
        <f xml:space="preserve"> [1]Factors!E467</f>
        <v>3.3019934700000003E-2</v>
      </c>
      <c r="AT467">
        <f xml:space="preserve"> [1]Factors!F467</f>
        <v>3.5914018199999999E-3</v>
      </c>
    </row>
    <row r="468" spans="1:46" x14ac:dyDescent="0.25">
      <c r="A468">
        <f t="shared" si="36"/>
        <v>1997.8333333333035</v>
      </c>
      <c r="B468" s="1">
        <v>35735</v>
      </c>
      <c r="C468" s="7">
        <f t="shared" si="33"/>
        <v>1997</v>
      </c>
      <c r="D468" s="7">
        <f t="shared" si="34"/>
        <v>11</v>
      </c>
      <c r="E468" s="7">
        <f t="shared" si="35"/>
        <v>4</v>
      </c>
      <c r="F468">
        <f xml:space="preserve"> [1]Coibion_update!O474</f>
        <v>4.4597547426501158</v>
      </c>
      <c r="G468">
        <f xml:space="preserve"> [1]Coibion_update!P474</f>
        <v>4.5999999999999996</v>
      </c>
      <c r="H468">
        <f xml:space="preserve"> [1]Coibion_update!Q474</f>
        <v>5.0857427665830608</v>
      </c>
      <c r="I468">
        <f xml:space="preserve"> [1]Coibion_update!W474</f>
        <v>5.52</v>
      </c>
      <c r="J468">
        <f xml:space="preserve"> [1]Coibion_update!X474</f>
        <v>5.6841918248911973</v>
      </c>
      <c r="K468">
        <f xml:space="preserve"> [1]Coibion_update!Y474</f>
        <v>4.0333907195517602</v>
      </c>
      <c r="L468">
        <f xml:space="preserve"> [1]Coibion_update!Z474</f>
        <v>4.3506004649865124</v>
      </c>
      <c r="M468">
        <f xml:space="preserve"> [1]Coibion_update!AA474</f>
        <v>4.3139752841026908</v>
      </c>
      <c r="N468">
        <f xml:space="preserve"> [1]Coibion_update!AB474</f>
        <v>-7.2062500000000002E-2</v>
      </c>
      <c r="O468">
        <f xml:space="preserve"> [1]Coibion_update!AC474</f>
        <v>0.72456799999999844</v>
      </c>
      <c r="Q468">
        <f xml:space="preserve"> [1]Barakchian_Crowe!B347</f>
        <v>6.1026200000000003E-2</v>
      </c>
      <c r="R468">
        <f xml:space="preserve"> [1]Barakchian_Crowe!C347</f>
        <v>-6.894584</v>
      </c>
      <c r="S468">
        <f xml:space="preserve"> [1]Gertler_Karadi!C222</f>
        <v>-2.63848E-2</v>
      </c>
      <c r="T468">
        <f xml:space="preserve"> [1]Gertler_Karadi!D222</f>
        <v>0</v>
      </c>
      <c r="U468">
        <f xml:space="preserve"> [1]Gertler_Karadi!E222</f>
        <v>-1.9000099999999999E-2</v>
      </c>
      <c r="V468">
        <f xml:space="preserve"> [1]Gertler_Karadi!F222</f>
        <v>-1.89999E-2</v>
      </c>
      <c r="W468">
        <f xml:space="preserve"> [1]Gertler_Karadi!G222</f>
        <v>-2.2166700000000001E-2</v>
      </c>
      <c r="X468" s="5">
        <f xml:space="preserve"> [1]misc!N551</f>
        <v>5.46</v>
      </c>
      <c r="Y468">
        <f xml:space="preserve"> [1]Gilchrist_Zak!C300</f>
        <v>-0.39600000000000002</v>
      </c>
      <c r="Z468">
        <f xml:space="preserve"> [1]Sims_Zha!B471</f>
        <v>0.25620999999999999</v>
      </c>
      <c r="AA468">
        <f xml:space="preserve"> [1]Coibion_update!AI474</f>
        <v>-3.4310599999999997E-2</v>
      </c>
      <c r="AB468">
        <f t="shared" si="32"/>
        <v>1.1466566999999996</v>
      </c>
      <c r="AC468">
        <v>-3.4310599999999997E-2</v>
      </c>
      <c r="AD468">
        <v>-4.1660000000000003E-2</v>
      </c>
      <c r="AE468">
        <v>-2.4989999999999998E-2</v>
      </c>
      <c r="AF468">
        <v>0</v>
      </c>
      <c r="AG468">
        <v>-0.03</v>
      </c>
      <c r="AH468">
        <v>-1.5852999999999999E-2</v>
      </c>
      <c r="AI468">
        <v>4.7115999999999998E-3</v>
      </c>
      <c r="AJ468">
        <v>-2.9598900000000001E-2</v>
      </c>
      <c r="AK468">
        <v>5.5</v>
      </c>
      <c r="AL468">
        <f xml:space="preserve"> LN([1]misc!B487)</f>
        <v>6.9762546954068299</v>
      </c>
      <c r="AM468">
        <f xml:space="preserve"> LN([1]misc!D487)</f>
        <v>8.2933493949876347</v>
      </c>
      <c r="AN468">
        <f xml:space="preserve"> LN([1]misc!G592)</f>
        <v>2.3574519944348857</v>
      </c>
      <c r="AO468">
        <f xml:space="preserve"> LN([1]misc!J498 + [1]misc!L498)</f>
        <v>3.8342344219733073</v>
      </c>
      <c r="AP468">
        <f xml:space="preserve"> [1]Factors!B468</f>
        <v>-0.288735044</v>
      </c>
      <c r="AQ468">
        <f xml:space="preserve"> [1]Factors!C468</f>
        <v>-0.208702468</v>
      </c>
      <c r="AR468">
        <f xml:space="preserve"> [1]Factors!D468</f>
        <v>-0.16121619400000001</v>
      </c>
      <c r="AS468">
        <f xml:space="preserve"> [1]Factors!E468</f>
        <v>8.4920330000000002E-2</v>
      </c>
      <c r="AT468">
        <f xml:space="preserve"> [1]Factors!F468</f>
        <v>-3.3695103499999997E-2</v>
      </c>
    </row>
    <row r="469" spans="1:46" x14ac:dyDescent="0.25">
      <c r="A469">
        <f t="shared" si="36"/>
        <v>1997.9166666666367</v>
      </c>
      <c r="B469" s="1">
        <v>35765</v>
      </c>
      <c r="C469" s="7">
        <f t="shared" si="33"/>
        <v>1997</v>
      </c>
      <c r="D469" s="7">
        <f t="shared" si="34"/>
        <v>12</v>
      </c>
      <c r="E469" s="7">
        <f t="shared" si="35"/>
        <v>4</v>
      </c>
      <c r="F469">
        <f xml:space="preserve"> [1]Coibion_update!O475</f>
        <v>4.4630742219021817</v>
      </c>
      <c r="G469">
        <f xml:space="preserve"> [1]Coibion_update!P475</f>
        <v>4.7</v>
      </c>
      <c r="H469">
        <f xml:space="preserve"> [1]Coibion_update!Q475</f>
        <v>5.0863610046243917</v>
      </c>
      <c r="I469">
        <f xml:space="preserve"> [1]Coibion_update!W475</f>
        <v>5.5</v>
      </c>
      <c r="J469">
        <f xml:space="preserve"> [1]Coibion_update!X475</f>
        <v>5.6314268124640607</v>
      </c>
      <c r="K469">
        <f xml:space="preserve"> [1]Coibion_update!Y475</f>
        <v>4.0427178789333125</v>
      </c>
      <c r="L469">
        <f xml:space="preserve"> [1]Coibion_update!Z475</f>
        <v>4.3474222498619488</v>
      </c>
      <c r="M469">
        <f xml:space="preserve"> [1]Coibion_update!AA475</f>
        <v>4.3220112022638952</v>
      </c>
      <c r="N469">
        <f xml:space="preserve"> [1]Coibion_update!AB475</f>
        <v>4.3289000000000001E-3</v>
      </c>
      <c r="O469">
        <f xml:space="preserve"> [1]Coibion_update!AC475</f>
        <v>0.7288968999999984</v>
      </c>
      <c r="Q469">
        <f xml:space="preserve"> [1]Barakchian_Crowe!B348</f>
        <v>0.10315589999999999</v>
      </c>
      <c r="R469">
        <f xml:space="preserve"> [1]Barakchian_Crowe!C348</f>
        <v>-6.7914279999999998</v>
      </c>
      <c r="S469">
        <f xml:space="preserve"> [1]Gertler_Karadi!C223</f>
        <v>-1.5275199999999999E-2</v>
      </c>
      <c r="T469">
        <f xml:space="preserve"> [1]Gertler_Karadi!D223</f>
        <v>-5.1612999999999997E-3</v>
      </c>
      <c r="U469">
        <f xml:space="preserve"> [1]Gertler_Karadi!E223</f>
        <v>-1.35806E-2</v>
      </c>
      <c r="V469">
        <f xml:space="preserve"> [1]Gertler_Karadi!F223</f>
        <v>-1.6161399999999999E-2</v>
      </c>
      <c r="W469">
        <f xml:space="preserve"> [1]Gertler_Karadi!G223</f>
        <v>-1.7994599999999999E-2</v>
      </c>
      <c r="X469" s="5">
        <f xml:space="preserve"> [1]misc!N552</f>
        <v>5.53</v>
      </c>
      <c r="Y469">
        <f xml:space="preserve"> [1]Gilchrist_Zak!C301</f>
        <v>-0.45169999999999999</v>
      </c>
      <c r="Z469">
        <f xml:space="preserve"> [1]Sims_Zha!B472</f>
        <v>-6.7933000000000004E-3</v>
      </c>
      <c r="AA469">
        <f xml:space="preserve"> [1]Coibion_update!AI475</f>
        <v>8.4732000000000002E-3</v>
      </c>
      <c r="AB469">
        <f t="shared" si="32"/>
        <v>1.1551298999999997</v>
      </c>
      <c r="AC469">
        <v>8.4732000000000002E-3</v>
      </c>
      <c r="AD469">
        <v>0</v>
      </c>
      <c r="AE469">
        <v>0</v>
      </c>
      <c r="AF469">
        <v>-0.01</v>
      </c>
      <c r="AG469">
        <v>-5.0000000000000001E-3</v>
      </c>
      <c r="AH469">
        <v>8.6152999999999993E-3</v>
      </c>
      <c r="AI469">
        <v>-7.7127999999999997E-3</v>
      </c>
      <c r="AJ469">
        <v>-8.0812000000000002E-3</v>
      </c>
      <c r="AK469">
        <v>5.84</v>
      </c>
      <c r="AL469">
        <f xml:space="preserve"> LN([1]misc!B488)</f>
        <v>6.9775611532260999</v>
      </c>
      <c r="AM469">
        <f xml:space="preserve"> LN([1]misc!D488)</f>
        <v>8.2978175326709476</v>
      </c>
      <c r="AN469">
        <f xml:space="preserve"> LN([1]misc!G593)</f>
        <v>2.3670611121784106</v>
      </c>
      <c r="AO469">
        <f xml:space="preserve"> LN([1]misc!J499 + [1]misc!L499)</f>
        <v>3.8405484857694567</v>
      </c>
      <c r="AP469">
        <f xml:space="preserve"> [1]Factors!B469</f>
        <v>-0.26378901500000002</v>
      </c>
      <c r="AQ469">
        <f xml:space="preserve"> [1]Factors!C469</f>
        <v>-0.28606183200000002</v>
      </c>
      <c r="AR469">
        <f xml:space="preserve"> [1]Factors!D469</f>
        <v>-0.216392895</v>
      </c>
      <c r="AS469">
        <f xml:space="preserve"> [1]Factors!E469</f>
        <v>-5.64376028E-2</v>
      </c>
      <c r="AT469">
        <f xml:space="preserve"> [1]Factors!F469</f>
        <v>6.5759767299999994E-2</v>
      </c>
    </row>
    <row r="470" spans="1:46" x14ac:dyDescent="0.25">
      <c r="A470">
        <f t="shared" si="36"/>
        <v>1997.99999999997</v>
      </c>
      <c r="B470" s="1">
        <v>35796</v>
      </c>
      <c r="C470" s="7">
        <f t="shared" si="33"/>
        <v>1998</v>
      </c>
      <c r="D470" s="7">
        <f t="shared" si="34"/>
        <v>1</v>
      </c>
      <c r="E470" s="7">
        <f t="shared" si="35"/>
        <v>1</v>
      </c>
      <c r="F470">
        <f xml:space="preserve"> [1]Coibion_update!O476</f>
        <v>4.4683591354458558</v>
      </c>
      <c r="G470">
        <f xml:space="preserve"> [1]Coibion_update!P476</f>
        <v>4.5999999999999996</v>
      </c>
      <c r="H470">
        <f xml:space="preserve"> [1]Coibion_update!Q476</f>
        <v>5.0875963352323836</v>
      </c>
      <c r="I470">
        <f xml:space="preserve"> [1]Coibion_update!W476</f>
        <v>5.56</v>
      </c>
      <c r="J470">
        <f xml:space="preserve"> [1]Coibion_update!X476</f>
        <v>5.5892690878674403</v>
      </c>
      <c r="K470">
        <f xml:space="preserve"> [1]Coibion_update!Y476</f>
        <v>4.0270466819969277</v>
      </c>
      <c r="L470">
        <f xml:space="preserve"> [1]Coibion_update!Z476</f>
        <v>4.3514385529058579</v>
      </c>
      <c r="M470">
        <f xml:space="preserve"> [1]Coibion_update!AA476</f>
        <v>4.3225552538693286</v>
      </c>
      <c r="N470">
        <f xml:space="preserve"> [1]Coibion_update!AB476</f>
        <v>0</v>
      </c>
      <c r="O470">
        <f xml:space="preserve"> [1]Coibion_update!AC476</f>
        <v>0.7288968999999984</v>
      </c>
      <c r="Q470">
        <f xml:space="preserve"> [1]Barakchian_Crowe!B349</f>
        <v>0</v>
      </c>
      <c r="R470">
        <f xml:space="preserve"> [1]Barakchian_Crowe!C349</f>
        <v>-6.7914279999999998</v>
      </c>
      <c r="S470">
        <f xml:space="preserve"> [1]Gertler_Karadi!C224</f>
        <v>0</v>
      </c>
      <c r="T470">
        <f xml:space="preserve"> [1]Gertler_Karadi!D224</f>
        <v>-4.8386999999999996E-3</v>
      </c>
      <c r="U470">
        <f xml:space="preserve"> [1]Gertler_Karadi!E224</f>
        <v>-2.4195000000000002E-3</v>
      </c>
      <c r="V470">
        <f xml:space="preserve"> [1]Gertler_Karadi!F224</f>
        <v>-4.8386999999999996E-3</v>
      </c>
      <c r="W470">
        <f xml:space="preserve"> [1]Gertler_Karadi!G224</f>
        <v>-4.8386999999999996E-3</v>
      </c>
      <c r="X470" s="5">
        <f xml:space="preserve"> [1]misc!N553</f>
        <v>5.24</v>
      </c>
      <c r="Y470">
        <f xml:space="preserve"> [1]Gilchrist_Zak!C302</f>
        <v>-0.372</v>
      </c>
      <c r="Z470">
        <f xml:space="preserve"> [1]Sims_Zha!B473</f>
        <v>1.1383000000000001</v>
      </c>
      <c r="AA470">
        <f xml:space="preserve"> [1]Coibion_update!AI476</f>
        <v>0</v>
      </c>
      <c r="AB470">
        <f t="shared" si="32"/>
        <v>1.1551298999999997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5.48</v>
      </c>
      <c r="AL470">
        <f xml:space="preserve"> LN([1]misc!B489)</f>
        <v>6.9791452750688103</v>
      </c>
      <c r="AM470">
        <f xml:space="preserve"> LN([1]misc!D489)</f>
        <v>8.3035543271162737</v>
      </c>
      <c r="AN470">
        <f xml:space="preserve"> LN([1]misc!G594)</f>
        <v>2.2770621357629599</v>
      </c>
      <c r="AO470">
        <f xml:space="preserve"> LN([1]misc!J500 + [1]misc!L500)</f>
        <v>3.8383549365028093</v>
      </c>
      <c r="AP470">
        <f xml:space="preserve"> [1]Factors!B470</f>
        <v>-9.54141373E-3</v>
      </c>
      <c r="AQ470">
        <f xml:space="preserve"> [1]Factors!C470</f>
        <v>-0.27985368599999999</v>
      </c>
      <c r="AR470">
        <f xml:space="preserve"> [1]Factors!D470</f>
        <v>-0.16579818099999999</v>
      </c>
      <c r="AS470">
        <f xml:space="preserve"> [1]Factors!E470</f>
        <v>-0.217093123</v>
      </c>
      <c r="AT470">
        <f xml:space="preserve"> [1]Factors!F470</f>
        <v>4.9240662900000003E-2</v>
      </c>
    </row>
    <row r="471" spans="1:46" x14ac:dyDescent="0.25">
      <c r="A471">
        <f t="shared" si="36"/>
        <v>1998.0833333333032</v>
      </c>
      <c r="B471" s="1">
        <v>35827</v>
      </c>
      <c r="C471" s="7">
        <f t="shared" si="33"/>
        <v>1998</v>
      </c>
      <c r="D471" s="7">
        <f t="shared" si="34"/>
        <v>2</v>
      </c>
      <c r="E471" s="7">
        <f t="shared" si="35"/>
        <v>1</v>
      </c>
      <c r="F471">
        <f xml:space="preserve"> [1]Coibion_update!O477</f>
        <v>4.4694730211998088</v>
      </c>
      <c r="G471">
        <f xml:space="preserve"> [1]Coibion_update!P477</f>
        <v>4.5999999999999996</v>
      </c>
      <c r="H471">
        <f xml:space="preserve"> [1]Coibion_update!Q477</f>
        <v>5.0875963352323836</v>
      </c>
      <c r="I471">
        <f xml:space="preserve"> [1]Coibion_update!W477</f>
        <v>5.51</v>
      </c>
      <c r="J471">
        <f xml:space="preserve"> [1]Coibion_update!X477</f>
        <v>5.5793146454710962</v>
      </c>
      <c r="K471">
        <f xml:space="preserve"> [1]Coibion_update!Y477</f>
        <v>4.0388670877528137</v>
      </c>
      <c r="L471">
        <f xml:space="preserve"> [1]Coibion_update!Z477</f>
        <v>4.3530354213232831</v>
      </c>
      <c r="M471">
        <f xml:space="preserve"> [1]Coibion_update!AA477</f>
        <v>4.3298118632251423</v>
      </c>
      <c r="N471">
        <f xml:space="preserve"> [1]Coibion_update!AB477</f>
        <v>-2.4786699999999998E-2</v>
      </c>
      <c r="O471">
        <f xml:space="preserve"> [1]Coibion_update!AC477</f>
        <v>0.70411019999999835</v>
      </c>
      <c r="Q471">
        <f xml:space="preserve"> [1]Barakchian_Crowe!B350</f>
        <v>9.4037999999999997E-2</v>
      </c>
      <c r="R471">
        <f xml:space="preserve"> [1]Barakchian_Crowe!C350</f>
        <v>-6.6973900000000004</v>
      </c>
      <c r="S471">
        <f xml:space="preserve"> [1]Gertler_Karadi!C225</f>
        <v>0</v>
      </c>
      <c r="T471">
        <f xml:space="preserve"> [1]Gertler_Karadi!D225</f>
        <v>0</v>
      </c>
      <c r="U471">
        <f xml:space="preserve"> [1]Gertler_Karadi!E225</f>
        <v>1.3392899999999999E-2</v>
      </c>
      <c r="V471">
        <f xml:space="preserve"> [1]Gertler_Karadi!F225</f>
        <v>1.78572E-2</v>
      </c>
      <c r="W471">
        <f xml:space="preserve"> [1]Gertler_Karadi!G225</f>
        <v>2.2321500000000001E-2</v>
      </c>
      <c r="X471" s="5">
        <f xml:space="preserve"> [1]misc!N554</f>
        <v>5.31</v>
      </c>
      <c r="Y471">
        <f xml:space="preserve"> [1]Gilchrist_Zak!C303</f>
        <v>-0.3518</v>
      </c>
      <c r="Z471">
        <f xml:space="preserve"> [1]Sims_Zha!B474</f>
        <v>0.2722</v>
      </c>
      <c r="AA471">
        <f xml:space="preserve"> [1]Coibion_update!AI477</f>
        <v>4.74539E-2</v>
      </c>
      <c r="AB471">
        <f t="shared" si="32"/>
        <v>1.2025837999999998</v>
      </c>
      <c r="AC471">
        <v>4.74539E-2</v>
      </c>
      <c r="AD471">
        <v>0</v>
      </c>
      <c r="AE471">
        <v>0</v>
      </c>
      <c r="AF471">
        <v>0</v>
      </c>
      <c r="AG471">
        <v>1.4999999999999999E-2</v>
      </c>
      <c r="AH471">
        <v>1.3706599999999999E-2</v>
      </c>
      <c r="AI471">
        <v>2.095E-2</v>
      </c>
      <c r="AJ471">
        <v>3.5916200000000002E-2</v>
      </c>
      <c r="AK471">
        <v>5.57</v>
      </c>
      <c r="AL471">
        <f xml:space="preserve"> LN([1]misc!B490)</f>
        <v>6.982677205499396</v>
      </c>
      <c r="AM471">
        <f xml:space="preserve"> LN([1]misc!D490)</f>
        <v>8.3115456877187786</v>
      </c>
      <c r="AN471">
        <f xml:space="preserve"> LN([1]misc!G595)</f>
        <v>2.2550741103229939</v>
      </c>
      <c r="AO471">
        <f xml:space="preserve"> LN([1]misc!J501 + [1]misc!L501)</f>
        <v>3.8217700164505839</v>
      </c>
      <c r="AP471">
        <f xml:space="preserve"> [1]Factors!B471</f>
        <v>-5.5896771900000003E-2</v>
      </c>
      <c r="AQ471">
        <f xml:space="preserve"> [1]Factors!C471</f>
        <v>-0.318798678</v>
      </c>
      <c r="AR471">
        <f xml:space="preserve"> [1]Factors!D471</f>
        <v>-0.34002292200000001</v>
      </c>
      <c r="AS471">
        <f xml:space="preserve"> [1]Factors!E471</f>
        <v>-8.6945307700000002E-2</v>
      </c>
      <c r="AT471">
        <f xml:space="preserve"> [1]Factors!F471</f>
        <v>-1.67820994E-2</v>
      </c>
    </row>
    <row r="472" spans="1:46" x14ac:dyDescent="0.25">
      <c r="A472">
        <f t="shared" si="36"/>
        <v>1998.1666666666365</v>
      </c>
      <c r="B472" s="1">
        <v>35855</v>
      </c>
      <c r="C472" s="7">
        <f t="shared" si="33"/>
        <v>1998</v>
      </c>
      <c r="D472" s="7">
        <f t="shared" si="34"/>
        <v>3</v>
      </c>
      <c r="E472" s="7">
        <f t="shared" si="35"/>
        <v>1</v>
      </c>
      <c r="F472">
        <f xml:space="preserve"> [1]Coibion_update!O478</f>
        <v>4.4703373754579614</v>
      </c>
      <c r="G472">
        <f xml:space="preserve"> [1]Coibion_update!P478</f>
        <v>4.7</v>
      </c>
      <c r="H472">
        <f xml:space="preserve"> [1]Coibion_update!Q478</f>
        <v>5.0875963352323836</v>
      </c>
      <c r="I472">
        <f xml:space="preserve"> [1]Coibion_update!W478</f>
        <v>5.49</v>
      </c>
      <c r="J472">
        <f xml:space="preserve"> [1]Coibion_update!X478</f>
        <v>5.5969022863620967</v>
      </c>
      <c r="K472">
        <f xml:space="preserve"> [1]Coibion_update!Y478</f>
        <v>4.0415062152060992</v>
      </c>
      <c r="L472">
        <f xml:space="preserve"> [1]Coibion_update!Z478</f>
        <v>4.357285583410377</v>
      </c>
      <c r="M472">
        <f xml:space="preserve"> [1]Coibion_update!AA478</f>
        <v>4.3348433038560108</v>
      </c>
      <c r="N472">
        <f xml:space="preserve"> [1]Coibion_update!AB478</f>
        <v>-2.6395999999999999E-2</v>
      </c>
      <c r="O472">
        <f xml:space="preserve"> [1]Coibion_update!AC478</f>
        <v>0.67771419999999838</v>
      </c>
      <c r="Q472">
        <f xml:space="preserve"> [1]Barakchian_Crowe!B351</f>
        <v>0.10566200000000001</v>
      </c>
      <c r="R472">
        <f xml:space="preserve"> [1]Barakchian_Crowe!C351</f>
        <v>-6.5917279999999998</v>
      </c>
      <c r="S472">
        <f xml:space="preserve"> [1]Gertler_Karadi!C226</f>
        <v>-3.2259999999999998E-4</v>
      </c>
      <c r="T472">
        <f xml:space="preserve"> [1]Gertler_Karadi!D226</f>
        <v>0</v>
      </c>
      <c r="U472">
        <f xml:space="preserve"> [1]Gertler_Karadi!E226</f>
        <v>1.6072E-3</v>
      </c>
      <c r="V472">
        <f xml:space="preserve"> [1]Gertler_Karadi!F226</f>
        <v>2.3042000000000002E-3</v>
      </c>
      <c r="W472">
        <f xml:space="preserve"> [1]Gertler_Karadi!G226</f>
        <v>2.6784999999999999E-3</v>
      </c>
      <c r="X472" s="5">
        <f xml:space="preserve"> [1]misc!N555</f>
        <v>5.39</v>
      </c>
      <c r="Y472">
        <f xml:space="preserve"> [1]Gilchrist_Zak!C304</f>
        <v>-0.4017</v>
      </c>
      <c r="Z472">
        <f xml:space="preserve"> [1]Sims_Zha!B475</f>
        <v>0.63536000000000004</v>
      </c>
      <c r="AA472">
        <f xml:space="preserve"> [1]Coibion_update!AI478</f>
        <v>-3.3034399999999998E-2</v>
      </c>
      <c r="AB472">
        <f t="shared" si="32"/>
        <v>1.1695493999999997</v>
      </c>
      <c r="AC472">
        <v>-3.3034399999999998E-2</v>
      </c>
      <c r="AD472">
        <v>-0.01</v>
      </c>
      <c r="AE472">
        <v>-1.4999999999999999E-2</v>
      </c>
      <c r="AF472">
        <v>0</v>
      </c>
      <c r="AG472">
        <v>0</v>
      </c>
      <c r="AH472">
        <v>-1.38967E-2</v>
      </c>
      <c r="AI472">
        <v>-1.7091000000000001E-3</v>
      </c>
      <c r="AJ472">
        <v>-3.5658E-3</v>
      </c>
      <c r="AK472">
        <v>5.88</v>
      </c>
      <c r="AL472">
        <f xml:space="preserve"> LN([1]misc!B491)</f>
        <v>6.9818418223348351</v>
      </c>
      <c r="AM472">
        <f xml:space="preserve"> LN([1]misc!D491)</f>
        <v>8.3178149936522896</v>
      </c>
      <c r="AN472">
        <f xml:space="preserve"> LN([1]misc!G596)</f>
        <v>2.3194422100604686</v>
      </c>
      <c r="AO472">
        <f xml:space="preserve"> LN([1]misc!J502 + [1]misc!L502)</f>
        <v>3.8245678936391543</v>
      </c>
      <c r="AP472">
        <f xml:space="preserve"> [1]Factors!B472</f>
        <v>4.5741176799999998E-2</v>
      </c>
      <c r="AQ472">
        <f xml:space="preserve"> [1]Factors!C472</f>
        <v>-0.273119642</v>
      </c>
      <c r="AR472">
        <f xml:space="preserve"> [1]Factors!D472</f>
        <v>-0.20277302999999999</v>
      </c>
      <c r="AS472">
        <f xml:space="preserve"> [1]Factors!E472</f>
        <v>-0.148355075</v>
      </c>
      <c r="AT472">
        <f xml:space="preserve"> [1]Factors!F472</f>
        <v>8.8863731900000006E-2</v>
      </c>
    </row>
    <row r="473" spans="1:46" x14ac:dyDescent="0.25">
      <c r="A473">
        <f t="shared" si="36"/>
        <v>1998.2499999999698</v>
      </c>
      <c r="B473" s="1">
        <v>35886</v>
      </c>
      <c r="C473" s="7">
        <f t="shared" si="33"/>
        <v>1998</v>
      </c>
      <c r="D473" s="7">
        <f t="shared" si="34"/>
        <v>4</v>
      </c>
      <c r="E473" s="7">
        <f t="shared" si="35"/>
        <v>2</v>
      </c>
      <c r="F473">
        <f xml:space="preserve"> [1]Coibion_update!O479</f>
        <v>4.4740370580834927</v>
      </c>
      <c r="G473">
        <f xml:space="preserve"> [1]Coibion_update!P479</f>
        <v>4.3</v>
      </c>
      <c r="H473">
        <f xml:space="preserve"> [1]Coibion_update!Q479</f>
        <v>5.0888301416813126</v>
      </c>
      <c r="I473">
        <f xml:space="preserve"> [1]Coibion_update!W479</f>
        <v>5.45</v>
      </c>
      <c r="J473">
        <f xml:space="preserve"> [1]Coibion_update!X479</f>
        <v>5.5971989892534175</v>
      </c>
      <c r="K473">
        <f xml:space="preserve"> [1]Coibion_update!Y479</f>
        <v>4.0641945852712178</v>
      </c>
      <c r="L473">
        <f xml:space="preserve"> [1]Coibion_update!Z479</f>
        <v>4.3641681163725687</v>
      </c>
      <c r="M473">
        <f xml:space="preserve"> [1]Coibion_update!AA479</f>
        <v>4.3360481390572208</v>
      </c>
      <c r="N473">
        <f xml:space="preserve"> [1]Coibion_update!AB479</f>
        <v>0</v>
      </c>
      <c r="O473">
        <f xml:space="preserve"> [1]Coibion_update!AC479</f>
        <v>0.67771419999999838</v>
      </c>
      <c r="Q473">
        <f xml:space="preserve"> [1]Barakchian_Crowe!B352</f>
        <v>0</v>
      </c>
      <c r="R473">
        <f xml:space="preserve"> [1]Barakchian_Crowe!C352</f>
        <v>-6.5917279999999998</v>
      </c>
      <c r="S473">
        <f xml:space="preserve"> [1]Gertler_Karadi!C227</f>
        <v>-9.6773999999999992E-3</v>
      </c>
      <c r="T473">
        <f xml:space="preserve"> [1]Gertler_Karadi!D227</f>
        <v>0</v>
      </c>
      <c r="U473">
        <f xml:space="preserve"> [1]Gertler_Karadi!E227</f>
        <v>0</v>
      </c>
      <c r="V473">
        <f xml:space="preserve"> [1]Gertler_Karadi!F227</f>
        <v>4.8386999999999996E-3</v>
      </c>
      <c r="W473">
        <f xml:space="preserve"> [1]Gertler_Karadi!G227</f>
        <v>0</v>
      </c>
      <c r="X473" s="5">
        <f xml:space="preserve"> [1]misc!N556</f>
        <v>5.38</v>
      </c>
      <c r="Y473">
        <f xml:space="preserve"> [1]Gilchrist_Zak!C305</f>
        <v>-0.47639999999999999</v>
      </c>
      <c r="Z473">
        <f xml:space="preserve"> [1]Sims_Zha!B476</f>
        <v>-0.19202</v>
      </c>
      <c r="AA473">
        <f xml:space="preserve"> [1]Coibion_update!AI479</f>
        <v>0</v>
      </c>
      <c r="AB473">
        <f t="shared" si="32"/>
        <v>1.1695493999999997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5.59</v>
      </c>
      <c r="AL473">
        <f xml:space="preserve"> LN([1]misc!B492)</f>
        <v>6.9814703168044181</v>
      </c>
      <c r="AM473">
        <f xml:space="preserve"> LN([1]misc!D492)</f>
        <v>8.3240695010881964</v>
      </c>
      <c r="AN473">
        <f xml:space="preserve"> LN([1]misc!G597)</f>
        <v>2.412873446888169</v>
      </c>
      <c r="AO473">
        <f xml:space="preserve"> LN([1]misc!J503 + [1]misc!L503)</f>
        <v>3.8299231833448717</v>
      </c>
      <c r="AP473">
        <f xml:space="preserve"> [1]Factors!B473</f>
        <v>7.1245970500000005E-2</v>
      </c>
      <c r="AQ473">
        <f xml:space="preserve"> [1]Factors!C473</f>
        <v>-0.235678105</v>
      </c>
      <c r="AR473">
        <f xml:space="preserve"> [1]Factors!D473</f>
        <v>-0.16594842200000001</v>
      </c>
      <c r="AS473">
        <f xml:space="preserve"> [1]Factors!E473</f>
        <v>-0.22115277799999999</v>
      </c>
      <c r="AT473">
        <f xml:space="preserve"> [1]Factors!F473</f>
        <v>3.7418275500000001E-2</v>
      </c>
    </row>
    <row r="474" spans="1:46" x14ac:dyDescent="0.25">
      <c r="A474">
        <f t="shared" si="36"/>
        <v>1998.333333333303</v>
      </c>
      <c r="B474" s="1">
        <v>35916</v>
      </c>
      <c r="C474" s="7">
        <f t="shared" si="33"/>
        <v>1998</v>
      </c>
      <c r="D474" s="7">
        <f t="shared" si="34"/>
        <v>5</v>
      </c>
      <c r="E474" s="7">
        <f t="shared" si="35"/>
        <v>2</v>
      </c>
      <c r="F474">
        <f xml:space="preserve"> [1]Coibion_update!O480</f>
        <v>4.4804444806776207</v>
      </c>
      <c r="G474">
        <f xml:space="preserve"> [1]Coibion_update!P480</f>
        <v>4.4000000000000004</v>
      </c>
      <c r="H474">
        <f xml:space="preserve"> [1]Coibion_update!Q480</f>
        <v>5.0912931971137105</v>
      </c>
      <c r="I474">
        <f xml:space="preserve"> [1]Coibion_update!W480</f>
        <v>5.49</v>
      </c>
      <c r="J474">
        <f xml:space="preserve"> [1]Coibion_update!X480</f>
        <v>5.6219214481758808</v>
      </c>
      <c r="K474">
        <f xml:space="preserve"> [1]Coibion_update!Y480</f>
        <v>4.0979547044762299</v>
      </c>
      <c r="L474">
        <f xml:space="preserve"> [1]Coibion_update!Z480</f>
        <v>4.3629330059787836</v>
      </c>
      <c r="M474">
        <f xml:space="preserve"> [1]Coibion_update!AA480</f>
        <v>4.3408139388398075</v>
      </c>
      <c r="N474">
        <f xml:space="preserve"> [1]Coibion_update!AB480</f>
        <v>-6.6774899999999998E-2</v>
      </c>
      <c r="O474">
        <f xml:space="preserve"> [1]Coibion_update!AC480</f>
        <v>0.61093929999999841</v>
      </c>
      <c r="Q474">
        <f xml:space="preserve"> [1]Barakchian_Crowe!B353</f>
        <v>-0.10638060000000001</v>
      </c>
      <c r="R474">
        <f xml:space="preserve"> [1]Barakchian_Crowe!C353</f>
        <v>-6.6981089999999996</v>
      </c>
      <c r="S474">
        <f xml:space="preserve"> [1]Gertler_Karadi!C228</f>
        <v>-1.08361E-2</v>
      </c>
      <c r="T474">
        <f xml:space="preserve"> [1]Gertler_Karadi!D228</f>
        <v>-4.1935000000000002E-3</v>
      </c>
      <c r="U474">
        <f xml:space="preserve"> [1]Gertler_Karadi!E228</f>
        <v>-6.2903999999999998E-3</v>
      </c>
      <c r="V474">
        <f xml:space="preserve"> [1]Gertler_Karadi!F228</f>
        <v>-6.2903000000000004E-3</v>
      </c>
      <c r="W474">
        <f xml:space="preserve"> [1]Gertler_Karadi!G228</f>
        <v>-6.2903000000000004E-3</v>
      </c>
      <c r="X474" s="5">
        <f xml:space="preserve"> [1]misc!N557</f>
        <v>5.44</v>
      </c>
      <c r="Y474">
        <f xml:space="preserve"> [1]Gilchrist_Zak!C306</f>
        <v>-0.43540000000000001</v>
      </c>
      <c r="Z474">
        <f xml:space="preserve"> [1]Sims_Zha!B477</f>
        <v>0.21889</v>
      </c>
      <c r="AA474">
        <f xml:space="preserve"> [1]Coibion_update!AI480</f>
        <v>7.6345999999999997E-2</v>
      </c>
      <c r="AB474">
        <f t="shared" si="32"/>
        <v>1.2458953999999998</v>
      </c>
      <c r="AC474">
        <v>7.6345999999999997E-2</v>
      </c>
      <c r="AD474">
        <v>-2.5839999999999998E-2</v>
      </c>
      <c r="AE474">
        <v>-0.01</v>
      </c>
      <c r="AF474">
        <v>-0.01</v>
      </c>
      <c r="AG474">
        <v>-1.4999999999999999E-2</v>
      </c>
      <c r="AH474">
        <v>1.3055199999999999E-2</v>
      </c>
      <c r="AI474">
        <v>2.29438E-2</v>
      </c>
      <c r="AJ474">
        <v>3.2269999999999998E-4</v>
      </c>
      <c r="AK474">
        <v>5.63</v>
      </c>
      <c r="AL474">
        <f xml:space="preserve"> LN([1]misc!B493)</f>
        <v>6.9838826393696882</v>
      </c>
      <c r="AM474">
        <f xml:space="preserve"> LN([1]misc!D493)</f>
        <v>8.3298028098078465</v>
      </c>
      <c r="AN474">
        <f xml:space="preserve"> LN([1]misc!G598)</f>
        <v>2.2830964164101832</v>
      </c>
      <c r="AO474">
        <f xml:space="preserve"> LN([1]misc!J504 + [1]misc!L504)</f>
        <v>3.8150494429696278</v>
      </c>
      <c r="AP474">
        <f xml:space="preserve"> [1]Factors!B474</f>
        <v>-0.124752876</v>
      </c>
      <c r="AQ474">
        <f xml:space="preserve"> [1]Factors!C474</f>
        <v>-0.181281944</v>
      </c>
      <c r="AR474">
        <f xml:space="preserve"> [1]Factors!D474</f>
        <v>-0.17311760900000001</v>
      </c>
      <c r="AS474">
        <f xml:space="preserve"> [1]Factors!E474</f>
        <v>-5.3224697799999998E-2</v>
      </c>
      <c r="AT474">
        <f xml:space="preserve"> [1]Factors!F474</f>
        <v>6.5820794599999996E-2</v>
      </c>
    </row>
    <row r="475" spans="1:46" x14ac:dyDescent="0.25">
      <c r="A475">
        <f t="shared" si="36"/>
        <v>1998.4166666666363</v>
      </c>
      <c r="B475" s="1">
        <v>35947</v>
      </c>
      <c r="C475" s="7">
        <f t="shared" si="33"/>
        <v>1998</v>
      </c>
      <c r="D475" s="7">
        <f t="shared" si="34"/>
        <v>6</v>
      </c>
      <c r="E475" s="7">
        <f t="shared" si="35"/>
        <v>2</v>
      </c>
      <c r="F475">
        <f xml:space="preserve"> [1]Coibion_update!O481</f>
        <v>4.4740108349899534</v>
      </c>
      <c r="G475">
        <f xml:space="preserve"> [1]Coibion_update!P481</f>
        <v>4.5</v>
      </c>
      <c r="H475">
        <f xml:space="preserve"> [1]Coibion_update!Q481</f>
        <v>5.0925224535684404</v>
      </c>
      <c r="I475">
        <f xml:space="preserve"> [1]Coibion_update!W481</f>
        <v>5.56</v>
      </c>
      <c r="J475">
        <f xml:space="preserve"> [1]Coibion_update!X481</f>
        <v>5.6097281725738783</v>
      </c>
      <c r="K475">
        <f xml:space="preserve"> [1]Coibion_update!Y481</f>
        <v>4.0928935099547861</v>
      </c>
      <c r="L475">
        <f xml:space="preserve"> [1]Coibion_update!Z481</f>
        <v>4.3707760839010277</v>
      </c>
      <c r="M475">
        <f xml:space="preserve"> [1]Coibion_update!AA481</f>
        <v>4.3493226415007546</v>
      </c>
      <c r="N475">
        <f xml:space="preserve"> [1]Coibion_update!AB481</f>
        <v>0</v>
      </c>
      <c r="O475">
        <f xml:space="preserve"> [1]Coibion_update!AC481</f>
        <v>0.61093929999999841</v>
      </c>
      <c r="Q475">
        <f xml:space="preserve"> [1]Barakchian_Crowe!B354</f>
        <v>0</v>
      </c>
      <c r="R475">
        <f xml:space="preserve"> [1]Barakchian_Crowe!C354</f>
        <v>-6.6981089999999996</v>
      </c>
      <c r="S475">
        <f xml:space="preserve"> [1]Gertler_Karadi!C229</f>
        <v>-1.5003900000000001E-2</v>
      </c>
      <c r="T475">
        <f xml:space="preserve"> [1]Gertler_Karadi!D229</f>
        <v>-5.8063999999999998E-3</v>
      </c>
      <c r="U475">
        <f xml:space="preserve"> [1]Gertler_Karadi!E229</f>
        <v>-8.7097000000000008E-3</v>
      </c>
      <c r="V475">
        <f xml:space="preserve"> [1]Gertler_Karadi!F229</f>
        <v>-8.7097000000000008E-3</v>
      </c>
      <c r="W475">
        <f xml:space="preserve"> [1]Gertler_Karadi!G229</f>
        <v>-8.7097000000000008E-3</v>
      </c>
      <c r="X475" s="5">
        <f xml:space="preserve"> [1]misc!N558</f>
        <v>5.41</v>
      </c>
      <c r="Y475">
        <f xml:space="preserve"> [1]Gilchrist_Zak!C307</f>
        <v>-0.42120000000000002</v>
      </c>
      <c r="Z475">
        <f xml:space="preserve"> [1]Sims_Zha!B478</f>
        <v>-0.21664</v>
      </c>
      <c r="AA475">
        <f xml:space="preserve"> [1]Coibion_update!AI481</f>
        <v>0</v>
      </c>
      <c r="AB475">
        <f t="shared" si="32"/>
        <v>1.2458953999999998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7.06</v>
      </c>
      <c r="AL475">
        <f xml:space="preserve"> LN([1]misc!B494)</f>
        <v>6.9812845122702525</v>
      </c>
      <c r="AM475">
        <f xml:space="preserve"> LN([1]misc!D494)</f>
        <v>8.3345675884049157</v>
      </c>
      <c r="AN475">
        <f xml:space="preserve"> LN([1]misc!G599)</f>
        <v>2.2694418744007914</v>
      </c>
      <c r="AO475">
        <f xml:space="preserve"> LN([1]misc!J505 + [1]misc!L505)</f>
        <v>3.8103445913951122</v>
      </c>
      <c r="AP475">
        <f xml:space="preserve"> [1]Factors!B475</f>
        <v>-7.8656704100000002E-2</v>
      </c>
      <c r="AQ475">
        <f xml:space="preserve"> [1]Factors!C475</f>
        <v>-0.13804549299999999</v>
      </c>
      <c r="AR475">
        <f xml:space="preserve"> [1]Factors!D475</f>
        <v>-0.117473891</v>
      </c>
      <c r="AS475">
        <f xml:space="preserve"> [1]Factors!E475</f>
        <v>-0.11583536799999999</v>
      </c>
      <c r="AT475">
        <f xml:space="preserve"> [1]Factors!F475</f>
        <v>-3.9652605E-2</v>
      </c>
    </row>
    <row r="476" spans="1:46" x14ac:dyDescent="0.25">
      <c r="A476">
        <f t="shared" si="36"/>
        <v>1998.4999999999695</v>
      </c>
      <c r="B476" s="1">
        <v>35977</v>
      </c>
      <c r="C476" s="7">
        <f t="shared" si="33"/>
        <v>1998</v>
      </c>
      <c r="D476" s="7">
        <f t="shared" si="34"/>
        <v>7</v>
      </c>
      <c r="E476" s="7">
        <f t="shared" si="35"/>
        <v>3</v>
      </c>
      <c r="F476">
        <f xml:space="preserve"> [1]Coibion_update!O482</f>
        <v>4.4702595569398618</v>
      </c>
      <c r="G476">
        <f xml:space="preserve"> [1]Coibion_update!P482</f>
        <v>4.5</v>
      </c>
      <c r="H476">
        <f xml:space="preserve"> [1]Coibion_update!Q482</f>
        <v>5.0949764425300064</v>
      </c>
      <c r="I476">
        <f xml:space="preserve"> [1]Coibion_update!W482</f>
        <v>5.54</v>
      </c>
      <c r="J476">
        <f xml:space="preserve"> [1]Coibion_update!X482</f>
        <v>5.5861619257981223</v>
      </c>
      <c r="K476">
        <f xml:space="preserve"> [1]Coibion_update!Y482</f>
        <v>4.0897339496644172</v>
      </c>
      <c r="L476">
        <f xml:space="preserve"> [1]Coibion_update!Z482</f>
        <v>4.3729480487406747</v>
      </c>
      <c r="M476">
        <f xml:space="preserve"> [1]Coibion_update!AA482</f>
        <v>4.3503037424779336</v>
      </c>
      <c r="N476">
        <f xml:space="preserve"> [1]Coibion_update!AB482</f>
        <v>3.2857400000000002E-2</v>
      </c>
      <c r="O476">
        <f xml:space="preserve"> [1]Coibion_update!AC482</f>
        <v>0.64379669999999845</v>
      </c>
      <c r="Q476">
        <f xml:space="preserve"> [1]Barakchian_Crowe!B355</f>
        <v>-0.2325718</v>
      </c>
      <c r="R476">
        <f xml:space="preserve"> [1]Barakchian_Crowe!C355</f>
        <v>-6.9306799999999997</v>
      </c>
      <c r="S476">
        <f xml:space="preserve"> [1]Gertler_Karadi!C230</f>
        <v>-5.1599000000000003E-3</v>
      </c>
      <c r="T476">
        <f xml:space="preserve"> [1]Gertler_Karadi!D230</f>
        <v>9.9900000000000006E-3</v>
      </c>
      <c r="U476">
        <f xml:space="preserve"> [1]Gertler_Karadi!E230</f>
        <v>0</v>
      </c>
      <c r="V476">
        <f xml:space="preserve"> [1]Gertler_Karadi!F230</f>
        <v>5.0000000000000001E-3</v>
      </c>
      <c r="W476">
        <f xml:space="preserve"> [1]Gertler_Karadi!G230</f>
        <v>5.0000000000000001E-3</v>
      </c>
      <c r="X476" s="5">
        <f xml:space="preserve"> [1]misc!N559</f>
        <v>5.36</v>
      </c>
      <c r="Y476">
        <f xml:space="preserve"> [1]Gilchrist_Zak!C308</f>
        <v>-0.38479999999999998</v>
      </c>
      <c r="Z476">
        <f xml:space="preserve"> [1]Sims_Zha!B479</f>
        <v>0.11951000000000001</v>
      </c>
      <c r="AA476">
        <f xml:space="preserve"> [1]Coibion_update!AI482</f>
        <v>9.4105300000000003E-2</v>
      </c>
      <c r="AB476">
        <f t="shared" si="32"/>
        <v>1.3400006999999998</v>
      </c>
      <c r="AC476">
        <v>9.4105300000000003E-2</v>
      </c>
      <c r="AD476">
        <v>-5.1599999999999997E-3</v>
      </c>
      <c r="AE476">
        <v>-5.0000000000000001E-3</v>
      </c>
      <c r="AF476">
        <v>9.9900000000000006E-3</v>
      </c>
      <c r="AG476">
        <v>0</v>
      </c>
      <c r="AH476">
        <v>7.1433E-3</v>
      </c>
      <c r="AI476">
        <v>1.90771E-2</v>
      </c>
      <c r="AJ476">
        <v>1.1817599999999999E-2</v>
      </c>
      <c r="AK476">
        <v>5.63</v>
      </c>
      <c r="AL476">
        <f xml:space="preserve"> LN([1]misc!B495)</f>
        <v>6.9801689594911824</v>
      </c>
      <c r="AM476">
        <f xml:space="preserve"> LN([1]misc!D495)</f>
        <v>8.3391663989051512</v>
      </c>
      <c r="AN476">
        <f xml:space="preserve"> LN([1]misc!G600)</f>
        <v>2.2667506399848296</v>
      </c>
      <c r="AO476">
        <f xml:space="preserve"> LN([1]misc!J506 + [1]misc!L506)</f>
        <v>3.798540708323455</v>
      </c>
      <c r="AP476">
        <f xml:space="preserve"> [1]Factors!B476</f>
        <v>0.30945652000000001</v>
      </c>
      <c r="AQ476">
        <f xml:space="preserve"> [1]Factors!C476</f>
        <v>-0.119289416</v>
      </c>
      <c r="AR476">
        <f xml:space="preserve"> [1]Factors!D476</f>
        <v>-0.218768662</v>
      </c>
      <c r="AS476">
        <f xml:space="preserve"> [1]Factors!E476</f>
        <v>-0.27762695799999998</v>
      </c>
      <c r="AT476">
        <f xml:space="preserve"> [1]Factors!F476</f>
        <v>0.16065832299999999</v>
      </c>
    </row>
    <row r="477" spans="1:46" x14ac:dyDescent="0.25">
      <c r="A477">
        <f t="shared" si="36"/>
        <v>1998.5833333333028</v>
      </c>
      <c r="B477" s="1">
        <v>36008</v>
      </c>
      <c r="C477" s="7">
        <f t="shared" si="33"/>
        <v>1998</v>
      </c>
      <c r="D477" s="7">
        <f t="shared" si="34"/>
        <v>8</v>
      </c>
      <c r="E477" s="7">
        <f t="shared" si="35"/>
        <v>3</v>
      </c>
      <c r="F477">
        <f xml:space="preserve"> [1]Coibion_update!O483</f>
        <v>4.4905155019331975</v>
      </c>
      <c r="G477">
        <f xml:space="preserve"> [1]Coibion_update!P483</f>
        <v>4.5</v>
      </c>
      <c r="H477">
        <f xml:space="preserve"> [1]Coibion_update!Q483</f>
        <v>5.0962011824259026</v>
      </c>
      <c r="I477">
        <f xml:space="preserve"> [1]Coibion_update!W483</f>
        <v>5.55</v>
      </c>
      <c r="J477">
        <f xml:space="preserve"> [1]Coibion_update!X483</f>
        <v>5.56409886254648</v>
      </c>
      <c r="K477">
        <f xml:space="preserve"> [1]Coibion_update!Y483</f>
        <v>4.1130518185766851</v>
      </c>
      <c r="L477">
        <f xml:space="preserve"> [1]Coibion_update!Z483</f>
        <v>4.3706875900038877</v>
      </c>
      <c r="M477">
        <f xml:space="preserve"> [1]Coibion_update!AA483</f>
        <v>4.353485689240296</v>
      </c>
      <c r="N477">
        <f xml:space="preserve"> [1]Coibion_update!AB483</f>
        <v>9.9412E-2</v>
      </c>
      <c r="O477">
        <f xml:space="preserve"> [1]Coibion_update!AC483</f>
        <v>0.7432086999999985</v>
      </c>
      <c r="Q477">
        <f xml:space="preserve"> [1]Barakchian_Crowe!B356</f>
        <v>0.35441739999999999</v>
      </c>
      <c r="R477">
        <f xml:space="preserve"> [1]Barakchian_Crowe!C356</f>
        <v>-6.576263</v>
      </c>
      <c r="S477">
        <f xml:space="preserve"> [1]Gertler_Karadi!C231</f>
        <v>5.3877999999999999E-3</v>
      </c>
      <c r="T477">
        <f xml:space="preserve"> [1]Gertler_Karadi!D231</f>
        <v>4.5161000000000003E-3</v>
      </c>
      <c r="U477">
        <f xml:space="preserve"> [1]Gertler_Karadi!E231</f>
        <v>-2.2580999999999999E-3</v>
      </c>
      <c r="V477">
        <f xml:space="preserve"> [1]Gertler_Karadi!F231</f>
        <v>0</v>
      </c>
      <c r="W477">
        <f xml:space="preserve"> [1]Gertler_Karadi!G231</f>
        <v>-2.2580999999999999E-3</v>
      </c>
      <c r="X477" s="5">
        <f xml:space="preserve"> [1]misc!N560</f>
        <v>5.21</v>
      </c>
      <c r="Y477">
        <f xml:space="preserve"> [1]Gilchrist_Zak!C309</f>
        <v>-3.7999999999999999E-2</v>
      </c>
      <c r="Z477">
        <f xml:space="preserve"> [1]Sims_Zha!B480</f>
        <v>0.68442000000000003</v>
      </c>
      <c r="AA477">
        <f xml:space="preserve"> [1]Coibion_update!AI483</f>
        <v>7.9864000000000004E-2</v>
      </c>
      <c r="AB477">
        <f t="shared" si="32"/>
        <v>1.4198646999999998</v>
      </c>
      <c r="AC477">
        <v>7.9864000000000004E-2</v>
      </c>
      <c r="AD477">
        <v>1.193E-2</v>
      </c>
      <c r="AE477">
        <v>5.0000000000000001E-3</v>
      </c>
      <c r="AF477">
        <v>0.01</v>
      </c>
      <c r="AG477">
        <v>-5.0000000000000001E-3</v>
      </c>
      <c r="AH477">
        <v>1.5640999999999999E-2</v>
      </c>
      <c r="AI477">
        <v>7.1735999999999996E-3</v>
      </c>
      <c r="AJ477">
        <v>-6.9088999999999999E-3</v>
      </c>
      <c r="AK477">
        <v>5.89</v>
      </c>
      <c r="AL477">
        <f xml:space="preserve"> LN([1]misc!B496)</f>
        <v>6.9809127995998637</v>
      </c>
      <c r="AM477">
        <f xml:space="preserve"> LN([1]misc!D496)</f>
        <v>8.3450991547777189</v>
      </c>
      <c r="AN477">
        <f xml:space="preserve"> LN([1]misc!G601)</f>
        <v>2.2710944259026746</v>
      </c>
      <c r="AO477">
        <f xml:space="preserve"> LN([1]misc!J507 + [1]misc!L507)</f>
        <v>3.7996602534572945</v>
      </c>
      <c r="AP477">
        <f xml:space="preserve"> [1]Factors!B477</f>
        <v>0.28305539099999999</v>
      </c>
      <c r="AQ477">
        <f xml:space="preserve"> [1]Factors!C477</f>
        <v>2.95361957E-2</v>
      </c>
      <c r="AR477">
        <f xml:space="preserve"> [1]Factors!D477</f>
        <v>-0.14275141899999999</v>
      </c>
      <c r="AS477">
        <f xml:space="preserve"> [1]Factors!E477</f>
        <v>-0.17235040600000001</v>
      </c>
      <c r="AT477">
        <f xml:space="preserve"> [1]Factors!F477</f>
        <v>0.12005874900000001</v>
      </c>
    </row>
    <row r="478" spans="1:46" x14ac:dyDescent="0.25">
      <c r="A478">
        <f t="shared" si="36"/>
        <v>1998.666666666636</v>
      </c>
      <c r="B478" s="1">
        <v>36039</v>
      </c>
      <c r="C478" s="7">
        <f t="shared" si="33"/>
        <v>1998</v>
      </c>
      <c r="D478" s="7">
        <f t="shared" si="34"/>
        <v>9</v>
      </c>
      <c r="E478" s="7">
        <f t="shared" si="35"/>
        <v>3</v>
      </c>
      <c r="F478">
        <f xml:space="preserve"> [1]Coibion_update!O484</f>
        <v>4.4883340768552404</v>
      </c>
      <c r="G478">
        <f xml:space="preserve"> [1]Coibion_update!P484</f>
        <v>4.5999999999999996</v>
      </c>
      <c r="H478">
        <f xml:space="preserve"> [1]Coibion_update!Q484</f>
        <v>5.0968129903373081</v>
      </c>
      <c r="I478">
        <f xml:space="preserve"> [1]Coibion_update!W484</f>
        <v>5.51</v>
      </c>
      <c r="J478">
        <f xml:space="preserve"> [1]Coibion_update!X484</f>
        <v>5.5411066701090812</v>
      </c>
      <c r="K478">
        <f xml:space="preserve"> [1]Coibion_update!Y484</f>
        <v>4.1360941264165634</v>
      </c>
      <c r="L478">
        <f xml:space="preserve"> [1]Coibion_update!Z484</f>
        <v>4.3757318641111338</v>
      </c>
      <c r="M478">
        <f xml:space="preserve"> [1]Coibion_update!AA484</f>
        <v>4.3585788719363183</v>
      </c>
      <c r="N478">
        <f xml:space="preserve"> [1]Coibion_update!AB484</f>
        <v>-0.2392213</v>
      </c>
      <c r="O478">
        <f xml:space="preserve"> [1]Coibion_update!AC484</f>
        <v>0.50398739999999853</v>
      </c>
      <c r="Q478">
        <f xml:space="preserve"> [1]Barakchian_Crowe!B357</f>
        <v>1.019852</v>
      </c>
      <c r="R478">
        <f xml:space="preserve"> [1]Barakchian_Crowe!C357</f>
        <v>-5.5564109999999998</v>
      </c>
      <c r="S478">
        <f xml:space="preserve"> [1]Gertler_Karadi!C232</f>
        <v>9.8755000000000006E-3</v>
      </c>
      <c r="T478">
        <f xml:space="preserve"> [1]Gertler_Karadi!D232</f>
        <v>1.01504E-2</v>
      </c>
      <c r="U478">
        <f xml:space="preserve"> [1]Gertler_Karadi!E232</f>
        <v>-2.4085000000000001E-3</v>
      </c>
      <c r="V478">
        <f xml:space="preserve"> [1]Gertler_Karadi!F232</f>
        <v>6.6660000000000005E-4</v>
      </c>
      <c r="W478">
        <f xml:space="preserve"> [1]Gertler_Karadi!G232</f>
        <v>-1.7419E-3</v>
      </c>
      <c r="X478" s="5">
        <f xml:space="preserve"> [1]misc!N561</f>
        <v>4.71</v>
      </c>
      <c r="Y478">
        <f xml:space="preserve"> [1]Gilchrist_Zak!C310</f>
        <v>-9.9599999999999994E-2</v>
      </c>
      <c r="Z478">
        <f xml:space="preserve"> [1]Sims_Zha!B481</f>
        <v>-0.53525999999999996</v>
      </c>
      <c r="AA478">
        <f xml:space="preserve"> [1]Coibion_update!AI484</f>
        <v>-0.17485919999999999</v>
      </c>
      <c r="AB478">
        <f t="shared" si="32"/>
        <v>1.2450054999999998</v>
      </c>
      <c r="AC478">
        <v>-0.17485919999999999</v>
      </c>
      <c r="AD478">
        <v>0.05</v>
      </c>
      <c r="AE478">
        <v>5.0000000000000001E-3</v>
      </c>
      <c r="AF478">
        <v>7.0000000000000007E-2</v>
      </c>
      <c r="AG478">
        <v>5.0000000000000001E-3</v>
      </c>
      <c r="AH478">
        <v>2.01648E-2</v>
      </c>
      <c r="AI478">
        <v>8.1180299999999997E-2</v>
      </c>
      <c r="AJ478">
        <v>7.7571000000000003E-3</v>
      </c>
      <c r="AK478">
        <v>6.14</v>
      </c>
      <c r="AL478">
        <f xml:space="preserve"> LN([1]misc!B497)</f>
        <v>6.9846237232387143</v>
      </c>
      <c r="AM478">
        <f xml:space="preserve"> LN([1]misc!D497)</f>
        <v>8.3541800221550506</v>
      </c>
      <c r="AN478">
        <f xml:space="preserve"> LN([1]misc!G602)</f>
        <v>2.2290461896591753</v>
      </c>
      <c r="AO478">
        <f xml:space="preserve"> LN([1]misc!J508 + [1]misc!L508)</f>
        <v>3.7977114372499883</v>
      </c>
      <c r="AP478">
        <f xml:space="preserve"> [1]Factors!B478</f>
        <v>-0.389846215</v>
      </c>
      <c r="AQ478">
        <f xml:space="preserve"> [1]Factors!C478</f>
        <v>-0.33048738300000002</v>
      </c>
      <c r="AR478">
        <f xml:space="preserve"> [1]Factors!D478</f>
        <v>-0.164264407</v>
      </c>
      <c r="AS478">
        <f xml:space="preserve"> [1]Factors!E478</f>
        <v>3.5053423100000002E-2</v>
      </c>
      <c r="AT478">
        <f xml:space="preserve"> [1]Factors!F478</f>
        <v>-0.54623736700000003</v>
      </c>
    </row>
    <row r="479" spans="1:46" x14ac:dyDescent="0.25">
      <c r="A479">
        <f t="shared" si="36"/>
        <v>1998.7499999999693</v>
      </c>
      <c r="B479" s="1">
        <v>36069</v>
      </c>
      <c r="C479" s="7">
        <f t="shared" si="33"/>
        <v>1998</v>
      </c>
      <c r="D479" s="7">
        <f t="shared" si="34"/>
        <v>10</v>
      </c>
      <c r="E479" s="7">
        <f t="shared" si="35"/>
        <v>4</v>
      </c>
      <c r="F479">
        <f xml:space="preserve"> [1]Coibion_update!O485</f>
        <v>4.4962399732026652</v>
      </c>
      <c r="G479">
        <f xml:space="preserve"> [1]Coibion_update!P485</f>
        <v>4.5</v>
      </c>
      <c r="H479">
        <f xml:space="preserve"> [1]Coibion_update!Q485</f>
        <v>5.099256485749784</v>
      </c>
      <c r="I479">
        <f xml:space="preserve"> [1]Coibion_update!W485</f>
        <v>5.07</v>
      </c>
      <c r="J479">
        <f xml:space="preserve"> [1]Coibion_update!X485</f>
        <v>5.5347324600554861</v>
      </c>
      <c r="K479">
        <f xml:space="preserve"> [1]Coibion_update!Y485</f>
        <v>4.1605379632902171</v>
      </c>
      <c r="L479">
        <f xml:space="preserve"> [1]Coibion_update!Z485</f>
        <v>4.3790848117529606</v>
      </c>
      <c r="M479">
        <f xml:space="preserve"> [1]Coibion_update!AA485</f>
        <v>4.3577723634978733</v>
      </c>
      <c r="N479">
        <f xml:space="preserve"> [1]Coibion_update!AB485</f>
        <v>0</v>
      </c>
      <c r="O479">
        <f xml:space="preserve"> [1]Coibion_update!AC485</f>
        <v>0.50398739999999853</v>
      </c>
      <c r="Q479">
        <f xml:space="preserve"> [1]Barakchian_Crowe!B358</f>
        <v>0</v>
      </c>
      <c r="R479">
        <f xml:space="preserve"> [1]Barakchian_Crowe!C358</f>
        <v>-5.5564109999999998</v>
      </c>
      <c r="S479">
        <f xml:space="preserve"> [1]Gertler_Karadi!C233</f>
        <v>-8.6147299999999996E-2</v>
      </c>
      <c r="T479">
        <f xml:space="preserve"> [1]Gertler_Karadi!D233</f>
        <v>-7.1763300000000002E-2</v>
      </c>
      <c r="U479">
        <f xml:space="preserve"> [1]Gertler_Karadi!E233</f>
        <v>-0.13791419999999999</v>
      </c>
      <c r="V479">
        <f xml:space="preserve"> [1]Gertler_Karadi!F233</f>
        <v>-0.14147319999999999</v>
      </c>
      <c r="W479">
        <f xml:space="preserve"> [1]Gertler_Karadi!G233</f>
        <v>-0.1368065</v>
      </c>
      <c r="X479" s="5">
        <f xml:space="preserve"> [1]misc!N562</f>
        <v>4.12</v>
      </c>
      <c r="Y479">
        <f xml:space="preserve"> [1]Gilchrist_Zak!C311</f>
        <v>3.2000000000000002E-3</v>
      </c>
      <c r="Z479">
        <f xml:space="preserve"> [1]Sims_Zha!B482</f>
        <v>-2.2168999999999999</v>
      </c>
      <c r="AA479">
        <f xml:space="preserve"> [1]Coibion_update!AI485</f>
        <v>0</v>
      </c>
      <c r="AB479">
        <f t="shared" si="32"/>
        <v>1.2450054999999998</v>
      </c>
      <c r="AC479">
        <v>0</v>
      </c>
      <c r="AD479">
        <v>-0.24218999999999999</v>
      </c>
      <c r="AE479">
        <v>-0.125</v>
      </c>
      <c r="AF479">
        <v>-0.25</v>
      </c>
      <c r="AG479">
        <v>-0.26</v>
      </c>
      <c r="AH479">
        <v>0</v>
      </c>
      <c r="AI479">
        <v>0</v>
      </c>
      <c r="AJ479">
        <v>0</v>
      </c>
      <c r="AK479">
        <v>5.35</v>
      </c>
      <c r="AL479">
        <f xml:space="preserve"> LN([1]misc!B498)</f>
        <v>6.9902565004938806</v>
      </c>
      <c r="AM479">
        <f xml:space="preserve"> LN([1]misc!D498)</f>
        <v>8.3633657926613552</v>
      </c>
      <c r="AN479">
        <f xml:space="preserve"> LN([1]misc!G603)</f>
        <v>2.2006631032686617</v>
      </c>
      <c r="AO479">
        <f xml:space="preserve"> LN([1]misc!J509 + [1]misc!L509)</f>
        <v>3.8002866516880673</v>
      </c>
      <c r="AP479">
        <f xml:space="preserve"> [1]Factors!B479</f>
        <v>0.242818013</v>
      </c>
      <c r="AQ479">
        <f xml:space="preserve"> [1]Factors!C479</f>
        <v>-0.16679258499999999</v>
      </c>
      <c r="AR479">
        <f xml:space="preserve"> [1]Factors!D479</f>
        <v>-0.41909500599999999</v>
      </c>
      <c r="AS479">
        <f xml:space="preserve"> [1]Factors!E479</f>
        <v>3.3075192099999998E-2</v>
      </c>
      <c r="AT479">
        <f xml:space="preserve"> [1]Factors!F479</f>
        <v>0.18105374199999999</v>
      </c>
    </row>
    <row r="480" spans="1:46" x14ac:dyDescent="0.25">
      <c r="A480">
        <f t="shared" si="36"/>
        <v>1998.8333333333026</v>
      </c>
      <c r="B480" s="1">
        <v>36100</v>
      </c>
      <c r="C480" s="7">
        <f t="shared" si="33"/>
        <v>1998</v>
      </c>
      <c r="D480" s="7">
        <f t="shared" si="34"/>
        <v>11</v>
      </c>
      <c r="E480" s="7">
        <f t="shared" si="35"/>
        <v>4</v>
      </c>
      <c r="F480">
        <f xml:space="preserve"> [1]Coibion_update!O486</f>
        <v>4.4956499194393453</v>
      </c>
      <c r="G480">
        <f xml:space="preserve"> [1]Coibion_update!P486</f>
        <v>4.4000000000000004</v>
      </c>
      <c r="H480">
        <f xml:space="preserve"> [1]Coibion_update!Q486</f>
        <v>5.1004759980960452</v>
      </c>
      <c r="I480">
        <f xml:space="preserve"> [1]Coibion_update!W486</f>
        <v>4.83</v>
      </c>
      <c r="J480">
        <f xml:space="preserve"> [1]Coibion_update!X486</f>
        <v>5.4930202902303966</v>
      </c>
      <c r="K480">
        <f xml:space="preserve"> [1]Coibion_update!Y486</f>
        <v>4.1610837850383895</v>
      </c>
      <c r="L480">
        <f xml:space="preserve"> [1]Coibion_update!Z486</f>
        <v>4.3871012370716285</v>
      </c>
      <c r="M480">
        <f xml:space="preserve"> [1]Coibion_update!AA486</f>
        <v>4.3592184953478732</v>
      </c>
      <c r="N480">
        <f xml:space="preserve"> [1]Coibion_update!AB486</f>
        <v>-0.14021639999999999</v>
      </c>
      <c r="O480">
        <f xml:space="preserve"> [1]Coibion_update!AC486</f>
        <v>0.36377099999999851</v>
      </c>
      <c r="Q480">
        <f xml:space="preserve"> [1]Barakchian_Crowe!B359</f>
        <v>-0.64428479999999999</v>
      </c>
      <c r="R480">
        <f xml:space="preserve"> [1]Barakchian_Crowe!C359</f>
        <v>-6.2006959999999998</v>
      </c>
      <c r="S480">
        <f xml:space="preserve"> [1]Gertler_Karadi!C234</f>
        <v>-0.14168330000000001</v>
      </c>
      <c r="T480">
        <f xml:space="preserve"> [1]Gertler_Karadi!D234</f>
        <v>-0.11290310000000001</v>
      </c>
      <c r="U480">
        <f xml:space="preserve"> [1]Gertler_Karadi!E234</f>
        <v>-0.13141920000000001</v>
      </c>
      <c r="V480">
        <f xml:space="preserve"> [1]Gertler_Karadi!F234</f>
        <v>-0.1218603</v>
      </c>
      <c r="W480">
        <f xml:space="preserve"> [1]Gertler_Karadi!G234</f>
        <v>-0.12886020000000001</v>
      </c>
      <c r="X480" s="5">
        <f xml:space="preserve"> [1]misc!N563</f>
        <v>4.53</v>
      </c>
      <c r="Y480">
        <f xml:space="preserve"> [1]Gilchrist_Zak!C312</f>
        <v>3.2199999999999999E-2</v>
      </c>
      <c r="Z480">
        <f xml:space="preserve"> [1]Sims_Zha!B483</f>
        <v>-0.90019000000000005</v>
      </c>
      <c r="AA480">
        <f xml:space="preserve"> [1]Coibion_update!AI486</f>
        <v>-0.12845599999999999</v>
      </c>
      <c r="AB480">
        <f t="shared" si="32"/>
        <v>1.1165494999999999</v>
      </c>
      <c r="AC480">
        <v>-0.12845599999999999</v>
      </c>
      <c r="AD480">
        <v>-6.923E-2</v>
      </c>
      <c r="AE480">
        <v>-0.03</v>
      </c>
      <c r="AF480">
        <v>0</v>
      </c>
      <c r="AG480">
        <v>-0.03</v>
      </c>
      <c r="AH480">
        <v>-7.2600000000000003E-5</v>
      </c>
      <c r="AI480">
        <v>2.2110600000000001E-2</v>
      </c>
      <c r="AJ480">
        <v>-1.73045E-2</v>
      </c>
      <c r="AK480">
        <v>5.1100000000000003</v>
      </c>
      <c r="AL480">
        <f xml:space="preserve"> LN([1]misc!B499)</f>
        <v>6.9984183138793794</v>
      </c>
      <c r="AM480">
        <f xml:space="preserve"> LN([1]misc!D499)</f>
        <v>8.3723061380677954</v>
      </c>
      <c r="AN480">
        <f xml:space="preserve"> LN([1]misc!G604)</f>
        <v>2.1803044582852134</v>
      </c>
      <c r="AO480">
        <f xml:space="preserve"> LN([1]misc!J510 + [1]misc!L510)</f>
        <v>3.8006891291659417</v>
      </c>
      <c r="AP480">
        <f xml:space="preserve"> [1]Factors!B480</f>
        <v>4.2972633500000003E-2</v>
      </c>
      <c r="AQ480">
        <f xml:space="preserve"> [1]Factors!C480</f>
        <v>-6.8196109099999999E-2</v>
      </c>
      <c r="AR480">
        <f xml:space="preserve"> [1]Factors!D480</f>
        <v>-0.31578202500000002</v>
      </c>
      <c r="AS480">
        <f xml:space="preserve"> [1]Factors!E480</f>
        <v>0.16780901100000001</v>
      </c>
      <c r="AT480">
        <f xml:space="preserve"> [1]Factors!F480</f>
        <v>-6.9634125899999996E-2</v>
      </c>
    </row>
    <row r="481" spans="1:46" x14ac:dyDescent="0.25">
      <c r="A481">
        <f t="shared" si="36"/>
        <v>1998.9166666666358</v>
      </c>
      <c r="B481" s="1">
        <v>36130</v>
      </c>
      <c r="C481" s="7">
        <f t="shared" si="33"/>
        <v>1998</v>
      </c>
      <c r="D481" s="7">
        <f t="shared" si="34"/>
        <v>12</v>
      </c>
      <c r="E481" s="7">
        <f t="shared" si="35"/>
        <v>4</v>
      </c>
      <c r="F481">
        <f xml:space="preserve"> [1]Coibion_update!O487</f>
        <v>4.4991438931942893</v>
      </c>
      <c r="G481">
        <f xml:space="preserve"> [1]Coibion_update!P487</f>
        <v>4.4000000000000004</v>
      </c>
      <c r="H481">
        <f xml:space="preserve"> [1]Coibion_update!Q487</f>
        <v>5.10230248262208</v>
      </c>
      <c r="I481">
        <f xml:space="preserve"> [1]Coibion_update!W487</f>
        <v>4.68</v>
      </c>
      <c r="J481">
        <f xml:space="preserve"> [1]Coibion_update!X487</f>
        <v>5.4525823255594661</v>
      </c>
      <c r="K481">
        <f xml:space="preserve"> [1]Coibion_update!Y487</f>
        <v>4.1896698934267942</v>
      </c>
      <c r="L481">
        <f xml:space="preserve"> [1]Coibion_update!Z487</f>
        <v>4.3934980852653247</v>
      </c>
      <c r="M481">
        <f xml:space="preserve"> [1]Coibion_update!AA487</f>
        <v>4.3635189186181407</v>
      </c>
      <c r="N481">
        <f xml:space="preserve"> [1]Coibion_update!AB487</f>
        <v>-0.1692948</v>
      </c>
      <c r="O481">
        <f xml:space="preserve"> [1]Coibion_update!AC487</f>
        <v>0.19447619999999852</v>
      </c>
      <c r="Q481">
        <f xml:space="preserve"> [1]Barakchian_Crowe!B360</f>
        <v>0.29229129999999998</v>
      </c>
      <c r="R481">
        <f xml:space="preserve"> [1]Barakchian_Crowe!C360</f>
        <v>-5.9084050000000001</v>
      </c>
      <c r="S481">
        <f xml:space="preserve"> [1]Gertler_Karadi!C235</f>
        <v>-3.6922700000000003E-2</v>
      </c>
      <c r="T481">
        <f xml:space="preserve"> [1]Gertler_Karadi!D235</f>
        <v>0</v>
      </c>
      <c r="U481">
        <f xml:space="preserve"> [1]Gertler_Karadi!E235</f>
        <v>-1.7612900000000001E-2</v>
      </c>
      <c r="V481">
        <f xml:space="preserve"> [1]Gertler_Karadi!F235</f>
        <v>1.0537999999999999E-3</v>
      </c>
      <c r="W481">
        <f xml:space="preserve"> [1]Gertler_Karadi!G235</f>
        <v>-5.3333E-3</v>
      </c>
      <c r="X481" s="5">
        <f xml:space="preserve"> [1]misc!N564</f>
        <v>4.5199999999999996</v>
      </c>
      <c r="Y481">
        <f xml:space="preserve"> [1]Gilchrist_Zak!C313</f>
        <v>-0.10390000000000001</v>
      </c>
      <c r="Z481">
        <f xml:space="preserve"> [1]Sims_Zha!B484</f>
        <v>-6.1809999999999997E-2</v>
      </c>
      <c r="AA481">
        <f xml:space="preserve"> [1]Coibion_update!AI487</f>
        <v>-7.1776400000000004E-2</v>
      </c>
      <c r="AB481">
        <f t="shared" si="32"/>
        <v>1.0447730999999998</v>
      </c>
      <c r="AC481">
        <v>-7.1776400000000004E-2</v>
      </c>
      <c r="AD481">
        <v>0</v>
      </c>
      <c r="AE481">
        <v>0</v>
      </c>
      <c r="AF481">
        <v>0</v>
      </c>
      <c r="AG481">
        <v>-5.0000000000000001E-3</v>
      </c>
      <c r="AH481">
        <v>-1.5099E-3</v>
      </c>
      <c r="AI481">
        <v>-1.5449999999999999E-4</v>
      </c>
      <c r="AJ481">
        <v>-3.7458999999999999E-3</v>
      </c>
      <c r="AK481">
        <v>4.07</v>
      </c>
      <c r="AL481">
        <f xml:space="preserve"> LN([1]misc!B500)</f>
        <v>6.9985096422506015</v>
      </c>
      <c r="AM481">
        <f xml:space="preserve"> LN([1]misc!D500)</f>
        <v>8.3789421071199897</v>
      </c>
      <c r="AN481">
        <f xml:space="preserve"> LN([1]misc!G605)</f>
        <v>2.1999985042189447</v>
      </c>
      <c r="AO481">
        <f xml:space="preserve"> LN([1]misc!J511 + [1]misc!L511)</f>
        <v>3.8079505487549512</v>
      </c>
      <c r="AP481">
        <f xml:space="preserve"> [1]Factors!B481</f>
        <v>8.5244873799999996E-2</v>
      </c>
      <c r="AQ481">
        <f xml:space="preserve"> [1]Factors!C481</f>
        <v>-0.15652421499999999</v>
      </c>
      <c r="AR481">
        <f xml:space="preserve"> [1]Factors!D481</f>
        <v>-7.5625467200000004E-2</v>
      </c>
      <c r="AS481">
        <f xml:space="preserve"> [1]Factors!E481</f>
        <v>-0.26602475399999997</v>
      </c>
      <c r="AT481">
        <f xml:space="preserve"> [1]Factors!F481</f>
        <v>2.7591393E-3</v>
      </c>
    </row>
    <row r="482" spans="1:46" x14ac:dyDescent="0.25">
      <c r="A482">
        <f t="shared" si="36"/>
        <v>1998.9999999999691</v>
      </c>
      <c r="B482" s="1">
        <v>36161</v>
      </c>
      <c r="C482" s="7">
        <f t="shared" si="33"/>
        <v>1999</v>
      </c>
      <c r="D482" s="7">
        <f t="shared" si="34"/>
        <v>1</v>
      </c>
      <c r="E482" s="7">
        <f t="shared" si="35"/>
        <v>1</v>
      </c>
      <c r="F482">
        <f xml:space="preserve"> [1]Coibion_update!O488</f>
        <v>4.5036412094890634</v>
      </c>
      <c r="G482">
        <f xml:space="preserve"> [1]Coibion_update!P488</f>
        <v>4.3</v>
      </c>
      <c r="H482">
        <f xml:space="preserve"> [1]Coibion_update!Q488</f>
        <v>5.1041256371835946</v>
      </c>
      <c r="I482">
        <f xml:space="preserve"> [1]Coibion_update!W488</f>
        <v>4.63</v>
      </c>
      <c r="J482">
        <f xml:space="preserve"> [1]Coibion_update!X488</f>
        <v>5.4735723471352724</v>
      </c>
      <c r="K482">
        <f xml:space="preserve"> [1]Coibion_update!Y488</f>
        <v>4.1546240264392882</v>
      </c>
      <c r="L482">
        <f xml:space="preserve"> [1]Coibion_update!Z488</f>
        <v>4.3991664059884519</v>
      </c>
      <c r="M482">
        <f xml:space="preserve"> [1]Coibion_update!AA488</f>
        <v>4.3663290700665822</v>
      </c>
      <c r="N482">
        <f xml:space="preserve"> [1]Coibion_update!AB488</f>
        <v>0</v>
      </c>
      <c r="O482">
        <f xml:space="preserve"> [1]Coibion_update!AC488</f>
        <v>0.19447619999999852</v>
      </c>
      <c r="Q482">
        <f xml:space="preserve"> [1]Barakchian_Crowe!B361</f>
        <v>0</v>
      </c>
      <c r="R482">
        <f xml:space="preserve"> [1]Barakchian_Crowe!C361</f>
        <v>-5.9084050000000001</v>
      </c>
      <c r="S482">
        <f xml:space="preserve"> [1]Gertler_Karadi!C236</f>
        <v>0</v>
      </c>
      <c r="T482">
        <f xml:space="preserve"> [1]Gertler_Karadi!D236</f>
        <v>0</v>
      </c>
      <c r="U482">
        <f xml:space="preserve"> [1]Gertler_Karadi!E236</f>
        <v>-3.3869999999999998E-3</v>
      </c>
      <c r="V482">
        <f xml:space="preserve"> [1]Gertler_Karadi!F236</f>
        <v>-3.3871000000000001E-3</v>
      </c>
      <c r="W482">
        <f xml:space="preserve"> [1]Gertler_Karadi!G236</f>
        <v>0</v>
      </c>
      <c r="X482" s="5">
        <f xml:space="preserve"> [1]misc!N565</f>
        <v>4.51</v>
      </c>
      <c r="Y482">
        <f xml:space="preserve"> [1]Gilchrist_Zak!C314</f>
        <v>-0.122</v>
      </c>
      <c r="Z482">
        <f xml:space="preserve"> [1]Sims_Zha!B485</f>
        <v>0.31585999999999997</v>
      </c>
      <c r="AA482">
        <f xml:space="preserve"> [1]Coibion_update!AI488</f>
        <v>0</v>
      </c>
      <c r="AB482">
        <f t="shared" si="32"/>
        <v>1.0447730999999998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4.79</v>
      </c>
      <c r="AL482">
        <f xml:space="preserve"> LN([1]misc!B501)</f>
        <v>7.0013366926036671</v>
      </c>
      <c r="AM482">
        <f xml:space="preserve"> LN([1]misc!D501)</f>
        <v>8.3851007629859691</v>
      </c>
      <c r="AN482">
        <f xml:space="preserve"> LN([1]misc!G606)</f>
        <v>2.2666469861884164</v>
      </c>
      <c r="AO482">
        <f xml:space="preserve"> LN([1]misc!J512 + [1]misc!L512)</f>
        <v>3.8027437102629835</v>
      </c>
      <c r="AP482">
        <f xml:space="preserve"> [1]Factors!B482</f>
        <v>4.1088204199999999E-2</v>
      </c>
      <c r="AQ482">
        <f xml:space="preserve"> [1]Factors!C482</f>
        <v>-0.19833709099999999</v>
      </c>
      <c r="AR482">
        <f xml:space="preserve"> [1]Factors!D482</f>
        <v>-0.244832727</v>
      </c>
      <c r="AS482">
        <f xml:space="preserve"> [1]Factors!E482</f>
        <v>-4.50131218E-2</v>
      </c>
      <c r="AT482">
        <f xml:space="preserve"> [1]Factors!F482</f>
        <v>-6.2171068100000003E-3</v>
      </c>
    </row>
    <row r="483" spans="1:46" x14ac:dyDescent="0.25">
      <c r="A483">
        <f t="shared" si="36"/>
        <v>1999.0833333333023</v>
      </c>
      <c r="B483" s="1">
        <v>36192</v>
      </c>
      <c r="C483" s="7">
        <f t="shared" si="33"/>
        <v>1999</v>
      </c>
      <c r="D483" s="7">
        <f t="shared" si="34"/>
        <v>2</v>
      </c>
      <c r="E483" s="7">
        <f t="shared" si="35"/>
        <v>1</v>
      </c>
      <c r="F483">
        <f xml:space="preserve"> [1]Coibion_update!O489</f>
        <v>4.5084312860490421</v>
      </c>
      <c r="G483">
        <f xml:space="preserve"> [1]Coibion_update!P489</f>
        <v>4.4000000000000004</v>
      </c>
      <c r="H483">
        <f xml:space="preserve"> [1]Coibion_update!Q489</f>
        <v>5.1041256371835946</v>
      </c>
      <c r="I483">
        <f xml:space="preserve"> [1]Coibion_update!W489</f>
        <v>4.76</v>
      </c>
      <c r="J483">
        <f xml:space="preserve"> [1]Coibion_update!X489</f>
        <v>5.4457023534610949</v>
      </c>
      <c r="K483">
        <f xml:space="preserve"> [1]Coibion_update!Y489</f>
        <v>4.1777508375236012</v>
      </c>
      <c r="L483">
        <f xml:space="preserve"> [1]Coibion_update!Z489</f>
        <v>4.4057675750556795</v>
      </c>
      <c r="M483">
        <f xml:space="preserve"> [1]Coibion_update!AA489</f>
        <v>4.3670018254057714</v>
      </c>
      <c r="N483">
        <f xml:space="preserve"> [1]Coibion_update!AB489</f>
        <v>-0.10983519999999999</v>
      </c>
      <c r="O483">
        <f xml:space="preserve"> [1]Coibion_update!AC489</f>
        <v>8.4640999999998523E-2</v>
      </c>
      <c r="Q483">
        <f xml:space="preserve"> [1]Barakchian_Crowe!B362</f>
        <v>0.26990740000000002</v>
      </c>
      <c r="R483">
        <f xml:space="preserve"> [1]Barakchian_Crowe!C362</f>
        <v>-5.6384970000000001</v>
      </c>
      <c r="S483">
        <f xml:space="preserve"> [1]Gertler_Karadi!C237</f>
        <v>5.1999000000000004E-3</v>
      </c>
      <c r="T483">
        <f xml:space="preserve"> [1]Gertler_Karadi!D237</f>
        <v>0</v>
      </c>
      <c r="U483">
        <f xml:space="preserve"> [1]Gertler_Karadi!E237</f>
        <v>1.3928400000000001E-2</v>
      </c>
      <c r="V483">
        <f xml:space="preserve"> [1]Gertler_Karadi!F237</f>
        <v>9.2856999999999992E-3</v>
      </c>
      <c r="W483">
        <f xml:space="preserve"> [1]Gertler_Karadi!G237</f>
        <v>4.6427999999999999E-3</v>
      </c>
      <c r="X483" s="5">
        <f xml:space="preserve"> [1]misc!N566</f>
        <v>4.7</v>
      </c>
      <c r="Y483">
        <f xml:space="preserve"> [1]Gilchrist_Zak!C315</f>
        <v>-0.3518</v>
      </c>
      <c r="Z483">
        <f xml:space="preserve"> [1]Sims_Zha!B486</f>
        <v>1.0123</v>
      </c>
      <c r="AA483">
        <f xml:space="preserve"> [1]Coibion_update!AI489</f>
        <v>-6.9300700000000007E-2</v>
      </c>
      <c r="AB483">
        <f t="shared" si="32"/>
        <v>0.9754723999999998</v>
      </c>
      <c r="AC483">
        <v>-6.9300700000000007E-2</v>
      </c>
      <c r="AD483">
        <v>5.5999999999999999E-3</v>
      </c>
      <c r="AE483">
        <v>5.0000000000000001E-3</v>
      </c>
      <c r="AF483">
        <v>0</v>
      </c>
      <c r="AG483">
        <v>1.4999999999999999E-2</v>
      </c>
      <c r="AH483">
        <v>1.0519799999999999E-2</v>
      </c>
      <c r="AI483">
        <v>4.7613000000000004E-3</v>
      </c>
      <c r="AJ483">
        <v>1.5971200000000001E-2</v>
      </c>
      <c r="AK483">
        <v>4.84</v>
      </c>
      <c r="AL483">
        <f xml:space="preserve"> LN([1]misc!B502)</f>
        <v>7.000060949766163</v>
      </c>
      <c r="AM483">
        <f xml:space="preserve"> LN([1]misc!D502)</f>
        <v>8.3903366154135242</v>
      </c>
      <c r="AN483">
        <f xml:space="preserve"> LN([1]misc!G607)</f>
        <v>2.1497835027360828</v>
      </c>
      <c r="AO483">
        <f xml:space="preserve"> LN([1]misc!J513 + [1]misc!L513)</f>
        <v>3.8024313287980518</v>
      </c>
      <c r="AP483">
        <f xml:space="preserve"> [1]Factors!B483</f>
        <v>5.3743636799999999E-3</v>
      </c>
      <c r="AQ483">
        <f xml:space="preserve"> [1]Factors!C483</f>
        <v>-0.107204045</v>
      </c>
      <c r="AR483">
        <f xml:space="preserve"> [1]Factors!D483</f>
        <v>-8.9843220900000006E-2</v>
      </c>
      <c r="AS483">
        <f xml:space="preserve"> [1]Factors!E483</f>
        <v>-5.18484398E-2</v>
      </c>
      <c r="AT483">
        <f xml:space="preserve"> [1]Factors!F483</f>
        <v>-2.5055645800000002E-2</v>
      </c>
    </row>
    <row r="484" spans="1:46" x14ac:dyDescent="0.25">
      <c r="A484">
        <f t="shared" si="36"/>
        <v>1999.1666666666356</v>
      </c>
      <c r="B484" s="1">
        <v>36220</v>
      </c>
      <c r="C484" s="7">
        <f t="shared" si="33"/>
        <v>1999</v>
      </c>
      <c r="D484" s="7">
        <f t="shared" si="34"/>
        <v>3</v>
      </c>
      <c r="E484" s="7">
        <f t="shared" si="35"/>
        <v>1</v>
      </c>
      <c r="F484">
        <f xml:space="preserve"> [1]Coibion_update!O490</f>
        <v>4.5102857155566713</v>
      </c>
      <c r="G484">
        <f xml:space="preserve"> [1]Coibion_update!P490</f>
        <v>4.2</v>
      </c>
      <c r="H484">
        <f xml:space="preserve"> [1]Coibion_update!Q490</f>
        <v>5.1047326174753715</v>
      </c>
      <c r="I484">
        <f xml:space="preserve"> [1]Coibion_update!W490</f>
        <v>4.8099999999999996</v>
      </c>
      <c r="J484">
        <f xml:space="preserve"> [1]Coibion_update!X490</f>
        <v>5.4210658318070903</v>
      </c>
      <c r="K484">
        <f xml:space="preserve"> [1]Coibion_update!Y490</f>
        <v>4.1854337248423548</v>
      </c>
      <c r="L484">
        <f xml:space="preserve"> [1]Coibion_update!Z490</f>
        <v>4.4094958766634269</v>
      </c>
      <c r="M484">
        <f xml:space="preserve"> [1]Coibion_update!AA490</f>
        <v>4.3710415186151259</v>
      </c>
      <c r="N484">
        <f xml:space="preserve"> [1]Coibion_update!AB490</f>
        <v>-0.15775439999999999</v>
      </c>
      <c r="O484">
        <f xml:space="preserve"> [1]Coibion_update!AC490</f>
        <v>-7.3113400000001466E-2</v>
      </c>
      <c r="Q484">
        <f xml:space="preserve"> [1]Barakchian_Crowe!B363</f>
        <v>1.37749E-2</v>
      </c>
      <c r="R484">
        <f xml:space="preserve"> [1]Barakchian_Crowe!C363</f>
        <v>-5.6247220000000002</v>
      </c>
      <c r="S484">
        <f xml:space="preserve"> [1]Gertler_Karadi!C238</f>
        <v>-2.4509999999999999E-4</v>
      </c>
      <c r="T484">
        <f xml:space="preserve"> [1]Gertler_Karadi!D238</f>
        <v>-1.2903000000000001E-3</v>
      </c>
      <c r="U484">
        <f xml:space="preserve"> [1]Gertler_Karadi!E238</f>
        <v>-5.4140000000000004E-4</v>
      </c>
      <c r="V484">
        <f xml:space="preserve"> [1]Gertler_Karadi!F238</f>
        <v>-8.9860000000000005E-4</v>
      </c>
      <c r="W484">
        <f xml:space="preserve"> [1]Gertler_Karadi!G238</f>
        <v>-1.9009000000000001E-3</v>
      </c>
      <c r="X484" s="5">
        <f xml:space="preserve"> [1]misc!N567</f>
        <v>4.78</v>
      </c>
      <c r="Y484">
        <f xml:space="preserve"> [1]Gilchrist_Zak!C316</f>
        <v>-0.27400000000000002</v>
      </c>
      <c r="Z484">
        <f xml:space="preserve"> [1]Sims_Zha!B487</f>
        <v>0.97624999999999995</v>
      </c>
      <c r="AA484">
        <f xml:space="preserve"> [1]Coibion_update!AI490</f>
        <v>-0.1018476</v>
      </c>
      <c r="AB484">
        <f t="shared" ref="AB484:AB547" si="37" xml:space="preserve"> AB483 + AA484</f>
        <v>0.87362479999999976</v>
      </c>
      <c r="AC484">
        <v>-0.1018476</v>
      </c>
      <c r="AD484">
        <v>-0.01</v>
      </c>
      <c r="AE484">
        <v>0</v>
      </c>
      <c r="AF484">
        <v>-0.02</v>
      </c>
      <c r="AG484">
        <v>-2.5000000000000001E-2</v>
      </c>
      <c r="AH484">
        <v>-4.4789999999999999E-4</v>
      </c>
      <c r="AI484">
        <v>-1.1931799999999999E-2</v>
      </c>
      <c r="AJ484">
        <v>-3.1535199999999999E-2</v>
      </c>
      <c r="AK484">
        <v>4.9800000000000004</v>
      </c>
      <c r="AL484">
        <f xml:space="preserve"> LN([1]misc!B503)</f>
        <v>6.9999697629699478</v>
      </c>
      <c r="AM484">
        <f xml:space="preserve"> LN([1]misc!D503)</f>
        <v>8.3919700466621592</v>
      </c>
      <c r="AN484">
        <f xml:space="preserve"> LN([1]misc!G608)</f>
        <v>2.1775886028193603</v>
      </c>
      <c r="AO484">
        <f xml:space="preserve"> LN([1]misc!J514 + [1]misc!L514)</f>
        <v>3.7933745954433844</v>
      </c>
      <c r="AP484">
        <f xml:space="preserve"> [1]Factors!B484</f>
        <v>-5.9289175700000002E-2</v>
      </c>
      <c r="AQ484">
        <f xml:space="preserve"> [1]Factors!C484</f>
        <v>-0.31903642900000001</v>
      </c>
      <c r="AR484">
        <f xml:space="preserve"> [1]Factors!D484</f>
        <v>-0.111372583</v>
      </c>
      <c r="AS484">
        <f xml:space="preserve"> [1]Factors!E484</f>
        <v>-0.25821460899999998</v>
      </c>
      <c r="AT484">
        <f xml:space="preserve"> [1]Factors!F484</f>
        <v>-8.9662802200000002E-2</v>
      </c>
    </row>
    <row r="485" spans="1:46" x14ac:dyDescent="0.25">
      <c r="A485">
        <f t="shared" si="36"/>
        <v>1999.2499999999688</v>
      </c>
      <c r="B485" s="1">
        <v>36251</v>
      </c>
      <c r="C485" s="7">
        <f t="shared" si="33"/>
        <v>1999</v>
      </c>
      <c r="D485" s="7">
        <f t="shared" si="34"/>
        <v>4</v>
      </c>
      <c r="E485" s="7">
        <f t="shared" si="35"/>
        <v>2</v>
      </c>
      <c r="F485">
        <f xml:space="preserve"> [1]Coibion_update!O491</f>
        <v>4.5126151074045255</v>
      </c>
      <c r="G485">
        <f xml:space="preserve"> [1]Coibion_update!P491</f>
        <v>4.3</v>
      </c>
      <c r="H485">
        <f xml:space="preserve"> [1]Coibion_update!Q491</f>
        <v>5.1113851971963991</v>
      </c>
      <c r="I485">
        <f xml:space="preserve"> [1]Coibion_update!W491</f>
        <v>4.74</v>
      </c>
      <c r="J485">
        <f xml:space="preserve"> [1]Coibion_update!X491</f>
        <v>5.4220382935377955</v>
      </c>
      <c r="K485">
        <f xml:space="preserve"> [1]Coibion_update!Y491</f>
        <v>4.2009243342846565</v>
      </c>
      <c r="L485">
        <f xml:space="preserve"> [1]Coibion_update!Z491</f>
        <v>4.4106505340104469</v>
      </c>
      <c r="M485">
        <f xml:space="preserve"> [1]Coibion_update!AA491</f>
        <v>4.3762851840447672</v>
      </c>
      <c r="N485">
        <f xml:space="preserve"> [1]Coibion_update!AB491</f>
        <v>0</v>
      </c>
      <c r="O485">
        <f xml:space="preserve"> [1]Coibion_update!AC491</f>
        <v>-7.3113400000001466E-2</v>
      </c>
      <c r="Q485">
        <f xml:space="preserve"> [1]Barakchian_Crowe!B364</f>
        <v>0</v>
      </c>
      <c r="R485">
        <f xml:space="preserve"> [1]Barakchian_Crowe!C364</f>
        <v>-5.6247220000000002</v>
      </c>
      <c r="S485">
        <f xml:space="preserve"> [1]Gertler_Karadi!C239</f>
        <v>-9.3547999999999999E-3</v>
      </c>
      <c r="T485">
        <f xml:space="preserve"> [1]Gertler_Karadi!D239</f>
        <v>-1.8709699999999999E-2</v>
      </c>
      <c r="U485">
        <f xml:space="preserve"> [1]Gertler_Karadi!E239</f>
        <v>-2.3387000000000002E-2</v>
      </c>
      <c r="V485">
        <f xml:space="preserve"> [1]Gertler_Karadi!F239</f>
        <v>-2.3387100000000001E-2</v>
      </c>
      <c r="W485">
        <f xml:space="preserve"> [1]Gertler_Karadi!G239</f>
        <v>-3.2741899999999997E-2</v>
      </c>
      <c r="X485" s="5">
        <f xml:space="preserve"> [1]misc!N568</f>
        <v>4.6900000000000004</v>
      </c>
      <c r="Y485">
        <f xml:space="preserve"> [1]Gilchrist_Zak!C317</f>
        <v>-0.27850000000000003</v>
      </c>
      <c r="Z485">
        <f xml:space="preserve"> [1]Sims_Zha!B488</f>
        <v>-0.51520999999999995</v>
      </c>
      <c r="AA485">
        <f xml:space="preserve"> [1]Coibion_update!AI491</f>
        <v>0</v>
      </c>
      <c r="AB485">
        <f t="shared" si="37"/>
        <v>0.87362479999999976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5.03</v>
      </c>
      <c r="AL485">
        <f xml:space="preserve"> LN([1]misc!B504)</f>
        <v>7.0045189474144447</v>
      </c>
      <c r="AM485">
        <f xml:space="preserve"> LN([1]misc!D504)</f>
        <v>8.3982294590116915</v>
      </c>
      <c r="AN485">
        <f xml:space="preserve"> LN([1]misc!G609)</f>
        <v>2.21909478249502</v>
      </c>
      <c r="AO485">
        <f xml:space="preserve"> LN([1]misc!J515 + [1]misc!L515)</f>
        <v>3.7726459889595039</v>
      </c>
      <c r="AP485">
        <f xml:space="preserve"> [1]Factors!B485</f>
        <v>4.3207944700000001E-2</v>
      </c>
      <c r="AQ485">
        <f xml:space="preserve"> [1]Factors!C485</f>
        <v>-8.2864160500000006E-2</v>
      </c>
      <c r="AR485">
        <f xml:space="preserve"> [1]Factors!D485</f>
        <v>6.3869810599999993E-2</v>
      </c>
      <c r="AS485">
        <f xml:space="preserve"> [1]Factors!E485</f>
        <v>-0.217296883</v>
      </c>
      <c r="AT485">
        <f xml:space="preserve"> [1]Factors!F485</f>
        <v>9.2090698999999998E-2</v>
      </c>
    </row>
    <row r="486" spans="1:46" x14ac:dyDescent="0.25">
      <c r="A486">
        <f t="shared" si="36"/>
        <v>1999.3333333333021</v>
      </c>
      <c r="B486" s="1">
        <v>36281</v>
      </c>
      <c r="C486" s="7">
        <f t="shared" si="33"/>
        <v>1999</v>
      </c>
      <c r="D486" s="7">
        <f t="shared" si="34"/>
        <v>5</v>
      </c>
      <c r="E486" s="7">
        <f t="shared" si="35"/>
        <v>2</v>
      </c>
      <c r="F486">
        <f xml:space="preserve"> [1]Coibion_update!O492</f>
        <v>4.5199118170361805</v>
      </c>
      <c r="G486">
        <f xml:space="preserve"> [1]Coibion_update!P492</f>
        <v>4.2</v>
      </c>
      <c r="H486">
        <f xml:space="preserve"> [1]Coibion_update!Q492</f>
        <v>5.1119877883565437</v>
      </c>
      <c r="I486">
        <f xml:space="preserve"> [1]Coibion_update!W492</f>
        <v>4.74</v>
      </c>
      <c r="J486">
        <f xml:space="preserve"> [1]Coibion_update!X492</f>
        <v>5.4317550047777532</v>
      </c>
      <c r="K486">
        <f xml:space="preserve"> [1]Coibion_update!Y492</f>
        <v>4.2200369768518451</v>
      </c>
      <c r="L486">
        <f xml:space="preserve"> [1]Coibion_update!Z492</f>
        <v>4.4163918288507658</v>
      </c>
      <c r="M486">
        <f xml:space="preserve"> [1]Coibion_update!AA492</f>
        <v>4.3770392181628344</v>
      </c>
      <c r="N486">
        <f xml:space="preserve"> [1]Coibion_update!AB492</f>
        <v>-0.11190219999999999</v>
      </c>
      <c r="O486">
        <f xml:space="preserve"> [1]Coibion_update!AC492</f>
        <v>-0.18501560000000145</v>
      </c>
      <c r="Q486">
        <f xml:space="preserve"> [1]Barakchian_Crowe!B365</f>
        <v>0.93951110000000004</v>
      </c>
      <c r="R486">
        <f xml:space="preserve"> [1]Barakchian_Crowe!C365</f>
        <v>-4.6852109999999998</v>
      </c>
      <c r="S486">
        <f xml:space="preserve"> [1]Gertler_Karadi!C240</f>
        <v>-5.3877999999999999E-3</v>
      </c>
      <c r="T486">
        <f xml:space="preserve"> [1]Gertler_Karadi!D240</f>
        <v>1.8064500000000001E-2</v>
      </c>
      <c r="U486">
        <f xml:space="preserve"> [1]Gertler_Karadi!E240</f>
        <v>5.4193499999999999E-2</v>
      </c>
      <c r="V486">
        <f xml:space="preserve"> [1]Gertler_Karadi!F240</f>
        <v>6.5483799999999995E-2</v>
      </c>
      <c r="W486">
        <f xml:space="preserve"> [1]Gertler_Karadi!G240</f>
        <v>7.4516100000000002E-2</v>
      </c>
      <c r="X486" s="5">
        <f xml:space="preserve"> [1]misc!N569</f>
        <v>4.8499999999999996</v>
      </c>
      <c r="Y486">
        <f xml:space="preserve"> [1]Gilchrist_Zak!C318</f>
        <v>-0.28010000000000002</v>
      </c>
      <c r="Z486">
        <f xml:space="preserve"> [1]Sims_Zha!B489</f>
        <v>0.49872</v>
      </c>
      <c r="AA486">
        <f xml:space="preserve"> [1]Coibion_update!AI492</f>
        <v>-6.3467599999999999E-2</v>
      </c>
      <c r="AB486">
        <f t="shared" si="37"/>
        <v>0.8101571999999998</v>
      </c>
      <c r="AC486">
        <v>-6.3467599999999999E-2</v>
      </c>
      <c r="AD486">
        <v>-1.193E-2</v>
      </c>
      <c r="AE486">
        <v>-5.0000000000000001E-3</v>
      </c>
      <c r="AF486">
        <v>0.04</v>
      </c>
      <c r="AG486">
        <v>0.12</v>
      </c>
      <c r="AH486">
        <v>3.6765000000000001E-3</v>
      </c>
      <c r="AI486">
        <v>3.9472599999999997E-2</v>
      </c>
      <c r="AJ486">
        <v>0.1197329</v>
      </c>
      <c r="AK486">
        <v>4.6100000000000003</v>
      </c>
      <c r="AL486">
        <f xml:space="preserve"> LN([1]misc!B505)</f>
        <v>7.0065140510054009</v>
      </c>
      <c r="AM486">
        <f xml:space="preserve"> LN([1]misc!D505)</f>
        <v>8.4035988708313081</v>
      </c>
      <c r="AN486">
        <f xml:space="preserve"> LN([1]misc!G610)</f>
        <v>2.3043834749354253</v>
      </c>
      <c r="AO486">
        <f xml:space="preserve"> LN([1]misc!J516 + [1]misc!L516)</f>
        <v>3.7814358457216399</v>
      </c>
      <c r="AP486">
        <f xml:space="preserve"> [1]Factors!B486</f>
        <v>-9.3497738600000005E-2</v>
      </c>
      <c r="AQ486">
        <f xml:space="preserve"> [1]Factors!C486</f>
        <v>0.27159528500000002</v>
      </c>
      <c r="AR486">
        <f xml:space="preserve"> [1]Factors!D486</f>
        <v>1.15433619E-2</v>
      </c>
      <c r="AS486">
        <f xml:space="preserve"> [1]Factors!E486</f>
        <v>0.20534339400000001</v>
      </c>
      <c r="AT486">
        <f xml:space="preserve"> [1]Factors!F486</f>
        <v>0.130717112</v>
      </c>
    </row>
    <row r="487" spans="1:46" x14ac:dyDescent="0.25">
      <c r="A487">
        <f t="shared" si="36"/>
        <v>1999.4166666666354</v>
      </c>
      <c r="B487" s="1">
        <v>36312</v>
      </c>
      <c r="C487" s="7">
        <f t="shared" si="33"/>
        <v>1999</v>
      </c>
      <c r="D487" s="7">
        <f t="shared" si="34"/>
        <v>6</v>
      </c>
      <c r="E487" s="7">
        <f t="shared" si="35"/>
        <v>2</v>
      </c>
      <c r="F487">
        <f xml:space="preserve"> [1]Coibion_update!O493</f>
        <v>4.5181766270215382</v>
      </c>
      <c r="G487">
        <f xml:space="preserve"> [1]Coibion_update!P493</f>
        <v>4.3</v>
      </c>
      <c r="H487">
        <f xml:space="preserve"> [1]Coibion_update!Q493</f>
        <v>5.1119877883565437</v>
      </c>
      <c r="I487">
        <f xml:space="preserve"> [1]Coibion_update!W493</f>
        <v>4.76</v>
      </c>
      <c r="J487">
        <f xml:space="preserve"> [1]Coibion_update!X493</f>
        <v>5.4383836104448777</v>
      </c>
      <c r="K487">
        <f xml:space="preserve"> [1]Coibion_update!Y493</f>
        <v>4.2368997014376397</v>
      </c>
      <c r="L487">
        <f xml:space="preserve"> [1]Coibion_update!Z493</f>
        <v>4.4151712332661832</v>
      </c>
      <c r="M487">
        <f xml:space="preserve"> [1]Coibion_update!AA493</f>
        <v>4.3806757226029251</v>
      </c>
      <c r="N487">
        <f xml:space="preserve"> [1]Coibion_update!AB493</f>
        <v>0.25867869999999998</v>
      </c>
      <c r="O487">
        <f xml:space="preserve"> [1]Coibion_update!AC493</f>
        <v>7.3663099999998538E-2</v>
      </c>
      <c r="Q487">
        <f xml:space="preserve"> [1]Barakchian_Crowe!B366</f>
        <v>-1.028913</v>
      </c>
      <c r="R487">
        <f xml:space="preserve"> [1]Barakchian_Crowe!C366</f>
        <v>-5.7141250000000001</v>
      </c>
      <c r="S487">
        <f xml:space="preserve"> [1]Gertler_Karadi!C241</f>
        <v>-7.5421000000000004E-3</v>
      </c>
      <c r="T487">
        <f xml:space="preserve"> [1]Gertler_Karadi!D241</f>
        <v>1.9602100000000001E-2</v>
      </c>
      <c r="U487">
        <f xml:space="preserve"> [1]Gertler_Karadi!E241</f>
        <v>6.2639700000000006E-2</v>
      </c>
      <c r="V487">
        <f xml:space="preserve"> [1]Gertler_Karadi!F241</f>
        <v>7.6016200000000006E-2</v>
      </c>
      <c r="W487">
        <f xml:space="preserve"> [1]Gertler_Karadi!G241</f>
        <v>8.6484000000000005E-2</v>
      </c>
      <c r="X487" s="5">
        <f xml:space="preserve"> [1]misc!N570</f>
        <v>5.0999999999999996</v>
      </c>
      <c r="Y487">
        <f xml:space="preserve"> [1]Gilchrist_Zak!C319</f>
        <v>-0.21410000000000001</v>
      </c>
      <c r="Z487">
        <f xml:space="preserve"> [1]Sims_Zha!B490</f>
        <v>0.29626999999999998</v>
      </c>
      <c r="AA487">
        <f xml:space="preserve"> [1]Coibion_update!AI493</f>
        <v>0.26207960000000002</v>
      </c>
      <c r="AB487">
        <f t="shared" si="37"/>
        <v>1.0722367999999998</v>
      </c>
      <c r="AC487">
        <v>0.26207960000000002</v>
      </c>
      <c r="AD487">
        <v>-0.03</v>
      </c>
      <c r="AE487">
        <v>-5.0000000000000001E-3</v>
      </c>
      <c r="AF487">
        <v>-7.0000000000000007E-2</v>
      </c>
      <c r="AG487">
        <v>-9.5000000000000001E-2</v>
      </c>
      <c r="AH487">
        <v>1.1068E-2</v>
      </c>
      <c r="AI487">
        <v>-6.2652600000000003E-2</v>
      </c>
      <c r="AJ487">
        <v>-9.9093700000000007E-2</v>
      </c>
      <c r="AK487">
        <v>5.12</v>
      </c>
      <c r="AL487">
        <f xml:space="preserve"> LN([1]misc!B506)</f>
        <v>7.0028836240737142</v>
      </c>
      <c r="AM487">
        <f xml:space="preserve"> LN([1]misc!D506)</f>
        <v>8.408449180410523</v>
      </c>
      <c r="AN487">
        <f xml:space="preserve"> LN([1]misc!G611)</f>
        <v>2.136412437939462</v>
      </c>
      <c r="AO487">
        <f xml:space="preserve"> LN([1]misc!J517 + [1]misc!L517)</f>
        <v>3.7593146183298378</v>
      </c>
      <c r="AP487">
        <f xml:space="preserve"> [1]Factors!B487</f>
        <v>-0.19080111299999999</v>
      </c>
      <c r="AQ487">
        <f xml:space="preserve"> [1]Factors!C487</f>
        <v>-0.197736147</v>
      </c>
      <c r="AR487">
        <f xml:space="preserve"> [1]Factors!D487</f>
        <v>9.7107371999999997E-2</v>
      </c>
      <c r="AS487">
        <f xml:space="preserve"> [1]Factors!E487</f>
        <v>-0.13391265599999999</v>
      </c>
      <c r="AT487">
        <f xml:space="preserve"> [1]Factors!F487</f>
        <v>-3.1112784000000001E-2</v>
      </c>
    </row>
    <row r="488" spans="1:46" x14ac:dyDescent="0.25">
      <c r="A488">
        <f t="shared" si="36"/>
        <v>1999.4999999999686</v>
      </c>
      <c r="B488" s="1">
        <v>36342</v>
      </c>
      <c r="C488" s="7">
        <f t="shared" si="33"/>
        <v>1999</v>
      </c>
      <c r="D488" s="7">
        <f t="shared" si="34"/>
        <v>7</v>
      </c>
      <c r="E488" s="7">
        <f t="shared" si="35"/>
        <v>3</v>
      </c>
      <c r="F488">
        <f xml:space="preserve"> [1]Coibion_update!O494</f>
        <v>4.5245488943004339</v>
      </c>
      <c r="G488">
        <f xml:space="preserve"> [1]Coibion_update!P494</f>
        <v>4.3</v>
      </c>
      <c r="H488">
        <f xml:space="preserve"> [1]Coibion_update!Q494</f>
        <v>5.1161957897567483</v>
      </c>
      <c r="I488">
        <f xml:space="preserve"> [1]Coibion_update!W494</f>
        <v>4.99</v>
      </c>
      <c r="J488">
        <f xml:space="preserve"> [1]Coibion_update!X494</f>
        <v>5.4187191924003324</v>
      </c>
      <c r="K488">
        <f xml:space="preserve"> [1]Coibion_update!Y494</f>
        <v>4.2346570776417822</v>
      </c>
      <c r="L488">
        <f xml:space="preserve"> [1]Coibion_update!Z494</f>
        <v>4.4114883448235007</v>
      </c>
      <c r="M488">
        <f xml:space="preserve"> [1]Coibion_update!AA494</f>
        <v>4.385221525570401</v>
      </c>
      <c r="N488">
        <f xml:space="preserve"> [1]Coibion_update!AB494</f>
        <v>0</v>
      </c>
      <c r="O488">
        <f xml:space="preserve"> [1]Coibion_update!AC494</f>
        <v>7.3663099999998538E-2</v>
      </c>
      <c r="Q488">
        <f xml:space="preserve"> [1]Barakchian_Crowe!B367</f>
        <v>0</v>
      </c>
      <c r="R488">
        <f xml:space="preserve"> [1]Barakchian_Crowe!C367</f>
        <v>-5.7141250000000001</v>
      </c>
      <c r="S488">
        <f xml:space="preserve"> [1]Gertler_Karadi!C242</f>
        <v>-2.9000000000000001E-2</v>
      </c>
      <c r="T488">
        <f xml:space="preserve"> [1]Gertler_Karadi!D242</f>
        <v>-6.7666500000000004E-2</v>
      </c>
      <c r="U488">
        <f xml:space="preserve"> [1]Gertler_Karadi!E242</f>
        <v>-9.1833399999999996E-2</v>
      </c>
      <c r="V488">
        <f xml:space="preserve"> [1]Gertler_Karadi!F242</f>
        <v>-0.1014999</v>
      </c>
      <c r="W488">
        <f xml:space="preserve"> [1]Gertler_Karadi!G242</f>
        <v>-0.11600009999999999</v>
      </c>
      <c r="X488" s="5">
        <f xml:space="preserve"> [1]misc!N571</f>
        <v>5.03</v>
      </c>
      <c r="Y488">
        <f xml:space="preserve"> [1]Gilchrist_Zak!C320</f>
        <v>-0.1497</v>
      </c>
      <c r="Z488">
        <f xml:space="preserve"> [1]Sims_Zha!B491</f>
        <v>1.5012000000000001</v>
      </c>
      <c r="AA488">
        <f xml:space="preserve"> [1]Coibion_update!AI494</f>
        <v>0</v>
      </c>
      <c r="AB488">
        <f t="shared" si="37"/>
        <v>1.0722367999999998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5.07</v>
      </c>
      <c r="AL488">
        <f xml:space="preserve"> LN([1]misc!B507)</f>
        <v>7.002246942074855</v>
      </c>
      <c r="AM488">
        <f xml:space="preserve"> LN([1]misc!D507)</f>
        <v>8.4144293016056775</v>
      </c>
      <c r="AN488">
        <f xml:space="preserve"> LN([1]misc!G612)</f>
        <v>2.0261726128004955</v>
      </c>
      <c r="AO488">
        <f xml:space="preserve"> LN([1]misc!J518 + [1]misc!L518)</f>
        <v>3.7300933718222642</v>
      </c>
      <c r="AP488">
        <f xml:space="preserve"> [1]Factors!B488</f>
        <v>6.6059442100000004E-2</v>
      </c>
      <c r="AQ488">
        <f xml:space="preserve"> [1]Factors!C488</f>
        <v>-0.17598281399999999</v>
      </c>
      <c r="AR488">
        <f xml:space="preserve"> [1]Factors!D488</f>
        <v>9.7248962600000002E-2</v>
      </c>
      <c r="AS488">
        <f xml:space="preserve"> [1]Factors!E488</f>
        <v>-0.33440520299999998</v>
      </c>
      <c r="AT488">
        <f xml:space="preserve"> [1]Factors!F488</f>
        <v>0.15039150500000001</v>
      </c>
    </row>
    <row r="489" spans="1:46" x14ac:dyDescent="0.25">
      <c r="A489">
        <f t="shared" si="36"/>
        <v>1999.5833333333019</v>
      </c>
      <c r="B489" s="1">
        <v>36373</v>
      </c>
      <c r="C489" s="7">
        <f t="shared" si="33"/>
        <v>1999</v>
      </c>
      <c r="D489" s="7">
        <f t="shared" si="34"/>
        <v>8</v>
      </c>
      <c r="E489" s="7">
        <f t="shared" si="35"/>
        <v>3</v>
      </c>
      <c r="F489">
        <f xml:space="preserve"> [1]Coibion_update!O495</f>
        <v>4.5287069809110259</v>
      </c>
      <c r="G489">
        <f xml:space="preserve"> [1]Coibion_update!P495</f>
        <v>4.2</v>
      </c>
      <c r="H489">
        <f xml:space="preserve"> [1]Coibion_update!Q495</f>
        <v>5.1185924356013484</v>
      </c>
      <c r="I489">
        <f xml:space="preserve"> [1]Coibion_update!W495</f>
        <v>5.07</v>
      </c>
      <c r="J489">
        <f xml:space="preserve"> [1]Coibion_update!X495</f>
        <v>5.4450980977562313</v>
      </c>
      <c r="K489">
        <f xml:space="preserve"> [1]Coibion_update!Y495</f>
        <v>4.2439994367591023</v>
      </c>
      <c r="L489">
        <f xml:space="preserve"> [1]Coibion_update!Z495</f>
        <v>4.4193705878143028</v>
      </c>
      <c r="M489">
        <f xml:space="preserve"> [1]Coibion_update!AA495</f>
        <v>4.3889153528773033</v>
      </c>
      <c r="N489">
        <f xml:space="preserve"> [1]Coibion_update!AB495</f>
        <v>0.24062040000000001</v>
      </c>
      <c r="O489">
        <f xml:space="preserve"> [1]Coibion_update!AC495</f>
        <v>0.31428349999999855</v>
      </c>
      <c r="Q489">
        <f xml:space="preserve"> [1]Barakchian_Crowe!B368</f>
        <v>0.53922510000000001</v>
      </c>
      <c r="R489">
        <f xml:space="preserve"> [1]Barakchian_Crowe!C368</f>
        <v>-5.1749000000000001</v>
      </c>
      <c r="S489">
        <f xml:space="preserve"> [1]Gertler_Karadi!C243</f>
        <v>9.0322000000000006E-3</v>
      </c>
      <c r="T489">
        <f xml:space="preserve"> [1]Gertler_Karadi!D243</f>
        <v>3.8709999999999999E-3</v>
      </c>
      <c r="U489">
        <f xml:space="preserve"> [1]Gertler_Karadi!E243</f>
        <v>0</v>
      </c>
      <c r="V489">
        <f xml:space="preserve"> [1]Gertler_Karadi!F243</f>
        <v>-1.2903000000000001E-3</v>
      </c>
      <c r="W489">
        <f xml:space="preserve"> [1]Gertler_Karadi!G243</f>
        <v>-6.4516E-3</v>
      </c>
      <c r="X489" s="5">
        <f xml:space="preserve"> [1]misc!N572</f>
        <v>5.2</v>
      </c>
      <c r="Y489">
        <f xml:space="preserve"> [1]Gilchrist_Zak!C321</f>
        <v>-0.14810000000000001</v>
      </c>
      <c r="Z489">
        <f xml:space="preserve"> [1]Sims_Zha!B492</f>
        <v>0.21124000000000001</v>
      </c>
      <c r="AA489">
        <f xml:space="preserve"> [1]Coibion_update!AI495</f>
        <v>9.2874399999999996E-2</v>
      </c>
      <c r="AB489">
        <f t="shared" si="37"/>
        <v>1.1651111999999997</v>
      </c>
      <c r="AC489">
        <v>9.2874399999999996E-2</v>
      </c>
      <c r="AD489">
        <v>3.5000000000000003E-2</v>
      </c>
      <c r="AE489">
        <v>1.4999999999999999E-2</v>
      </c>
      <c r="AF489">
        <v>1.4999999999999999E-2</v>
      </c>
      <c r="AG489">
        <v>0</v>
      </c>
      <c r="AH489">
        <v>2.0159699999999999E-2</v>
      </c>
      <c r="AI489">
        <v>-1.0743E-3</v>
      </c>
      <c r="AJ489">
        <v>-8.7323999999999995E-3</v>
      </c>
      <c r="AK489">
        <v>5.57</v>
      </c>
      <c r="AL489">
        <f xml:space="preserve"> LN([1]misc!B508)</f>
        <v>7.0023379214680848</v>
      </c>
      <c r="AM489">
        <f xml:space="preserve"> LN([1]misc!D508)</f>
        <v>8.418300602439885</v>
      </c>
      <c r="AN489">
        <f xml:space="preserve"> LN([1]misc!G613)</f>
        <v>2.0442028895871269</v>
      </c>
      <c r="AO489">
        <f xml:space="preserve"> LN([1]misc!J519 + [1]misc!L519)</f>
        <v>3.7366691179497846</v>
      </c>
      <c r="AP489">
        <f xml:space="preserve"> [1]Factors!B489</f>
        <v>-0.14942661099999999</v>
      </c>
      <c r="AQ489">
        <f xml:space="preserve"> [1]Factors!C489</f>
        <v>9.7821627100000003E-3</v>
      </c>
      <c r="AR489">
        <f xml:space="preserve"> [1]Factors!D489</f>
        <v>-9.5817588499999995E-2</v>
      </c>
      <c r="AS489">
        <f xml:space="preserve"> [1]Factors!E489</f>
        <v>6.7790356299999993E-2</v>
      </c>
      <c r="AT489">
        <f xml:space="preserve"> [1]Factors!F489</f>
        <v>0.16085702399999999</v>
      </c>
    </row>
    <row r="490" spans="1:46" x14ac:dyDescent="0.25">
      <c r="A490">
        <f t="shared" si="36"/>
        <v>1999.6666666666351</v>
      </c>
      <c r="B490" s="1">
        <v>36404</v>
      </c>
      <c r="C490" s="7">
        <f t="shared" si="33"/>
        <v>1999</v>
      </c>
      <c r="D490" s="7">
        <f t="shared" si="34"/>
        <v>9</v>
      </c>
      <c r="E490" s="7">
        <f t="shared" si="35"/>
        <v>3</v>
      </c>
      <c r="F490">
        <f xml:space="preserve"> [1]Coibion_update!O496</f>
        <v>4.5250983112225329</v>
      </c>
      <c r="G490">
        <f xml:space="preserve"> [1]Coibion_update!P496</f>
        <v>4.2</v>
      </c>
      <c r="H490">
        <f xml:space="preserve"> [1]Coibion_update!Q496</f>
        <v>5.1227727940331063</v>
      </c>
      <c r="I490">
        <f xml:space="preserve"> [1]Coibion_update!W496</f>
        <v>5.22</v>
      </c>
      <c r="J490">
        <f xml:space="preserve"> [1]Coibion_update!X496</f>
        <v>5.4615410476500506</v>
      </c>
      <c r="K490">
        <f xml:space="preserve"> [1]Coibion_update!Y496</f>
        <v>4.2505217587052764</v>
      </c>
      <c r="L490">
        <f xml:space="preserve"> [1]Coibion_update!Z496</f>
        <v>4.425169932882814</v>
      </c>
      <c r="M490">
        <f xml:space="preserve"> [1]Coibion_update!AA496</f>
        <v>4.3929294820361608</v>
      </c>
      <c r="N490">
        <f xml:space="preserve"> [1]Coibion_update!AB496</f>
        <v>0</v>
      </c>
      <c r="O490">
        <f xml:space="preserve"> [1]Coibion_update!AC496</f>
        <v>0.31428349999999855</v>
      </c>
      <c r="Q490">
        <f xml:space="preserve"> [1]Barakchian_Crowe!B369</f>
        <v>0</v>
      </c>
      <c r="R490">
        <f xml:space="preserve"> [1]Barakchian_Crowe!C369</f>
        <v>-5.1749000000000001</v>
      </c>
      <c r="S490">
        <f xml:space="preserve"> [1]Gertler_Karadi!C244</f>
        <v>2.59676E-2</v>
      </c>
      <c r="T490">
        <f xml:space="preserve"> [1]Gertler_Karadi!D244</f>
        <v>1.1128900000000001E-2</v>
      </c>
      <c r="U490">
        <f xml:space="preserve"> [1]Gertler_Karadi!E244</f>
        <v>0</v>
      </c>
      <c r="V490">
        <f xml:space="preserve"> [1]Gertler_Karadi!F244</f>
        <v>-3.7096999999999998E-3</v>
      </c>
      <c r="W490">
        <f xml:space="preserve"> [1]Gertler_Karadi!G244</f>
        <v>-1.85484E-2</v>
      </c>
      <c r="X490" s="5">
        <f xml:space="preserve"> [1]misc!N573</f>
        <v>5.25</v>
      </c>
      <c r="Y490">
        <f xml:space="preserve"> [1]Gilchrist_Zak!C322</f>
        <v>-4.5999999999999999E-3</v>
      </c>
      <c r="Z490">
        <f xml:space="preserve"> [1]Sims_Zha!B493</f>
        <v>0.55396000000000001</v>
      </c>
      <c r="AA490">
        <f xml:space="preserve"> [1]Coibion_update!AI496</f>
        <v>0</v>
      </c>
      <c r="AB490">
        <f t="shared" si="37"/>
        <v>1.1651111999999997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5.51</v>
      </c>
      <c r="AL490">
        <f xml:space="preserve"> LN([1]misc!B509)</f>
        <v>6.9998785678579427</v>
      </c>
      <c r="AM490">
        <f xml:space="preserve"> LN([1]misc!D509)</f>
        <v>8.4217390012429174</v>
      </c>
      <c r="AN490">
        <f xml:space="preserve"> LN([1]misc!G614)</f>
        <v>2.034574920339729</v>
      </c>
      <c r="AO490">
        <f xml:space="preserve"> LN([1]misc!J520 + [1]misc!L520)</f>
        <v>3.7285808209654885</v>
      </c>
      <c r="AP490">
        <f xml:space="preserve"> [1]Factors!B490</f>
        <v>-0.19917966300000001</v>
      </c>
      <c r="AQ490">
        <f xml:space="preserve"> [1]Factors!C490</f>
        <v>-5.1448118100000002E-2</v>
      </c>
      <c r="AR490">
        <f xml:space="preserve"> [1]Factors!D490</f>
        <v>0.100908281</v>
      </c>
      <c r="AS490">
        <f xml:space="preserve"> [1]Factors!E490</f>
        <v>-2.68579704E-2</v>
      </c>
      <c r="AT490">
        <f xml:space="preserve"> [1]Factors!F490</f>
        <v>6.4831106099999994E-2</v>
      </c>
    </row>
    <row r="491" spans="1:46" x14ac:dyDescent="0.25">
      <c r="A491">
        <f t="shared" si="36"/>
        <v>1999.7499999999684</v>
      </c>
      <c r="B491" s="1">
        <v>36434</v>
      </c>
      <c r="C491" s="7">
        <f t="shared" si="33"/>
        <v>1999</v>
      </c>
      <c r="D491" s="7">
        <f t="shared" si="34"/>
        <v>10</v>
      </c>
      <c r="E491" s="7">
        <f t="shared" si="35"/>
        <v>4</v>
      </c>
      <c r="F491">
        <f xml:space="preserve"> [1]Coibion_update!O497</f>
        <v>4.5383699090080354</v>
      </c>
      <c r="G491">
        <f xml:space="preserve"> [1]Coibion_update!P497</f>
        <v>4.0999999999999996</v>
      </c>
      <c r="H491">
        <f xml:space="preserve"> [1]Coibion_update!Q497</f>
        <v>5.12455904041457</v>
      </c>
      <c r="I491">
        <f xml:space="preserve"> [1]Coibion_update!W497</f>
        <v>5.2</v>
      </c>
      <c r="J491">
        <f xml:space="preserve"> [1]Coibion_update!X497</f>
        <v>5.4481587747871965</v>
      </c>
      <c r="K491">
        <f xml:space="preserve"> [1]Coibion_update!Y497</f>
        <v>4.2427070944244702</v>
      </c>
      <c r="L491">
        <f xml:space="preserve"> [1]Coibion_update!Z497</f>
        <v>4.4262468487002895</v>
      </c>
      <c r="M491">
        <f xml:space="preserve"> [1]Coibion_update!AA497</f>
        <v>4.397543128826416</v>
      </c>
      <c r="N491">
        <f xml:space="preserve"> [1]Coibion_update!AB497</f>
        <v>-9.68276E-2</v>
      </c>
      <c r="O491">
        <f xml:space="preserve"> [1]Coibion_update!AC497</f>
        <v>0.21745589999999854</v>
      </c>
      <c r="Q491">
        <f xml:space="preserve"> [1]Barakchian_Crowe!B370</f>
        <v>0.82920499999999997</v>
      </c>
      <c r="R491">
        <f xml:space="preserve"> [1]Barakchian_Crowe!C370</f>
        <v>-4.3456950000000001</v>
      </c>
      <c r="S491">
        <f xml:space="preserve"> [1]Gertler_Karadi!C245</f>
        <v>-3.6345500000000003E-2</v>
      </c>
      <c r="T491">
        <f xml:space="preserve"> [1]Gertler_Karadi!D245</f>
        <v>3.48387E-2</v>
      </c>
      <c r="U491">
        <f xml:space="preserve"> [1]Gertler_Karadi!E245</f>
        <v>6.5322599999999995E-2</v>
      </c>
      <c r="V491">
        <f xml:space="preserve"> [1]Gertler_Karadi!F245</f>
        <v>8.7096699999999999E-2</v>
      </c>
      <c r="W491">
        <f xml:space="preserve"> [1]Gertler_Karadi!G245</f>
        <v>8.7096800000000002E-2</v>
      </c>
      <c r="X491" s="5">
        <f xml:space="preserve"> [1]misc!N574</f>
        <v>5.43</v>
      </c>
      <c r="Y491">
        <f xml:space="preserve"> [1]Gilchrist_Zak!C323</f>
        <v>-4.0899999999999999E-2</v>
      </c>
      <c r="Z491">
        <f xml:space="preserve"> [1]Sims_Zha!B494</f>
        <v>-1.319</v>
      </c>
      <c r="AA491">
        <f xml:space="preserve"> [1]Coibion_update!AI497</f>
        <v>-4.96341E-2</v>
      </c>
      <c r="AB491">
        <f t="shared" si="37"/>
        <v>1.1154770999999997</v>
      </c>
      <c r="AC491">
        <v>-4.96341E-2</v>
      </c>
      <c r="AD491">
        <v>-4.1730000000000003E-2</v>
      </c>
      <c r="AE491">
        <v>-3.5000000000000003E-2</v>
      </c>
      <c r="AF491">
        <v>0.04</v>
      </c>
      <c r="AG491">
        <v>7.4999999999999997E-2</v>
      </c>
      <c r="AH491">
        <v>-4.4434800000000003E-2</v>
      </c>
      <c r="AI491">
        <v>1.6456700000000001E-2</v>
      </c>
      <c r="AJ491">
        <v>5.0054399999999999E-2</v>
      </c>
      <c r="AK491">
        <v>5.27</v>
      </c>
      <c r="AL491">
        <f xml:space="preserve"> LN([1]misc!B510)</f>
        <v>7.0060609677662606</v>
      </c>
      <c r="AM491">
        <f xml:space="preserve"> LN([1]misc!D510)</f>
        <v>8.4268964234350783</v>
      </c>
      <c r="AN491">
        <f xml:space="preserve"> LN([1]misc!G615)</f>
        <v>1.9130917543955799</v>
      </c>
      <c r="AO491">
        <f xml:space="preserve"> LN([1]misc!J521 + [1]misc!L521)</f>
        <v>3.7206445585439356</v>
      </c>
      <c r="AP491">
        <f xml:space="preserve"> [1]Factors!B491</f>
        <v>-3.97342414E-3</v>
      </c>
      <c r="AQ491">
        <f xml:space="preserve"> [1]Factors!C491</f>
        <v>0.17796614499999999</v>
      </c>
      <c r="AR491">
        <f xml:space="preserve"> [1]Factors!D491</f>
        <v>5.3963922499999997E-2</v>
      </c>
      <c r="AS491">
        <f xml:space="preserve"> [1]Factors!E491</f>
        <v>3.6419172100000001E-2</v>
      </c>
      <c r="AT491">
        <f xml:space="preserve"> [1]Factors!F491</f>
        <v>0.31905814799999999</v>
      </c>
    </row>
    <row r="492" spans="1:46" x14ac:dyDescent="0.25">
      <c r="A492">
        <f t="shared" si="36"/>
        <v>1999.8333333333017</v>
      </c>
      <c r="B492" s="1">
        <v>36465</v>
      </c>
      <c r="C492" s="7">
        <f t="shared" si="33"/>
        <v>1999</v>
      </c>
      <c r="D492" s="7">
        <f t="shared" si="34"/>
        <v>11</v>
      </c>
      <c r="E492" s="7">
        <f t="shared" si="35"/>
        <v>4</v>
      </c>
      <c r="F492">
        <f xml:space="preserve"> [1]Coibion_update!O498</f>
        <v>4.5432841439155442</v>
      </c>
      <c r="G492">
        <f xml:space="preserve"> [1]Coibion_update!P498</f>
        <v>4.0999999999999996</v>
      </c>
      <c r="H492">
        <f xml:space="preserve"> [1]Coibion_update!Q498</f>
        <v>5.126342101808226</v>
      </c>
      <c r="I492">
        <f xml:space="preserve"> [1]Coibion_update!W498</f>
        <v>5.42</v>
      </c>
      <c r="J492">
        <f xml:space="preserve"> [1]Coibion_update!X498</f>
        <v>5.4414215435164879</v>
      </c>
      <c r="K492">
        <f xml:space="preserve"> [1]Coibion_update!Y498</f>
        <v>4.2486952220520253</v>
      </c>
      <c r="L492">
        <f xml:space="preserve"> [1]Coibion_update!Z498</f>
        <v>4.4313999621038942</v>
      </c>
      <c r="M492">
        <f xml:space="preserve"> [1]Coibion_update!AA498</f>
        <v>4.4018170069930083</v>
      </c>
      <c r="N492">
        <f xml:space="preserve"> [1]Coibion_update!AB498</f>
        <v>0.2367022</v>
      </c>
      <c r="O492">
        <f xml:space="preserve"> [1]Coibion_update!AC498</f>
        <v>0.45415809999999857</v>
      </c>
      <c r="Q492">
        <f xml:space="preserve"> [1]Barakchian_Crowe!B371</f>
        <v>1.3108850000000001</v>
      </c>
      <c r="R492">
        <f xml:space="preserve"> [1]Barakchian_Crowe!C371</f>
        <v>-3.0348099999999998</v>
      </c>
      <c r="S492">
        <f xml:space="preserve"> [1]Gertler_Karadi!C246</f>
        <v>3.2120700000000002E-2</v>
      </c>
      <c r="T492">
        <f xml:space="preserve"> [1]Gertler_Karadi!D246</f>
        <v>3.5166299999999998E-2</v>
      </c>
      <c r="U492">
        <f xml:space="preserve"> [1]Gertler_Karadi!E246</f>
        <v>4.9677399999999997E-2</v>
      </c>
      <c r="V492">
        <f xml:space="preserve"> [1]Gertler_Karadi!F246</f>
        <v>5.0403200000000002E-2</v>
      </c>
      <c r="W492">
        <f xml:space="preserve"> [1]Gertler_Karadi!G246</f>
        <v>4.2903200000000002E-2</v>
      </c>
      <c r="X492" s="5">
        <f xml:space="preserve"> [1]misc!N575</f>
        <v>5.55</v>
      </c>
      <c r="Y492">
        <f xml:space="preserve"> [1]Gilchrist_Zak!C324</f>
        <v>-7.8799999999999995E-2</v>
      </c>
      <c r="Z492">
        <f xml:space="preserve"> [1]Sims_Zha!B495</f>
        <v>0.33184000000000002</v>
      </c>
      <c r="AA492">
        <f xml:space="preserve"> [1]Coibion_update!AI498</f>
        <v>0.25117080000000003</v>
      </c>
      <c r="AB492">
        <f t="shared" si="37"/>
        <v>1.3666478999999998</v>
      </c>
      <c r="AC492">
        <v>0.25117080000000003</v>
      </c>
      <c r="AD492">
        <v>7.5009999999999993E-2</v>
      </c>
      <c r="AE492">
        <v>3.5000000000000003E-2</v>
      </c>
      <c r="AF492">
        <v>6.0010000000000001E-2</v>
      </c>
      <c r="AG492">
        <v>0.08</v>
      </c>
      <c r="AH492">
        <v>3.9809900000000002E-2</v>
      </c>
      <c r="AI492">
        <v>5.2472299999999999E-2</v>
      </c>
      <c r="AJ492">
        <v>5.8518500000000001E-2</v>
      </c>
      <c r="AK492">
        <v>5.63</v>
      </c>
      <c r="AL492">
        <f xml:space="preserve"> LN([1]misc!B511)</f>
        <v>7.0127457261730743</v>
      </c>
      <c r="AM492">
        <f xml:space="preserve"> LN([1]misc!D511)</f>
        <v>8.4310032951007639</v>
      </c>
      <c r="AN492">
        <f xml:space="preserve"> LN([1]misc!G616)</f>
        <v>1.8373699804801074</v>
      </c>
      <c r="AO492">
        <f xml:space="preserve"> LN([1]misc!J522 + [1]misc!L522)</f>
        <v>3.7265364452910346</v>
      </c>
      <c r="AP492">
        <f xml:space="preserve"> [1]Factors!B492</f>
        <v>-0.364463751</v>
      </c>
      <c r="AQ492">
        <f xml:space="preserve"> [1]Factors!C492</f>
        <v>-0.23162506899999999</v>
      </c>
      <c r="AR492">
        <f xml:space="preserve"> [1]Factors!D492</f>
        <v>7.3116391800000001E-3</v>
      </c>
      <c r="AS492">
        <f xml:space="preserve"> [1]Factors!E492</f>
        <v>-7.4288952899999997E-2</v>
      </c>
      <c r="AT492">
        <f xml:space="preserve"> [1]Factors!F492</f>
        <v>-0.11019472900000001</v>
      </c>
    </row>
    <row r="493" spans="1:46" x14ac:dyDescent="0.25">
      <c r="A493">
        <f t="shared" si="36"/>
        <v>1999.9166666666349</v>
      </c>
      <c r="B493" s="1">
        <v>36495</v>
      </c>
      <c r="C493" s="7">
        <f t="shared" si="33"/>
        <v>1999</v>
      </c>
      <c r="D493" s="7">
        <f t="shared" si="34"/>
        <v>12</v>
      </c>
      <c r="E493" s="7">
        <f t="shared" si="35"/>
        <v>4</v>
      </c>
      <c r="F493">
        <f xml:space="preserve"> [1]Coibion_update!O499</f>
        <v>4.5510222947974182</v>
      </c>
      <c r="G493">
        <f xml:space="preserve"> [1]Coibion_update!P499</f>
        <v>4</v>
      </c>
      <c r="H493">
        <f xml:space="preserve"> [1]Coibion_update!Q499</f>
        <v>5.1287145821618569</v>
      </c>
      <c r="I493">
        <f xml:space="preserve"> [1]Coibion_update!W499</f>
        <v>5.3</v>
      </c>
      <c r="J493">
        <f xml:space="preserve"> [1]Coibion_update!X499</f>
        <v>5.4229215297725677</v>
      </c>
      <c r="K493">
        <f xml:space="preserve"> [1]Coibion_update!Y499</f>
        <v>4.2732993466821014</v>
      </c>
      <c r="L493">
        <f xml:space="preserve"> [1]Coibion_update!Z499</f>
        <v>4.4585825011452478</v>
      </c>
      <c r="M493">
        <f xml:space="preserve"> [1]Coibion_update!AA499</f>
        <v>4.4073410051522632</v>
      </c>
      <c r="N493">
        <f xml:space="preserve"> [1]Coibion_update!AB499</f>
        <v>-0.18190120000000001</v>
      </c>
      <c r="O493">
        <f xml:space="preserve"> [1]Coibion_update!AC499</f>
        <v>0.27225689999999858</v>
      </c>
      <c r="Q493">
        <f xml:space="preserve"> [1]Barakchian_Crowe!B372</f>
        <v>0.25472509999999998</v>
      </c>
      <c r="R493">
        <f xml:space="preserve"> [1]Barakchian_Crowe!C372</f>
        <v>-2.780084</v>
      </c>
      <c r="S493">
        <f xml:space="preserve"> [1]Gertler_Karadi!C247</f>
        <v>4.3008299999999999E-2</v>
      </c>
      <c r="T493">
        <f xml:space="preserve"> [1]Gertler_Karadi!D247</f>
        <v>2.82309E-2</v>
      </c>
      <c r="U493">
        <f xml:space="preserve"> [1]Gertler_Karadi!E247</f>
        <v>5.5967799999999998E-2</v>
      </c>
      <c r="V493">
        <f xml:space="preserve"> [1]Gertler_Karadi!F247</f>
        <v>4.9919400000000003E-2</v>
      </c>
      <c r="W493">
        <f xml:space="preserve"> [1]Gertler_Karadi!G247</f>
        <v>4.7741899999999997E-2</v>
      </c>
      <c r="X493" s="5">
        <f xml:space="preserve"> [1]misc!N576</f>
        <v>5.84</v>
      </c>
      <c r="Y493">
        <f xml:space="preserve"> [1]Gilchrist_Zak!C325</f>
        <v>-0.31430000000000002</v>
      </c>
      <c r="Z493">
        <f xml:space="preserve"> [1]Sims_Zha!B496</f>
        <v>-1.8512999999999999</v>
      </c>
      <c r="AA493">
        <f xml:space="preserve"> [1]Coibion_update!AI499</f>
        <v>-0.12767719999999999</v>
      </c>
      <c r="AB493">
        <f t="shared" si="37"/>
        <v>1.2389706999999999</v>
      </c>
      <c r="AC493">
        <v>-0.12767719999999999</v>
      </c>
      <c r="AD493">
        <v>1.5509999999999999E-2</v>
      </c>
      <c r="AE493">
        <v>5.0000000000000001E-3</v>
      </c>
      <c r="AF493">
        <v>-5.0000000000000001E-3</v>
      </c>
      <c r="AG493">
        <v>4.4999999999999998E-2</v>
      </c>
      <c r="AH493">
        <v>-1.6660999999999999E-2</v>
      </c>
      <c r="AI493">
        <v>-3.3888700000000001E-2</v>
      </c>
      <c r="AJ493">
        <v>5.0620999999999999E-3</v>
      </c>
      <c r="AK493">
        <v>3.99</v>
      </c>
      <c r="AL493">
        <f xml:space="preserve"> LN([1]misc!B512)</f>
        <v>7.0230463233168718</v>
      </c>
      <c r="AM493">
        <f xml:space="preserve"> LN([1]misc!D512)</f>
        <v>8.4370454782298143</v>
      </c>
      <c r="AN493">
        <f xml:space="preserve"> LN([1]misc!G617)</f>
        <v>1.6601310267496185</v>
      </c>
      <c r="AO493">
        <f xml:space="preserve"> LN([1]misc!J523 + [1]misc!L523)</f>
        <v>3.7335898788809936</v>
      </c>
      <c r="AP493">
        <f xml:space="preserve"> [1]Factors!B493</f>
        <v>-0.19426511399999999</v>
      </c>
      <c r="AQ493">
        <f xml:space="preserve"> [1]Factors!C493</f>
        <v>-0.17085055599999999</v>
      </c>
      <c r="AR493">
        <f xml:space="preserve"> [1]Factors!D493</f>
        <v>-7.3648430700000003E-2</v>
      </c>
      <c r="AS493">
        <f xml:space="preserve"> [1]Factors!E493</f>
        <v>4.0582351699999996E-3</v>
      </c>
      <c r="AT493">
        <f xml:space="preserve"> [1]Factors!F493</f>
        <v>0.19283789700000001</v>
      </c>
    </row>
    <row r="494" spans="1:46" x14ac:dyDescent="0.25">
      <c r="A494">
        <f t="shared" si="36"/>
        <v>1999.9999999999682</v>
      </c>
      <c r="B494" s="1">
        <v>36526</v>
      </c>
      <c r="C494" s="7">
        <f t="shared" si="33"/>
        <v>2000</v>
      </c>
      <c r="D494" s="7">
        <f t="shared" si="34"/>
        <v>1</v>
      </c>
      <c r="E494" s="7">
        <f t="shared" si="35"/>
        <v>1</v>
      </c>
      <c r="F494">
        <f xml:space="preserve"> [1]Coibion_update!O500</f>
        <v>4.5513632086292093</v>
      </c>
      <c r="G494">
        <f xml:space="preserve"> [1]Coibion_update!P500</f>
        <v>4</v>
      </c>
      <c r="H494">
        <f xml:space="preserve"> [1]Coibion_update!Q500</f>
        <v>5.1316722891390896</v>
      </c>
      <c r="I494">
        <f xml:space="preserve"> [1]Coibion_update!W500</f>
        <v>5.45</v>
      </c>
      <c r="J494">
        <f xml:space="preserve"> [1]Coibion_update!X500</f>
        <v>5.4292579058086323</v>
      </c>
      <c r="K494">
        <f xml:space="preserve"> [1]Coibion_update!Y500</f>
        <v>4.2946561022865817</v>
      </c>
      <c r="L494">
        <f xml:space="preserve"> [1]Coibion_update!Z500</f>
        <v>4.4199002871019628</v>
      </c>
      <c r="M494">
        <f xml:space="preserve"> [1]Coibion_update!AA500</f>
        <v>4.4112334332218213</v>
      </c>
      <c r="N494">
        <f xml:space="preserve"> [1]Coibion_update!AB500</f>
        <v>0</v>
      </c>
      <c r="O494">
        <f xml:space="preserve"> [1]Coibion_update!AC500</f>
        <v>0.27225689999999858</v>
      </c>
      <c r="Q494">
        <f xml:space="preserve"> [1]Barakchian_Crowe!B373</f>
        <v>0</v>
      </c>
      <c r="R494">
        <f xml:space="preserve"> [1]Barakchian_Crowe!C373</f>
        <v>-2.780084</v>
      </c>
      <c r="S494">
        <f xml:space="preserve"> [1]Gertler_Karadi!C248</f>
        <v>1.00064E-2</v>
      </c>
      <c r="T494">
        <f xml:space="preserve"> [1]Gertler_Karadi!D248</f>
        <v>-3.2258E-3</v>
      </c>
      <c r="U494">
        <f xml:space="preserve"> [1]Gertler_Karadi!E248</f>
        <v>2.9032200000000001E-2</v>
      </c>
      <c r="V494">
        <f xml:space="preserve"> [1]Gertler_Karadi!F248</f>
        <v>2.2580599999999999E-2</v>
      </c>
      <c r="W494">
        <f xml:space="preserve"> [1]Gertler_Karadi!G248</f>
        <v>3.2258200000000001E-2</v>
      </c>
      <c r="X494" s="5">
        <f xml:space="preserve"> [1]misc!N577</f>
        <v>6.12</v>
      </c>
      <c r="Y494">
        <f xml:space="preserve"> [1]Gilchrist_Zak!C326</f>
        <v>-0.1216</v>
      </c>
      <c r="Z494">
        <f xml:space="preserve"> [1]Sims_Zha!B497</f>
        <v>0.62987000000000004</v>
      </c>
      <c r="AA494">
        <f xml:space="preserve"> [1]Coibion_update!AI500</f>
        <v>0</v>
      </c>
      <c r="AB494">
        <f t="shared" si="37"/>
        <v>1.2389706999999999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5.87</v>
      </c>
      <c r="AL494">
        <f xml:space="preserve"> LN([1]misc!B513)</f>
        <v>7.0228680860826413</v>
      </c>
      <c r="AM494">
        <f xml:space="preserve"> LN([1]misc!D513)</f>
        <v>8.4432021355044675</v>
      </c>
      <c r="AN494">
        <f xml:space="preserve"> LN([1]misc!G618)</f>
        <v>1.6419051025716018</v>
      </c>
      <c r="AO494">
        <f xml:space="preserve"> LN([1]misc!J524 + [1]misc!L524)</f>
        <v>3.7414481847867176</v>
      </c>
      <c r="AP494">
        <f xml:space="preserve"> [1]Factors!B494</f>
        <v>-0.31536310699999998</v>
      </c>
      <c r="AQ494">
        <f xml:space="preserve"> [1]Factors!C494</f>
        <v>-0.16662658299999999</v>
      </c>
      <c r="AR494">
        <f xml:space="preserve"> [1]Factors!D494</f>
        <v>9.2504521699999995E-3</v>
      </c>
      <c r="AS494">
        <f xml:space="preserve"> [1]Factors!E494</f>
        <v>-6.2013588199999997E-2</v>
      </c>
      <c r="AT494">
        <f xml:space="preserve"> [1]Factors!F494</f>
        <v>8.6987494699999994E-3</v>
      </c>
    </row>
    <row r="495" spans="1:46" x14ac:dyDescent="0.25">
      <c r="A495">
        <f t="shared" si="36"/>
        <v>2000.0833333333014</v>
      </c>
      <c r="B495" s="1">
        <v>36557</v>
      </c>
      <c r="C495" s="7">
        <f t="shared" si="33"/>
        <v>2000</v>
      </c>
      <c r="D495" s="7">
        <f t="shared" si="34"/>
        <v>2</v>
      </c>
      <c r="E495" s="7">
        <f t="shared" si="35"/>
        <v>1</v>
      </c>
      <c r="F495">
        <f xml:space="preserve"> [1]Coibion_update!O501</f>
        <v>4.554575594819009</v>
      </c>
      <c r="G495">
        <f xml:space="preserve"> [1]Coibion_update!P501</f>
        <v>4.0999999999999996</v>
      </c>
      <c r="H495">
        <f xml:space="preserve"> [1]Coibion_update!Q501</f>
        <v>5.1357984370502621</v>
      </c>
      <c r="I495">
        <f xml:space="preserve"> [1]Coibion_update!W501</f>
        <v>5.73</v>
      </c>
      <c r="J495">
        <f xml:space="preserve"> [1]Coibion_update!X501</f>
        <v>5.4026773818722793</v>
      </c>
      <c r="K495">
        <f xml:space="preserve"> [1]Coibion_update!Y501</f>
        <v>4.3214402933747387</v>
      </c>
      <c r="L495">
        <f xml:space="preserve"> [1]Coibion_update!Z501</f>
        <v>4.4274420632042695</v>
      </c>
      <c r="M495">
        <f xml:space="preserve"> [1]Coibion_update!AA501</f>
        <v>4.4177677433266487</v>
      </c>
      <c r="N495">
        <f xml:space="preserve"> [1]Coibion_update!AB501</f>
        <v>4.5138699999999997E-2</v>
      </c>
      <c r="O495">
        <f xml:space="preserve"> [1]Coibion_update!AC501</f>
        <v>0.31739559999999856</v>
      </c>
      <c r="Q495">
        <f xml:space="preserve"> [1]Barakchian_Crowe!B374</f>
        <v>0.36966539999999998</v>
      </c>
      <c r="R495">
        <f xml:space="preserve"> [1]Barakchian_Crowe!C374</f>
        <v>-2.4104190000000001</v>
      </c>
      <c r="S495">
        <f xml:space="preserve"> [1]Gertler_Karadi!C249</f>
        <v>-5.7033100000000003E-2</v>
      </c>
      <c r="T495">
        <f xml:space="preserve"> [1]Gertler_Karadi!D249</f>
        <v>4.8275000000000002E-3</v>
      </c>
      <c r="U495">
        <f xml:space="preserve"> [1]Gertler_Karadi!E249</f>
        <v>0</v>
      </c>
      <c r="V495">
        <f xml:space="preserve"> [1]Gertler_Karadi!F249</f>
        <v>4.8275999999999996E-3</v>
      </c>
      <c r="W495">
        <f xml:space="preserve"> [1]Gertler_Karadi!G249</f>
        <v>2.41379E-2</v>
      </c>
      <c r="X495" s="5">
        <f xml:space="preserve"> [1]misc!N578</f>
        <v>6.22</v>
      </c>
      <c r="Y495">
        <f xml:space="preserve"> [1]Gilchrist_Zak!C327</f>
        <v>-0.1046</v>
      </c>
      <c r="Z495">
        <f xml:space="preserve"> [1]Sims_Zha!B498</f>
        <v>1.9288000000000001</v>
      </c>
      <c r="AA495">
        <f xml:space="preserve"> [1]Coibion_update!AI501</f>
        <v>7.4226899999999998E-2</v>
      </c>
      <c r="AB495">
        <f t="shared" si="37"/>
        <v>1.3131975999999999</v>
      </c>
      <c r="AC495">
        <v>7.4226899999999998E-2</v>
      </c>
      <c r="AD495">
        <v>-5.9069999999999998E-2</v>
      </c>
      <c r="AE495">
        <v>-5.5E-2</v>
      </c>
      <c r="AF495">
        <v>5.0000000000000001E-3</v>
      </c>
      <c r="AG495">
        <v>0</v>
      </c>
      <c r="AH495">
        <v>-4.8247199999999997E-2</v>
      </c>
      <c r="AI495">
        <v>-1.8266000000000001E-3</v>
      </c>
      <c r="AJ495">
        <v>2.2575E-3</v>
      </c>
      <c r="AK495">
        <v>5.85</v>
      </c>
      <c r="AL495">
        <f xml:space="preserve"> LN([1]misc!B514)</f>
        <v>7.0102216105266271</v>
      </c>
      <c r="AM495">
        <f xml:space="preserve"> LN([1]misc!D514)</f>
        <v>8.4460193719617127</v>
      </c>
      <c r="AN495">
        <f xml:space="preserve"> LN([1]misc!G619)</f>
        <v>1.6243265249278511</v>
      </c>
      <c r="AO495">
        <f xml:space="preserve"> LN([1]misc!J525 + [1]misc!L525)</f>
        <v>3.7217821737896442</v>
      </c>
      <c r="AP495">
        <f xml:space="preserve"> [1]Factors!B495</f>
        <v>-0.17101485499999999</v>
      </c>
      <c r="AQ495">
        <f xml:space="preserve"> [1]Factors!C495</f>
        <v>-2.6885466100000002E-2</v>
      </c>
      <c r="AR495">
        <f xml:space="preserve"> [1]Factors!D495</f>
        <v>3.9203122799999997E-2</v>
      </c>
      <c r="AS495">
        <f xml:space="preserve"> [1]Factors!E495</f>
        <v>-0.15180618700000001</v>
      </c>
      <c r="AT495">
        <f xml:space="preserve"> [1]Factors!F495</f>
        <v>0.29095048000000001</v>
      </c>
    </row>
    <row r="496" spans="1:46" x14ac:dyDescent="0.25">
      <c r="A496">
        <f t="shared" si="36"/>
        <v>2000.1666666666347</v>
      </c>
      <c r="B496" s="1">
        <v>36586</v>
      </c>
      <c r="C496" s="7">
        <f t="shared" si="33"/>
        <v>2000</v>
      </c>
      <c r="D496" s="7">
        <f t="shared" si="34"/>
        <v>3</v>
      </c>
      <c r="E496" s="7">
        <f t="shared" si="35"/>
        <v>1</v>
      </c>
      <c r="F496">
        <f xml:space="preserve"> [1]Coibion_update!O502</f>
        <v>4.5587586406605585</v>
      </c>
      <c r="G496">
        <f xml:space="preserve"> [1]Coibion_update!P502</f>
        <v>4</v>
      </c>
      <c r="H496">
        <f xml:space="preserve"> [1]Coibion_update!Q502</f>
        <v>5.1416635565026603</v>
      </c>
      <c r="I496">
        <f xml:space="preserve"> [1]Coibion_update!W502</f>
        <v>5.85</v>
      </c>
      <c r="J496">
        <f xml:space="preserve"> [1]Coibion_update!X502</f>
        <v>5.4198710621006132</v>
      </c>
      <c r="K496">
        <f xml:space="preserve"> [1]Coibion_update!Y502</f>
        <v>4.3115907582702269</v>
      </c>
      <c r="L496">
        <f xml:space="preserve"> [1]Coibion_update!Z502</f>
        <v>4.4426747856252691</v>
      </c>
      <c r="M496">
        <f xml:space="preserve"> [1]Coibion_update!AA502</f>
        <v>4.4233964790969695</v>
      </c>
      <c r="N496">
        <f xml:space="preserve"> [1]Coibion_update!AB502</f>
        <v>-3.9546100000000001E-2</v>
      </c>
      <c r="O496">
        <f xml:space="preserve"> [1]Coibion_update!AC502</f>
        <v>0.27784949999999853</v>
      </c>
      <c r="Q496">
        <f xml:space="preserve"> [1]Barakchian_Crowe!B375</f>
        <v>4.4173200000000003E-2</v>
      </c>
      <c r="R496">
        <f xml:space="preserve"> [1]Barakchian_Crowe!C375</f>
        <v>-2.3662459999999998</v>
      </c>
      <c r="S496">
        <f xml:space="preserve"> [1]Gertler_Karadi!C250</f>
        <v>-1.8536799999999999E-2</v>
      </c>
      <c r="T496">
        <f xml:space="preserve"> [1]Gertler_Karadi!D250</f>
        <v>-3.3723999999999998E-3</v>
      </c>
      <c r="U496">
        <f xml:space="preserve"> [1]Gertler_Karadi!E250</f>
        <v>-1.7741E-3</v>
      </c>
      <c r="V496">
        <f xml:space="preserve"> [1]Gertler_Karadi!F250</f>
        <v>1.9465999999999999E-3</v>
      </c>
      <c r="W496">
        <f xml:space="preserve"> [1]Gertler_Karadi!G250</f>
        <v>2.6362999999999998E-3</v>
      </c>
      <c r="X496" s="5">
        <f xml:space="preserve"> [1]misc!N579</f>
        <v>6.22</v>
      </c>
      <c r="Y496">
        <f xml:space="preserve"> [1]Gilchrist_Zak!C328</f>
        <v>0.15390000000000001</v>
      </c>
      <c r="Z496">
        <f xml:space="preserve"> [1]Sims_Zha!B499</f>
        <v>0.46217999999999998</v>
      </c>
      <c r="AA496">
        <f xml:space="preserve"> [1]Coibion_update!AI502</f>
        <v>4.54233E-2</v>
      </c>
      <c r="AB496">
        <f t="shared" si="37"/>
        <v>1.3586208999999998</v>
      </c>
      <c r="AC496">
        <v>4.54233E-2</v>
      </c>
      <c r="AD496">
        <v>-4.65E-2</v>
      </c>
      <c r="AE496">
        <v>-1.4999999999999999E-2</v>
      </c>
      <c r="AF496">
        <v>-9.9900000000000006E-3</v>
      </c>
      <c r="AG496">
        <v>-5.0000000000000001E-3</v>
      </c>
      <c r="AH496">
        <v>-1.8090499999999999E-2</v>
      </c>
      <c r="AI496">
        <v>-5.8783999999999998E-3</v>
      </c>
      <c r="AJ496">
        <v>-1.29585E-2</v>
      </c>
      <c r="AK496">
        <v>6.17</v>
      </c>
      <c r="AL496">
        <f xml:space="preserve"> LN([1]misc!B515)</f>
        <v>7.0096798987040625</v>
      </c>
      <c r="AM496">
        <f xml:space="preserve"> LN([1]misc!D515)</f>
        <v>8.4526333367177742</v>
      </c>
      <c r="AN496">
        <f xml:space="preserve"> LN([1]misc!G620)</f>
        <v>1.8744141473502434</v>
      </c>
      <c r="AO496">
        <f xml:space="preserve"> LN([1]misc!J526 + [1]misc!L526)</f>
        <v>3.7024864575201533</v>
      </c>
      <c r="AP496">
        <f xml:space="preserve"> [1]Factors!B496</f>
        <v>-0.146405443</v>
      </c>
      <c r="AQ496">
        <f xml:space="preserve"> [1]Factors!C496</f>
        <v>5.5885606499999997E-2</v>
      </c>
      <c r="AR496">
        <f xml:space="preserve"> [1]Factors!D496</f>
        <v>0.135397142</v>
      </c>
      <c r="AS496">
        <f xml:space="preserve"> [1]Factors!E496</f>
        <v>-5.5153375400000003E-2</v>
      </c>
      <c r="AT496">
        <f xml:space="preserve"> [1]Factors!F496</f>
        <v>0.16029441899999999</v>
      </c>
    </row>
    <row r="497" spans="1:46" x14ac:dyDescent="0.25">
      <c r="A497">
        <f t="shared" si="36"/>
        <v>2000.2499999999679</v>
      </c>
      <c r="B497" s="1">
        <v>36617</v>
      </c>
      <c r="C497" s="7">
        <f t="shared" si="33"/>
        <v>2000</v>
      </c>
      <c r="D497" s="7">
        <f t="shared" si="34"/>
        <v>4</v>
      </c>
      <c r="E497" s="7">
        <f t="shared" si="35"/>
        <v>2</v>
      </c>
      <c r="F497">
        <f xml:space="preserve"> [1]Coibion_update!O503</f>
        <v>4.5662973323246812</v>
      </c>
      <c r="G497">
        <f xml:space="preserve"> [1]Coibion_update!P503</f>
        <v>3.8</v>
      </c>
      <c r="H497">
        <f xml:space="preserve"> [1]Coibion_update!Q503</f>
        <v>5.1410785901215457</v>
      </c>
      <c r="I497">
        <f xml:space="preserve"> [1]Coibion_update!W503</f>
        <v>6.02</v>
      </c>
      <c r="J497">
        <f xml:space="preserve"> [1]Coibion_update!X503</f>
        <v>5.4283802508462049</v>
      </c>
      <c r="K497">
        <f xml:space="preserve"> [1]Coibion_update!Y503</f>
        <v>4.2881966089009111</v>
      </c>
      <c r="L497">
        <f xml:space="preserve"> [1]Coibion_update!Z503</f>
        <v>4.4471587296116635</v>
      </c>
      <c r="M497">
        <f xml:space="preserve"> [1]Coibion_update!AA503</f>
        <v>4.4250142824733185</v>
      </c>
      <c r="N497">
        <f xml:space="preserve"> [1]Coibion_update!AB503</f>
        <v>0</v>
      </c>
      <c r="O497">
        <f xml:space="preserve"> [1]Coibion_update!AC503</f>
        <v>0.27784949999999853</v>
      </c>
      <c r="Q497">
        <f xml:space="preserve"> [1]Barakchian_Crowe!B376</f>
        <v>0</v>
      </c>
      <c r="R497">
        <f xml:space="preserve"> [1]Barakchian_Crowe!C376</f>
        <v>-2.3662459999999998</v>
      </c>
      <c r="S497">
        <f xml:space="preserve"> [1]Gertler_Karadi!C251</f>
        <v>-0.03</v>
      </c>
      <c r="T497">
        <f xml:space="preserve"> [1]Gertler_Karadi!D251</f>
        <v>-6.4451999999999999E-3</v>
      </c>
      <c r="U497">
        <f xml:space="preserve"> [1]Gertler_Karadi!E251</f>
        <v>-3.2258E-3</v>
      </c>
      <c r="V497">
        <f xml:space="preserve"> [1]Gertler_Karadi!F251</f>
        <v>3.2258E-3</v>
      </c>
      <c r="W497">
        <f xml:space="preserve"> [1]Gertler_Karadi!G251</f>
        <v>3.2258E-3</v>
      </c>
      <c r="X497" s="5">
        <f xml:space="preserve"> [1]misc!N580</f>
        <v>6.15</v>
      </c>
      <c r="Y497">
        <f xml:space="preserve"> [1]Gilchrist_Zak!C329</f>
        <v>0.3301</v>
      </c>
      <c r="Z497">
        <f xml:space="preserve"> [1]Sims_Zha!B500</f>
        <v>0.67542000000000002</v>
      </c>
      <c r="AA497">
        <f xml:space="preserve"> [1]Coibion_update!AI503</f>
        <v>0</v>
      </c>
      <c r="AB497">
        <f t="shared" si="37"/>
        <v>1.3586208999999998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6.06</v>
      </c>
      <c r="AL497">
        <f xml:space="preserve"> LN([1]misc!B516)</f>
        <v>7.0162508751354355</v>
      </c>
      <c r="AM497">
        <f xml:space="preserve"> LN([1]misc!D516)</f>
        <v>8.4639611768193017</v>
      </c>
      <c r="AN497">
        <f xml:space="preserve"> LN([1]misc!G621)</f>
        <v>1.9603764345208963</v>
      </c>
      <c r="AO497">
        <f xml:space="preserve"> LN([1]misc!J527 + [1]misc!L527)</f>
        <v>3.6933693593867885</v>
      </c>
      <c r="AP497">
        <f xml:space="preserve"> [1]Factors!B497</f>
        <v>-0.23229207299999999</v>
      </c>
      <c r="AQ497">
        <f xml:space="preserve"> [1]Factors!C497</f>
        <v>0.149463126</v>
      </c>
      <c r="AR497">
        <f xml:space="preserve"> [1]Factors!D497</f>
        <v>-2.2314579700000001E-3</v>
      </c>
      <c r="AS497">
        <f xml:space="preserve"> [1]Factors!E497</f>
        <v>0.180788382</v>
      </c>
      <c r="AT497">
        <f xml:space="preserve"> [1]Factors!F497</f>
        <v>0.140343989</v>
      </c>
    </row>
    <row r="498" spans="1:46" x14ac:dyDescent="0.25">
      <c r="A498">
        <f t="shared" si="36"/>
        <v>2000.3333333333012</v>
      </c>
      <c r="B498" s="1">
        <v>36647</v>
      </c>
      <c r="C498" s="7">
        <f t="shared" si="33"/>
        <v>2000</v>
      </c>
      <c r="D498" s="7">
        <f t="shared" si="34"/>
        <v>5</v>
      </c>
      <c r="E498" s="7">
        <f t="shared" si="35"/>
        <v>2</v>
      </c>
      <c r="F498">
        <f xml:space="preserve"> [1]Coibion_update!O504</f>
        <v>4.5684678191371635</v>
      </c>
      <c r="G498">
        <f xml:space="preserve"> [1]Coibion_update!P504</f>
        <v>4</v>
      </c>
      <c r="H498">
        <f xml:space="preserve"> [1]Coibion_update!Q504</f>
        <v>5.1428324637076415</v>
      </c>
      <c r="I498">
        <f xml:space="preserve"> [1]Coibion_update!W504</f>
        <v>6.27</v>
      </c>
      <c r="J498">
        <f xml:space="preserve"> [1]Coibion_update!X504</f>
        <v>5.4539526580794853</v>
      </c>
      <c r="K498">
        <f xml:space="preserve"> [1]Coibion_update!Y504</f>
        <v>4.2951334325195125</v>
      </c>
      <c r="L498">
        <f xml:space="preserve"> [1]Coibion_update!Z504</f>
        <v>4.4513777753081101</v>
      </c>
      <c r="M498">
        <f xml:space="preserve"> [1]Coibion_update!AA504</f>
        <v>4.42926798099632</v>
      </c>
      <c r="N498">
        <f xml:space="preserve"> [1]Coibion_update!AB504</f>
        <v>0.31209310000000001</v>
      </c>
      <c r="O498">
        <f xml:space="preserve"> [1]Coibion_update!AC504</f>
        <v>0.58994259999999854</v>
      </c>
      <c r="Q498">
        <f xml:space="preserve"> [1]Barakchian_Crowe!B377</f>
        <v>0.85004820000000003</v>
      </c>
      <c r="R498">
        <f xml:space="preserve"> [1]Barakchian_Crowe!C377</f>
        <v>-1.516197</v>
      </c>
      <c r="S498">
        <f xml:space="preserve"> [1]Gertler_Karadi!C252</f>
        <v>2.13315E-2</v>
      </c>
      <c r="T498">
        <f xml:space="preserve"> [1]Gertler_Karadi!D252</f>
        <v>3.61292E-2</v>
      </c>
      <c r="U498">
        <f xml:space="preserve"> [1]Gertler_Karadi!E252</f>
        <v>2.58064E-2</v>
      </c>
      <c r="V498">
        <f xml:space="preserve"> [1]Gertler_Karadi!F252</f>
        <v>2.8387200000000001E-2</v>
      </c>
      <c r="W498">
        <f xml:space="preserve"> [1]Gertler_Karadi!G252</f>
        <v>2.3225800000000001E-2</v>
      </c>
      <c r="X498" s="5">
        <f xml:space="preserve"> [1]misc!N581</f>
        <v>6.33</v>
      </c>
      <c r="Y498">
        <f xml:space="preserve"> [1]Gilchrist_Zak!C330</f>
        <v>0.49969999999999998</v>
      </c>
      <c r="Z498">
        <f xml:space="preserve"> [1]Sims_Zha!B501</f>
        <v>1.9742999999999999</v>
      </c>
      <c r="AA498">
        <f xml:space="preserve"> [1]Coibion_update!AI504</f>
        <v>0.227573</v>
      </c>
      <c r="AB498">
        <f t="shared" si="37"/>
        <v>1.5861938999999998</v>
      </c>
      <c r="AC498">
        <v>0.227573</v>
      </c>
      <c r="AD498">
        <v>4.1329999999999999E-2</v>
      </c>
      <c r="AE498">
        <v>0.02</v>
      </c>
      <c r="AF498">
        <v>7.0000000000000007E-2</v>
      </c>
      <c r="AG498">
        <v>0.05</v>
      </c>
      <c r="AH498">
        <v>1.24131E-2</v>
      </c>
      <c r="AI498">
        <v>3.8363000000000001E-2</v>
      </c>
      <c r="AJ498">
        <v>2.85673E-2</v>
      </c>
      <c r="AK498">
        <v>6.83</v>
      </c>
      <c r="AL498">
        <f xml:space="preserve"> LN([1]misc!B517)</f>
        <v>7.0085051820822803</v>
      </c>
      <c r="AM498">
        <f xml:space="preserve"> LN([1]misc!D517)</f>
        <v>8.4619764207783064</v>
      </c>
      <c r="AN498">
        <f xml:space="preserve"> LN([1]misc!G622)</f>
        <v>2.0399207835175526</v>
      </c>
      <c r="AO498">
        <f xml:space="preserve"> LN([1]misc!J528 + [1]misc!L528)</f>
        <v>3.6968972257075197</v>
      </c>
      <c r="AP498">
        <f xml:space="preserve"> [1]Factors!B498</f>
        <v>-9.4207731200000006E-2</v>
      </c>
      <c r="AQ498">
        <f xml:space="preserve"> [1]Factors!C498</f>
        <v>-0.42324355600000002</v>
      </c>
      <c r="AR498">
        <f xml:space="preserve"> [1]Factors!D498</f>
        <v>-0.25061014399999998</v>
      </c>
      <c r="AS498">
        <f xml:space="preserve"> [1]Factors!E498</f>
        <v>-0.13452302599999999</v>
      </c>
      <c r="AT498">
        <f xml:space="preserve"> [1]Factors!F498</f>
        <v>-2.09158092E-2</v>
      </c>
    </row>
    <row r="499" spans="1:46" x14ac:dyDescent="0.25">
      <c r="A499">
        <f t="shared" si="36"/>
        <v>2000.4166666666345</v>
      </c>
      <c r="B499" s="1">
        <v>36678</v>
      </c>
      <c r="C499" s="7">
        <f t="shared" si="33"/>
        <v>2000</v>
      </c>
      <c r="D499" s="7">
        <f t="shared" si="34"/>
        <v>6</v>
      </c>
      <c r="E499" s="7">
        <f t="shared" si="35"/>
        <v>2</v>
      </c>
      <c r="F499">
        <f xml:space="preserve"> [1]Coibion_update!O505</f>
        <v>4.5694186482809416</v>
      </c>
      <c r="G499">
        <f xml:space="preserve"> [1]Coibion_update!P505</f>
        <v>4</v>
      </c>
      <c r="H499">
        <f xml:space="preserve"> [1]Coibion_update!Q505</f>
        <v>5.14865659199363</v>
      </c>
      <c r="I499">
        <f xml:space="preserve"> [1]Coibion_update!W505</f>
        <v>6.53</v>
      </c>
      <c r="J499">
        <f xml:space="preserve"> [1]Coibion_update!X505</f>
        <v>5.4376009336504225</v>
      </c>
      <c r="K499">
        <f xml:space="preserve"> [1]Coibion_update!Y505</f>
        <v>4.288567241107601</v>
      </c>
      <c r="L499">
        <f xml:space="preserve"> [1]Coibion_update!Z505</f>
        <v>4.4507478025860925</v>
      </c>
      <c r="M499">
        <f xml:space="preserve"> [1]Coibion_update!AA505</f>
        <v>4.4341208582320162</v>
      </c>
      <c r="N499">
        <f xml:space="preserve"> [1]Coibion_update!AB505</f>
        <v>4.2940899999999997E-2</v>
      </c>
      <c r="O499">
        <f xml:space="preserve"> [1]Coibion_update!AC505</f>
        <v>0.63288349999999849</v>
      </c>
      <c r="Q499">
        <f xml:space="preserve"> [1]Barakchian_Crowe!B378</f>
        <v>-0.1958944</v>
      </c>
      <c r="R499">
        <f xml:space="preserve"> [1]Barakchian_Crowe!C378</f>
        <v>-1.7120919999999999</v>
      </c>
      <c r="S499">
        <f xml:space="preserve"> [1]Gertler_Karadi!C253</f>
        <v>1.7498300000000001E-2</v>
      </c>
      <c r="T499">
        <f xml:space="preserve"> [1]Gertler_Karadi!D253</f>
        <v>3.23699E-2</v>
      </c>
      <c r="U499">
        <f xml:space="preserve"> [1]Gertler_Karadi!E253</f>
        <v>2.2193399999999999E-2</v>
      </c>
      <c r="V499">
        <f xml:space="preserve"> [1]Gertler_Karadi!F253</f>
        <v>2.3612899999999999E-2</v>
      </c>
      <c r="W499">
        <f xml:space="preserve"> [1]Gertler_Karadi!G253</f>
        <v>1.8274200000000001E-2</v>
      </c>
      <c r="X499" s="5">
        <f xml:space="preserve"> [1]misc!N582</f>
        <v>6.17</v>
      </c>
      <c r="Y499">
        <f xml:space="preserve"> [1]Gilchrist_Zak!C331</f>
        <v>0.55269999999999997</v>
      </c>
      <c r="Z499">
        <f xml:space="preserve"> [1]Sims_Zha!B502</f>
        <v>0.94579000000000002</v>
      </c>
      <c r="AA499">
        <f xml:space="preserve"> [1]Coibion_update!AI505</f>
        <v>-6.6848000000000005E-2</v>
      </c>
      <c r="AB499">
        <f t="shared" si="37"/>
        <v>1.5193458999999998</v>
      </c>
      <c r="AC499">
        <v>-6.6848000000000005E-2</v>
      </c>
      <c r="AD499">
        <v>-2.5000000000000001E-2</v>
      </c>
      <c r="AE499">
        <v>0</v>
      </c>
      <c r="AF499">
        <v>-1.5010000000000001E-2</v>
      </c>
      <c r="AG499">
        <v>-0.02</v>
      </c>
      <c r="AH499">
        <v>2.2345500000000001E-2</v>
      </c>
      <c r="AI499">
        <v>-1.48976E-2</v>
      </c>
      <c r="AJ499">
        <v>-2.1168599999999999E-2</v>
      </c>
      <c r="AK499">
        <v>6.86</v>
      </c>
      <c r="AL499">
        <f xml:space="preserve"> LN([1]misc!B518)</f>
        <v>7.0064234507788381</v>
      </c>
      <c r="AM499">
        <f xml:space="preserve"> LN([1]misc!D518)</f>
        <v>8.4656051167431414</v>
      </c>
      <c r="AN499">
        <f xml:space="preserve"> LN([1]misc!G623)</f>
        <v>1.8882810362186768</v>
      </c>
      <c r="AO499">
        <f xml:space="preserve"> LN([1]misc!J529 + [1]misc!L529)</f>
        <v>3.681149656051995</v>
      </c>
      <c r="AP499">
        <f xml:space="preserve"> [1]Factors!B499</f>
        <v>6.3590187699999995E-2</v>
      </c>
      <c r="AQ499">
        <f xml:space="preserve"> [1]Factors!C499</f>
        <v>-3.8480763699999997E-2</v>
      </c>
      <c r="AR499">
        <f xml:space="preserve"> [1]Factors!D499</f>
        <v>0.22596261400000001</v>
      </c>
      <c r="AS499">
        <f xml:space="preserve"> [1]Factors!E499</f>
        <v>-0.48924039600000002</v>
      </c>
      <c r="AT499">
        <f xml:space="preserve"> [1]Factors!F499</f>
        <v>-1.4877327900000001E-2</v>
      </c>
    </row>
    <row r="500" spans="1:46" x14ac:dyDescent="0.25">
      <c r="A500">
        <f t="shared" si="36"/>
        <v>2000.4999999999677</v>
      </c>
      <c r="B500" s="1">
        <v>36708</v>
      </c>
      <c r="C500" s="7">
        <f t="shared" si="33"/>
        <v>2000</v>
      </c>
      <c r="D500" s="7">
        <f t="shared" si="34"/>
        <v>7</v>
      </c>
      <c r="E500" s="7">
        <f t="shared" si="35"/>
        <v>3</v>
      </c>
      <c r="F500">
        <f xml:space="preserve"> [1]Coibion_update!O506</f>
        <v>4.5683609628540935</v>
      </c>
      <c r="G500">
        <f xml:space="preserve"> [1]Coibion_update!P506</f>
        <v>4</v>
      </c>
      <c r="H500">
        <f xml:space="preserve"> [1]Coibion_update!Q506</f>
        <v>5.1515559851526325</v>
      </c>
      <c r="I500">
        <f xml:space="preserve"> [1]Coibion_update!W506</f>
        <v>6.54</v>
      </c>
      <c r="J500">
        <f xml:space="preserve"> [1]Coibion_update!X506</f>
        <v>5.3918532459392017</v>
      </c>
      <c r="K500">
        <f xml:space="preserve"> [1]Coibion_update!Y506</f>
        <v>4.2893355221167182</v>
      </c>
      <c r="L500">
        <f xml:space="preserve"> [1]Coibion_update!Z506</f>
        <v>4.4499305801627269</v>
      </c>
      <c r="M500">
        <f xml:space="preserve"> [1]Coibion_update!AA506</f>
        <v>4.4351170632479899</v>
      </c>
      <c r="N500">
        <f xml:space="preserve"> [1]Coibion_update!AB506</f>
        <v>0</v>
      </c>
      <c r="O500">
        <f xml:space="preserve"> [1]Coibion_update!AC506</f>
        <v>0.63288349999999849</v>
      </c>
      <c r="Q500">
        <f xml:space="preserve"> [1]Barakchian_Crowe!B379</f>
        <v>0</v>
      </c>
      <c r="R500">
        <f xml:space="preserve"> [1]Barakchian_Crowe!C379</f>
        <v>-1.7120919999999999</v>
      </c>
      <c r="S500">
        <f xml:space="preserve"> [1]Gertler_Karadi!C254</f>
        <v>-2.24998E-2</v>
      </c>
      <c r="T500">
        <f xml:space="preserve"> [1]Gertler_Karadi!D254</f>
        <v>-1.3509E-2</v>
      </c>
      <c r="U500">
        <f xml:space="preserve"> [1]Gertler_Karadi!E254</f>
        <v>-1.7999899999999999E-2</v>
      </c>
      <c r="V500">
        <f xml:space="preserve"> [1]Gertler_Karadi!F254</f>
        <v>-2.7E-2</v>
      </c>
      <c r="W500">
        <f xml:space="preserve"> [1]Gertler_Karadi!G254</f>
        <v>-3.15E-2</v>
      </c>
      <c r="X500" s="5">
        <f xml:space="preserve"> [1]misc!N583</f>
        <v>6.08</v>
      </c>
      <c r="Y500">
        <f xml:space="preserve"> [1]Gilchrist_Zak!C332</f>
        <v>0.61219999999999997</v>
      </c>
      <c r="Z500">
        <f xml:space="preserve"> [1]Sims_Zha!B503</f>
        <v>0.37413999999999997</v>
      </c>
      <c r="AA500">
        <f xml:space="preserve"> [1]Coibion_update!AI506</f>
        <v>0</v>
      </c>
      <c r="AB500">
        <f t="shared" si="37"/>
        <v>1.5193458999999998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6.64</v>
      </c>
      <c r="AL500">
        <f xml:space="preserve"> LN([1]misc!B519)</f>
        <v>7.0073290838782292</v>
      </c>
      <c r="AM500">
        <f xml:space="preserve"> LN([1]misc!D519)</f>
        <v>8.4693675619336322</v>
      </c>
      <c r="AN500">
        <f xml:space="preserve"> LN([1]misc!G624)</f>
        <v>1.9170696601935016</v>
      </c>
      <c r="AO500">
        <f xml:space="preserve"> LN([1]misc!J530 + [1]misc!L530)</f>
        <v>3.6768321762032601</v>
      </c>
      <c r="AP500">
        <f xml:space="preserve"> [1]Factors!B500</f>
        <v>-4.13603715E-2</v>
      </c>
      <c r="AQ500">
        <f xml:space="preserve"> [1]Factors!C500</f>
        <v>0.185992982</v>
      </c>
      <c r="AR500">
        <f xml:space="preserve"> [1]Factors!D500</f>
        <v>-6.5652528399999993E-2</v>
      </c>
      <c r="AS500">
        <f xml:space="preserve"> [1]Factors!E500</f>
        <v>0.37954756099999998</v>
      </c>
      <c r="AT500">
        <f xml:space="preserve"> [1]Factors!F500</f>
        <v>0.221791976</v>
      </c>
    </row>
    <row r="501" spans="1:46" x14ac:dyDescent="0.25">
      <c r="A501">
        <f t="shared" si="36"/>
        <v>2000.583333333301</v>
      </c>
      <c r="B501" s="1">
        <v>36739</v>
      </c>
      <c r="C501" s="7">
        <f t="shared" si="33"/>
        <v>2000</v>
      </c>
      <c r="D501" s="7">
        <f t="shared" si="34"/>
        <v>8</v>
      </c>
      <c r="E501" s="7">
        <f t="shared" si="35"/>
        <v>3</v>
      </c>
      <c r="F501">
        <f xml:space="preserve"> [1]Coibion_update!O507</f>
        <v>4.5648220375183959</v>
      </c>
      <c r="G501">
        <f xml:space="preserve"> [1]Coibion_update!P507</f>
        <v>4.0999999999999996</v>
      </c>
      <c r="H501">
        <f xml:space="preserve"> [1]Coibion_update!Q507</f>
        <v>5.1515559851526325</v>
      </c>
      <c r="I501">
        <f xml:space="preserve"> [1]Coibion_update!W507</f>
        <v>6.5</v>
      </c>
      <c r="J501">
        <f xml:space="preserve"> [1]Coibion_update!X507</f>
        <v>5.3811868443703315</v>
      </c>
      <c r="K501">
        <f xml:space="preserve"> [1]Coibion_update!Y507</f>
        <v>4.3035920083441992</v>
      </c>
      <c r="L501">
        <f xml:space="preserve"> [1]Coibion_update!Z507</f>
        <v>4.4556836122877099</v>
      </c>
      <c r="M501">
        <f xml:space="preserve"> [1]Coibion_update!AA507</f>
        <v>4.4383597080140422</v>
      </c>
      <c r="N501">
        <f xml:space="preserve"> [1]Coibion_update!AB507</f>
        <v>-6.7214999999999997E-2</v>
      </c>
      <c r="O501">
        <f xml:space="preserve"> [1]Coibion_update!AC507</f>
        <v>0.56566849999999846</v>
      </c>
      <c r="Q501">
        <f xml:space="preserve"> [1]Barakchian_Crowe!B380</f>
        <v>0.20646490000000001</v>
      </c>
      <c r="R501">
        <f xml:space="preserve"> [1]Barakchian_Crowe!C380</f>
        <v>-1.505627</v>
      </c>
      <c r="S501">
        <f xml:space="preserve"> [1]Gertler_Karadi!C255</f>
        <v>-5.5516000000000003E-3</v>
      </c>
      <c r="T501">
        <f xml:space="preserve"> [1]Gertler_Karadi!D255</f>
        <v>1.6129E-3</v>
      </c>
      <c r="U501">
        <f xml:space="preserve"> [1]Gertler_Karadi!E255</f>
        <v>4.8386999999999996E-3</v>
      </c>
      <c r="V501">
        <f xml:space="preserve"> [1]Gertler_Karadi!F255</f>
        <v>9.6773999999999992E-3</v>
      </c>
      <c r="W501">
        <f xml:space="preserve"> [1]Gertler_Karadi!G255</f>
        <v>9.6773999999999992E-3</v>
      </c>
      <c r="X501" s="5">
        <f xml:space="preserve"> [1]misc!N584</f>
        <v>6.18</v>
      </c>
      <c r="Y501">
        <f xml:space="preserve"> [1]Gilchrist_Zak!C333</f>
        <v>0.76959999999999995</v>
      </c>
      <c r="Z501">
        <f xml:space="preserve"> [1]Sims_Zha!B504</f>
        <v>0.46237</v>
      </c>
      <c r="AA501">
        <f xml:space="preserve"> [1]Coibion_update!AI507</f>
        <v>-4.9618599999999999E-2</v>
      </c>
      <c r="AB501">
        <f t="shared" si="37"/>
        <v>1.4697272999999997</v>
      </c>
      <c r="AC501">
        <v>-4.9618599999999999E-2</v>
      </c>
      <c r="AD501">
        <v>-1.721E-2</v>
      </c>
      <c r="AE501">
        <v>-5.0000000000000001E-3</v>
      </c>
      <c r="AF501">
        <v>5.0000000000000001E-3</v>
      </c>
      <c r="AG501">
        <v>1.4999999999999999E-2</v>
      </c>
      <c r="AH501">
        <v>1.59989E-2</v>
      </c>
      <c r="AI501">
        <v>1.6977200000000001E-2</v>
      </c>
      <c r="AJ501">
        <v>2.0431299999999999E-2</v>
      </c>
      <c r="AK501">
        <v>6.65</v>
      </c>
      <c r="AL501">
        <f xml:space="preserve"> LN([1]misc!B520)</f>
        <v>7.0035199009665163</v>
      </c>
      <c r="AM501">
        <f xml:space="preserve"> LN([1]misc!D520)</f>
        <v>8.4752247065937354</v>
      </c>
      <c r="AN501">
        <f xml:space="preserve"> LN([1]misc!G625)</f>
        <v>1.9404667893892471</v>
      </c>
      <c r="AO501">
        <f xml:space="preserve"> LN([1]misc!J531 + [1]misc!L531)</f>
        <v>3.6695437178071941</v>
      </c>
      <c r="AP501">
        <f xml:space="preserve"> [1]Factors!B501</f>
        <v>0.149668677</v>
      </c>
      <c r="AQ501">
        <f xml:space="preserve"> [1]Factors!C501</f>
        <v>-3.7855327100000002E-2</v>
      </c>
      <c r="AR501">
        <f xml:space="preserve"> [1]Factors!D501</f>
        <v>-9.6266739200000007E-2</v>
      </c>
      <c r="AS501">
        <f xml:space="preserve"> [1]Factors!E501</f>
        <v>-0.127241775</v>
      </c>
      <c r="AT501">
        <f xml:space="preserve"> [1]Factors!F501</f>
        <v>0.13653346</v>
      </c>
    </row>
    <row r="502" spans="1:46" x14ac:dyDescent="0.25">
      <c r="A502">
        <f t="shared" si="36"/>
        <v>2000.6666666666342</v>
      </c>
      <c r="B502" s="1">
        <v>36770</v>
      </c>
      <c r="C502" s="7">
        <f t="shared" si="33"/>
        <v>2000</v>
      </c>
      <c r="D502" s="7">
        <f t="shared" si="34"/>
        <v>9</v>
      </c>
      <c r="E502" s="7">
        <f t="shared" si="35"/>
        <v>3</v>
      </c>
      <c r="F502">
        <f xml:space="preserve"> [1]Coibion_update!O508</f>
        <v>4.568873354124781</v>
      </c>
      <c r="G502">
        <f xml:space="preserve"> [1]Coibion_update!P508</f>
        <v>3.9</v>
      </c>
      <c r="H502">
        <f xml:space="preserve"> [1]Coibion_update!Q508</f>
        <v>5.15675380222625</v>
      </c>
      <c r="I502">
        <f xml:space="preserve"> [1]Coibion_update!W508</f>
        <v>6.52</v>
      </c>
      <c r="J502">
        <f xml:space="preserve"> [1]Coibion_update!X508</f>
        <v>5.3963511068194023</v>
      </c>
      <c r="K502">
        <f xml:space="preserve"> [1]Coibion_update!Y508</f>
        <v>4.3291004288644768</v>
      </c>
      <c r="L502">
        <f xml:space="preserve"> [1]Coibion_update!Z508</f>
        <v>4.4633070376249799</v>
      </c>
      <c r="M502">
        <f xml:space="preserve"> [1]Coibion_update!AA508</f>
        <v>4.4427453697085877</v>
      </c>
      <c r="N502">
        <f xml:space="preserve"> [1]Coibion_update!AB508</f>
        <v>0</v>
      </c>
      <c r="O502">
        <f xml:space="preserve"> [1]Coibion_update!AC508</f>
        <v>0.56566849999999846</v>
      </c>
      <c r="Q502">
        <f xml:space="preserve"> [1]Barakchian_Crowe!B381</f>
        <v>0</v>
      </c>
      <c r="R502">
        <f xml:space="preserve"> [1]Barakchian_Crowe!C381</f>
        <v>-1.505627</v>
      </c>
      <c r="S502">
        <f xml:space="preserve"> [1]Gertler_Karadi!C256</f>
        <v>-1.1658399999999999E-2</v>
      </c>
      <c r="T502">
        <f xml:space="preserve"> [1]Gertler_Karadi!D256</f>
        <v>3.3871999999999999E-3</v>
      </c>
      <c r="U502">
        <f xml:space="preserve"> [1]Gertler_Karadi!E256</f>
        <v>1.01612E-2</v>
      </c>
      <c r="V502">
        <f xml:space="preserve"> [1]Gertler_Karadi!F256</f>
        <v>2.03226E-2</v>
      </c>
      <c r="W502">
        <f xml:space="preserve"> [1]Gertler_Karadi!G256</f>
        <v>2.03226E-2</v>
      </c>
      <c r="X502" s="5">
        <f xml:space="preserve"> [1]misc!N585</f>
        <v>6.13</v>
      </c>
      <c r="Y502">
        <f xml:space="preserve"> [1]Gilchrist_Zak!C334</f>
        <v>0.82240000000000002</v>
      </c>
      <c r="Z502">
        <f xml:space="preserve"> [1]Sims_Zha!B505</f>
        <v>0.90156000000000003</v>
      </c>
      <c r="AA502">
        <f xml:space="preserve"> [1]Coibion_update!AI508</f>
        <v>0</v>
      </c>
      <c r="AB502">
        <f t="shared" si="37"/>
        <v>1.4697272999999997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6.6</v>
      </c>
      <c r="AL502">
        <f xml:space="preserve"> LN([1]misc!B521)</f>
        <v>7.0025198554265602</v>
      </c>
      <c r="AM502">
        <f xml:space="preserve"> LN([1]misc!D521)</f>
        <v>8.4826224503660423</v>
      </c>
      <c r="AN502">
        <f xml:space="preserve"> LN([1]misc!G626)</f>
        <v>1.9255616585171844</v>
      </c>
      <c r="AO502">
        <f xml:space="preserve"> LN([1]misc!J532 + [1]misc!L532)</f>
        <v>3.6655596487923194</v>
      </c>
      <c r="AP502">
        <f xml:space="preserve"> [1]Factors!B502</f>
        <v>0.32676613700000001</v>
      </c>
      <c r="AQ502">
        <f xml:space="preserve"> [1]Factors!C502</f>
        <v>-0.18980761299999999</v>
      </c>
      <c r="AR502">
        <f xml:space="preserve"> [1]Factors!D502</f>
        <v>-0.19099704000000001</v>
      </c>
      <c r="AS502">
        <f xml:space="preserve"> [1]Factors!E502</f>
        <v>-0.26786076399999997</v>
      </c>
      <c r="AT502">
        <f xml:space="preserve"> [1]Factors!F502</f>
        <v>9.6705501299999996E-2</v>
      </c>
    </row>
    <row r="503" spans="1:46" x14ac:dyDescent="0.25">
      <c r="A503">
        <f t="shared" si="36"/>
        <v>2000.7499999999675</v>
      </c>
      <c r="B503" s="1">
        <v>36800</v>
      </c>
      <c r="C503" s="7">
        <f t="shared" si="33"/>
        <v>2000</v>
      </c>
      <c r="D503" s="7">
        <f t="shared" si="34"/>
        <v>10</v>
      </c>
      <c r="E503" s="7">
        <f t="shared" si="35"/>
        <v>4</v>
      </c>
      <c r="F503">
        <f xml:space="preserve"> [1]Coibion_update!O509</f>
        <v>4.5654892069287065</v>
      </c>
      <c r="G503">
        <f xml:space="preserve"> [1]Coibion_update!P509</f>
        <v>3.9</v>
      </c>
      <c r="H503">
        <f xml:space="preserve"> [1]Coibion_update!Q509</f>
        <v>5.1584804213602373</v>
      </c>
      <c r="I503">
        <f xml:space="preserve"> [1]Coibion_update!W509</f>
        <v>6.51</v>
      </c>
      <c r="J503">
        <f xml:space="preserve"> [1]Coibion_update!X509</f>
        <v>5.4123154706014489</v>
      </c>
      <c r="K503">
        <f xml:space="preserve"> [1]Coibion_update!Y509</f>
        <v>4.319432887902809</v>
      </c>
      <c r="L503">
        <f xml:space="preserve"> [1]Coibion_update!Z509</f>
        <v>4.4637563800372133</v>
      </c>
      <c r="M503">
        <f xml:space="preserve"> [1]Coibion_update!AA509</f>
        <v>4.4439445374888695</v>
      </c>
      <c r="N503">
        <f xml:space="preserve"> [1]Coibion_update!AB509</f>
        <v>-2.9677700000000001E-2</v>
      </c>
      <c r="O503">
        <f xml:space="preserve"> [1]Coibion_update!AC509</f>
        <v>0.53599079999999844</v>
      </c>
      <c r="Q503">
        <f xml:space="preserve"> [1]Barakchian_Crowe!B382</f>
        <v>0.46248869999999997</v>
      </c>
      <c r="R503">
        <f xml:space="preserve"> [1]Barakchian_Crowe!C382</f>
        <v>-1.0431379999999999</v>
      </c>
      <c r="S503">
        <f xml:space="preserve"> [1]Gertler_Karadi!C257</f>
        <v>0</v>
      </c>
      <c r="T503">
        <f xml:space="preserve"> [1]Gertler_Karadi!D257</f>
        <v>2.3387000000000002E-2</v>
      </c>
      <c r="U503">
        <f xml:space="preserve"> [1]Gertler_Karadi!E257</f>
        <v>3.7419300000000003E-2</v>
      </c>
      <c r="V503">
        <f xml:space="preserve"> [1]Gertler_Karadi!F257</f>
        <v>4.6774099999999999E-2</v>
      </c>
      <c r="W503">
        <f xml:space="preserve"> [1]Gertler_Karadi!G257</f>
        <v>6.0806499999999999E-2</v>
      </c>
      <c r="X503" s="5">
        <f xml:space="preserve"> [1]misc!N586</f>
        <v>6.01</v>
      </c>
      <c r="Y503">
        <f xml:space="preserve"> [1]Gilchrist_Zak!C335</f>
        <v>1.2587999999999999</v>
      </c>
      <c r="Z503">
        <f xml:space="preserve"> [1]Sims_Zha!B506</f>
        <v>0.94828000000000001</v>
      </c>
      <c r="AA503">
        <f xml:space="preserve"> [1]Coibion_update!AI509</f>
        <v>5.7254999999999997E-3</v>
      </c>
      <c r="AB503">
        <f t="shared" si="37"/>
        <v>1.4754527999999998</v>
      </c>
      <c r="AC503">
        <v>5.7254999999999997E-3</v>
      </c>
      <c r="AD503">
        <v>0</v>
      </c>
      <c r="AE503">
        <v>0</v>
      </c>
      <c r="AF503">
        <v>2.5000000000000001E-2</v>
      </c>
      <c r="AG503">
        <v>0.04</v>
      </c>
      <c r="AH503">
        <v>2.52526E-2</v>
      </c>
      <c r="AI503">
        <v>2.3376000000000001E-2</v>
      </c>
      <c r="AJ503">
        <v>4.3768799999999997E-2</v>
      </c>
      <c r="AK503">
        <v>6.59</v>
      </c>
      <c r="AL503">
        <f xml:space="preserve"> LN([1]misc!B522)</f>
        <v>7.0017008918246653</v>
      </c>
      <c r="AM503">
        <f xml:space="preserve"> LN([1]misc!D522)</f>
        <v>8.4860120739326632</v>
      </c>
      <c r="AN503">
        <f xml:space="preserve"> LN([1]misc!G627)</f>
        <v>1.906426544206181</v>
      </c>
      <c r="AO503">
        <f xml:space="preserve"> LN([1]misc!J533 + [1]misc!L533)</f>
        <v>3.6623044459281373</v>
      </c>
      <c r="AP503">
        <f xml:space="preserve"> [1]Factors!B503</f>
        <v>-9.1336805800000004E-2</v>
      </c>
      <c r="AQ503">
        <f xml:space="preserve"> [1]Factors!C503</f>
        <v>0.21662520800000001</v>
      </c>
      <c r="AR503">
        <f xml:space="preserve"> [1]Factors!D503</f>
        <v>7.6102391899999997E-2</v>
      </c>
      <c r="AS503">
        <f xml:space="preserve"> [1]Factors!E503</f>
        <v>0.11668715</v>
      </c>
      <c r="AT503">
        <f xml:space="preserve"> [1]Factors!F503</f>
        <v>-4.1699870299999997E-2</v>
      </c>
    </row>
    <row r="504" spans="1:46" x14ac:dyDescent="0.25">
      <c r="A504">
        <f t="shared" si="36"/>
        <v>2000.8333333333007</v>
      </c>
      <c r="B504" s="1">
        <v>36831</v>
      </c>
      <c r="C504" s="7">
        <f t="shared" si="33"/>
        <v>2000</v>
      </c>
      <c r="D504" s="7">
        <f t="shared" si="34"/>
        <v>11</v>
      </c>
      <c r="E504" s="7">
        <f t="shared" si="35"/>
        <v>4</v>
      </c>
      <c r="F504">
        <f xml:space="preserve"> [1]Coibion_update!O510</f>
        <v>4.565676475574449</v>
      </c>
      <c r="G504">
        <f xml:space="preserve"> [1]Coibion_update!P510</f>
        <v>3.9</v>
      </c>
      <c r="H504">
        <f xml:space="preserve"> [1]Coibion_update!Q510</f>
        <v>5.1602040644184024</v>
      </c>
      <c r="I504">
        <f xml:space="preserve"> [1]Coibion_update!W510</f>
        <v>6.51</v>
      </c>
      <c r="J504">
        <f xml:space="preserve"> [1]Coibion_update!X510</f>
        <v>5.4084713750399294</v>
      </c>
      <c r="K504">
        <f xml:space="preserve"> [1]Coibion_update!Y510</f>
        <v>4.3113493095769009</v>
      </c>
      <c r="L504">
        <f xml:space="preserve"> [1]Coibion_update!Z510</f>
        <v>4.462084726844461</v>
      </c>
      <c r="M504">
        <f xml:space="preserve"> [1]Coibion_update!AA510</f>
        <v>4.447439773222114</v>
      </c>
      <c r="N504">
        <f xml:space="preserve"> [1]Coibion_update!AB510</f>
        <v>2.4629999999999999E-2</v>
      </c>
      <c r="O504">
        <f xml:space="preserve"> [1]Coibion_update!AC510</f>
        <v>0.56062079999999848</v>
      </c>
      <c r="Q504">
        <f xml:space="preserve"> [1]Barakchian_Crowe!B383</f>
        <v>0.15653529999999999</v>
      </c>
      <c r="R504">
        <f xml:space="preserve"> [1]Barakchian_Crowe!C383</f>
        <v>-0.88660289999999997</v>
      </c>
      <c r="S504">
        <f xml:space="preserve"> [1]Gertler_Karadi!C258</f>
        <v>-5.3279E-3</v>
      </c>
      <c r="T504">
        <f xml:space="preserve"> [1]Gertler_Karadi!D258</f>
        <v>1.6129E-3</v>
      </c>
      <c r="U504">
        <f xml:space="preserve"> [1]Gertler_Karadi!E258</f>
        <v>1.05808E-2</v>
      </c>
      <c r="V504">
        <f xml:space="preserve"> [1]Gertler_Karadi!F258</f>
        <v>8.5591E-3</v>
      </c>
      <c r="W504">
        <f xml:space="preserve"> [1]Gertler_Karadi!G258</f>
        <v>4.1935000000000002E-3</v>
      </c>
      <c r="X504" s="5">
        <f xml:space="preserve"> [1]misc!N587</f>
        <v>6.09</v>
      </c>
      <c r="Y504">
        <f xml:space="preserve"> [1]Gilchrist_Zak!C336</f>
        <v>1.2965</v>
      </c>
      <c r="Z504">
        <f xml:space="preserve"> [1]Sims_Zha!B507</f>
        <v>0.31286000000000003</v>
      </c>
      <c r="AA504">
        <f xml:space="preserve"> [1]Coibion_update!AI510</f>
        <v>1.0177800000000001E-2</v>
      </c>
      <c r="AB504">
        <f t="shared" si="37"/>
        <v>1.4856305999999997</v>
      </c>
      <c r="AC504">
        <v>1.0177800000000001E-2</v>
      </c>
      <c r="AD504">
        <v>-9.9900000000000006E-3</v>
      </c>
      <c r="AE504">
        <v>-5.0000000000000001E-3</v>
      </c>
      <c r="AF504">
        <v>0</v>
      </c>
      <c r="AG504">
        <v>1.4999999999999999E-2</v>
      </c>
      <c r="AH504">
        <v>2.2875300000000001E-2</v>
      </c>
      <c r="AI504">
        <v>-5.5402000000000003E-3</v>
      </c>
      <c r="AJ504">
        <v>1.32199E-2</v>
      </c>
      <c r="AK504">
        <v>6.62</v>
      </c>
      <c r="AL504">
        <f xml:space="preserve"> LN([1]misc!B523)</f>
        <v>6.9960408438494976</v>
      </c>
      <c r="AM504">
        <f xml:space="preserve"> LN([1]misc!D523)</f>
        <v>8.4882380069608168</v>
      </c>
      <c r="AN504">
        <f xml:space="preserve"> LN([1]misc!G628)</f>
        <v>1.9554360617087172</v>
      </c>
      <c r="AO504">
        <f xml:space="preserve"> LN([1]misc!J534 + [1]misc!L534)</f>
        <v>3.6661224669913199</v>
      </c>
      <c r="AP504">
        <f xml:space="preserve"> [1]Factors!B504</f>
        <v>0.23620266000000001</v>
      </c>
      <c r="AQ504">
        <f xml:space="preserve"> [1]Factors!C504</f>
        <v>-8.4729315600000008E-3</v>
      </c>
      <c r="AR504">
        <f xml:space="preserve"> [1]Factors!D504</f>
        <v>-7.2628480199999998E-2</v>
      </c>
      <c r="AS504">
        <f xml:space="preserve"> [1]Factors!E504</f>
        <v>-0.236808983</v>
      </c>
      <c r="AT504">
        <f xml:space="preserve"> [1]Factors!F504</f>
        <v>0.11851505499999999</v>
      </c>
    </row>
    <row r="505" spans="1:46" x14ac:dyDescent="0.25">
      <c r="A505">
        <f t="shared" si="36"/>
        <v>2000.916666666634</v>
      </c>
      <c r="B505" s="1">
        <v>36861</v>
      </c>
      <c r="C505" s="7">
        <f t="shared" si="33"/>
        <v>2000</v>
      </c>
      <c r="D505" s="7">
        <f t="shared" si="34"/>
        <v>12</v>
      </c>
      <c r="E505" s="7">
        <f t="shared" si="35"/>
        <v>4</v>
      </c>
      <c r="F505">
        <f xml:space="preserve"> [1]Coibion_update!O511</f>
        <v>4.5627229130848379</v>
      </c>
      <c r="G505">
        <f xml:space="preserve"> [1]Coibion_update!P511</f>
        <v>3.9</v>
      </c>
      <c r="H505">
        <f xml:space="preserve"> [1]Coibion_update!Q511</f>
        <v>5.1624976434055014</v>
      </c>
      <c r="I505">
        <f xml:space="preserve"> [1]Coibion_update!W511</f>
        <v>6.4</v>
      </c>
      <c r="J505">
        <f xml:space="preserve"> [1]Coibion_update!X511</f>
        <v>5.4160559567722926</v>
      </c>
      <c r="K505">
        <f xml:space="preserve"> [1]Coibion_update!Y511</f>
        <v>4.3123281571626828</v>
      </c>
      <c r="L505">
        <f xml:space="preserve"> [1]Coibion_update!Z511</f>
        <v>4.471833060206829</v>
      </c>
      <c r="M505">
        <f xml:space="preserve"> [1]Coibion_update!AA511</f>
        <v>4.4517159302679268</v>
      </c>
      <c r="N505">
        <f xml:space="preserve"> [1]Coibion_update!AB511</f>
        <v>0.20349239999999999</v>
      </c>
      <c r="O505">
        <f xml:space="preserve"> [1]Coibion_update!AC511</f>
        <v>0.76411319999999849</v>
      </c>
      <c r="Q505">
        <f xml:space="preserve"> [1]Barakchian_Crowe!B384</f>
        <v>0.59833890000000001</v>
      </c>
      <c r="R505">
        <f xml:space="preserve"> [1]Barakchian_Crowe!C384</f>
        <v>-0.28826400000000002</v>
      </c>
      <c r="S505">
        <f xml:space="preserve"> [1]Gertler_Karadi!C259</f>
        <v>2.24199E-2</v>
      </c>
      <c r="T505">
        <f xml:space="preserve"> [1]Gertler_Karadi!D259</f>
        <v>-2.0967E-3</v>
      </c>
      <c r="U505">
        <f xml:space="preserve"> [1]Gertler_Karadi!E259</f>
        <v>1.5387100000000001E-2</v>
      </c>
      <c r="V505">
        <f xml:space="preserve"> [1]Gertler_Karadi!F259</f>
        <v>1.0957E-2</v>
      </c>
      <c r="W505">
        <f xml:space="preserve"> [1]Gertler_Karadi!G259</f>
        <v>0</v>
      </c>
      <c r="X505" s="5">
        <f xml:space="preserve"> [1]misc!N588</f>
        <v>5.6</v>
      </c>
      <c r="Y505">
        <f xml:space="preserve"> [1]Gilchrist_Zak!C337</f>
        <v>1.369</v>
      </c>
      <c r="Z505">
        <f xml:space="preserve"> [1]Sims_Zha!B508</f>
        <v>-0.80013000000000001</v>
      </c>
      <c r="AA505">
        <f xml:space="preserve"> [1]Coibion_update!AI511</f>
        <v>0.13933960000000001</v>
      </c>
      <c r="AB505">
        <f t="shared" si="37"/>
        <v>1.6249701999999997</v>
      </c>
      <c r="AC505">
        <v>0.13933960000000001</v>
      </c>
      <c r="AD505">
        <v>6.4579999999999999E-2</v>
      </c>
      <c r="AE505">
        <v>2.5000000000000001E-2</v>
      </c>
      <c r="AF505">
        <v>-5.0000000000000001E-3</v>
      </c>
      <c r="AG505">
        <v>0.02</v>
      </c>
      <c r="AH505">
        <v>7.3082900000000006E-2</v>
      </c>
      <c r="AI505">
        <v>2.5168999999999999E-3</v>
      </c>
      <c r="AJ505">
        <v>4.2976100000000003E-2</v>
      </c>
      <c r="AK505">
        <v>5.41</v>
      </c>
      <c r="AL505">
        <f xml:space="preserve"> LN([1]misc!B524)</f>
        <v>6.9919125869888603</v>
      </c>
      <c r="AM505">
        <f xml:space="preserve"> LN([1]misc!D524)</f>
        <v>8.4972965597017804</v>
      </c>
      <c r="AN505">
        <f xml:space="preserve"> LN([1]misc!G629)</f>
        <v>1.9344157696295783</v>
      </c>
      <c r="AO505">
        <f xml:space="preserve"> LN([1]misc!J535 + [1]misc!L535)</f>
        <v>3.6500086797249431</v>
      </c>
      <c r="AP505">
        <f xml:space="preserve"> [1]Factors!B505</f>
        <v>0.15914988799999999</v>
      </c>
      <c r="AQ505">
        <f xml:space="preserve"> [1]Factors!C505</f>
        <v>6.6300592599999996E-3</v>
      </c>
      <c r="AR505">
        <f xml:space="preserve"> [1]Factors!D505</f>
        <v>-0.102382891</v>
      </c>
      <c r="AS505">
        <f xml:space="preserve"> [1]Factors!E505</f>
        <v>-0.18170839</v>
      </c>
      <c r="AT505">
        <f xml:space="preserve"> [1]Factors!F505</f>
        <v>2.9171616300000001E-2</v>
      </c>
    </row>
    <row r="506" spans="1:46" x14ac:dyDescent="0.25">
      <c r="A506">
        <f t="shared" si="36"/>
        <v>2000.9999999999673</v>
      </c>
      <c r="B506" s="1">
        <v>36892</v>
      </c>
      <c r="C506" s="7">
        <f t="shared" si="33"/>
        <v>2001</v>
      </c>
      <c r="D506" s="7">
        <f t="shared" si="34"/>
        <v>1</v>
      </c>
      <c r="E506" s="7">
        <f t="shared" si="35"/>
        <v>1</v>
      </c>
      <c r="F506">
        <f xml:space="preserve"> [1]Coibion_update!O512</f>
        <v>4.5557141501753344</v>
      </c>
      <c r="G506">
        <f xml:space="preserve"> [1]Coibion_update!P512</f>
        <v>4.2</v>
      </c>
      <c r="H506">
        <f xml:space="preserve"> [1]Coibion_update!Q512</f>
        <v>5.1682086812010164</v>
      </c>
      <c r="I506">
        <f xml:space="preserve"> [1]Coibion_update!W512</f>
        <v>5.98</v>
      </c>
      <c r="J506">
        <f xml:space="preserve"> [1]Coibion_update!X512</f>
        <v>5.4197382217523762</v>
      </c>
      <c r="K506">
        <f xml:space="preserve"> [1]Coibion_update!Y512</f>
        <v>4.3161805924363676</v>
      </c>
      <c r="L506">
        <f xml:space="preserve"> [1]Coibion_update!Z512</f>
        <v>4.466069025248653</v>
      </c>
      <c r="M506">
        <f xml:space="preserve"> [1]Coibion_update!AA512</f>
        <v>4.4528461701272404</v>
      </c>
      <c r="N506">
        <f xml:space="preserve"> [1]Coibion_update!AB512</f>
        <v>5.0705E-2</v>
      </c>
      <c r="O506">
        <f xml:space="preserve"> [1]Coibion_update!AC512</f>
        <v>0.81481819999999849</v>
      </c>
      <c r="Q506">
        <f xml:space="preserve"> [1]Barakchian_Crowe!B385</f>
        <v>-0.4302975</v>
      </c>
      <c r="R506">
        <f xml:space="preserve"> [1]Barakchian_Crowe!C385</f>
        <v>-0.71856149999999996</v>
      </c>
      <c r="S506">
        <f xml:space="preserve"> [1]Gertler_Karadi!C260</f>
        <v>-0.3290555</v>
      </c>
      <c r="T506">
        <f xml:space="preserve"> [1]Gertler_Karadi!D260</f>
        <v>-0.14225789999999999</v>
      </c>
      <c r="U506">
        <f xml:space="preserve"> [1]Gertler_Karadi!E260</f>
        <v>-0.1243548</v>
      </c>
      <c r="V506">
        <f xml:space="preserve"> [1]Gertler_Karadi!F260</f>
        <v>-8.5967699999999994E-2</v>
      </c>
      <c r="W506">
        <f xml:space="preserve"> [1]Gertler_Karadi!G260</f>
        <v>-8.5645200000000005E-2</v>
      </c>
      <c r="X506" s="5">
        <f xml:space="preserve"> [1]misc!N589</f>
        <v>4.8099999999999996</v>
      </c>
      <c r="Y506">
        <f xml:space="preserve"> [1]Gilchrist_Zak!C338</f>
        <v>0.91610000000000003</v>
      </c>
      <c r="Z506">
        <f xml:space="preserve"> [1]Sims_Zha!B509</f>
        <v>-2.9214000000000002</v>
      </c>
      <c r="AA506">
        <f xml:space="preserve"> [1]Coibion_update!AI512</f>
        <v>-5.3533999999999998E-2</v>
      </c>
      <c r="AB506">
        <f t="shared" si="37"/>
        <v>1.5714361999999997</v>
      </c>
      <c r="AC506">
        <v>-5.3533999999999998E-2</v>
      </c>
      <c r="AD506">
        <v>-0.35804000000000002</v>
      </c>
      <c r="AE506">
        <v>-0.35</v>
      </c>
      <c r="AF506">
        <v>-0.11999</v>
      </c>
      <c r="AG506">
        <v>-0.155</v>
      </c>
      <c r="AH506">
        <v>-0.27476329999999999</v>
      </c>
      <c r="AI506">
        <v>-9.6669199999999997E-2</v>
      </c>
      <c r="AJ506">
        <v>-8.9728199999999994E-2</v>
      </c>
      <c r="AK506">
        <v>5.74</v>
      </c>
      <c r="AL506">
        <f xml:space="preserve"> LN([1]misc!B525)</f>
        <v>6.9996961526804942</v>
      </c>
      <c r="AM506">
        <f xml:space="preserve"> LN([1]misc!D525)</f>
        <v>8.5074054473451231</v>
      </c>
      <c r="AN506">
        <f xml:space="preserve"> LN([1]misc!G630)</f>
        <v>1.9351380520734023</v>
      </c>
      <c r="AO506">
        <f xml:space="preserve"> LN([1]misc!J536 + [1]misc!L536)</f>
        <v>3.6326265125631378</v>
      </c>
      <c r="AP506">
        <f xml:space="preserve"> [1]Factors!B506</f>
        <v>0.35547374399999998</v>
      </c>
      <c r="AQ506">
        <f xml:space="preserve"> [1]Factors!C506</f>
        <v>4.1754716900000002E-2</v>
      </c>
      <c r="AR506">
        <f xml:space="preserve"> [1]Factors!D506</f>
        <v>-0.36066892900000003</v>
      </c>
      <c r="AS506">
        <f xml:space="preserve"> [1]Factors!E506</f>
        <v>8.8633402599999994E-2</v>
      </c>
      <c r="AT506">
        <f xml:space="preserve"> [1]Factors!F506</f>
        <v>2.8241548799999999E-2</v>
      </c>
    </row>
    <row r="507" spans="1:46" x14ac:dyDescent="0.25">
      <c r="A507">
        <f t="shared" si="36"/>
        <v>2001.0833333333005</v>
      </c>
      <c r="B507" s="1">
        <v>36923</v>
      </c>
      <c r="C507" s="7">
        <f t="shared" si="33"/>
        <v>2001</v>
      </c>
      <c r="D507" s="7">
        <f t="shared" si="34"/>
        <v>2</v>
      </c>
      <c r="E507" s="7">
        <f t="shared" si="35"/>
        <v>1</v>
      </c>
      <c r="F507">
        <f xml:space="preserve"> [1]Coibion_update!O513</f>
        <v>4.5492144603933138</v>
      </c>
      <c r="G507">
        <f xml:space="preserve"> [1]Coibion_update!P513</f>
        <v>4.2</v>
      </c>
      <c r="H507">
        <f xml:space="preserve"> [1]Coibion_update!Q513</f>
        <v>5.1704839950381514</v>
      </c>
      <c r="I507">
        <f xml:space="preserve"> [1]Coibion_update!W513</f>
        <v>5.49</v>
      </c>
      <c r="J507">
        <f xml:space="preserve"> [1]Coibion_update!X513</f>
        <v>5.4122262406558193</v>
      </c>
      <c r="K507">
        <f xml:space="preserve"> [1]Coibion_update!Y513</f>
        <v>4.3436755432899581</v>
      </c>
      <c r="L507">
        <f xml:space="preserve"> [1]Coibion_update!Z513</f>
        <v>4.4598553548232323</v>
      </c>
      <c r="M507">
        <f xml:space="preserve"> [1]Coibion_update!AA513</f>
        <v>4.4515526973224917</v>
      </c>
      <c r="N507">
        <f xml:space="preserve"> [1]Coibion_update!AB513</f>
        <v>0</v>
      </c>
      <c r="O507">
        <f xml:space="preserve"> [1]Coibion_update!AC513</f>
        <v>0.81481819999999849</v>
      </c>
      <c r="Q507">
        <f xml:space="preserve"> [1]Barakchian_Crowe!B386</f>
        <v>0</v>
      </c>
      <c r="R507">
        <f xml:space="preserve"> [1]Barakchian_Crowe!C386</f>
        <v>-0.71856149999999996</v>
      </c>
      <c r="S507">
        <f xml:space="preserve"> [1]Gertler_Karadi!C261</f>
        <v>8.5135000000000002E-3</v>
      </c>
      <c r="T507">
        <f xml:space="preserve"> [1]Gertler_Karadi!D261</f>
        <v>1.9364599999999999E-2</v>
      </c>
      <c r="U507">
        <f xml:space="preserve"> [1]Gertler_Karadi!E261</f>
        <v>-1.9032199999999999E-2</v>
      </c>
      <c r="V507">
        <f xml:space="preserve"> [1]Gertler_Karadi!F261</f>
        <v>-4.0322700000000003E-2</v>
      </c>
      <c r="W507">
        <f xml:space="preserve"> [1]Gertler_Karadi!G261</f>
        <v>-4.9354799999999997E-2</v>
      </c>
      <c r="X507" s="5">
        <f xml:space="preserve"> [1]misc!N590</f>
        <v>4.68</v>
      </c>
      <c r="Y507">
        <f xml:space="preserve"> [1]Gilchrist_Zak!C339</f>
        <v>0.94189999999999996</v>
      </c>
      <c r="Z507">
        <f xml:space="preserve"> [1]Sims_Zha!B510</f>
        <v>-2.4695</v>
      </c>
      <c r="AA507">
        <f xml:space="preserve"> [1]Coibion_update!AI513</f>
        <v>0</v>
      </c>
      <c r="AB507">
        <f t="shared" si="37"/>
        <v>1.5714361999999997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5.59</v>
      </c>
      <c r="AL507">
        <f xml:space="preserve"> LN([1]misc!B526)</f>
        <v>7.0035199009665163</v>
      </c>
      <c r="AM507">
        <f xml:space="preserve"> LN([1]misc!D526)</f>
        <v>8.5150308552515543</v>
      </c>
      <c r="AN507">
        <f xml:space="preserve"> LN([1]misc!G631)</f>
        <v>1.8531680973566984</v>
      </c>
      <c r="AO507">
        <f xml:space="preserve"> LN([1]misc!J537 + [1]misc!L537)</f>
        <v>3.6515409684585682</v>
      </c>
      <c r="AP507">
        <f xml:space="preserve"> [1]Factors!B507</f>
        <v>0.458527717</v>
      </c>
      <c r="AQ507">
        <f xml:space="preserve"> [1]Factors!C507</f>
        <v>0.41320668500000002</v>
      </c>
      <c r="AR507">
        <f xml:space="preserve"> [1]Factors!D507</f>
        <v>-0.19958590900000001</v>
      </c>
      <c r="AS507">
        <f xml:space="preserve"> [1]Factors!E507</f>
        <v>0.21010928100000001</v>
      </c>
      <c r="AT507">
        <f xml:space="preserve"> [1]Factors!F507</f>
        <v>1.1127174700000001E-2</v>
      </c>
    </row>
    <row r="508" spans="1:46" x14ac:dyDescent="0.25">
      <c r="A508">
        <f t="shared" si="36"/>
        <v>2001.1666666666338</v>
      </c>
      <c r="B508" s="1">
        <v>36951</v>
      </c>
      <c r="C508" s="7">
        <f t="shared" si="33"/>
        <v>2001</v>
      </c>
      <c r="D508" s="7">
        <f t="shared" si="34"/>
        <v>3</v>
      </c>
      <c r="E508" s="7">
        <f t="shared" si="35"/>
        <v>1</v>
      </c>
      <c r="F508">
        <f xml:space="preserve"> [1]Coibion_update!O514</f>
        <v>4.5464324079618006</v>
      </c>
      <c r="G508">
        <f xml:space="preserve"> [1]Coibion_update!P514</f>
        <v>4.3</v>
      </c>
      <c r="H508">
        <f xml:space="preserve"> [1]Coibion_update!Q514</f>
        <v>5.17105201550216</v>
      </c>
      <c r="I508">
        <f xml:space="preserve"> [1]Coibion_update!W514</f>
        <v>5.31</v>
      </c>
      <c r="J508">
        <f xml:space="preserve"> [1]Coibion_update!X514</f>
        <v>5.4227890940588761</v>
      </c>
      <c r="K508">
        <f xml:space="preserve"> [1]Coibion_update!Y514</f>
        <v>4.3320219833133473</v>
      </c>
      <c r="L508">
        <f xml:space="preserve"> [1]Coibion_update!Z514</f>
        <v>4.4537657318288586</v>
      </c>
      <c r="M508">
        <f xml:space="preserve"> [1]Coibion_update!AA514</f>
        <v>4.4543705517970489</v>
      </c>
      <c r="N508">
        <f xml:space="preserve"> [1]Coibion_update!AB514</f>
        <v>-0.48659829999999998</v>
      </c>
      <c r="O508">
        <f xml:space="preserve"> [1]Coibion_update!AC514</f>
        <v>0.32821989999999851</v>
      </c>
      <c r="Q508">
        <f xml:space="preserve"> [1]Barakchian_Crowe!B387</f>
        <v>-0.98319219999999996</v>
      </c>
      <c r="R508">
        <f xml:space="preserve"> [1]Barakchian_Crowe!C387</f>
        <v>-1.701754</v>
      </c>
      <c r="S508">
        <f xml:space="preserve"> [1]Gertler_Karadi!C262</f>
        <v>2.7274799999999998E-2</v>
      </c>
      <c r="T508">
        <f xml:space="preserve"> [1]Gertler_Karadi!D262</f>
        <v>-2.9032200000000001E-2</v>
      </c>
      <c r="U508">
        <f xml:space="preserve"> [1]Gertler_Karadi!E262</f>
        <v>-2.5161300000000001E-2</v>
      </c>
      <c r="V508">
        <f xml:space="preserve"> [1]Gertler_Karadi!F262</f>
        <v>-3.48387E-2</v>
      </c>
      <c r="W508">
        <f xml:space="preserve"> [1]Gertler_Karadi!G262</f>
        <v>-3.48387E-2</v>
      </c>
      <c r="X508" s="5">
        <f xml:space="preserve"> [1]misc!N591</f>
        <v>4.3</v>
      </c>
      <c r="Y508">
        <f xml:space="preserve"> [1]Gilchrist_Zak!C340</f>
        <v>0.97889999999999999</v>
      </c>
      <c r="Z508">
        <f xml:space="preserve"> [1]Sims_Zha!B511</f>
        <v>-0.49624000000000001</v>
      </c>
      <c r="AA508">
        <f xml:space="preserve"> [1]Coibion_update!AI514</f>
        <v>-0.38298470000000001</v>
      </c>
      <c r="AB508">
        <f t="shared" si="37"/>
        <v>1.1884514999999998</v>
      </c>
      <c r="AC508">
        <v>-0.38298470000000001</v>
      </c>
      <c r="AD508">
        <v>7.0459999999999995E-2</v>
      </c>
      <c r="AE508">
        <v>2.5000000000000001E-2</v>
      </c>
      <c r="AF508">
        <v>-7.4999999999999997E-2</v>
      </c>
      <c r="AG508">
        <v>-6.5000000000000002E-2</v>
      </c>
      <c r="AH508">
        <v>3.875E-2</v>
      </c>
      <c r="AI508">
        <v>-6.2557100000000004E-2</v>
      </c>
      <c r="AJ508">
        <v>-4.2442500000000001E-2</v>
      </c>
      <c r="AK508">
        <v>5.29</v>
      </c>
      <c r="AL508">
        <f xml:space="preserve"> LN([1]misc!B527)</f>
        <v>7.0107630290563661</v>
      </c>
      <c r="AM508">
        <f xml:space="preserve"> LN([1]misc!D527)</f>
        <v>8.5263511292010037</v>
      </c>
      <c r="AN508">
        <f xml:space="preserve"> LN([1]misc!G632)</f>
        <v>1.8846424633747687</v>
      </c>
      <c r="AO508">
        <f xml:space="preserve"> LN([1]misc!J538 + [1]misc!L538)</f>
        <v>3.6467023752147503</v>
      </c>
      <c r="AP508">
        <f xml:space="preserve"> [1]Factors!B508</f>
        <v>0.50213582199999995</v>
      </c>
      <c r="AQ508">
        <f xml:space="preserve"> [1]Factors!C508</f>
        <v>4.19570742E-2</v>
      </c>
      <c r="AR508">
        <f xml:space="preserve"> [1]Factors!D508</f>
        <v>-0.221003171</v>
      </c>
      <c r="AS508">
        <f xml:space="preserve"> [1]Factors!E508</f>
        <v>-0.235943717</v>
      </c>
      <c r="AT508">
        <f xml:space="preserve"> [1]Factors!F508</f>
        <v>-9.4456327000000007E-2</v>
      </c>
    </row>
    <row r="509" spans="1:46" x14ac:dyDescent="0.25">
      <c r="A509">
        <f t="shared" si="36"/>
        <v>2001.249999999967</v>
      </c>
      <c r="B509" s="1">
        <v>36982</v>
      </c>
      <c r="C509" s="7">
        <f t="shared" si="33"/>
        <v>2001</v>
      </c>
      <c r="D509" s="7">
        <f t="shared" si="34"/>
        <v>4</v>
      </c>
      <c r="E509" s="7">
        <f t="shared" si="35"/>
        <v>2</v>
      </c>
      <c r="F509">
        <f xml:space="preserve"> [1]Coibion_update!O515</f>
        <v>4.5436074993263746</v>
      </c>
      <c r="G509">
        <f xml:space="preserve"> [1]Coibion_update!P515</f>
        <v>4.4000000000000004</v>
      </c>
      <c r="H509">
        <f xml:space="preserve"> [1]Coibion_update!Q515</f>
        <v>5.1727541435726909</v>
      </c>
      <c r="I509">
        <f xml:space="preserve"> [1]Coibion_update!W515</f>
        <v>4.8</v>
      </c>
      <c r="J509">
        <f xml:space="preserve"> [1]Coibion_update!X515</f>
        <v>5.4234510973048025</v>
      </c>
      <c r="K509">
        <f xml:space="preserve"> [1]Coibion_update!Y515</f>
        <v>4.3151253243471217</v>
      </c>
      <c r="L509">
        <f xml:space="preserve"> [1]Coibion_update!Z515</f>
        <v>4.4642861142612187</v>
      </c>
      <c r="M509">
        <f xml:space="preserve"> [1]Coibion_update!AA515</f>
        <v>4.4543472962535073</v>
      </c>
      <c r="N509">
        <f xml:space="preserve"> [1]Coibion_update!AB515</f>
        <v>0</v>
      </c>
      <c r="O509">
        <f xml:space="preserve"> [1]Coibion_update!AC515</f>
        <v>0.32821989999999851</v>
      </c>
      <c r="Q509">
        <f xml:space="preserve"> [1]Barakchian_Crowe!B388</f>
        <v>0</v>
      </c>
      <c r="R509">
        <f xml:space="preserve"> [1]Barakchian_Crowe!C388</f>
        <v>-1.701754</v>
      </c>
      <c r="S509">
        <f xml:space="preserve"> [1]Gertler_Karadi!C263</f>
        <v>-0.14639379999999999</v>
      </c>
      <c r="T509">
        <f xml:space="preserve"> [1]Gertler_Karadi!D263</f>
        <v>-0.20630119999999999</v>
      </c>
      <c r="U509">
        <f xml:space="preserve"> [1]Gertler_Karadi!E263</f>
        <v>-0.17850540000000001</v>
      </c>
      <c r="V509">
        <f xml:space="preserve"> [1]Gertler_Karadi!F263</f>
        <v>-0.2111613</v>
      </c>
      <c r="W509">
        <f xml:space="preserve"> [1]Gertler_Karadi!G263</f>
        <v>-0.1786613</v>
      </c>
      <c r="X509" s="5">
        <f xml:space="preserve"> [1]misc!N592</f>
        <v>3.98</v>
      </c>
      <c r="Y509">
        <f xml:space="preserve"> [1]Gilchrist_Zak!C341</f>
        <v>0.77539999999999998</v>
      </c>
      <c r="Z509">
        <f xml:space="preserve"> [1]Sims_Zha!B512</f>
        <v>-2.266</v>
      </c>
      <c r="AA509">
        <f xml:space="preserve"> [1]Coibion_update!AI515</f>
        <v>0</v>
      </c>
      <c r="AB509">
        <f t="shared" si="37"/>
        <v>1.1884514999999998</v>
      </c>
      <c r="AC509">
        <v>0</v>
      </c>
      <c r="AD509">
        <v>-0.43748999999999999</v>
      </c>
      <c r="AE509">
        <v>-0.17499999999999999</v>
      </c>
      <c r="AF509">
        <v>-0.37</v>
      </c>
      <c r="AG509">
        <v>-0.32</v>
      </c>
      <c r="AH509">
        <v>0</v>
      </c>
      <c r="AI509">
        <v>0</v>
      </c>
      <c r="AJ509">
        <v>0</v>
      </c>
      <c r="AK509">
        <v>4.67</v>
      </c>
      <c r="AL509">
        <f xml:space="preserve"> LN([1]misc!B528)</f>
        <v>7.0167890400062598</v>
      </c>
      <c r="AM509">
        <f xml:space="preserve"> LN([1]misc!D528)</f>
        <v>8.5380344947878868</v>
      </c>
      <c r="AN509">
        <f xml:space="preserve"> LN([1]misc!G633)</f>
        <v>1.922787731634459</v>
      </c>
      <c r="AO509">
        <f xml:space="preserve"> LN([1]misc!J539 + [1]misc!L539)</f>
        <v>3.6461024247578777</v>
      </c>
      <c r="AP509">
        <f xml:space="preserve"> [1]Factors!B509</f>
        <v>0.52092024999999997</v>
      </c>
      <c r="AQ509">
        <f xml:space="preserve"> [1]Factors!C509</f>
        <v>-0.13784370000000001</v>
      </c>
      <c r="AR509">
        <f xml:space="preserve"> [1]Factors!D509</f>
        <v>-0.33729770599999997</v>
      </c>
      <c r="AS509">
        <f xml:space="preserve"> [1]Factors!E509</f>
        <v>-0.29053366400000002</v>
      </c>
      <c r="AT509">
        <f xml:space="preserve"> [1]Factors!F509</f>
        <v>-0.14962116</v>
      </c>
    </row>
    <row r="510" spans="1:46" x14ac:dyDescent="0.25">
      <c r="A510">
        <f t="shared" si="36"/>
        <v>2001.3333333333003</v>
      </c>
      <c r="B510" s="1">
        <v>37012</v>
      </c>
      <c r="C510" s="7">
        <f t="shared" si="33"/>
        <v>2001</v>
      </c>
      <c r="D510" s="7">
        <f t="shared" si="34"/>
        <v>5</v>
      </c>
      <c r="E510" s="7">
        <f t="shared" si="35"/>
        <v>2</v>
      </c>
      <c r="F510">
        <f xml:space="preserve"> [1]Coibion_update!O516</f>
        <v>4.5363837217691225</v>
      </c>
      <c r="G510">
        <f xml:space="preserve"> [1]Coibion_update!P516</f>
        <v>4.3</v>
      </c>
      <c r="H510">
        <f xml:space="preserve"> [1]Coibion_update!Q516</f>
        <v>5.1778432130801626</v>
      </c>
      <c r="I510">
        <f xml:space="preserve"> [1]Coibion_update!W516</f>
        <v>4.21</v>
      </c>
      <c r="J510">
        <f xml:space="preserve"> [1]Coibion_update!X516</f>
        <v>5.4372528805688143</v>
      </c>
      <c r="K510">
        <f xml:space="preserve"> [1]Coibion_update!Y516</f>
        <v>4.3274252429822084</v>
      </c>
      <c r="L510">
        <f xml:space="preserve"> [1]Coibion_update!Z516</f>
        <v>4.4699115883176255</v>
      </c>
      <c r="M510">
        <f xml:space="preserve"> [1]Coibion_update!AA516</f>
        <v>4.4559854885671708</v>
      </c>
      <c r="N510">
        <f xml:space="preserve"> [1]Coibion_update!AB516</f>
        <v>-0.40858650000000002</v>
      </c>
      <c r="O510">
        <f xml:space="preserve"> [1]Coibion_update!AC516</f>
        <v>-8.0366600000001509E-2</v>
      </c>
      <c r="Q510">
        <f xml:space="preserve"> [1]Barakchian_Crowe!B389</f>
        <v>-1.6484920000000001</v>
      </c>
      <c r="R510">
        <f xml:space="preserve"> [1]Barakchian_Crowe!C389</f>
        <v>-3.3502450000000001</v>
      </c>
      <c r="S510">
        <f xml:space="preserve"> [1]Gertler_Karadi!C264</f>
        <v>-0.30103869999999999</v>
      </c>
      <c r="T510">
        <f xml:space="preserve"> [1]Gertler_Karadi!D264</f>
        <v>-0.2864408</v>
      </c>
      <c r="U510">
        <f xml:space="preserve"> [1]Gertler_Karadi!E264</f>
        <v>-0.25536560000000003</v>
      </c>
      <c r="V510">
        <f xml:space="preserve"> [1]Gertler_Karadi!F264</f>
        <v>-0.27529039999999999</v>
      </c>
      <c r="W510">
        <f xml:space="preserve"> [1]Gertler_Karadi!G264</f>
        <v>-0.25198389999999998</v>
      </c>
      <c r="X510" s="5">
        <f xml:space="preserve"> [1]misc!N593</f>
        <v>3.78</v>
      </c>
      <c r="Y510">
        <f xml:space="preserve"> [1]Gilchrist_Zak!C342</f>
        <v>0.68830000000000002</v>
      </c>
      <c r="Z510">
        <f xml:space="preserve"> [1]Sims_Zha!B513</f>
        <v>-2.1835</v>
      </c>
      <c r="AA510">
        <f xml:space="preserve"> [1]Coibion_update!AI516</f>
        <v>-0.2400456</v>
      </c>
      <c r="AB510">
        <f t="shared" si="37"/>
        <v>0.9484058999999998</v>
      </c>
      <c r="AC510">
        <v>-0.2400456</v>
      </c>
      <c r="AD510">
        <v>-9.6879999999999994E-2</v>
      </c>
      <c r="AE510">
        <v>-0.05</v>
      </c>
      <c r="AF510">
        <v>-0.14000000000000001</v>
      </c>
      <c r="AG510">
        <v>-0.13500000000000001</v>
      </c>
      <c r="AH510">
        <v>-1.8684000000000001E-3</v>
      </c>
      <c r="AI510">
        <v>-8.0673599999999998E-2</v>
      </c>
      <c r="AJ510">
        <v>-9.3847399999999997E-2</v>
      </c>
      <c r="AK510">
        <v>4.24</v>
      </c>
      <c r="AL510">
        <f xml:space="preserve"> LN([1]misc!B529)</f>
        <v>7.0211732460176934</v>
      </c>
      <c r="AM510">
        <f xml:space="preserve"> LN([1]misc!D529)</f>
        <v>8.5384849055505256</v>
      </c>
      <c r="AN510">
        <f xml:space="preserve"> LN([1]misc!G634)</f>
        <v>2.0285429062462996</v>
      </c>
      <c r="AO510">
        <f xml:space="preserve"> LN([1]misc!J540 + [1]misc!L540)</f>
        <v>3.648448008319598</v>
      </c>
      <c r="AP510">
        <f xml:space="preserve"> [1]Factors!B510</f>
        <v>0.56043942400000002</v>
      </c>
      <c r="AQ510">
        <f xml:space="preserve"> [1]Factors!C510</f>
        <v>7.6653852800000005E-2</v>
      </c>
      <c r="AR510">
        <f xml:space="preserve"> [1]Factors!D510</f>
        <v>1.1408364400000001E-3</v>
      </c>
      <c r="AS510">
        <f xml:space="preserve"> [1]Factors!E510</f>
        <v>-0.10943596</v>
      </c>
      <c r="AT510">
        <f xml:space="preserve"> [1]Factors!F510</f>
        <v>-0.116372246</v>
      </c>
    </row>
    <row r="511" spans="1:46" x14ac:dyDescent="0.25">
      <c r="A511">
        <f t="shared" si="36"/>
        <v>2001.4166666666335</v>
      </c>
      <c r="B511" s="1">
        <v>37043</v>
      </c>
      <c r="C511" s="7">
        <f t="shared" si="33"/>
        <v>2001</v>
      </c>
      <c r="D511" s="7">
        <f t="shared" si="34"/>
        <v>6</v>
      </c>
      <c r="E511" s="7">
        <f t="shared" si="35"/>
        <v>2</v>
      </c>
      <c r="F511">
        <f xml:space="preserve"> [1]Coibion_update!O517</f>
        <v>4.5298376181692328</v>
      </c>
      <c r="G511">
        <f xml:space="preserve"> [1]Coibion_update!P517</f>
        <v>4.5</v>
      </c>
      <c r="H511">
        <f xml:space="preserve"> [1]Coibion_update!Q517</f>
        <v>5.180096735160606</v>
      </c>
      <c r="I511">
        <f xml:space="preserve"> [1]Coibion_update!W517</f>
        <v>3.97</v>
      </c>
      <c r="J511">
        <f xml:space="preserve"> [1]Coibion_update!X517</f>
        <v>5.4466511610537305</v>
      </c>
      <c r="K511">
        <f xml:space="preserve"> [1]Coibion_update!Y517</f>
        <v>4.3466584908360906</v>
      </c>
      <c r="L511">
        <f xml:space="preserve"> [1]Coibion_update!Z517</f>
        <v>4.4594621002899544</v>
      </c>
      <c r="M511">
        <f xml:space="preserve"> [1]Coibion_update!AA517</f>
        <v>4.4558577828010826</v>
      </c>
      <c r="N511">
        <f xml:space="preserve"> [1]Coibion_update!AB517</f>
        <v>-0.13663239999999999</v>
      </c>
      <c r="O511">
        <f xml:space="preserve"> [1]Coibion_update!AC517</f>
        <v>-0.2169990000000015</v>
      </c>
      <c r="Q511">
        <f xml:space="preserve"> [1]Barakchian_Crowe!B390</f>
        <v>1.7749299999999999</v>
      </c>
      <c r="R511">
        <f xml:space="preserve"> [1]Barakchian_Crowe!C390</f>
        <v>-1.575315</v>
      </c>
      <c r="S511">
        <f xml:space="preserve"> [1]Gertler_Karadi!C265</f>
        <v>-2.9752299999999999E-2</v>
      </c>
      <c r="T511">
        <f xml:space="preserve"> [1]Gertler_Karadi!D265</f>
        <v>-5.3225799999999997E-2</v>
      </c>
      <c r="U511">
        <f xml:space="preserve"> [1]Gertler_Karadi!E265</f>
        <v>-5.2300899999999997E-2</v>
      </c>
      <c r="V511">
        <f xml:space="preserve"> [1]Gertler_Karadi!F265</f>
        <v>-4.8709599999999999E-2</v>
      </c>
      <c r="W511">
        <f xml:space="preserve"> [1]Gertler_Karadi!G265</f>
        <v>-6.6516199999999998E-2</v>
      </c>
      <c r="X511" s="5">
        <f xml:space="preserve"> [1]misc!N594</f>
        <v>3.58</v>
      </c>
      <c r="Y511">
        <f xml:space="preserve"> [1]Gilchrist_Zak!C343</f>
        <v>0.97789999999999999</v>
      </c>
      <c r="Z511">
        <f xml:space="preserve"> [1]Sims_Zha!B514</f>
        <v>-0.13400999999999999</v>
      </c>
      <c r="AA511">
        <f xml:space="preserve"> [1]Coibion_update!AI517</f>
        <v>-0.14057539999999999</v>
      </c>
      <c r="AB511">
        <f t="shared" si="37"/>
        <v>0.80783049999999978</v>
      </c>
      <c r="AC511">
        <v>-0.14057539999999999</v>
      </c>
      <c r="AD511">
        <v>0.105</v>
      </c>
      <c r="AE511">
        <v>1.4999999999999999E-2</v>
      </c>
      <c r="AF511">
        <v>7.4999999999999997E-2</v>
      </c>
      <c r="AG511">
        <v>6.5000000000000002E-2</v>
      </c>
      <c r="AH511">
        <v>3.2191900000000002E-2</v>
      </c>
      <c r="AI511">
        <v>8.4474599999999997E-2</v>
      </c>
      <c r="AJ511">
        <v>8.8316199999999997E-2</v>
      </c>
      <c r="AK511">
        <v>3.95</v>
      </c>
      <c r="AL511">
        <f xml:space="preserve"> LN([1]misc!B530)</f>
        <v>7.0282014320580046</v>
      </c>
      <c r="AM511">
        <f xml:space="preserve"> LN([1]misc!D530)</f>
        <v>8.5463635687160178</v>
      </c>
      <c r="AN511">
        <f xml:space="preserve"> LN([1]misc!G635)</f>
        <v>1.9358598132018119</v>
      </c>
      <c r="AO511">
        <f xml:space="preserve"> LN([1]misc!J541 + [1]misc!L541)</f>
        <v>3.6533558980448895</v>
      </c>
      <c r="AP511">
        <f xml:space="preserve"> [1]Factors!B511</f>
        <v>0.485310933</v>
      </c>
      <c r="AQ511">
        <f xml:space="preserve"> [1]Factors!C511</f>
        <v>0.20962946800000001</v>
      </c>
      <c r="AR511">
        <f xml:space="preserve"> [1]Factors!D511</f>
        <v>8.65194782E-2</v>
      </c>
      <c r="AS511">
        <f xml:space="preserve"> [1]Factors!E511</f>
        <v>-1.8983623499999999E-3</v>
      </c>
      <c r="AT511">
        <f xml:space="preserve"> [1]Factors!F511</f>
        <v>4.1395866400000002E-2</v>
      </c>
    </row>
    <row r="512" spans="1:46" x14ac:dyDescent="0.25">
      <c r="A512">
        <f t="shared" si="36"/>
        <v>2001.4999999999668</v>
      </c>
      <c r="B512" s="1">
        <v>37073</v>
      </c>
      <c r="C512" s="7">
        <f t="shared" si="33"/>
        <v>2001</v>
      </c>
      <c r="D512" s="7">
        <f t="shared" si="34"/>
        <v>7</v>
      </c>
      <c r="E512" s="7">
        <f t="shared" si="35"/>
        <v>3</v>
      </c>
      <c r="F512">
        <f xml:space="preserve"> [1]Coibion_update!O518</f>
        <v>4.5244914427534813</v>
      </c>
      <c r="G512">
        <f xml:space="preserve"> [1]Coibion_update!P518</f>
        <v>4.5999999999999996</v>
      </c>
      <c r="H512">
        <f xml:space="preserve"> [1]Coibion_update!Q518</f>
        <v>5.1784070698754787</v>
      </c>
      <c r="I512">
        <f xml:space="preserve"> [1]Coibion_update!W518</f>
        <v>3.77</v>
      </c>
      <c r="J512">
        <f xml:space="preserve"> [1]Coibion_update!X518</f>
        <v>5.4604362160244717</v>
      </c>
      <c r="K512">
        <f xml:space="preserve"> [1]Coibion_update!Y518</f>
        <v>4.3362444420187538</v>
      </c>
      <c r="L512">
        <f xml:space="preserve"> [1]Coibion_update!Z518</f>
        <v>4.4707240894351683</v>
      </c>
      <c r="M512">
        <f xml:space="preserve"> [1]Coibion_update!AA518</f>
        <v>4.4571688931975757</v>
      </c>
      <c r="N512">
        <f xml:space="preserve"> [1]Coibion_update!AB518</f>
        <v>0</v>
      </c>
      <c r="O512">
        <f xml:space="preserve"> [1]Coibion_update!AC518</f>
        <v>-0.2169990000000015</v>
      </c>
      <c r="Q512">
        <f xml:space="preserve"> [1]Barakchian_Crowe!B391</f>
        <v>0</v>
      </c>
      <c r="R512">
        <f xml:space="preserve"> [1]Barakchian_Crowe!C391</f>
        <v>-1.575315</v>
      </c>
      <c r="S512">
        <f xml:space="preserve"> [1]Gertler_Karadi!C266</f>
        <v>9.10001E-2</v>
      </c>
      <c r="T512">
        <f xml:space="preserve"> [1]Gertler_Karadi!D266</f>
        <v>6.5000100000000005E-2</v>
      </c>
      <c r="U512">
        <f xml:space="preserve"> [1]Gertler_Karadi!E266</f>
        <v>5.6333300000000003E-2</v>
      </c>
      <c r="V512">
        <f xml:space="preserve"> [1]Gertler_Karadi!F266</f>
        <v>6.5000100000000005E-2</v>
      </c>
      <c r="W512">
        <f xml:space="preserve"> [1]Gertler_Karadi!G266</f>
        <v>5.1999999999999998E-2</v>
      </c>
      <c r="X512" s="5">
        <f xml:space="preserve"> [1]misc!N595</f>
        <v>3.62</v>
      </c>
      <c r="Y512">
        <f xml:space="preserve"> [1]Gilchrist_Zak!C344</f>
        <v>0.56599999999999995</v>
      </c>
      <c r="Z512">
        <f xml:space="preserve"> [1]Sims_Zha!B515</f>
        <v>0.36194999999999999</v>
      </c>
      <c r="AA512">
        <f xml:space="preserve"> [1]Coibion_update!AI518</f>
        <v>0</v>
      </c>
      <c r="AB512">
        <f t="shared" si="37"/>
        <v>0.80783049999999978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3.82</v>
      </c>
      <c r="AL512">
        <f xml:space="preserve"> LN([1]misc!B531)</f>
        <v>7.0392220417244431</v>
      </c>
      <c r="AM512">
        <f xml:space="preserve"> LN([1]misc!D531)</f>
        <v>8.5520969074241187</v>
      </c>
      <c r="AN512">
        <f xml:space="preserve"> LN([1]misc!G636)</f>
        <v>2.0394004921426521</v>
      </c>
      <c r="AO512">
        <f xml:space="preserve"> LN([1]misc!J542 + [1]misc!L542)</f>
        <v>3.6684726443362736</v>
      </c>
      <c r="AP512">
        <f xml:space="preserve"> [1]Factors!B512</f>
        <v>0.61657306199999995</v>
      </c>
      <c r="AQ512">
        <f xml:space="preserve"> [1]Factors!C512</f>
        <v>-2.95416979E-2</v>
      </c>
      <c r="AR512">
        <f xml:space="preserve"> [1]Factors!D512</f>
        <v>-0.17864962600000001</v>
      </c>
      <c r="AS512">
        <f xml:space="preserve"> [1]Factors!E512</f>
        <v>-0.153193632</v>
      </c>
      <c r="AT512">
        <f xml:space="preserve"> [1]Factors!F512</f>
        <v>-0.12547728</v>
      </c>
    </row>
    <row r="513" spans="1:46" x14ac:dyDescent="0.25">
      <c r="A513">
        <f t="shared" si="36"/>
        <v>2001.5833333333001</v>
      </c>
      <c r="B513" s="1">
        <v>37104</v>
      </c>
      <c r="C513" s="7">
        <f t="shared" si="33"/>
        <v>2001</v>
      </c>
      <c r="D513" s="7">
        <f t="shared" si="34"/>
        <v>8</v>
      </c>
      <c r="E513" s="7">
        <f t="shared" si="35"/>
        <v>3</v>
      </c>
      <c r="F513">
        <f xml:space="preserve"> [1]Coibion_update!O519</f>
        <v>4.5223319076790869</v>
      </c>
      <c r="G513">
        <f xml:space="preserve"> [1]Coibion_update!P519</f>
        <v>4.9000000000000004</v>
      </c>
      <c r="H513">
        <f xml:space="preserve"> [1]Coibion_update!Q519</f>
        <v>5.1784070698754787</v>
      </c>
      <c r="I513">
        <f xml:space="preserve"> [1]Coibion_update!W519</f>
        <v>3.65</v>
      </c>
      <c r="J513">
        <f xml:space="preserve"> [1]Coibion_update!X519</f>
        <v>5.4637046783012826</v>
      </c>
      <c r="K513">
        <f xml:space="preserve"> [1]Coibion_update!Y519</f>
        <v>4.35985770990282</v>
      </c>
      <c r="L513">
        <f xml:space="preserve"> [1]Coibion_update!Z519</f>
        <v>4.4733744291331572</v>
      </c>
      <c r="M513">
        <f xml:space="preserve"> [1]Coibion_update!AA519</f>
        <v>4.4595546446824086</v>
      </c>
      <c r="N513">
        <f xml:space="preserve"> [1]Coibion_update!AB519</f>
        <v>-0.12755150000000001</v>
      </c>
      <c r="O513">
        <f xml:space="preserve"> [1]Coibion_update!AC519</f>
        <v>-0.34455050000000154</v>
      </c>
      <c r="Q513">
        <f xml:space="preserve"> [1]Barakchian_Crowe!B392</f>
        <v>-0.48249239999999999</v>
      </c>
      <c r="R513">
        <f xml:space="preserve"> [1]Barakchian_Crowe!C392</f>
        <v>-2.0578080000000001</v>
      </c>
      <c r="S513">
        <f xml:space="preserve"> [1]Gertler_Karadi!C267</f>
        <v>5.4964999999999996E-3</v>
      </c>
      <c r="T513">
        <f xml:space="preserve"> [1]Gertler_Karadi!D267</f>
        <v>-7.0968000000000003E-3</v>
      </c>
      <c r="U513">
        <f xml:space="preserve"> [1]Gertler_Karadi!E267</f>
        <v>-1.41935E-2</v>
      </c>
      <c r="V513">
        <f xml:space="preserve"> [1]Gertler_Karadi!F267</f>
        <v>-1.9516200000000001E-2</v>
      </c>
      <c r="W513">
        <f xml:space="preserve"> [1]Gertler_Karadi!G267</f>
        <v>-1.5967800000000001E-2</v>
      </c>
      <c r="X513" s="5">
        <f xml:space="preserve"> [1]misc!N596</f>
        <v>3.47</v>
      </c>
      <c r="Y513">
        <f xml:space="preserve"> [1]Gilchrist_Zak!C345</f>
        <v>0.61180000000000001</v>
      </c>
      <c r="Z513">
        <f xml:space="preserve"> [1]Sims_Zha!B516</f>
        <v>-0.29675000000000001</v>
      </c>
      <c r="AA513">
        <f xml:space="preserve"> [1]Coibion_update!AI519</f>
        <v>-7.33708E-2</v>
      </c>
      <c r="AB513">
        <f t="shared" si="37"/>
        <v>0.73445969999999983</v>
      </c>
      <c r="AC513">
        <v>-7.33708E-2</v>
      </c>
      <c r="AD513">
        <v>1.549E-2</v>
      </c>
      <c r="AE513">
        <v>5.0000000000000001E-3</v>
      </c>
      <c r="AF513">
        <v>-0.02</v>
      </c>
      <c r="AG513">
        <v>-0.04</v>
      </c>
      <c r="AH513">
        <v>3.3484E-2</v>
      </c>
      <c r="AI513">
        <v>-1.0667000000000001E-3</v>
      </c>
      <c r="AJ513">
        <v>1.7703E-3</v>
      </c>
      <c r="AK513">
        <v>3.66</v>
      </c>
      <c r="AL513">
        <f xml:space="preserve"> LN([1]misc!B532)</f>
        <v>7.0481257318294128</v>
      </c>
      <c r="AM513">
        <f xml:space="preserve"> LN([1]misc!D532)</f>
        <v>8.5584886738234083</v>
      </c>
      <c r="AN513">
        <f xml:space="preserve"> LN([1]misc!G637)</f>
        <v>2.0243251591211697</v>
      </c>
      <c r="AO513">
        <f xml:space="preserve"> LN([1]misc!J543 + [1]misc!L543)</f>
        <v>3.6833139956410546</v>
      </c>
      <c r="AP513">
        <f xml:space="preserve"> [1]Factors!B513</f>
        <v>0.60580393300000002</v>
      </c>
      <c r="AQ513">
        <f xml:space="preserve"> [1]Factors!C513</f>
        <v>-0.37366653100000002</v>
      </c>
      <c r="AR513">
        <f xml:space="preserve"> [1]Factors!D513</f>
        <v>-0.16683647300000001</v>
      </c>
      <c r="AS513">
        <f xml:space="preserve"> [1]Factors!E513</f>
        <v>-0.39749484200000001</v>
      </c>
      <c r="AT513">
        <f xml:space="preserve"> [1]Factors!F513</f>
        <v>-0.16296560700000001</v>
      </c>
    </row>
    <row r="514" spans="1:46" x14ac:dyDescent="0.25">
      <c r="A514">
        <f t="shared" si="36"/>
        <v>2001.6666666666333</v>
      </c>
      <c r="B514" s="1">
        <v>37135</v>
      </c>
      <c r="C514" s="7">
        <f t="shared" si="33"/>
        <v>2001</v>
      </c>
      <c r="D514" s="7">
        <f t="shared" si="34"/>
        <v>9</v>
      </c>
      <c r="E514" s="7">
        <f t="shared" si="35"/>
        <v>3</v>
      </c>
      <c r="F514">
        <f xml:space="preserve"> [1]Coibion_update!O520</f>
        <v>4.5189094362981965</v>
      </c>
      <c r="G514">
        <f xml:space="preserve"> [1]Coibion_update!P520</f>
        <v>5</v>
      </c>
      <c r="H514">
        <f xml:space="preserve"> [1]Coibion_update!Q520</f>
        <v>5.1823451902956164</v>
      </c>
      <c r="I514">
        <f xml:space="preserve"> [1]Coibion_update!W520</f>
        <v>3.07</v>
      </c>
      <c r="J514">
        <f xml:space="preserve"> [1]Coibion_update!X520</f>
        <v>5.4232746059524208</v>
      </c>
      <c r="K514">
        <f xml:space="preserve"> [1]Coibion_update!Y520</f>
        <v>4.3273196254495998</v>
      </c>
      <c r="L514">
        <f xml:space="preserve"> [1]Coibion_update!Z520</f>
        <v>4.4634337956728452</v>
      </c>
      <c r="M514">
        <f xml:space="preserve"> [1]Coibion_update!AA520</f>
        <v>4.4546844487135546</v>
      </c>
      <c r="N514">
        <f xml:space="preserve"> [1]Coibion_update!AB520</f>
        <v>0</v>
      </c>
      <c r="O514">
        <f xml:space="preserve"> [1]Coibion_update!AC520</f>
        <v>-0.34455050000000154</v>
      </c>
      <c r="Q514">
        <f xml:space="preserve"> [1]Barakchian_Crowe!B393</f>
        <v>0</v>
      </c>
      <c r="R514">
        <f xml:space="preserve"> [1]Barakchian_Crowe!C393</f>
        <v>-2.0578080000000001</v>
      </c>
      <c r="S514">
        <f xml:space="preserve"> [1]Gertler_Karadi!C268</f>
        <v>9.9933000000000001E-3</v>
      </c>
      <c r="T514">
        <f xml:space="preserve"> [1]Gertler_Karadi!D268</f>
        <v>-1.29032E-2</v>
      </c>
      <c r="U514">
        <f xml:space="preserve"> [1]Gertler_Karadi!E268</f>
        <v>-2.5806699999999998E-2</v>
      </c>
      <c r="V514">
        <f xml:space="preserve"> [1]Gertler_Karadi!F268</f>
        <v>-3.5483800000000003E-2</v>
      </c>
      <c r="W514">
        <f xml:space="preserve"> [1]Gertler_Karadi!G268</f>
        <v>-2.9032200000000001E-2</v>
      </c>
      <c r="X514" s="5">
        <f xml:space="preserve"> [1]misc!N597</f>
        <v>2.82</v>
      </c>
      <c r="Y514">
        <f xml:space="preserve"> [1]Gilchrist_Zak!C346</f>
        <v>1.0023</v>
      </c>
      <c r="Z514">
        <f xml:space="preserve"> [1]Sims_Zha!B517</f>
        <v>-4.8128000000000002</v>
      </c>
      <c r="AA514">
        <f xml:space="preserve"> [1]Coibion_update!AI520</f>
        <v>0</v>
      </c>
      <c r="AB514">
        <f t="shared" si="37"/>
        <v>0.73445969999999983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2.75</v>
      </c>
      <c r="AL514">
        <f xml:space="preserve"> LN([1]misc!B533)</f>
        <v>7.0942348459247553</v>
      </c>
      <c r="AM514">
        <f xml:space="preserve"> LN([1]misc!D533)</f>
        <v>8.579529288998609</v>
      </c>
      <c r="AN514">
        <f xml:space="preserve"> LN([1]misc!G638)</f>
        <v>3.2437635403759799</v>
      </c>
      <c r="AO514">
        <f xml:space="preserve"> LN([1]misc!J544 + [1]misc!L544)</f>
        <v>3.9987876853238831</v>
      </c>
      <c r="AP514">
        <f xml:space="preserve"> [1]Factors!B514</f>
        <v>0.58397965900000004</v>
      </c>
      <c r="AQ514">
        <f xml:space="preserve"> [1]Factors!C514</f>
        <v>-0.13252358</v>
      </c>
      <c r="AR514">
        <f xml:space="preserve"> [1]Factors!D514</f>
        <v>-0.119542888</v>
      </c>
      <c r="AS514">
        <f xml:space="preserve"> [1]Factors!E514</f>
        <v>-8.6099493099999994E-2</v>
      </c>
      <c r="AT514">
        <f xml:space="preserve"> [1]Factors!F514</f>
        <v>-8.9607552800000004E-2</v>
      </c>
    </row>
    <row r="515" spans="1:46" x14ac:dyDescent="0.25">
      <c r="A515">
        <f t="shared" si="36"/>
        <v>2001.7499999999666</v>
      </c>
      <c r="B515" s="1">
        <v>37165</v>
      </c>
      <c r="C515" s="7">
        <f t="shared" ref="C515:C578" si="38">YEAR(B515)</f>
        <v>2001</v>
      </c>
      <c r="D515" s="7">
        <f t="shared" ref="D515:D578" si="39">MONTH(B515)</f>
        <v>10</v>
      </c>
      <c r="E515" s="7">
        <f t="shared" ref="E515:E578" si="40">ROUNDUP(D515/3,0)</f>
        <v>4</v>
      </c>
      <c r="F515">
        <f xml:space="preserve"> [1]Coibion_update!O521</f>
        <v>4.5141967887334351</v>
      </c>
      <c r="G515">
        <f xml:space="preserve"> [1]Coibion_update!P521</f>
        <v>5.3</v>
      </c>
      <c r="H515">
        <f xml:space="preserve"> [1]Coibion_update!Q521</f>
        <v>5.1795338305580696</v>
      </c>
      <c r="I515">
        <f xml:space="preserve"> [1]Coibion_update!W521</f>
        <v>2.4900000000000002</v>
      </c>
      <c r="J515">
        <f xml:space="preserve"> [1]Coibion_update!X521</f>
        <v>5.3552646469897871</v>
      </c>
      <c r="K515">
        <f xml:space="preserve"> [1]Coibion_update!Y521</f>
        <v>4.4582119120201131</v>
      </c>
      <c r="L515">
        <f xml:space="preserve"> [1]Coibion_update!Z521</f>
        <v>4.4752095534620322</v>
      </c>
      <c r="M515">
        <f xml:space="preserve"> [1]Coibion_update!AA521</f>
        <v>4.4599016098968445</v>
      </c>
      <c r="N515">
        <f xml:space="preserve"> [1]Coibion_update!AB521</f>
        <v>-0.16000739999999999</v>
      </c>
      <c r="O515">
        <f xml:space="preserve"> [1]Coibion_update!AC521</f>
        <v>-0.50455790000000156</v>
      </c>
      <c r="Q515">
        <f xml:space="preserve"> [1]Barakchian_Crowe!B394</f>
        <v>-1.887707</v>
      </c>
      <c r="R515">
        <f xml:space="preserve"> [1]Barakchian_Crowe!C394</f>
        <v>-3.9455149999999999</v>
      </c>
      <c r="S515">
        <f xml:space="preserve"> [1]Gertler_Karadi!C269</f>
        <v>-3.62127E-2</v>
      </c>
      <c r="T515">
        <f xml:space="preserve"> [1]Gertler_Karadi!D269</f>
        <v>-3.8709599999999997E-2</v>
      </c>
      <c r="U515">
        <f xml:space="preserve"> [1]Gertler_Karadi!E269</f>
        <v>-5.8064499999999998E-2</v>
      </c>
      <c r="V515">
        <f xml:space="preserve"> [1]Gertler_Karadi!F269</f>
        <v>-5.8064499999999998E-2</v>
      </c>
      <c r="W515">
        <f xml:space="preserve"> [1]Gertler_Karadi!G269</f>
        <v>-5.8064499999999998E-2</v>
      </c>
      <c r="X515" s="5">
        <f xml:space="preserve"> [1]misc!N598</f>
        <v>2.33</v>
      </c>
      <c r="Y515">
        <f xml:space="preserve"> [1]Gilchrist_Zak!C347</f>
        <v>0.86890000000000001</v>
      </c>
      <c r="Z515">
        <f xml:space="preserve"> [1]Sims_Zha!B518</f>
        <v>1.7695000000000001</v>
      </c>
      <c r="AA515">
        <f xml:space="preserve"> [1]Coibion_update!AI521</f>
        <v>-0.1091449</v>
      </c>
      <c r="AB515">
        <f t="shared" si="37"/>
        <v>0.62531479999999984</v>
      </c>
      <c r="AC515">
        <v>-0.1091449</v>
      </c>
      <c r="AD515">
        <v>-3.7420000000000002E-2</v>
      </c>
      <c r="AE515">
        <v>-3.5000000000000003E-2</v>
      </c>
      <c r="AF515">
        <v>-0.04</v>
      </c>
      <c r="AG515">
        <v>-0.06</v>
      </c>
      <c r="AH515">
        <v>2.1488500000000001E-2</v>
      </c>
      <c r="AI515">
        <v>1.39457E-2</v>
      </c>
      <c r="AJ515">
        <v>-3.0982000000000002E-3</v>
      </c>
      <c r="AK515">
        <v>2.66</v>
      </c>
      <c r="AL515">
        <f xml:space="preserve"> LN([1]misc!B534)</f>
        <v>7.060733843579218</v>
      </c>
      <c r="AM515">
        <f xml:space="preserve"> LN([1]misc!D534)</f>
        <v>8.5768950346622823</v>
      </c>
      <c r="AN515">
        <f xml:space="preserve"> LN([1]misc!G639)</f>
        <v>2.4910543803742344</v>
      </c>
      <c r="AO515">
        <f xml:space="preserve"> LN([1]misc!J545 + [1]misc!L545)</f>
        <v>3.8140573028421647</v>
      </c>
      <c r="AP515">
        <f xml:space="preserve"> [1]Factors!B515</f>
        <v>0.58695050400000004</v>
      </c>
      <c r="AQ515">
        <f xml:space="preserve"> [1]Factors!C515</f>
        <v>-6.2041481400000001E-2</v>
      </c>
      <c r="AR515">
        <f xml:space="preserve"> [1]Factors!D515</f>
        <v>-0.17037271700000001</v>
      </c>
      <c r="AS515">
        <f xml:space="preserve"> [1]Factors!E515</f>
        <v>6.0306342399999997E-2</v>
      </c>
      <c r="AT515">
        <f xml:space="preserve"> [1]Factors!F515</f>
        <v>0.13509849099999999</v>
      </c>
    </row>
    <row r="516" spans="1:46" x14ac:dyDescent="0.25">
      <c r="A516">
        <f t="shared" si="36"/>
        <v>2001.8333333332998</v>
      </c>
      <c r="B516" s="1">
        <v>37196</v>
      </c>
      <c r="C516" s="7">
        <f t="shared" si="38"/>
        <v>2001</v>
      </c>
      <c r="D516" s="7">
        <f t="shared" si="39"/>
        <v>11</v>
      </c>
      <c r="E516" s="7">
        <f t="shared" si="40"/>
        <v>4</v>
      </c>
      <c r="F516">
        <f xml:space="preserve"> [1]Coibion_update!O522</f>
        <v>4.5088145598951836</v>
      </c>
      <c r="G516">
        <f xml:space="preserve"> [1]Coibion_update!P522</f>
        <v>5.5</v>
      </c>
      <c r="H516">
        <f xml:space="preserve"> [1]Coibion_update!Q522</f>
        <v>5.1789706089154706</v>
      </c>
      <c r="I516">
        <f xml:space="preserve"> [1]Coibion_update!W522</f>
        <v>2.09</v>
      </c>
      <c r="J516">
        <f xml:space="preserve"> [1]Coibion_update!X522</f>
        <v>5.3525687813799525</v>
      </c>
      <c r="K516">
        <f xml:space="preserve"> [1]Coibion_update!Y522</f>
        <v>4.4225445829767702</v>
      </c>
      <c r="L516">
        <f xml:space="preserve"> [1]Coibion_update!Z522</f>
        <v>4.4773595414926728</v>
      </c>
      <c r="M516">
        <f xml:space="preserve"> [1]Coibion_update!AA522</f>
        <v>4.4592769858076879</v>
      </c>
      <c r="N516">
        <f xml:space="preserve"> [1]Coibion_update!AB522</f>
        <v>-0.17163329999999999</v>
      </c>
      <c r="O516">
        <f xml:space="preserve"> [1]Coibion_update!AC522</f>
        <v>-0.67619120000000155</v>
      </c>
      <c r="Q516">
        <f xml:space="preserve"> [1]Barakchian_Crowe!B395</f>
        <v>-2.0394109999999999</v>
      </c>
      <c r="R516">
        <f xml:space="preserve"> [1]Barakchian_Crowe!C395</f>
        <v>-5.9849259999999997</v>
      </c>
      <c r="S516">
        <f xml:space="preserve"> [1]Gertler_Karadi!C270</f>
        <v>-0.12620709999999999</v>
      </c>
      <c r="T516">
        <f xml:space="preserve"> [1]Gertler_Karadi!D270</f>
        <v>-0.1179571</v>
      </c>
      <c r="U516">
        <f xml:space="preserve"> [1]Gertler_Karadi!E270</f>
        <v>-0.13526869999999999</v>
      </c>
      <c r="V516">
        <f xml:space="preserve"> [1]Gertler_Karadi!F270</f>
        <v>-0.1561022</v>
      </c>
      <c r="W516">
        <f xml:space="preserve"> [1]Gertler_Karadi!G270</f>
        <v>-0.14360210000000001</v>
      </c>
      <c r="X516" s="5">
        <f xml:space="preserve"> [1]misc!N599</f>
        <v>2.1800000000000002</v>
      </c>
      <c r="Y516">
        <f xml:space="preserve"> [1]Gilchrist_Zak!C348</f>
        <v>-0.4335</v>
      </c>
      <c r="Z516">
        <f xml:space="preserve"> [1]Sims_Zha!B519</f>
        <v>-1.389</v>
      </c>
      <c r="AA516">
        <f xml:space="preserve"> [1]Coibion_update!AI522</f>
        <v>-9.7332600000000005E-2</v>
      </c>
      <c r="AB516">
        <f t="shared" si="37"/>
        <v>0.52798219999999985</v>
      </c>
      <c r="AC516">
        <v>-9.7332600000000005E-2</v>
      </c>
      <c r="AD516">
        <v>-0.15</v>
      </c>
      <c r="AE516">
        <v>-0.12</v>
      </c>
      <c r="AF516">
        <v>-0.14000000000000001</v>
      </c>
      <c r="AG516">
        <v>-0.16</v>
      </c>
      <c r="AH516">
        <v>-5.55796E-2</v>
      </c>
      <c r="AI516">
        <v>-8.0125600000000005E-2</v>
      </c>
      <c r="AJ516">
        <v>-8.4221500000000005E-2</v>
      </c>
      <c r="AK516">
        <v>2.06</v>
      </c>
      <c r="AL516">
        <f xml:space="preserve"> LN([1]misc!B535)</f>
        <v>7.0652717168571204</v>
      </c>
      <c r="AM516">
        <f xml:space="preserve"> LN([1]misc!D535)</f>
        <v>8.5849452934670563</v>
      </c>
      <c r="AN516">
        <f xml:space="preserve"> LN([1]misc!G640)</f>
        <v>2.1764548158498336</v>
      </c>
      <c r="AO516">
        <f xml:space="preserve"> LN([1]misc!J546 + [1]misc!L546)</f>
        <v>3.7103473607291773</v>
      </c>
      <c r="AP516">
        <f xml:space="preserve"> [1]Factors!B516</f>
        <v>0.74399522799999995</v>
      </c>
      <c r="AQ516">
        <f xml:space="preserve"> [1]Factors!C516</f>
        <v>-0.27230073300000002</v>
      </c>
      <c r="AR516">
        <f xml:space="preserve"> [1]Factors!D516</f>
        <v>-0.23253077599999999</v>
      </c>
      <c r="AS516">
        <f xml:space="preserve"> [1]Factors!E516</f>
        <v>-0.29876232899999999</v>
      </c>
      <c r="AT516">
        <f xml:space="preserve"> [1]Factors!F516</f>
        <v>-0.47794253399999997</v>
      </c>
    </row>
    <row r="517" spans="1:46" x14ac:dyDescent="0.25">
      <c r="A517">
        <f t="shared" si="36"/>
        <v>2001.9166666666331</v>
      </c>
      <c r="B517" s="1">
        <v>37226</v>
      </c>
      <c r="C517" s="7">
        <f t="shared" si="38"/>
        <v>2001</v>
      </c>
      <c r="D517" s="7">
        <f t="shared" si="39"/>
        <v>12</v>
      </c>
      <c r="E517" s="7">
        <f t="shared" si="40"/>
        <v>4</v>
      </c>
      <c r="F517">
        <f xml:space="preserve"> [1]Coibion_update!O523</f>
        <v>4.5089268709484713</v>
      </c>
      <c r="G517">
        <f xml:space="preserve"> [1]Coibion_update!P523</f>
        <v>5.7</v>
      </c>
      <c r="H517">
        <f xml:space="preserve"> [1]Coibion_update!Q523</f>
        <v>5.1784070698754787</v>
      </c>
      <c r="I517">
        <f xml:space="preserve"> [1]Coibion_update!W523</f>
        <v>1.82</v>
      </c>
      <c r="J517">
        <f xml:space="preserve"> [1]Coibion_update!X523</f>
        <v>5.3658825527104606</v>
      </c>
      <c r="K517">
        <f xml:space="preserve"> [1]Coibion_update!Y523</f>
        <v>4.3816015443357852</v>
      </c>
      <c r="L517">
        <f xml:space="preserve"> [1]Coibion_update!Z523</f>
        <v>4.4802983339381033</v>
      </c>
      <c r="M517">
        <f xml:space="preserve"> [1]Coibion_update!AA523</f>
        <v>4.4642976271066761</v>
      </c>
      <c r="N517">
        <f xml:space="preserve"> [1]Coibion_update!AB523</f>
        <v>-0.22693730000000001</v>
      </c>
      <c r="O517">
        <f xml:space="preserve"> [1]Coibion_update!AC523</f>
        <v>-0.90312850000000156</v>
      </c>
      <c r="Q517">
        <f xml:space="preserve"> [1]Barakchian_Crowe!B396</f>
        <v>-0.3210616</v>
      </c>
      <c r="R517">
        <f xml:space="preserve"> [1]Barakchian_Crowe!C396</f>
        <v>-6.305987</v>
      </c>
      <c r="S517">
        <f xml:space="preserve"> [1]Gertler_Karadi!C271</f>
        <v>-3.0250099999999999E-2</v>
      </c>
      <c r="T517">
        <f xml:space="preserve"> [1]Gertler_Karadi!D271</f>
        <v>-4.3655899999999997E-2</v>
      </c>
      <c r="U517">
        <f xml:space="preserve"> [1]Gertler_Karadi!E271</f>
        <v>-7.4086200000000005E-2</v>
      </c>
      <c r="V517">
        <f xml:space="preserve"> [1]Gertler_Karadi!F271</f>
        <v>-0.1019626</v>
      </c>
      <c r="W517">
        <f xml:space="preserve"> [1]Gertler_Karadi!G271</f>
        <v>-9.9462499999999995E-2</v>
      </c>
      <c r="X517" s="5">
        <f xml:space="preserve"> [1]misc!N600</f>
        <v>2.2200000000000002</v>
      </c>
      <c r="Y517">
        <f xml:space="preserve"> [1]Gilchrist_Zak!C349</f>
        <v>0.35620000000000002</v>
      </c>
      <c r="Z517">
        <f xml:space="preserve"> [1]Sims_Zha!B520</f>
        <v>-0.43844</v>
      </c>
      <c r="AA517">
        <f xml:space="preserve"> [1]Coibion_update!AI523</f>
        <v>9.0832099999999999E-2</v>
      </c>
      <c r="AB517">
        <f t="shared" si="37"/>
        <v>0.61881429999999982</v>
      </c>
      <c r="AC517">
        <v>9.0832099999999999E-2</v>
      </c>
      <c r="AD517">
        <v>-7.7499999999999999E-3</v>
      </c>
      <c r="AE517">
        <v>-5.0000000000000001E-3</v>
      </c>
      <c r="AF517">
        <v>-0.03</v>
      </c>
      <c r="AG517">
        <v>-7.0000000000000007E-2</v>
      </c>
      <c r="AH517">
        <v>3.0164099999999999E-2</v>
      </c>
      <c r="AI517">
        <v>2.53437E-2</v>
      </c>
      <c r="AJ517">
        <v>-7.4194999999999999E-3</v>
      </c>
      <c r="AK517">
        <v>1.52</v>
      </c>
      <c r="AL517">
        <f xml:space="preserve"> LN([1]misc!B536)</f>
        <v>7.0752169728690673</v>
      </c>
      <c r="AM517">
        <f xml:space="preserve"> LN([1]misc!D536)</f>
        <v>8.5947466496313041</v>
      </c>
      <c r="AN517">
        <f xml:space="preserve"> LN([1]misc!G641)</f>
        <v>2.2023226710556512</v>
      </c>
      <c r="AO517">
        <f xml:space="preserve"> LN([1]misc!J547 + [1]misc!L547)</f>
        <v>3.7212740375498075</v>
      </c>
      <c r="AP517">
        <f xml:space="preserve"> [1]Factors!B517</f>
        <v>0.67582858800000001</v>
      </c>
      <c r="AQ517">
        <f xml:space="preserve"> [1]Factors!C517</f>
        <v>-0.25481932299999999</v>
      </c>
      <c r="AR517">
        <f xml:space="preserve"> [1]Factors!D517</f>
        <v>-0.15504956</v>
      </c>
      <c r="AS517">
        <f xml:space="preserve"> [1]Factors!E517</f>
        <v>-0.138445244</v>
      </c>
      <c r="AT517">
        <f xml:space="preserve"> [1]Factors!F517</f>
        <v>-0.21436285599999999</v>
      </c>
    </row>
    <row r="518" spans="1:46" x14ac:dyDescent="0.25">
      <c r="A518">
        <f t="shared" si="36"/>
        <v>2001.9999999999663</v>
      </c>
      <c r="B518" s="1">
        <v>37257</v>
      </c>
      <c r="C518" s="7">
        <f t="shared" si="38"/>
        <v>2002</v>
      </c>
      <c r="D518" s="7">
        <f t="shared" si="39"/>
        <v>1</v>
      </c>
      <c r="E518" s="7">
        <f t="shared" si="40"/>
        <v>1</v>
      </c>
      <c r="F518">
        <f xml:space="preserve"> [1]Coibion_update!O524</f>
        <v>4.5152783006785615</v>
      </c>
      <c r="G518">
        <f xml:space="preserve"> [1]Coibion_update!P524</f>
        <v>5.7</v>
      </c>
      <c r="H518">
        <f xml:space="preserve"> [1]Coibion_update!Q524</f>
        <v>5.180096735160606</v>
      </c>
      <c r="I518">
        <f xml:space="preserve"> [1]Coibion_update!W524</f>
        <v>1.73</v>
      </c>
      <c r="J518">
        <f xml:space="preserve"> [1]Coibion_update!X524</f>
        <v>5.3591772548047993</v>
      </c>
      <c r="K518">
        <f xml:space="preserve"> [1]Coibion_update!Y524</f>
        <v>4.3987608336650466</v>
      </c>
      <c r="L518">
        <f xml:space="preserve"> [1]Coibion_update!Z524</f>
        <v>4.4810684795110243</v>
      </c>
      <c r="M518">
        <f xml:space="preserve"> [1]Coibion_update!AA524</f>
        <v>4.4653792431924249</v>
      </c>
      <c r="N518">
        <f xml:space="preserve"> [1]Coibion_update!AB524</f>
        <v>-0.15401110000000001</v>
      </c>
      <c r="O518">
        <f xml:space="preserve"> [1]Coibion_update!AC524</f>
        <v>-1.0571396000000015</v>
      </c>
      <c r="Q518">
        <f xml:space="preserve"> [1]Barakchian_Crowe!B397</f>
        <v>0.53393420000000003</v>
      </c>
      <c r="R518">
        <f xml:space="preserve"> [1]Barakchian_Crowe!C397</f>
        <v>-5.7720529999999997</v>
      </c>
      <c r="S518">
        <f xml:space="preserve"> [1]Gertler_Karadi!C272</f>
        <v>-8.8719999999999999E-4</v>
      </c>
      <c r="T518">
        <f xml:space="preserve"> [1]Gertler_Karadi!D272</f>
        <v>-8.3870999999999998E-3</v>
      </c>
      <c r="U518">
        <f xml:space="preserve"> [1]Gertler_Karadi!E272</f>
        <v>-2.1290300000000002E-2</v>
      </c>
      <c r="V518">
        <f xml:space="preserve"> [1]Gertler_Karadi!F272</f>
        <v>-3.2258000000000002E-2</v>
      </c>
      <c r="W518">
        <f xml:space="preserve"> [1]Gertler_Karadi!G272</f>
        <v>-3.1935499999999999E-2</v>
      </c>
      <c r="X518" s="5">
        <f xml:space="preserve"> [1]misc!N601</f>
        <v>2.16</v>
      </c>
      <c r="Y518">
        <f xml:space="preserve"> [1]Gilchrist_Zak!C350</f>
        <v>0.49830000000000002</v>
      </c>
      <c r="Z518">
        <f xml:space="preserve"> [1]Sims_Zha!B521</f>
        <v>0.63910999999999996</v>
      </c>
      <c r="AA518">
        <f xml:space="preserve"> [1]Coibion_update!AI524</f>
        <v>6.0436900000000002E-2</v>
      </c>
      <c r="AB518">
        <f t="shared" si="37"/>
        <v>0.67925119999999983</v>
      </c>
      <c r="AC518">
        <v>6.0436900000000002E-2</v>
      </c>
      <c r="AD518">
        <v>2.5000000000000001E-2</v>
      </c>
      <c r="AE518">
        <v>-5.0000000000000001E-3</v>
      </c>
      <c r="AF518">
        <v>0.02</v>
      </c>
      <c r="AG518">
        <v>0.02</v>
      </c>
      <c r="AH518">
        <v>-2.1443E-3</v>
      </c>
      <c r="AI518">
        <v>2.5087000000000002E-2</v>
      </c>
      <c r="AJ518">
        <v>2.8663600000000001E-2</v>
      </c>
      <c r="AK518">
        <v>1.85</v>
      </c>
      <c r="AL518">
        <f xml:space="preserve"> LN([1]misc!B537)</f>
        <v>7.0816245489611083</v>
      </c>
      <c r="AM518">
        <f xml:space="preserve"> LN([1]misc!D537)</f>
        <v>8.5984782040324195</v>
      </c>
      <c r="AN518">
        <f xml:space="preserve"> LN([1]misc!G642)</f>
        <v>2.3016846877508814</v>
      </c>
      <c r="AO518">
        <f xml:space="preserve"> LN([1]misc!J548 + [1]misc!L548)</f>
        <v>3.7288210612068839</v>
      </c>
      <c r="AP518">
        <f xml:space="preserve"> [1]Factors!B518</f>
        <v>0.48863329799999999</v>
      </c>
      <c r="AQ518">
        <f xml:space="preserve"> [1]Factors!C518</f>
        <v>-0.37218835300000003</v>
      </c>
      <c r="AR518">
        <f xml:space="preserve"> [1]Factors!D518</f>
        <v>1.7959591E-2</v>
      </c>
      <c r="AS518">
        <f xml:space="preserve"> [1]Factors!E518</f>
        <v>-0.23412038600000001</v>
      </c>
      <c r="AT518">
        <f xml:space="preserve"> [1]Factors!F518</f>
        <v>-0.247329776</v>
      </c>
    </row>
    <row r="519" spans="1:46" x14ac:dyDescent="0.25">
      <c r="A519">
        <f t="shared" si="36"/>
        <v>2002.0833333332996</v>
      </c>
      <c r="B519" s="1">
        <v>37288</v>
      </c>
      <c r="C519" s="7">
        <f t="shared" si="38"/>
        <v>2002</v>
      </c>
      <c r="D519" s="7">
        <f t="shared" si="39"/>
        <v>2</v>
      </c>
      <c r="E519" s="7">
        <f t="shared" si="40"/>
        <v>1</v>
      </c>
      <c r="F519">
        <f xml:space="preserve"> [1]Coibion_update!O525</f>
        <v>4.5152673600587745</v>
      </c>
      <c r="G519">
        <f xml:space="preserve"> [1]Coibion_update!P525</f>
        <v>5.7</v>
      </c>
      <c r="H519">
        <f xml:space="preserve"> [1]Coibion_update!Q525</f>
        <v>5.181783550292085</v>
      </c>
      <c r="I519">
        <f xml:space="preserve"> [1]Coibion_update!W525</f>
        <v>1.74</v>
      </c>
      <c r="J519">
        <f xml:space="preserve"> [1]Coibion_update!X525</f>
        <v>5.3660694685988553</v>
      </c>
      <c r="K519">
        <f xml:space="preserve"> [1]Coibion_update!Y525</f>
        <v>4.4165246750814493</v>
      </c>
      <c r="L519">
        <f xml:space="preserve"> [1]Coibion_update!Z525</f>
        <v>4.4816230698923443</v>
      </c>
      <c r="M519">
        <f xml:space="preserve"> [1]Coibion_update!AA525</f>
        <v>4.4679061213172568</v>
      </c>
      <c r="N519">
        <f xml:space="preserve"> [1]Coibion_update!AB525</f>
        <v>0</v>
      </c>
      <c r="O519">
        <f xml:space="preserve"> [1]Coibion_update!AC525</f>
        <v>-1.0571396000000015</v>
      </c>
      <c r="Q519">
        <f xml:space="preserve"> [1]Barakchian_Crowe!B398</f>
        <v>0</v>
      </c>
      <c r="R519">
        <f xml:space="preserve"> [1]Barakchian_Crowe!C398</f>
        <v>-5.7720529999999997</v>
      </c>
      <c r="S519">
        <f xml:space="preserve"> [1]Gertler_Karadi!C273</f>
        <v>2.33872E-2</v>
      </c>
      <c r="T519">
        <f xml:space="preserve"> [1]Gertler_Karadi!D273</f>
        <v>1.8709699999999999E-2</v>
      </c>
      <c r="U519">
        <f xml:space="preserve"> [1]Gertler_Karadi!E273</f>
        <v>1.8709699999999999E-2</v>
      </c>
      <c r="V519">
        <f xml:space="preserve"> [1]Gertler_Karadi!F273</f>
        <v>2.33872E-2</v>
      </c>
      <c r="W519">
        <f xml:space="preserve"> [1]Gertler_Karadi!G273</f>
        <v>2.8064700000000001E-2</v>
      </c>
      <c r="X519" s="5">
        <f xml:space="preserve"> [1]misc!N602</f>
        <v>2.23</v>
      </c>
      <c r="Y519">
        <f xml:space="preserve"> [1]Gilchrist_Zak!C351</f>
        <v>0.71160000000000001</v>
      </c>
      <c r="Z519">
        <f xml:space="preserve"> [1]Sims_Zha!B522</f>
        <v>-0.87588999999999995</v>
      </c>
      <c r="AA519">
        <f xml:space="preserve"> [1]Coibion_update!AI525</f>
        <v>0</v>
      </c>
      <c r="AB519">
        <f t="shared" si="37"/>
        <v>0.67925119999999983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1.83</v>
      </c>
      <c r="AL519">
        <f xml:space="preserve"> LN([1]misc!B538)</f>
        <v>7.0814564534824802</v>
      </c>
      <c r="AM519">
        <f xml:space="preserve"> LN([1]misc!D538)</f>
        <v>8.6039211949260608</v>
      </c>
      <c r="AN519">
        <f xml:space="preserve"> LN([1]misc!G643)</f>
        <v>2.2249478232668931</v>
      </c>
      <c r="AO519">
        <f xml:space="preserve"> LN([1]misc!J549 + [1]misc!L549)</f>
        <v>3.7324895582418263</v>
      </c>
      <c r="AP519">
        <f xml:space="preserve"> [1]Factors!B519</f>
        <v>0.26652472599999999</v>
      </c>
      <c r="AQ519">
        <f xml:space="preserve"> [1]Factors!C519</f>
        <v>-0.187652502</v>
      </c>
      <c r="AR519">
        <f xml:space="preserve"> [1]Factors!D519</f>
        <v>8.5459451000000006E-2</v>
      </c>
      <c r="AS519">
        <f xml:space="preserve"> [1]Factors!E519</f>
        <v>-2.6727112599999998E-2</v>
      </c>
      <c r="AT519">
        <f xml:space="preserve"> [1]Factors!F519</f>
        <v>-0.27166130100000002</v>
      </c>
    </row>
    <row r="520" spans="1:46" x14ac:dyDescent="0.25">
      <c r="A520">
        <f t="shared" si="36"/>
        <v>2002.1666666666329</v>
      </c>
      <c r="B520" s="1">
        <v>37316</v>
      </c>
      <c r="C520" s="7">
        <f t="shared" si="38"/>
        <v>2002</v>
      </c>
      <c r="D520" s="7">
        <f t="shared" si="39"/>
        <v>3</v>
      </c>
      <c r="E520" s="7">
        <f t="shared" si="40"/>
        <v>1</v>
      </c>
      <c r="F520">
        <f xml:space="preserve"> [1]Coibion_update!O526</f>
        <v>4.5231485214705094</v>
      </c>
      <c r="G520">
        <f xml:space="preserve"> [1]Coibion_update!P526</f>
        <v>5.7</v>
      </c>
      <c r="H520">
        <f xml:space="preserve"> [1]Coibion_update!Q526</f>
        <v>5.1845886012196933</v>
      </c>
      <c r="I520">
        <f xml:space="preserve"> [1]Coibion_update!W526</f>
        <v>1.73</v>
      </c>
      <c r="J520">
        <f xml:space="preserve"> [1]Coibion_update!X526</f>
        <v>5.3920353704217883</v>
      </c>
      <c r="K520">
        <f xml:space="preserve"> [1]Coibion_update!Y526</f>
        <v>4.4113912433037852</v>
      </c>
      <c r="L520">
        <f xml:space="preserve"> [1]Coibion_update!Z526</f>
        <v>4.4812382847448298</v>
      </c>
      <c r="M520">
        <f xml:space="preserve"> [1]Coibion_update!AA526</f>
        <v>4.4684451276091561</v>
      </c>
      <c r="N520">
        <f xml:space="preserve"> [1]Coibion_update!AB526</f>
        <v>-0.35770659999999999</v>
      </c>
      <c r="O520">
        <f xml:space="preserve"> [1]Coibion_update!AC526</f>
        <v>-1.4148462000000015</v>
      </c>
      <c r="Q520">
        <f xml:space="preserve"> [1]Barakchian_Crowe!B399</f>
        <v>-0.3864206</v>
      </c>
      <c r="R520">
        <f xml:space="preserve"> [1]Barakchian_Crowe!C399</f>
        <v>-6.158474</v>
      </c>
      <c r="S520">
        <f xml:space="preserve"> [1]Gertler_Karadi!C274</f>
        <v>-1.08361E-2</v>
      </c>
      <c r="T520">
        <f xml:space="preserve"> [1]Gertler_Karadi!D274</f>
        <v>-1.88708E-2</v>
      </c>
      <c r="U520">
        <f xml:space="preserve"> [1]Gertler_Karadi!E274</f>
        <v>-3.14515E-2</v>
      </c>
      <c r="V520">
        <f xml:space="preserve"> [1]Gertler_Karadi!F274</f>
        <v>-3.1451699999999999E-2</v>
      </c>
      <c r="W520">
        <f xml:space="preserve"> [1]Gertler_Karadi!G274</f>
        <v>-3.3548399999999999E-2</v>
      </c>
      <c r="X520" s="5">
        <f xml:space="preserve"> [1]misc!N603</f>
        <v>2.57</v>
      </c>
      <c r="Y520">
        <f xml:space="preserve"> [1]Gilchrist_Zak!C352</f>
        <v>0.26179999999999998</v>
      </c>
      <c r="Z520">
        <f xml:space="preserve"> [1]Sims_Zha!B523</f>
        <v>1.0911999999999999</v>
      </c>
      <c r="AA520">
        <f xml:space="preserve"> [1]Coibion_update!AI526</f>
        <v>-0.28607759999999999</v>
      </c>
      <c r="AB520">
        <f t="shared" si="37"/>
        <v>0.39317359999999985</v>
      </c>
      <c r="AC520">
        <v>-0.28607759999999999</v>
      </c>
      <c r="AD520">
        <v>-2.5839999999999998E-2</v>
      </c>
      <c r="AE520">
        <v>-0.01</v>
      </c>
      <c r="AF520">
        <v>-4.4999999999999998E-2</v>
      </c>
      <c r="AG520">
        <v>-7.4999999999999997E-2</v>
      </c>
      <c r="AH520">
        <v>-4.7729000000000001E-2</v>
      </c>
      <c r="AI520">
        <v>-9.1834499999999999E-2</v>
      </c>
      <c r="AJ520">
        <v>-0.1029221</v>
      </c>
      <c r="AK520">
        <v>1.74</v>
      </c>
      <c r="AL520">
        <f xml:space="preserve"> LN([1]misc!B539)</f>
        <v>7.0838072227624966</v>
      </c>
      <c r="AM520">
        <f xml:space="preserve"> LN([1]misc!D539)</f>
        <v>8.6058997973596281</v>
      </c>
      <c r="AN520">
        <f xml:space="preserve"> LN([1]misc!G644)</f>
        <v>2.2089335369125904</v>
      </c>
      <c r="AO520">
        <f xml:space="preserve"> LN([1]misc!J550 + [1]misc!L550)</f>
        <v>3.712937719207007</v>
      </c>
      <c r="AP520">
        <f xml:space="preserve"> [1]Factors!B520</f>
        <v>0.22139750599999999</v>
      </c>
      <c r="AQ520">
        <f xml:space="preserve"> [1]Factors!C520</f>
        <v>-0.14169564900000001</v>
      </c>
      <c r="AR520">
        <f xml:space="preserve"> [1]Factors!D520</f>
        <v>6.3720778199999994E-2</v>
      </c>
      <c r="AS520">
        <f xml:space="preserve"> [1]Factors!E520</f>
        <v>-8.3462374800000003E-2</v>
      </c>
      <c r="AT520">
        <f xml:space="preserve"> [1]Factors!F520</f>
        <v>-7.6170363100000003E-3</v>
      </c>
    </row>
    <row r="521" spans="1:46" x14ac:dyDescent="0.25">
      <c r="A521">
        <f t="shared" si="36"/>
        <v>2002.2499999999661</v>
      </c>
      <c r="B521" s="1">
        <v>37347</v>
      </c>
      <c r="C521" s="7">
        <f t="shared" si="38"/>
        <v>2002</v>
      </c>
      <c r="D521" s="7">
        <f t="shared" si="39"/>
        <v>4</v>
      </c>
      <c r="E521" s="7">
        <f t="shared" si="40"/>
        <v>2</v>
      </c>
      <c r="F521">
        <f xml:space="preserve"> [1]Coibion_update!O527</f>
        <v>4.5275707411156558</v>
      </c>
      <c r="G521">
        <f xml:space="preserve"> [1]Coibion_update!P527</f>
        <v>5.9</v>
      </c>
      <c r="H521">
        <f xml:space="preserve"> [1]Coibion_update!Q527</f>
        <v>5.1890603806110871</v>
      </c>
      <c r="I521">
        <f xml:space="preserve"> [1]Coibion_update!W527</f>
        <v>1.75</v>
      </c>
      <c r="J521">
        <f xml:space="preserve"> [1]Coibion_update!X527</f>
        <v>5.3781908291312002</v>
      </c>
      <c r="K521">
        <f xml:space="preserve"> [1]Coibion_update!Y527</f>
        <v>4.4387849684924907</v>
      </c>
      <c r="L521">
        <f xml:space="preserve"> [1]Coibion_update!Z527</f>
        <v>4.4779389059120485</v>
      </c>
      <c r="M521">
        <f xml:space="preserve"> [1]Coibion_update!AA527</f>
        <v>4.4717759268174895</v>
      </c>
      <c r="N521">
        <f xml:space="preserve"> [1]Coibion_update!AB527</f>
        <v>0</v>
      </c>
      <c r="O521">
        <f xml:space="preserve"> [1]Coibion_update!AC527</f>
        <v>-1.4148462000000015</v>
      </c>
      <c r="Q521">
        <f xml:space="preserve"> [1]Barakchian_Crowe!B400</f>
        <v>0</v>
      </c>
      <c r="R521">
        <f xml:space="preserve"> [1]Barakchian_Crowe!C400</f>
        <v>-6.158474</v>
      </c>
      <c r="S521">
        <f xml:space="preserve"> [1]Gertler_Karadi!C275</f>
        <v>-1.5003900000000001E-2</v>
      </c>
      <c r="T521">
        <f xml:space="preserve"> [1]Gertler_Karadi!D275</f>
        <v>-2.6128999999999999E-2</v>
      </c>
      <c r="U521">
        <f xml:space="preserve"> [1]Gertler_Karadi!E275</f>
        <v>-4.3548299999999998E-2</v>
      </c>
      <c r="V521">
        <f xml:space="preserve"> [1]Gertler_Karadi!F275</f>
        <v>-4.3548299999999998E-2</v>
      </c>
      <c r="W521">
        <f xml:space="preserve"> [1]Gertler_Karadi!G275</f>
        <v>-4.6451800000000001E-2</v>
      </c>
      <c r="X521" s="5">
        <f xml:space="preserve"> [1]misc!N604</f>
        <v>2.48</v>
      </c>
      <c r="Y521">
        <f xml:space="preserve"> [1]Gilchrist_Zak!C353</f>
        <v>0.3831</v>
      </c>
      <c r="Z521">
        <f xml:space="preserve"> [1]Sims_Zha!B524</f>
        <v>-0.40412999999999999</v>
      </c>
      <c r="AA521">
        <f xml:space="preserve"> [1]Coibion_update!AI527</f>
        <v>0</v>
      </c>
      <c r="AB521">
        <f t="shared" si="37"/>
        <v>0.39317359999999985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1.82</v>
      </c>
      <c r="AL521">
        <f xml:space="preserve"> LN([1]misc!B540)</f>
        <v>7.0773292629535893</v>
      </c>
      <c r="AM521">
        <f xml:space="preserve"> LN([1]misc!D540)</f>
        <v>8.6048926649464672</v>
      </c>
      <c r="AN521">
        <f xml:space="preserve"> LN([1]misc!G645)</f>
        <v>2.2733622343171422</v>
      </c>
      <c r="AO521">
        <f xml:space="preserve"> LN([1]misc!J551 + [1]misc!L551)</f>
        <v>3.700511538343644</v>
      </c>
      <c r="AP521">
        <f xml:space="preserve"> [1]Factors!B521</f>
        <v>5.3961908600000004E-3</v>
      </c>
      <c r="AQ521">
        <f xml:space="preserve"> [1]Factors!C521</f>
        <v>4.0594144700000001E-2</v>
      </c>
      <c r="AR521">
        <f xml:space="preserve"> [1]Factors!D521</f>
        <v>0.36627153600000001</v>
      </c>
      <c r="AS521">
        <f xml:space="preserve"> [1]Factors!E521</f>
        <v>5.2242706399999998E-2</v>
      </c>
      <c r="AT521">
        <f xml:space="preserve"> [1]Factors!F521</f>
        <v>-7.6955200000000001E-2</v>
      </c>
    </row>
    <row r="522" spans="1:46" x14ac:dyDescent="0.25">
      <c r="A522">
        <f t="shared" si="36"/>
        <v>2002.3333333332994</v>
      </c>
      <c r="B522" s="1">
        <v>37377</v>
      </c>
      <c r="C522" s="7">
        <f t="shared" si="38"/>
        <v>2002</v>
      </c>
      <c r="D522" s="7">
        <f t="shared" si="39"/>
        <v>5</v>
      </c>
      <c r="E522" s="7">
        <f t="shared" si="40"/>
        <v>2</v>
      </c>
      <c r="F522">
        <f xml:space="preserve"> [1]Coibion_update!O528</f>
        <v>4.531679715448691</v>
      </c>
      <c r="G522">
        <f xml:space="preserve"> [1]Coibion_update!P528</f>
        <v>5.8</v>
      </c>
      <c r="H522">
        <f xml:space="preserve"> [1]Coibion_update!Q528</f>
        <v>5.1901752079283332</v>
      </c>
      <c r="I522">
        <f xml:space="preserve"> [1]Coibion_update!W528</f>
        <v>1.75</v>
      </c>
      <c r="J522">
        <f xml:space="preserve"> [1]Coibion_update!X528</f>
        <v>5.377267169526438</v>
      </c>
      <c r="K522">
        <f xml:space="preserve"> [1]Coibion_update!Y528</f>
        <v>4.3987239552960498</v>
      </c>
      <c r="L522">
        <f xml:space="preserve"> [1]Coibion_update!Z528</f>
        <v>4.4790285644800427</v>
      </c>
      <c r="M522">
        <f xml:space="preserve"> [1]Coibion_update!AA528</f>
        <v>4.4734428793071617</v>
      </c>
      <c r="N522">
        <f xml:space="preserve"> [1]Coibion_update!AB528</f>
        <v>0.17835509999999999</v>
      </c>
      <c r="O522">
        <f xml:space="preserve"> [1]Coibion_update!AC528</f>
        <v>-1.2364911000000016</v>
      </c>
      <c r="Q522">
        <f xml:space="preserve"> [1]Barakchian_Crowe!B401</f>
        <v>-0.7130322</v>
      </c>
      <c r="R522">
        <f xml:space="preserve"> [1]Barakchian_Crowe!C401</f>
        <v>-6.8715060000000001</v>
      </c>
      <c r="S522">
        <f xml:space="preserve"> [1]Gertler_Karadi!C276</f>
        <v>5.2015999999999998E-3</v>
      </c>
      <c r="T522">
        <f xml:space="preserve"> [1]Gertler_Karadi!D276</f>
        <v>-1.6129000000000001E-2</v>
      </c>
      <c r="U522">
        <f xml:space="preserve"> [1]Gertler_Karadi!E276</f>
        <v>-3.2258299999999997E-2</v>
      </c>
      <c r="V522">
        <f xml:space="preserve"> [1]Gertler_Karadi!F276</f>
        <v>-4.4354699999999997E-2</v>
      </c>
      <c r="W522">
        <f xml:space="preserve"> [1]Gertler_Karadi!G276</f>
        <v>-4.8387100000000002E-2</v>
      </c>
      <c r="X522" s="5">
        <f xml:space="preserve"> [1]misc!N605</f>
        <v>2.35</v>
      </c>
      <c r="Y522">
        <f xml:space="preserve"> [1]Gilchrist_Zak!C354</f>
        <v>0.41310000000000002</v>
      </c>
      <c r="Z522">
        <f xml:space="preserve"> [1]Sims_Zha!B525</f>
        <v>-1.7362</v>
      </c>
      <c r="AA522">
        <f xml:space="preserve"> [1]Coibion_update!AI528</f>
        <v>2.5056700000000001E-2</v>
      </c>
      <c r="AB522">
        <f t="shared" si="37"/>
        <v>0.41823029999999983</v>
      </c>
      <c r="AC522">
        <v>2.5056700000000001E-2</v>
      </c>
      <c r="AD522">
        <v>6.45E-3</v>
      </c>
      <c r="AE522">
        <v>5.0000000000000001E-3</v>
      </c>
      <c r="AF522">
        <v>-0.02</v>
      </c>
      <c r="AG522">
        <v>-0.04</v>
      </c>
      <c r="AH522">
        <v>3.1894100000000002E-2</v>
      </c>
      <c r="AI522">
        <v>8.6303999999999999E-3</v>
      </c>
      <c r="AJ522">
        <v>-3.3647799999999999E-2</v>
      </c>
      <c r="AK522">
        <v>1.79</v>
      </c>
      <c r="AL522">
        <f xml:space="preserve"> LN([1]misc!B541)</f>
        <v>7.0828843651945874</v>
      </c>
      <c r="AM522">
        <f xml:space="preserve"> LN([1]misc!D541)</f>
        <v>8.6109749310234491</v>
      </c>
      <c r="AN522">
        <f xml:space="preserve"> LN([1]misc!G646)</f>
        <v>2.2175717186670889</v>
      </c>
      <c r="AO522">
        <f xml:space="preserve"> LN([1]misc!J552 + [1]misc!L552)</f>
        <v>3.6736642883074557</v>
      </c>
      <c r="AP522">
        <f xml:space="preserve"> [1]Factors!B522</f>
        <v>0.13637501699999999</v>
      </c>
      <c r="AQ522">
        <f xml:space="preserve"> [1]Factors!C522</f>
        <v>0.10189532699999999</v>
      </c>
      <c r="AR522">
        <f xml:space="preserve"> [1]Factors!D522</f>
        <v>0.19897367799999999</v>
      </c>
      <c r="AS522">
        <f xml:space="preserve"> [1]Factors!E522</f>
        <v>0.124835169</v>
      </c>
      <c r="AT522">
        <f xml:space="preserve"> [1]Factors!F522</f>
        <v>-2.0815832400000001E-2</v>
      </c>
    </row>
    <row r="523" spans="1:46" x14ac:dyDescent="0.25">
      <c r="A523">
        <f t="shared" si="36"/>
        <v>2002.4166666666326</v>
      </c>
      <c r="B523" s="1">
        <v>37408</v>
      </c>
      <c r="C523" s="7">
        <f t="shared" si="38"/>
        <v>2002</v>
      </c>
      <c r="D523" s="7">
        <f t="shared" si="39"/>
        <v>6</v>
      </c>
      <c r="E523" s="7">
        <f t="shared" si="40"/>
        <v>2</v>
      </c>
      <c r="F523">
        <f xml:space="preserve"> [1]Coibion_update!O529</f>
        <v>4.5412405461113643</v>
      </c>
      <c r="G523">
        <f xml:space="preserve"> [1]Coibion_update!P529</f>
        <v>5.8</v>
      </c>
      <c r="H523">
        <f xml:space="preserve"> [1]Coibion_update!Q529</f>
        <v>5.1907321558680994</v>
      </c>
      <c r="I523">
        <f xml:space="preserve"> [1]Coibion_update!W529</f>
        <v>1.75</v>
      </c>
      <c r="J523">
        <f xml:space="preserve"> [1]Coibion_update!X529</f>
        <v>5.4297402879084551</v>
      </c>
      <c r="K523">
        <f xml:space="preserve"> [1]Coibion_update!Y529</f>
        <v>4.4181295116541603</v>
      </c>
      <c r="L523">
        <f xml:space="preserve"> [1]Coibion_update!Z529</f>
        <v>4.4884565782897283</v>
      </c>
      <c r="M523">
        <f xml:space="preserve"> [1]Coibion_update!AA529</f>
        <v>4.4736710127205699</v>
      </c>
      <c r="N523">
        <f xml:space="preserve"> [1]Coibion_update!AB529</f>
        <v>3.8953399999999999E-2</v>
      </c>
      <c r="O523">
        <f xml:space="preserve"> [1]Coibion_update!AC529</f>
        <v>-1.1975377000000016</v>
      </c>
      <c r="Q523">
        <f xml:space="preserve"> [1]Barakchian_Crowe!B402</f>
        <v>-0.99112089999999997</v>
      </c>
      <c r="R523">
        <f xml:space="preserve"> [1]Barakchian_Crowe!C402</f>
        <v>-7.8626269999999998</v>
      </c>
      <c r="S523">
        <f xml:space="preserve"> [1]Gertler_Karadi!C277</f>
        <v>1.2484E-3</v>
      </c>
      <c r="T523">
        <f xml:space="preserve"> [1]Gertler_Karadi!D277</f>
        <v>-5.5376999999999996E-3</v>
      </c>
      <c r="U523">
        <f xml:space="preserve"> [1]Gertler_Karadi!E277</f>
        <v>-5.2418999999999999E-3</v>
      </c>
      <c r="V523">
        <f xml:space="preserve"> [1]Gertler_Karadi!F277</f>
        <v>-9.8119000000000001E-3</v>
      </c>
      <c r="W523">
        <f xml:space="preserve"> [1]Gertler_Karadi!G277</f>
        <v>-1.07796E-2</v>
      </c>
      <c r="X523" s="5">
        <f xml:space="preserve"> [1]misc!N606</f>
        <v>2.2000000000000002</v>
      </c>
      <c r="Y523">
        <f xml:space="preserve"> [1]Gilchrist_Zak!C355</f>
        <v>0.75229999999999997</v>
      </c>
      <c r="Z523">
        <f xml:space="preserve"> [1]Sims_Zha!B526</f>
        <v>0.13711000000000001</v>
      </c>
      <c r="AA523">
        <f xml:space="preserve"> [1]Coibion_update!AI529</f>
        <v>1.54314E-2</v>
      </c>
      <c r="AB523">
        <f t="shared" si="37"/>
        <v>0.43366169999999982</v>
      </c>
      <c r="AC523">
        <v>1.54314E-2</v>
      </c>
      <c r="AD523">
        <v>0</v>
      </c>
      <c r="AE523">
        <v>0.01</v>
      </c>
      <c r="AF523">
        <v>-0.01</v>
      </c>
      <c r="AG523">
        <v>1.4999999999999999E-2</v>
      </c>
      <c r="AH523">
        <v>1.3991200000000001E-2</v>
      </c>
      <c r="AI523">
        <v>1.6558099999999999E-2</v>
      </c>
      <c r="AJ523">
        <v>2.4928200000000001E-2</v>
      </c>
      <c r="AK523">
        <v>1.73</v>
      </c>
      <c r="AL523">
        <f xml:space="preserve"> LN([1]misc!B542)</f>
        <v>7.0864034304097832</v>
      </c>
      <c r="AM523">
        <f xml:space="preserve"> LN([1]misc!D542)</f>
        <v>8.6155532610293193</v>
      </c>
      <c r="AN523">
        <f xml:space="preserve"> LN([1]misc!G647)</f>
        <v>2.0688860277403194</v>
      </c>
      <c r="AO523">
        <f xml:space="preserve"> LN([1]misc!J553 + [1]misc!L553)</f>
        <v>3.6629973843998327</v>
      </c>
      <c r="AP523">
        <f xml:space="preserve"> [1]Factors!B523</f>
        <v>0.118740583</v>
      </c>
      <c r="AQ523">
        <f xml:space="preserve"> [1]Factors!C523</f>
        <v>-0.218053354</v>
      </c>
      <c r="AR523">
        <f xml:space="preserve"> [1]Factors!D523</f>
        <v>-4.0322707800000003E-2</v>
      </c>
      <c r="AS523">
        <f xml:space="preserve"> [1]Factors!E523</f>
        <v>4.6953750099999997E-2</v>
      </c>
      <c r="AT523">
        <f xml:space="preserve"> [1]Factors!F523</f>
        <v>-4.3931858499999997E-2</v>
      </c>
    </row>
    <row r="524" spans="1:46" x14ac:dyDescent="0.25">
      <c r="A524">
        <f t="shared" si="36"/>
        <v>2002.4999999999659</v>
      </c>
      <c r="B524" s="1">
        <v>37438</v>
      </c>
      <c r="C524" s="7">
        <f t="shared" si="38"/>
        <v>2002</v>
      </c>
      <c r="D524" s="7">
        <f t="shared" si="39"/>
        <v>7</v>
      </c>
      <c r="E524" s="7">
        <f t="shared" si="40"/>
        <v>3</v>
      </c>
      <c r="F524">
        <f xml:space="preserve"> [1]Coibion_update!O530</f>
        <v>4.5390068789338125</v>
      </c>
      <c r="G524">
        <f xml:space="preserve"> [1]Coibion_update!P530</f>
        <v>5.8</v>
      </c>
      <c r="H524">
        <f xml:space="preserve"> [1]Coibion_update!Q530</f>
        <v>5.1929568508902104</v>
      </c>
      <c r="I524">
        <f xml:space="preserve"> [1]Coibion_update!W530</f>
        <v>1.73</v>
      </c>
      <c r="J524">
        <f xml:space="preserve"> [1]Coibion_update!X530</f>
        <v>5.4551501605748252</v>
      </c>
      <c r="K524">
        <f xml:space="preserve"> [1]Coibion_update!Y530</f>
        <v>4.4489490308720825</v>
      </c>
      <c r="L524">
        <f xml:space="preserve"> [1]Coibion_update!Z530</f>
        <v>4.4862852935103774</v>
      </c>
      <c r="M524">
        <f xml:space="preserve"> [1]Coibion_update!AA530</f>
        <v>4.4769617441481238</v>
      </c>
      <c r="N524">
        <f xml:space="preserve"> [1]Coibion_update!AB530</f>
        <v>0</v>
      </c>
      <c r="O524">
        <f xml:space="preserve"> [1]Coibion_update!AC530</f>
        <v>-1.1975377000000016</v>
      </c>
      <c r="Q524">
        <f xml:space="preserve"> [1]Barakchian_Crowe!B403</f>
        <v>0</v>
      </c>
      <c r="R524">
        <f xml:space="preserve"> [1]Barakchian_Crowe!C403</f>
        <v>-7.8626269999999998</v>
      </c>
      <c r="S524">
        <f xml:space="preserve"> [1]Gertler_Karadi!C278</f>
        <v>0</v>
      </c>
      <c r="T524">
        <f xml:space="preserve"> [1]Gertler_Karadi!D278</f>
        <v>-8.3333999999999995E-3</v>
      </c>
      <c r="U524">
        <f xml:space="preserve"> [1]Gertler_Karadi!E278</f>
        <v>1.2500000000000001E-2</v>
      </c>
      <c r="V524">
        <f xml:space="preserve"> [1]Gertler_Karadi!F278</f>
        <v>4.1666000000000003E-3</v>
      </c>
      <c r="W524">
        <f xml:space="preserve"> [1]Gertler_Karadi!G278</f>
        <v>4.1666000000000003E-3</v>
      </c>
      <c r="X524" s="5">
        <f xml:space="preserve"> [1]misc!N607</f>
        <v>1.96</v>
      </c>
      <c r="Y524">
        <f xml:space="preserve"> [1]Gilchrist_Zak!C356</f>
        <v>1.1727000000000001</v>
      </c>
      <c r="Z524">
        <f xml:space="preserve"> [1]Sims_Zha!B527</f>
        <v>-1.0662</v>
      </c>
      <c r="AA524">
        <f xml:space="preserve"> [1]Coibion_update!AI530</f>
        <v>0</v>
      </c>
      <c r="AB524">
        <f t="shared" si="37"/>
        <v>0.43366169999999982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1.76</v>
      </c>
      <c r="AL524">
        <f xml:space="preserve"> LN([1]misc!B543)</f>
        <v>7.0908265546666378</v>
      </c>
      <c r="AM524">
        <f xml:space="preserve"> LN([1]misc!D543)</f>
        <v>8.6229756180571062</v>
      </c>
      <c r="AN524">
        <f xml:space="preserve"> LN([1]misc!G648)</f>
        <v>2.0839314469526879</v>
      </c>
      <c r="AO524">
        <f xml:space="preserve"> LN([1]misc!J554 + [1]misc!L554)</f>
        <v>3.6657387616722938</v>
      </c>
      <c r="AP524">
        <f xml:space="preserve"> [1]Factors!B524</f>
        <v>-2.0114345799999999E-2</v>
      </c>
      <c r="AQ524">
        <f xml:space="preserve"> [1]Factors!C524</f>
        <v>-0.27355874000000002</v>
      </c>
      <c r="AR524">
        <f xml:space="preserve"> [1]Factors!D524</f>
        <v>-3.3651656500000002E-2</v>
      </c>
      <c r="AS524">
        <f xml:space="preserve"> [1]Factors!E524</f>
        <v>7.8330959399999997E-2</v>
      </c>
      <c r="AT524">
        <f xml:space="preserve"> [1]Factors!F524</f>
        <v>-0.125341971</v>
      </c>
    </row>
    <row r="525" spans="1:46" x14ac:dyDescent="0.25">
      <c r="A525">
        <f t="shared" si="36"/>
        <v>2002.5833333332992</v>
      </c>
      <c r="B525" s="1">
        <v>37469</v>
      </c>
      <c r="C525" s="7">
        <f t="shared" si="38"/>
        <v>2002</v>
      </c>
      <c r="D525" s="7">
        <f t="shared" si="39"/>
        <v>8</v>
      </c>
      <c r="E525" s="7">
        <f t="shared" si="40"/>
        <v>3</v>
      </c>
      <c r="F525">
        <f xml:space="preserve"> [1]Coibion_update!O531</f>
        <v>4.5391617851063852</v>
      </c>
      <c r="G525">
        <f xml:space="preserve"> [1]Coibion_update!P531</f>
        <v>5.7</v>
      </c>
      <c r="H525">
        <f xml:space="preserve"> [1]Coibion_update!Q531</f>
        <v>5.195730777772936</v>
      </c>
      <c r="I525">
        <f xml:space="preserve"> [1]Coibion_update!W531</f>
        <v>1.74</v>
      </c>
      <c r="J525">
        <f xml:space="preserve"> [1]Coibion_update!X531</f>
        <v>5.4509526129716308</v>
      </c>
      <c r="K525">
        <f xml:space="preserve"> [1]Coibion_update!Y531</f>
        <v>4.4689609253591049</v>
      </c>
      <c r="L525">
        <f xml:space="preserve"> [1]Coibion_update!Z531</f>
        <v>4.4831268380753624</v>
      </c>
      <c r="M525">
        <f xml:space="preserve"> [1]Coibion_update!AA531</f>
        <v>4.4759608682982757</v>
      </c>
      <c r="N525">
        <f xml:space="preserve"> [1]Coibion_update!AB531</f>
        <v>0.17032639999999999</v>
      </c>
      <c r="O525">
        <f xml:space="preserve"> [1]Coibion_update!AC531</f>
        <v>-1.0272113000000016</v>
      </c>
      <c r="Q525">
        <f xml:space="preserve"> [1]Barakchian_Crowe!B404</f>
        <v>-0.41520879999999999</v>
      </c>
      <c r="R525">
        <f xml:space="preserve"> [1]Barakchian_Crowe!C404</f>
        <v>-8.2778360000000006</v>
      </c>
      <c r="S525">
        <f xml:space="preserve"> [1]Gertler_Karadi!C279</f>
        <v>2.6391700000000001E-2</v>
      </c>
      <c r="T525">
        <f xml:space="preserve"> [1]Gertler_Karadi!D279</f>
        <v>-2.4516099999999999E-2</v>
      </c>
      <c r="U525">
        <f xml:space="preserve"> [1]Gertler_Karadi!E279</f>
        <v>-4.9032199999999998E-2</v>
      </c>
      <c r="V525">
        <f xml:space="preserve"> [1]Gertler_Karadi!F279</f>
        <v>-9.8064700000000005E-2</v>
      </c>
      <c r="W525">
        <f xml:space="preserve"> [1]Gertler_Karadi!G279</f>
        <v>-0.1195161</v>
      </c>
      <c r="X525" s="5">
        <f xml:space="preserve"> [1]misc!N608</f>
        <v>1.76</v>
      </c>
      <c r="Y525">
        <f xml:space="preserve"> [1]Gilchrist_Zak!C357</f>
        <v>1.1977</v>
      </c>
      <c r="Z525">
        <f xml:space="preserve"> [1]Sims_Zha!B528</f>
        <v>-0.29815000000000003</v>
      </c>
      <c r="AA525">
        <f xml:space="preserve"> [1]Coibion_update!AI531</f>
        <v>0.1244227</v>
      </c>
      <c r="AB525">
        <f t="shared" si="37"/>
        <v>0.55808439999999981</v>
      </c>
      <c r="AC525">
        <v>0.1244227</v>
      </c>
      <c r="AD525">
        <v>4.3060000000000001E-2</v>
      </c>
      <c r="AE525">
        <v>2.5000000000000001E-2</v>
      </c>
      <c r="AF525">
        <v>-0.04</v>
      </c>
      <c r="AG525">
        <v>-0.08</v>
      </c>
      <c r="AH525">
        <v>3.7204800000000003E-2</v>
      </c>
      <c r="AI525">
        <v>-3.0585399999999999E-2</v>
      </c>
      <c r="AJ525">
        <v>-6.7853399999999994E-2</v>
      </c>
      <c r="AK525">
        <v>1.81</v>
      </c>
      <c r="AL525">
        <f xml:space="preserve"> LN([1]misc!B544)</f>
        <v>7.0796897428896051</v>
      </c>
      <c r="AM525">
        <f xml:space="preserve"> LN([1]misc!D544)</f>
        <v>8.6303254288571942</v>
      </c>
      <c r="AN525">
        <f xml:space="preserve"> LN([1]misc!G649)</f>
        <v>2.1354673699423641</v>
      </c>
      <c r="AO525">
        <f xml:space="preserve"> LN([1]misc!J555 + [1]misc!L555)</f>
        <v>3.6770345797460129</v>
      </c>
      <c r="AP525">
        <f xml:space="preserve"> [1]Factors!B525</f>
        <v>0.25216315500000003</v>
      </c>
      <c r="AQ525">
        <f xml:space="preserve"> [1]Factors!C525</f>
        <v>-3.25020668E-2</v>
      </c>
      <c r="AR525">
        <f xml:space="preserve"> [1]Factors!D525</f>
        <v>-8.5534381199999995E-2</v>
      </c>
      <c r="AS525">
        <f xml:space="preserve"> [1]Factors!E525</f>
        <v>2.4569027100000002E-2</v>
      </c>
      <c r="AT525">
        <f xml:space="preserve"> [1]Factors!F525</f>
        <v>7.16974898E-2</v>
      </c>
    </row>
    <row r="526" spans="1:46" x14ac:dyDescent="0.25">
      <c r="A526">
        <f t="shared" si="36"/>
        <v>2002.6666666666324</v>
      </c>
      <c r="B526" s="1">
        <v>37500</v>
      </c>
      <c r="C526" s="7">
        <f t="shared" si="38"/>
        <v>2002</v>
      </c>
      <c r="D526" s="7">
        <f t="shared" si="39"/>
        <v>9</v>
      </c>
      <c r="E526" s="7">
        <f t="shared" si="40"/>
        <v>3</v>
      </c>
      <c r="F526">
        <f xml:space="preserve"> [1]Coibion_update!O532</f>
        <v>4.5403233506599179</v>
      </c>
      <c r="G526">
        <f xml:space="preserve"> [1]Coibion_update!P532</f>
        <v>5.7</v>
      </c>
      <c r="H526">
        <f xml:space="preserve"> [1]Coibion_update!Q532</f>
        <v>5.1973914479580765</v>
      </c>
      <c r="I526">
        <f xml:space="preserve"> [1]Coibion_update!W532</f>
        <v>1.75</v>
      </c>
      <c r="J526">
        <f xml:space="preserve"> [1]Coibion_update!X532</f>
        <v>5.4600109555460241</v>
      </c>
      <c r="K526">
        <f xml:space="preserve"> [1]Coibion_update!Y532</f>
        <v>4.4243315291543084</v>
      </c>
      <c r="L526">
        <f xml:space="preserve"> [1]Coibion_update!Z532</f>
        <v>4.4833866590262996</v>
      </c>
      <c r="M526">
        <f xml:space="preserve"> [1]Coibion_update!AA532</f>
        <v>4.4777685394533844</v>
      </c>
      <c r="N526">
        <f xml:space="preserve"> [1]Coibion_update!AB532</f>
        <v>-4.46106E-2</v>
      </c>
      <c r="O526">
        <f xml:space="preserve"> [1]Coibion_update!AC532</f>
        <v>-1.0718219000000015</v>
      </c>
      <c r="Q526">
        <f xml:space="preserve"> [1]Barakchian_Crowe!B405</f>
        <v>-0.1487782</v>
      </c>
      <c r="R526">
        <f xml:space="preserve"> [1]Barakchian_Crowe!C405</f>
        <v>-8.4266140000000007</v>
      </c>
      <c r="S526">
        <f xml:space="preserve"> [1]Gertler_Karadi!C280</f>
        <v>2.13349E-2</v>
      </c>
      <c r="T526">
        <f xml:space="preserve"> [1]Gertler_Karadi!D280</f>
        <v>-1.6650399999999999E-2</v>
      </c>
      <c r="U526">
        <f xml:space="preserve"> [1]Gertler_Karadi!E280</f>
        <v>-3.33011E-2</v>
      </c>
      <c r="V526">
        <f xml:space="preserve"> [1]Gertler_Karadi!F280</f>
        <v>-6.6601999999999995E-2</v>
      </c>
      <c r="W526">
        <f xml:space="preserve"> [1]Gertler_Karadi!G280</f>
        <v>-8.2483799999999996E-2</v>
      </c>
      <c r="X526" s="5">
        <f xml:space="preserve"> [1]misc!N609</f>
        <v>1.72</v>
      </c>
      <c r="Y526">
        <f xml:space="preserve"> [1]Gilchrist_Zak!C358</f>
        <v>1.3159000000000001</v>
      </c>
      <c r="Z526">
        <f xml:space="preserve"> [1]Sims_Zha!B529</f>
        <v>0.13905999999999999</v>
      </c>
      <c r="AA526">
        <f xml:space="preserve"> [1]Coibion_update!AI532</f>
        <v>-1.09181E-2</v>
      </c>
      <c r="AB526">
        <f t="shared" si="37"/>
        <v>0.54716629999999977</v>
      </c>
      <c r="AC526">
        <v>-1.09181E-2</v>
      </c>
      <c r="AD526">
        <v>0.02</v>
      </c>
      <c r="AE526">
        <v>1.4999999999999999E-2</v>
      </c>
      <c r="AF526">
        <v>-5.0000000000000001E-3</v>
      </c>
      <c r="AG526">
        <v>-0.01</v>
      </c>
      <c r="AH526">
        <v>2.4004E-3</v>
      </c>
      <c r="AI526">
        <v>-1.07951E-2</v>
      </c>
      <c r="AJ526">
        <v>-1.44756E-2</v>
      </c>
      <c r="AK526">
        <v>1.85</v>
      </c>
      <c r="AL526">
        <f xml:space="preserve"> LN([1]misc!B545)</f>
        <v>7.0863197868983798</v>
      </c>
      <c r="AM526">
        <f xml:space="preserve"> LN([1]misc!D545)</f>
        <v>8.6346917421661828</v>
      </c>
      <c r="AN526">
        <f xml:space="preserve"> LN([1]misc!G650)</f>
        <v>2.1589456427924349</v>
      </c>
      <c r="AO526">
        <f xml:space="preserve"> LN([1]misc!J556 + [1]misc!L556)</f>
        <v>3.6544432767928088</v>
      </c>
      <c r="AP526">
        <f xml:space="preserve"> [1]Factors!B526</f>
        <v>0.25859384800000002</v>
      </c>
      <c r="AQ526">
        <f xml:space="preserve"> [1]Factors!C526</f>
        <v>-1.6335953399999999E-2</v>
      </c>
      <c r="AR526">
        <f xml:space="preserve"> [1]Factors!D526</f>
        <v>-7.7553029999999995E-2</v>
      </c>
      <c r="AS526">
        <f xml:space="preserve"> [1]Factors!E526</f>
        <v>4.0211234399999997E-2</v>
      </c>
      <c r="AT526">
        <f xml:space="preserve"> [1]Factors!F526</f>
        <v>-7.7375349299999997E-3</v>
      </c>
    </row>
    <row r="527" spans="1:46" x14ac:dyDescent="0.25">
      <c r="A527">
        <f t="shared" si="36"/>
        <v>2002.7499999999657</v>
      </c>
      <c r="B527" s="1">
        <v>37530</v>
      </c>
      <c r="C527" s="7">
        <f t="shared" si="38"/>
        <v>2002</v>
      </c>
      <c r="D527" s="7">
        <f t="shared" si="39"/>
        <v>10</v>
      </c>
      <c r="E527" s="7">
        <f t="shared" si="40"/>
        <v>4</v>
      </c>
      <c r="F527">
        <f xml:space="preserve"> [1]Coibion_update!O533</f>
        <v>4.5372413910280001</v>
      </c>
      <c r="G527">
        <f xml:space="preserve"> [1]Coibion_update!P533</f>
        <v>5.7</v>
      </c>
      <c r="H527">
        <f xml:space="preserve"> [1]Coibion_update!Q533</f>
        <v>5.1996013936088792</v>
      </c>
      <c r="I527">
        <f xml:space="preserve"> [1]Coibion_update!W533</f>
        <v>1.75</v>
      </c>
      <c r="J527">
        <f xml:space="preserve"> [1]Coibion_update!X533</f>
        <v>5.4663286852241972</v>
      </c>
      <c r="K527">
        <f xml:space="preserve"> [1]Coibion_update!Y533</f>
        <v>4.4150986757340753</v>
      </c>
      <c r="L527">
        <f xml:space="preserve"> [1]Coibion_update!Z533</f>
        <v>4.4922478181229755</v>
      </c>
      <c r="M527">
        <f xml:space="preserve"> [1]Coibion_update!AA533</f>
        <v>4.4826522081647679</v>
      </c>
      <c r="N527">
        <f xml:space="preserve"> [1]Coibion_update!AB533</f>
        <v>0</v>
      </c>
      <c r="O527">
        <f xml:space="preserve"> [1]Coibion_update!AC533</f>
        <v>-1.0718219000000015</v>
      </c>
      <c r="Q527">
        <f xml:space="preserve"> [1]Barakchian_Crowe!B406</f>
        <v>0</v>
      </c>
      <c r="R527">
        <f xml:space="preserve"> [1]Barakchian_Crowe!C406</f>
        <v>-8.4266140000000007</v>
      </c>
      <c r="S527">
        <f xml:space="preserve"> [1]Gertler_Karadi!C281</f>
        <v>1.5333400000000001E-2</v>
      </c>
      <c r="T527">
        <f xml:space="preserve"> [1]Gertler_Karadi!D281</f>
        <v>-3.8333E-3</v>
      </c>
      <c r="U527">
        <f xml:space="preserve"> [1]Gertler_Karadi!E281</f>
        <v>-7.6666E-3</v>
      </c>
      <c r="V527">
        <f xml:space="preserve"> [1]Gertler_Karadi!F281</f>
        <v>-1.5333400000000001E-2</v>
      </c>
      <c r="W527">
        <f xml:space="preserve"> [1]Gertler_Karadi!G281</f>
        <v>-2.3E-2</v>
      </c>
      <c r="X527" s="5">
        <f xml:space="preserve"> [1]misc!N610</f>
        <v>1.65</v>
      </c>
      <c r="Y527">
        <f xml:space="preserve"> [1]Gilchrist_Zak!C359</f>
        <v>1.1194</v>
      </c>
      <c r="Z527">
        <f xml:space="preserve"> [1]Sims_Zha!B530</f>
        <v>-1.1414</v>
      </c>
      <c r="AA527">
        <f xml:space="preserve"> [1]Coibion_update!AI533</f>
        <v>0</v>
      </c>
      <c r="AB527">
        <f t="shared" si="37"/>
        <v>0.54716629999999977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1.82</v>
      </c>
      <c r="AL527">
        <f xml:space="preserve"> LN([1]misc!B546)</f>
        <v>7.0929061627862513</v>
      </c>
      <c r="AM527">
        <f xml:space="preserve"> LN([1]misc!D546)</f>
        <v>8.642450447588514</v>
      </c>
      <c r="AN527">
        <f xml:space="preserve"> LN([1]misc!G651)</f>
        <v>2.1722485912660425</v>
      </c>
      <c r="AO527">
        <f xml:space="preserve"> LN([1]misc!J557 + [1]misc!L557)</f>
        <v>3.6628434395630949</v>
      </c>
      <c r="AP527">
        <f xml:space="preserve"> [1]Factors!B527</f>
        <v>0.213731952</v>
      </c>
      <c r="AQ527">
        <f xml:space="preserve"> [1]Factors!C527</f>
        <v>-1.9252657100000001E-2</v>
      </c>
      <c r="AR527">
        <f xml:space="preserve"> [1]Factors!D527</f>
        <v>-8.8564310399999999E-2</v>
      </c>
      <c r="AS527">
        <f xml:space="preserve"> [1]Factors!E527</f>
        <v>-2.43493896E-2</v>
      </c>
      <c r="AT527">
        <f xml:space="preserve"> [1]Factors!F527</f>
        <v>2.5069845699999999E-2</v>
      </c>
    </row>
    <row r="528" spans="1:46" x14ac:dyDescent="0.25">
      <c r="A528">
        <f t="shared" ref="A528:A583" si="41" xml:space="preserve"> A527 + 1/12</f>
        <v>2002.8333333332989</v>
      </c>
      <c r="B528" s="1">
        <v>37561</v>
      </c>
      <c r="C528" s="7">
        <f t="shared" si="38"/>
        <v>2002</v>
      </c>
      <c r="D528" s="7">
        <f t="shared" si="39"/>
        <v>11</v>
      </c>
      <c r="E528" s="7">
        <f t="shared" si="40"/>
        <v>4</v>
      </c>
      <c r="F528">
        <f xml:space="preserve"> [1]Coibion_update!O534</f>
        <v>4.5424742329455103</v>
      </c>
      <c r="G528">
        <f xml:space="preserve"> [1]Coibion_update!P534</f>
        <v>5.9</v>
      </c>
      <c r="H528">
        <f xml:space="preserve"> [1]Coibion_update!Q534</f>
        <v>5.2012556537049051</v>
      </c>
      <c r="I528">
        <f xml:space="preserve"> [1]Coibion_update!W534</f>
        <v>1.34</v>
      </c>
      <c r="J528">
        <f xml:space="preserve"> [1]Coibion_update!X534</f>
        <v>5.4723126895955163</v>
      </c>
      <c r="K528">
        <f xml:space="preserve"> [1]Coibion_update!Y534</f>
        <v>4.4250382302671296</v>
      </c>
      <c r="L528">
        <f xml:space="preserve"> [1]Coibion_update!Z534</f>
        <v>4.4986645705092014</v>
      </c>
      <c r="M528">
        <f xml:space="preserve"> [1]Coibion_update!AA534</f>
        <v>4.4832172182369785</v>
      </c>
      <c r="N528">
        <f xml:space="preserve"> [1]Coibion_update!AB534</f>
        <v>-0.2700224</v>
      </c>
      <c r="O528">
        <f xml:space="preserve"> [1]Coibion_update!AC534</f>
        <v>-1.3418443000000015</v>
      </c>
      <c r="Q528">
        <f xml:space="preserve"> [1]Barakchian_Crowe!B407</f>
        <v>-1.884871</v>
      </c>
      <c r="R528">
        <f xml:space="preserve"> [1]Barakchian_Crowe!C407</f>
        <v>-10.311489999999999</v>
      </c>
      <c r="S528">
        <f xml:space="preserve"> [1]Gertler_Karadi!C282</f>
        <v>-0.1666667</v>
      </c>
      <c r="T528">
        <f xml:space="preserve"> [1]Gertler_Karadi!D282</f>
        <v>-7.0833400000000005E-2</v>
      </c>
      <c r="U528">
        <f xml:space="preserve"> [1]Gertler_Karadi!E282</f>
        <v>-5.8333400000000001E-2</v>
      </c>
      <c r="V528">
        <f xml:space="preserve"> [1]Gertler_Karadi!F282</f>
        <v>-7.0833199999999999E-2</v>
      </c>
      <c r="W528">
        <f xml:space="preserve"> [1]Gertler_Karadi!G282</f>
        <v>-7.4999800000000005E-2</v>
      </c>
      <c r="X528" s="5">
        <f xml:space="preserve"> [1]misc!N611</f>
        <v>1.49</v>
      </c>
      <c r="Y528">
        <f xml:space="preserve"> [1]Gilchrist_Zak!C360</f>
        <v>0.7883</v>
      </c>
      <c r="Z528">
        <f xml:space="preserve"> [1]Sims_Zha!B531</f>
        <v>-3.0076000000000001</v>
      </c>
      <c r="AA528">
        <f xml:space="preserve"> [1]Coibion_update!AI534</f>
        <v>-0.3121872</v>
      </c>
      <c r="AB528">
        <f t="shared" si="37"/>
        <v>0.23497909999999977</v>
      </c>
      <c r="AC528">
        <v>-0.3121872</v>
      </c>
      <c r="AD528">
        <v>-0.2</v>
      </c>
      <c r="AE528">
        <v>-0.16</v>
      </c>
      <c r="AF528">
        <v>-8.5000000000000006E-2</v>
      </c>
      <c r="AG528">
        <v>-7.0000000000000007E-2</v>
      </c>
      <c r="AH528">
        <v>-0.12688440000000001</v>
      </c>
      <c r="AI528">
        <v>-4.5413200000000001E-2</v>
      </c>
      <c r="AJ528">
        <v>-4.4686299999999998E-2</v>
      </c>
      <c r="AK528">
        <v>1.23</v>
      </c>
      <c r="AL528">
        <f xml:space="preserve"> LN([1]misc!B547)</f>
        <v>7.0977969587912302</v>
      </c>
      <c r="AM528">
        <f xml:space="preserve"> LN([1]misc!D547)</f>
        <v>8.6511469948127662</v>
      </c>
      <c r="AN528">
        <f xml:space="preserve"> LN([1]misc!G652)</f>
        <v>2.2778824803536737</v>
      </c>
      <c r="AO528">
        <f xml:space="preserve"> LN([1]misc!J558 + [1]misc!L558)</f>
        <v>3.6763513035366659</v>
      </c>
      <c r="AP528">
        <f xml:space="preserve"> [1]Factors!B528</f>
        <v>0.234101538</v>
      </c>
      <c r="AQ528">
        <f xml:space="preserve"> [1]Factors!C528</f>
        <v>7.3884708800000004E-2</v>
      </c>
      <c r="AR528">
        <f xml:space="preserve"> [1]Factors!D528</f>
        <v>2.82817481E-2</v>
      </c>
      <c r="AS528">
        <f xml:space="preserve"> [1]Factors!E528</f>
        <v>-0.106323561</v>
      </c>
      <c r="AT528">
        <f xml:space="preserve"> [1]Factors!F528</f>
        <v>-1.5378047800000001E-2</v>
      </c>
    </row>
    <row r="529" spans="1:46" x14ac:dyDescent="0.25">
      <c r="A529">
        <f t="shared" si="41"/>
        <v>2002.9166666666322</v>
      </c>
      <c r="B529" s="1">
        <v>37591</v>
      </c>
      <c r="C529" s="7">
        <f t="shared" si="38"/>
        <v>2002</v>
      </c>
      <c r="D529" s="7">
        <f t="shared" si="39"/>
        <v>12</v>
      </c>
      <c r="E529" s="7">
        <f t="shared" si="40"/>
        <v>4</v>
      </c>
      <c r="F529">
        <f xml:space="preserve"> [1]Coibion_update!O535</f>
        <v>4.5374318843420474</v>
      </c>
      <c r="G529">
        <f xml:space="preserve"> [1]Coibion_update!P535</f>
        <v>6</v>
      </c>
      <c r="H529">
        <f xml:space="preserve"> [1]Coibion_update!Q535</f>
        <v>5.2029071817433783</v>
      </c>
      <c r="I529">
        <f xml:space="preserve"> [1]Coibion_update!W535</f>
        <v>1.24</v>
      </c>
      <c r="J529">
        <f xml:space="preserve"> [1]Coibion_update!X535</f>
        <v>5.4974140967036931</v>
      </c>
      <c r="K529">
        <f xml:space="preserve"> [1]Coibion_update!Y535</f>
        <v>4.4603062505525646</v>
      </c>
      <c r="L529">
        <f xml:space="preserve"> [1]Coibion_update!Z535</f>
        <v>4.5007425683788655</v>
      </c>
      <c r="M529">
        <f xml:space="preserve"> [1]Coibion_update!AA535</f>
        <v>4.4849103355568083</v>
      </c>
      <c r="N529">
        <f xml:space="preserve"> [1]Coibion_update!AB535</f>
        <v>4.2556E-3</v>
      </c>
      <c r="O529">
        <f xml:space="preserve"> [1]Coibion_update!AC535</f>
        <v>-1.3375887000000015</v>
      </c>
      <c r="Q529">
        <f xml:space="preserve"> [1]Barakchian_Crowe!B408</f>
        <v>0.1210354</v>
      </c>
      <c r="R529">
        <f xml:space="preserve"> [1]Barakchian_Crowe!C408</f>
        <v>-10.19045</v>
      </c>
      <c r="S529">
        <f xml:space="preserve"> [1]Gertler_Karadi!C283</f>
        <v>-3.3333300000000003E-2</v>
      </c>
      <c r="T529">
        <f xml:space="preserve"> [1]Gertler_Karadi!D283</f>
        <v>-7.0698000000000002E-3</v>
      </c>
      <c r="U529">
        <f xml:space="preserve"> [1]Gertler_Karadi!E283</f>
        <v>-1.0215999999999999E-3</v>
      </c>
      <c r="V529">
        <f xml:space="preserve"> [1]Gertler_Karadi!F283</f>
        <v>3.5753E-3</v>
      </c>
      <c r="W529">
        <f xml:space="preserve"> [1]Gertler_Karadi!G283</f>
        <v>1.3387E-2</v>
      </c>
      <c r="X529" s="5">
        <f xml:space="preserve"> [1]misc!N612</f>
        <v>1.45</v>
      </c>
      <c r="Y529">
        <f xml:space="preserve"> [1]Gilchrist_Zak!C361</f>
        <v>0.67010000000000003</v>
      </c>
      <c r="Z529">
        <f xml:space="preserve"> [1]Sims_Zha!B532</f>
        <v>0.28893999999999997</v>
      </c>
      <c r="AA529">
        <f xml:space="preserve"> [1]Coibion_update!AI535</f>
        <v>7.9770000000000004E-4</v>
      </c>
      <c r="AB529">
        <f t="shared" si="37"/>
        <v>0.23577679999999979</v>
      </c>
      <c r="AC529">
        <v>7.9770000000000004E-4</v>
      </c>
      <c r="AD529">
        <v>0</v>
      </c>
      <c r="AE529">
        <v>0</v>
      </c>
      <c r="AF529">
        <v>0.01</v>
      </c>
      <c r="AG529">
        <v>1.4999999999999999E-2</v>
      </c>
      <c r="AH529">
        <v>1.16898E-2</v>
      </c>
      <c r="AI529">
        <v>3.5573500000000001E-2</v>
      </c>
      <c r="AJ529">
        <v>3.2584599999999998E-2</v>
      </c>
      <c r="AK529">
        <v>1.1599999999999999</v>
      </c>
      <c r="AL529">
        <f xml:space="preserve"> LN([1]misc!B548)</f>
        <v>7.1059501849323823</v>
      </c>
      <c r="AM529">
        <f xml:space="preserve"> LN([1]misc!D548)</f>
        <v>8.6547962834108141</v>
      </c>
      <c r="AN529">
        <f xml:space="preserve"> LN([1]misc!G653)</f>
        <v>2.295056826573254</v>
      </c>
      <c r="AO529">
        <f xml:space="preserve"> LN([1]misc!J559 + [1]misc!L559)</f>
        <v>3.6937426097799242</v>
      </c>
      <c r="AP529">
        <f xml:space="preserve"> [1]Factors!B529</f>
        <v>0.18716522799999999</v>
      </c>
      <c r="AQ529">
        <f xml:space="preserve"> [1]Factors!C529</f>
        <v>-0.146996246</v>
      </c>
      <c r="AR529">
        <f xml:space="preserve"> [1]Factors!D529</f>
        <v>-9.1740116699999999E-2</v>
      </c>
      <c r="AS529">
        <f xml:space="preserve"> [1]Factors!E529</f>
        <v>0.137327949</v>
      </c>
      <c r="AT529">
        <f xml:space="preserve"> [1]Factors!F529</f>
        <v>-0.16752050600000001</v>
      </c>
    </row>
    <row r="530" spans="1:46" x14ac:dyDescent="0.25">
      <c r="A530">
        <f t="shared" si="41"/>
        <v>2002.9999999999654</v>
      </c>
      <c r="B530" s="1">
        <v>37622</v>
      </c>
      <c r="C530" s="7">
        <f t="shared" si="38"/>
        <v>2003</v>
      </c>
      <c r="D530" s="7">
        <f t="shared" si="39"/>
        <v>1</v>
      </c>
      <c r="E530" s="7">
        <f t="shared" si="40"/>
        <v>1</v>
      </c>
      <c r="F530">
        <f xml:space="preserve"> [1]Coibion_update!O536</f>
        <v>4.5442177604498868</v>
      </c>
      <c r="G530">
        <f xml:space="preserve"> [1]Coibion_update!P536</f>
        <v>5.8</v>
      </c>
      <c r="H530">
        <f xml:space="preserve"> [1]Coibion_update!Q536</f>
        <v>5.2072979681608684</v>
      </c>
      <c r="I530">
        <f xml:space="preserve"> [1]Coibion_update!W536</f>
        <v>1.24</v>
      </c>
      <c r="J530">
        <f xml:space="preserve"> [1]Coibion_update!X536</f>
        <v>5.5151208621160475</v>
      </c>
      <c r="K530">
        <f xml:space="preserve"> [1]Coibion_update!Y536</f>
        <v>4.4457405972064228</v>
      </c>
      <c r="L530">
        <f xml:space="preserve"> [1]Coibion_update!Z536</f>
        <v>4.5036135375564257</v>
      </c>
      <c r="M530">
        <f xml:space="preserve"> [1]Coibion_update!AA536</f>
        <v>4.4882992342566759</v>
      </c>
      <c r="N530">
        <f xml:space="preserve"> [1]Coibion_update!AB536</f>
        <v>-2.0990000000000001E-4</v>
      </c>
      <c r="O530">
        <f xml:space="preserve"> [1]Coibion_update!AC536</f>
        <v>-1.3377986000000015</v>
      </c>
      <c r="Q530">
        <f xml:space="preserve"> [1]Barakchian_Crowe!B409</f>
        <v>0.38795099999999999</v>
      </c>
      <c r="R530">
        <f xml:space="preserve"> [1]Barakchian_Crowe!C409</f>
        <v>-9.8024989999999992</v>
      </c>
      <c r="S530">
        <f xml:space="preserve"> [1]Gertler_Karadi!C284</f>
        <v>9.6770000000000005E-4</v>
      </c>
      <c r="T530">
        <f xml:space="preserve"> [1]Gertler_Karadi!D284</f>
        <v>5.8063999999999998E-3</v>
      </c>
      <c r="U530">
        <f xml:space="preserve"> [1]Gertler_Karadi!E284</f>
        <v>8.7098999999999996E-3</v>
      </c>
      <c r="V530">
        <f xml:space="preserve"> [1]Gertler_Karadi!F284</f>
        <v>1.30644E-2</v>
      </c>
      <c r="W530">
        <f xml:space="preserve"> [1]Gertler_Karadi!G284</f>
        <v>1.6935599999999999E-2</v>
      </c>
      <c r="X530" s="5">
        <f xml:space="preserve"> [1]misc!N613</f>
        <v>1.36</v>
      </c>
      <c r="Y530">
        <f xml:space="preserve"> [1]Gilchrist_Zak!C362</f>
        <v>0.59550000000000003</v>
      </c>
      <c r="Z530">
        <f xml:space="preserve"> [1]Sims_Zha!B533</f>
        <v>2.2346000000000002E-3</v>
      </c>
      <c r="AA530">
        <f xml:space="preserve"> [1]Coibion_update!AI536</f>
        <v>-4.7372900000000003E-2</v>
      </c>
      <c r="AB530">
        <f t="shared" si="37"/>
        <v>0.18840389999999979</v>
      </c>
      <c r="AC530">
        <v>-4.7372900000000003E-2</v>
      </c>
      <c r="AD530">
        <v>0.01</v>
      </c>
      <c r="AE530">
        <v>0</v>
      </c>
      <c r="AF530">
        <v>0.03</v>
      </c>
      <c r="AG530">
        <v>4.4999999999999998E-2</v>
      </c>
      <c r="AH530">
        <v>-6.4745999999999996E-3</v>
      </c>
      <c r="AI530">
        <v>1.6166400000000001E-2</v>
      </c>
      <c r="AJ530">
        <v>4.8357799999999999E-2</v>
      </c>
      <c r="AK530">
        <v>1.33</v>
      </c>
      <c r="AL530">
        <f xml:space="preserve"> LN([1]misc!B549)</f>
        <v>7.1117567847679801</v>
      </c>
      <c r="AM530">
        <f xml:space="preserve"> LN([1]misc!D549)</f>
        <v>8.6603407006347233</v>
      </c>
      <c r="AN530">
        <f xml:space="preserve"> LN([1]misc!G654)</f>
        <v>2.309858576960544</v>
      </c>
      <c r="AO530">
        <f xml:space="preserve"> LN([1]misc!J560 + [1]misc!L560)</f>
        <v>3.7061052347790047</v>
      </c>
      <c r="AP530">
        <f xml:space="preserve"> [1]Factors!B530</f>
        <v>0.35940504699999998</v>
      </c>
      <c r="AQ530">
        <f xml:space="preserve"> [1]Factors!C530</f>
        <v>-6.7752314999999994E-2</v>
      </c>
      <c r="AR530">
        <f xml:space="preserve"> [1]Factors!D530</f>
        <v>-8.4930614599999996E-3</v>
      </c>
      <c r="AS530">
        <f xml:space="preserve"> [1]Factors!E530</f>
        <v>-0.12532953799999999</v>
      </c>
      <c r="AT530">
        <f xml:space="preserve"> [1]Factors!F530</f>
        <v>0.14144157500000001</v>
      </c>
    </row>
    <row r="531" spans="1:46" x14ac:dyDescent="0.25">
      <c r="A531">
        <f t="shared" si="41"/>
        <v>2003.0833333332987</v>
      </c>
      <c r="B531" s="1">
        <v>37653</v>
      </c>
      <c r="C531" s="7">
        <f t="shared" si="38"/>
        <v>2003</v>
      </c>
      <c r="D531" s="7">
        <f t="shared" si="39"/>
        <v>2</v>
      </c>
      <c r="E531" s="7">
        <f t="shared" si="40"/>
        <v>1</v>
      </c>
      <c r="F531">
        <f xml:space="preserve"> [1]Coibion_update!O537</f>
        <v>4.5471755402507483</v>
      </c>
      <c r="G531">
        <f xml:space="preserve"> [1]Coibion_update!P537</f>
        <v>5.9</v>
      </c>
      <c r="H531">
        <f xml:space="preserve"> [1]Coibion_update!Q537</f>
        <v>5.2127594781863902</v>
      </c>
      <c r="I531">
        <f xml:space="preserve"> [1]Coibion_update!W537</f>
        <v>1.26</v>
      </c>
      <c r="J531">
        <f xml:space="preserve"> [1]Coibion_update!X537</f>
        <v>5.5198596364952728</v>
      </c>
      <c r="K531">
        <f xml:space="preserve"> [1]Coibion_update!Y537</f>
        <v>4.4198521442138619</v>
      </c>
      <c r="L531">
        <f xml:space="preserve"> [1]Coibion_update!Z537</f>
        <v>4.5016635064692645</v>
      </c>
      <c r="M531">
        <f xml:space="preserve"> [1]Coibion_update!AA537</f>
        <v>4.486555554651849</v>
      </c>
      <c r="N531">
        <f xml:space="preserve"> [1]Coibion_update!AB537</f>
        <v>0</v>
      </c>
      <c r="O531">
        <f xml:space="preserve"> [1]Coibion_update!AC537</f>
        <v>-1.3377986000000015</v>
      </c>
      <c r="Q531">
        <f xml:space="preserve"> [1]Barakchian_Crowe!B410</f>
        <v>0</v>
      </c>
      <c r="R531">
        <f xml:space="preserve"> [1]Barakchian_Crowe!C410</f>
        <v>-9.8024989999999992</v>
      </c>
      <c r="S531">
        <f xml:space="preserve"> [1]Gertler_Karadi!C285</f>
        <v>9.0322000000000006E-3</v>
      </c>
      <c r="T531">
        <f xml:space="preserve"> [1]Gertler_Karadi!D285</f>
        <v>2.7096700000000001E-2</v>
      </c>
      <c r="U531">
        <f xml:space="preserve"> [1]Gertler_Karadi!E285</f>
        <v>4.0645100000000003E-2</v>
      </c>
      <c r="V531">
        <f xml:space="preserve"> [1]Gertler_Karadi!F285</f>
        <v>5.4193499999999999E-2</v>
      </c>
      <c r="W531">
        <f xml:space="preserve"> [1]Gertler_Karadi!G285</f>
        <v>4.9677399999999997E-2</v>
      </c>
      <c r="X531" s="5">
        <f xml:space="preserve"> [1]misc!N614</f>
        <v>1.3</v>
      </c>
      <c r="Y531">
        <f xml:space="preserve"> [1]Gilchrist_Zak!C363</f>
        <v>0.40389999999999998</v>
      </c>
      <c r="Z531">
        <f xml:space="preserve"> [1]Sims_Zha!B534</f>
        <v>-0.78113999999999995</v>
      </c>
      <c r="AA531">
        <f xml:space="preserve"> [1]Coibion_update!AI537</f>
        <v>0</v>
      </c>
      <c r="AB531">
        <f t="shared" si="37"/>
        <v>0.18840389999999979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1.33</v>
      </c>
      <c r="AL531">
        <f xml:space="preserve"> LN([1]misc!B550)</f>
        <v>7.1205252098687861</v>
      </c>
      <c r="AM531">
        <f xml:space="preserve"> LN([1]misc!D550)</f>
        <v>8.6665954725641008</v>
      </c>
      <c r="AN531">
        <f xml:space="preserve"> LN([1]misc!G655)</f>
        <v>2.2876744802582913</v>
      </c>
      <c r="AO531">
        <f xml:space="preserve"> LN([1]misc!J561 + [1]misc!L561)</f>
        <v>3.7179527015996432</v>
      </c>
      <c r="AP531">
        <f xml:space="preserve"> [1]Factors!B531</f>
        <v>-4.2361988099999998E-2</v>
      </c>
      <c r="AQ531">
        <f xml:space="preserve"> [1]Factors!C531</f>
        <v>0.124957545</v>
      </c>
      <c r="AR531">
        <f xml:space="preserve"> [1]Factors!D531</f>
        <v>0.10038976300000001</v>
      </c>
      <c r="AS531">
        <f xml:space="preserve"> [1]Factors!E531</f>
        <v>0.229948495</v>
      </c>
      <c r="AT531">
        <f xml:space="preserve"> [1]Factors!F531</f>
        <v>6.7949743899999998E-2</v>
      </c>
    </row>
    <row r="532" spans="1:46" x14ac:dyDescent="0.25">
      <c r="A532">
        <f t="shared" si="41"/>
        <v>2003.166666666632</v>
      </c>
      <c r="B532" s="1">
        <v>37681</v>
      </c>
      <c r="C532" s="7">
        <f t="shared" si="38"/>
        <v>2003</v>
      </c>
      <c r="D532" s="7">
        <f t="shared" si="39"/>
        <v>3</v>
      </c>
      <c r="E532" s="7">
        <f t="shared" si="40"/>
        <v>1</v>
      </c>
      <c r="F532">
        <f xml:space="preserve"> [1]Coibion_update!O538</f>
        <v>4.5449349258605549</v>
      </c>
      <c r="G532">
        <f xml:space="preserve"> [1]Coibion_update!P538</f>
        <v>5.9</v>
      </c>
      <c r="H532">
        <f xml:space="preserve"> [1]Coibion_update!Q538</f>
        <v>5.2143921316102757</v>
      </c>
      <c r="I532">
        <f xml:space="preserve"> [1]Coibion_update!W538</f>
        <v>1.25</v>
      </c>
      <c r="J532">
        <f xml:space="preserve"> [1]Coibion_update!X538</f>
        <v>5.5203803342420024</v>
      </c>
      <c r="K532">
        <f xml:space="preserve"> [1]Coibion_update!Y538</f>
        <v>4.4443791745444088</v>
      </c>
      <c r="L532">
        <f xml:space="preserve"> [1]Coibion_update!Z538</f>
        <v>4.506917681789643</v>
      </c>
      <c r="M532">
        <f xml:space="preserve"> [1]Coibion_update!AA538</f>
        <v>4.4871071111243888</v>
      </c>
      <c r="N532">
        <f xml:space="preserve"> [1]Coibion_update!AB538</f>
        <v>3.8384000000000001E-2</v>
      </c>
      <c r="O532">
        <f xml:space="preserve"> [1]Coibion_update!AC538</f>
        <v>-1.2994146000000015</v>
      </c>
      <c r="Q532">
        <f xml:space="preserve"> [1]Barakchian_Crowe!B411</f>
        <v>0.40660629999999998</v>
      </c>
      <c r="R532">
        <f xml:space="preserve"> [1]Barakchian_Crowe!C411</f>
        <v>-9.3958919999999999</v>
      </c>
      <c r="S532">
        <f xml:space="preserve"> [1]Gertler_Karadi!C286</f>
        <v>1.0762000000000001E-2</v>
      </c>
      <c r="T532">
        <f xml:space="preserve"> [1]Gertler_Karadi!D286</f>
        <v>-9.0322000000000006E-3</v>
      </c>
      <c r="U532">
        <f xml:space="preserve"> [1]Gertler_Karadi!E286</f>
        <v>-6.7742000000000002E-3</v>
      </c>
      <c r="V532">
        <f xml:space="preserve"> [1]Gertler_Karadi!F286</f>
        <v>0</v>
      </c>
      <c r="W532">
        <f xml:space="preserve"> [1]Gertler_Karadi!G286</f>
        <v>-6.7742000000000002E-3</v>
      </c>
      <c r="X532" s="5">
        <f xml:space="preserve"> [1]misc!N615</f>
        <v>1.24</v>
      </c>
      <c r="Y532">
        <f xml:space="preserve"> [1]Gilchrist_Zak!C364</f>
        <v>-0.1452</v>
      </c>
      <c r="Z532">
        <f xml:space="preserve"> [1]Sims_Zha!B535</f>
        <v>0.21437</v>
      </c>
      <c r="AA532">
        <f xml:space="preserve"> [1]Coibion_update!AI538</f>
        <v>6.5282900000000005E-2</v>
      </c>
      <c r="AB532">
        <f t="shared" si="37"/>
        <v>0.25368679999999977</v>
      </c>
      <c r="AC532">
        <v>6.5282900000000005E-2</v>
      </c>
      <c r="AD532">
        <v>2.383E-2</v>
      </c>
      <c r="AE532">
        <v>9.9900000000000006E-3</v>
      </c>
      <c r="AF532">
        <v>-0.02</v>
      </c>
      <c r="AG532">
        <v>-1.4999999999999999E-2</v>
      </c>
      <c r="AH532">
        <v>1.8682299999999999E-2</v>
      </c>
      <c r="AI532">
        <v>-1.1488099999999999E-2</v>
      </c>
      <c r="AJ532">
        <v>-3.9096000000000001E-3</v>
      </c>
      <c r="AK532">
        <v>1.38</v>
      </c>
      <c r="AL532">
        <f xml:space="preserve"> LN([1]misc!B551)</f>
        <v>7.121575502835463</v>
      </c>
      <c r="AM532">
        <f xml:space="preserve"> LN([1]misc!D551)</f>
        <v>8.670000111659995</v>
      </c>
      <c r="AN532">
        <f xml:space="preserve"> LN([1]misc!G656)</f>
        <v>2.2854389341590751</v>
      </c>
      <c r="AO532">
        <f xml:space="preserve"> LN([1]misc!J562 + [1]misc!L562)</f>
        <v>3.7171753232687839</v>
      </c>
      <c r="AP532">
        <f xml:space="preserve"> [1]Factors!B532</f>
        <v>0.18162594900000001</v>
      </c>
      <c r="AQ532">
        <f xml:space="preserve"> [1]Factors!C532</f>
        <v>0.28593290399999999</v>
      </c>
      <c r="AR532">
        <f xml:space="preserve"> [1]Factors!D532</f>
        <v>0.16052770099999999</v>
      </c>
      <c r="AS532">
        <f xml:space="preserve"> [1]Factors!E532</f>
        <v>0.214150914</v>
      </c>
      <c r="AT532">
        <f xml:space="preserve"> [1]Factors!F532</f>
        <v>2.3131750400000001E-3</v>
      </c>
    </row>
    <row r="533" spans="1:46" x14ac:dyDescent="0.25">
      <c r="A533">
        <f t="shared" si="41"/>
        <v>2003.2499999999652</v>
      </c>
      <c r="B533" s="1">
        <v>37712</v>
      </c>
      <c r="C533" s="7">
        <f t="shared" si="38"/>
        <v>2003</v>
      </c>
      <c r="D533" s="7">
        <f t="shared" si="39"/>
        <v>4</v>
      </c>
      <c r="E533" s="7">
        <f t="shared" si="40"/>
        <v>2</v>
      </c>
      <c r="F533">
        <f xml:space="preserve"> [1]Coibion_update!O539</f>
        <v>4.5373623263828495</v>
      </c>
      <c r="G533">
        <f xml:space="preserve"> [1]Coibion_update!P539</f>
        <v>6</v>
      </c>
      <c r="H533">
        <f xml:space="preserve"> [1]Coibion_update!Q539</f>
        <v>5.2105784522400302</v>
      </c>
      <c r="I533">
        <f xml:space="preserve"> [1]Coibion_update!W539</f>
        <v>1.26</v>
      </c>
      <c r="J533">
        <f xml:space="preserve"> [1]Coibion_update!X539</f>
        <v>5.5160865015247911</v>
      </c>
      <c r="K533">
        <f xml:space="preserve"> [1]Coibion_update!Y539</f>
        <v>4.4705296070151945</v>
      </c>
      <c r="L533">
        <f xml:space="preserve"> [1]Coibion_update!Z539</f>
        <v>4.5077888628463798</v>
      </c>
      <c r="M533">
        <f xml:space="preserve"> [1]Coibion_update!AA539</f>
        <v>4.4910828129503226</v>
      </c>
      <c r="N533">
        <f xml:space="preserve"> [1]Coibion_update!AB539</f>
        <v>0</v>
      </c>
      <c r="O533">
        <f xml:space="preserve"> [1]Coibion_update!AC539</f>
        <v>-1.2994146000000015</v>
      </c>
      <c r="Q533">
        <f xml:space="preserve"> [1]Barakchian_Crowe!B412</f>
        <v>0</v>
      </c>
      <c r="R533">
        <f xml:space="preserve"> [1]Barakchian_Crowe!C412</f>
        <v>-9.3958919999999999</v>
      </c>
      <c r="S533">
        <f xml:space="preserve"> [1]Gertler_Karadi!C287</f>
        <v>1.3068E-2</v>
      </c>
      <c r="T533">
        <f xml:space="preserve"> [1]Gertler_Karadi!D287</f>
        <v>-1.09677E-2</v>
      </c>
      <c r="U533">
        <f xml:space="preserve"> [1]Gertler_Karadi!E287</f>
        <v>-8.2258999999999995E-3</v>
      </c>
      <c r="V533">
        <f xml:space="preserve"> [1]Gertler_Karadi!F287</f>
        <v>0</v>
      </c>
      <c r="W533">
        <f xml:space="preserve"> [1]Gertler_Karadi!G287</f>
        <v>-8.2258999999999995E-3</v>
      </c>
      <c r="X533" s="5">
        <f xml:space="preserve"> [1]misc!N616</f>
        <v>1.27</v>
      </c>
      <c r="Y533">
        <f xml:space="preserve"> [1]Gilchrist_Zak!C365</f>
        <v>-0.1308</v>
      </c>
      <c r="AA533">
        <f xml:space="preserve"> [1]Coibion_update!AI539</f>
        <v>0</v>
      </c>
      <c r="AB533">
        <f t="shared" si="37"/>
        <v>0.25368679999999977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1.31</v>
      </c>
      <c r="AL533">
        <f xml:space="preserve"> LN([1]misc!B552)</f>
        <v>7.1289769847336482</v>
      </c>
      <c r="AM533">
        <f xml:space="preserve"> LN([1]misc!D552)</f>
        <v>8.6753074345099286</v>
      </c>
      <c r="AN533">
        <f xml:space="preserve"> LN([1]misc!G657)</f>
        <v>2.3603821917202623</v>
      </c>
      <c r="AO533">
        <f xml:space="preserve"> LN([1]misc!J563 + [1]misc!L563)</f>
        <v>3.7022398058157728</v>
      </c>
      <c r="AP533">
        <f xml:space="preserve"> [1]Factors!B533</f>
        <v>0.25601343900000001</v>
      </c>
      <c r="AQ533">
        <f xml:space="preserve"> [1]Factors!C533</f>
        <v>0.11370245299999999</v>
      </c>
      <c r="AR533">
        <f xml:space="preserve"> [1]Factors!D533</f>
        <v>4.7893421800000002E-2</v>
      </c>
      <c r="AS533">
        <f xml:space="preserve"> [1]Factors!E533</f>
        <v>8.6436131200000002E-2</v>
      </c>
      <c r="AT533">
        <f xml:space="preserve"> [1]Factors!F533</f>
        <v>4.7267330199999999E-2</v>
      </c>
    </row>
    <row r="534" spans="1:46" x14ac:dyDescent="0.25">
      <c r="A534">
        <f t="shared" si="41"/>
        <v>2003.3333333332985</v>
      </c>
      <c r="B534" s="1">
        <v>37742</v>
      </c>
      <c r="C534" s="7">
        <f t="shared" si="38"/>
        <v>2003</v>
      </c>
      <c r="D534" s="7">
        <f t="shared" si="39"/>
        <v>5</v>
      </c>
      <c r="E534" s="7">
        <f t="shared" si="40"/>
        <v>2</v>
      </c>
      <c r="F534">
        <f xml:space="preserve"> [1]Coibion_update!O540</f>
        <v>4.5378277375177856</v>
      </c>
      <c r="G534">
        <f xml:space="preserve"> [1]Coibion_update!P540</f>
        <v>6.1</v>
      </c>
      <c r="H534">
        <f xml:space="preserve"> [1]Coibion_update!Q540</f>
        <v>5.2089395553968201</v>
      </c>
      <c r="I534">
        <f xml:space="preserve"> [1]Coibion_update!W540</f>
        <v>1.26</v>
      </c>
      <c r="J534">
        <f xml:space="preserve"> [1]Coibion_update!X540</f>
        <v>5.521460917862246</v>
      </c>
      <c r="K534">
        <f xml:space="preserve"> [1]Coibion_update!Y540</f>
        <v>4.4794822386817019</v>
      </c>
      <c r="L534">
        <f xml:space="preserve"> [1]Coibion_update!Z540</f>
        <v>4.5060567830907319</v>
      </c>
      <c r="M534">
        <f xml:space="preserve"> [1]Coibion_update!AA540</f>
        <v>4.4931206821794687</v>
      </c>
      <c r="N534">
        <f xml:space="preserve"> [1]Coibion_update!AB540</f>
        <v>-8.2459999999999999E-3</v>
      </c>
      <c r="O534">
        <f xml:space="preserve"> [1]Coibion_update!AC540</f>
        <v>-1.3076606000000015</v>
      </c>
      <c r="Q534">
        <f xml:space="preserve"> [1]Barakchian_Crowe!B413</f>
        <v>-0.38322899999999999</v>
      </c>
      <c r="R534">
        <f xml:space="preserve"> [1]Barakchian_Crowe!C413</f>
        <v>-9.779121</v>
      </c>
      <c r="S534">
        <f xml:space="preserve"> [1]Gertler_Karadi!C288</f>
        <v>3.1199899999999999E-2</v>
      </c>
      <c r="T534">
        <f xml:space="preserve"> [1]Gertler_Karadi!D288</f>
        <v>-3.3548399999999999E-2</v>
      </c>
      <c r="U534">
        <f xml:space="preserve"> [1]Gertler_Karadi!E288</f>
        <v>-6.7096699999999995E-2</v>
      </c>
      <c r="V534">
        <f xml:space="preserve"> [1]Gertler_Karadi!F288</f>
        <v>-9.6451499999999996E-2</v>
      </c>
      <c r="W534">
        <f xml:space="preserve"> [1]Gertler_Karadi!G288</f>
        <v>-0.12161279999999999</v>
      </c>
      <c r="X534" s="5">
        <f xml:space="preserve"> [1]misc!N617</f>
        <v>1.18</v>
      </c>
      <c r="Y534">
        <f xml:space="preserve"> [1]Gilchrist_Zak!C366</f>
        <v>-0.84350000000000003</v>
      </c>
      <c r="AA534">
        <f xml:space="preserve"> [1]Coibion_update!AI540</f>
        <v>1.40816E-2</v>
      </c>
      <c r="AB534">
        <f t="shared" si="37"/>
        <v>0.2677683999999998</v>
      </c>
      <c r="AC534">
        <v>1.40816E-2</v>
      </c>
      <c r="AD534">
        <v>3.7199999999999997E-2</v>
      </c>
      <c r="AE534">
        <v>0.03</v>
      </c>
      <c r="AF534">
        <v>-0.04</v>
      </c>
      <c r="AG534">
        <v>-0.08</v>
      </c>
      <c r="AH534">
        <v>3.6716400000000003E-2</v>
      </c>
      <c r="AI534">
        <v>-2.8422099999999999E-2</v>
      </c>
      <c r="AJ534">
        <v>-6.0208600000000001E-2</v>
      </c>
      <c r="AK534">
        <v>1.28</v>
      </c>
      <c r="AL534">
        <f xml:space="preserve"> LN([1]misc!B553)</f>
        <v>7.1474019023953614</v>
      </c>
      <c r="AM534">
        <f xml:space="preserve"> LN([1]misc!D553)</f>
        <v>8.6872397173345792</v>
      </c>
      <c r="AN534">
        <f xml:space="preserve"> LN([1]misc!G658)</f>
        <v>2.4343148636719403</v>
      </c>
      <c r="AO534">
        <f xml:space="preserve"> LN([1]misc!J564 + [1]misc!L564)</f>
        <v>3.7099802580219552</v>
      </c>
      <c r="AP534">
        <f xml:space="preserve"> [1]Factors!B534</f>
        <v>0.59353959199999995</v>
      </c>
      <c r="AQ534">
        <f xml:space="preserve"> [1]Factors!C534</f>
        <v>-0.48499230799999998</v>
      </c>
      <c r="AR534">
        <f xml:space="preserve"> [1]Factors!D534</f>
        <v>-0.35473028000000001</v>
      </c>
      <c r="AS534">
        <f xml:space="preserve"> [1]Factors!E534</f>
        <v>-0.46306385500000002</v>
      </c>
      <c r="AT534">
        <f xml:space="preserve"> [1]Factors!F534</f>
        <v>-8.0089549199999999E-2</v>
      </c>
    </row>
    <row r="535" spans="1:46" x14ac:dyDescent="0.25">
      <c r="A535">
        <f t="shared" si="41"/>
        <v>2003.4166666666317</v>
      </c>
      <c r="B535" s="1">
        <v>37773</v>
      </c>
      <c r="C535" s="7">
        <f t="shared" si="38"/>
        <v>2003</v>
      </c>
      <c r="D535" s="7">
        <f t="shared" si="39"/>
        <v>6</v>
      </c>
      <c r="E535" s="7">
        <f t="shared" si="40"/>
        <v>2</v>
      </c>
      <c r="F535">
        <f xml:space="preserve"> [1]Coibion_update!O541</f>
        <v>4.5388765254941665</v>
      </c>
      <c r="G535">
        <f xml:space="preserve"> [1]Coibion_update!P541</f>
        <v>6.3</v>
      </c>
      <c r="H535">
        <f xml:space="preserve"> [1]Coibion_update!Q541</f>
        <v>5.2100324516804646</v>
      </c>
      <c r="I535">
        <f xml:space="preserve"> [1]Coibion_update!W541</f>
        <v>1.22</v>
      </c>
      <c r="J535">
        <f xml:space="preserve"> [1]Coibion_update!X541</f>
        <v>5.5284762527561515</v>
      </c>
      <c r="K535">
        <f xml:space="preserve"> [1]Coibion_update!Y541</f>
        <v>4.494651947672569</v>
      </c>
      <c r="L535">
        <f xml:space="preserve"> [1]Coibion_update!Z541</f>
        <v>4.520080597542977</v>
      </c>
      <c r="M535">
        <f xml:space="preserve"> [1]Coibion_update!AA541</f>
        <v>4.4944173802529086</v>
      </c>
      <c r="N535">
        <f xml:space="preserve"> [1]Coibion_update!AB541</f>
        <v>-0.2121577</v>
      </c>
      <c r="O535">
        <f xml:space="preserve"> [1]Coibion_update!AC541</f>
        <v>-1.5198183000000016</v>
      </c>
      <c r="Q535">
        <f xml:space="preserve"> [1]Barakchian_Crowe!B414</f>
        <v>2.2209780000000001</v>
      </c>
      <c r="R535">
        <f xml:space="preserve"> [1]Barakchian_Crowe!C414</f>
        <v>-7.5581440000000004</v>
      </c>
      <c r="S535">
        <f xml:space="preserve"> [1]Gertler_Karadi!C289</f>
        <v>3.3000000000000002E-2</v>
      </c>
      <c r="T535">
        <f xml:space="preserve"> [1]Gertler_Karadi!D289</f>
        <v>1.45483E-2</v>
      </c>
      <c r="U535">
        <f xml:space="preserve"> [1]Gertler_Karadi!E289</f>
        <v>7.0968000000000003E-3</v>
      </c>
      <c r="V535">
        <f xml:space="preserve"> [1]Gertler_Karadi!F289</f>
        <v>1.04516E-2</v>
      </c>
      <c r="W535">
        <f xml:space="preserve"> [1]Gertler_Karadi!G289</f>
        <v>6.1269999999999999E-4</v>
      </c>
      <c r="X535" s="5">
        <f xml:space="preserve"> [1]misc!N618</f>
        <v>1.01</v>
      </c>
      <c r="Y535">
        <f xml:space="preserve"> [1]Gilchrist_Zak!C367</f>
        <v>-0.55220000000000002</v>
      </c>
      <c r="AA535">
        <f xml:space="preserve"> [1]Coibion_update!AI541</f>
        <v>-0.17824090000000001</v>
      </c>
      <c r="AB535">
        <f t="shared" si="37"/>
        <v>8.9527499999999788E-2</v>
      </c>
      <c r="AC535">
        <v>-0.17824090000000001</v>
      </c>
      <c r="AD535">
        <v>0.13500000000000001</v>
      </c>
      <c r="AE535">
        <v>0.03</v>
      </c>
      <c r="AF535">
        <v>0.105</v>
      </c>
      <c r="AG535">
        <v>0.1</v>
      </c>
      <c r="AH535">
        <v>4.5648099999999997E-2</v>
      </c>
      <c r="AI535">
        <v>0.128468</v>
      </c>
      <c r="AJ535">
        <v>0.11419219999999999</v>
      </c>
      <c r="AK535">
        <v>1.45</v>
      </c>
      <c r="AL535">
        <f xml:space="preserve"> LN([1]misc!B554)</f>
        <v>7.1573460003111951</v>
      </c>
      <c r="AM535">
        <f xml:space="preserve"> LN([1]misc!D554)</f>
        <v>8.6937481533158554</v>
      </c>
      <c r="AN535">
        <f xml:space="preserve"> LN([1]misc!G659)</f>
        <v>2.4392116905258709</v>
      </c>
      <c r="AO535">
        <f xml:space="preserve"> LN([1]misc!J565 + [1]misc!L565)</f>
        <v>3.7399052127169803</v>
      </c>
      <c r="AP535">
        <f xml:space="preserve"> [1]Factors!B535</f>
        <v>0.33884374299999998</v>
      </c>
      <c r="AQ535">
        <f xml:space="preserve"> [1]Factors!C535</f>
        <v>-0.38097547599999998</v>
      </c>
      <c r="AR535">
        <f xml:space="preserve"> [1]Factors!D535</f>
        <v>-0.42101206400000002</v>
      </c>
      <c r="AS535">
        <f xml:space="preserve"> [1]Factors!E535</f>
        <v>9.9850325399999995E-2</v>
      </c>
      <c r="AT535">
        <f xml:space="preserve"> [1]Factors!F535</f>
        <v>-3.0011020099999998E-3</v>
      </c>
    </row>
    <row r="536" spans="1:46" x14ac:dyDescent="0.25">
      <c r="A536">
        <f t="shared" si="41"/>
        <v>2003.499999999965</v>
      </c>
      <c r="B536" s="1">
        <v>37803</v>
      </c>
      <c r="C536" s="7">
        <f t="shared" si="38"/>
        <v>2003</v>
      </c>
      <c r="D536" s="7">
        <f t="shared" si="39"/>
        <v>7</v>
      </c>
      <c r="E536" s="7">
        <f t="shared" si="40"/>
        <v>3</v>
      </c>
      <c r="F536">
        <f xml:space="preserve"> [1]Coibion_update!O542</f>
        <v>4.5432969099273146</v>
      </c>
      <c r="G536">
        <f xml:space="preserve"> [1]Coibion_update!P542</f>
        <v>6.2</v>
      </c>
      <c r="H536">
        <f xml:space="preserve"> [1]Coibion_update!Q542</f>
        <v>5.2133039922210802</v>
      </c>
      <c r="I536">
        <f xml:space="preserve"> [1]Coibion_update!W542</f>
        <v>1.01</v>
      </c>
      <c r="J536">
        <f xml:space="preserve"> [1]Coibion_update!X542</f>
        <v>5.5243367786077107</v>
      </c>
      <c r="K536">
        <f xml:space="preserve"> [1]Coibion_update!Y542</f>
        <v>4.5086372589329438</v>
      </c>
      <c r="L536">
        <f xml:space="preserve"> [1]Coibion_update!Z542</f>
        <v>4.5225057111512488</v>
      </c>
      <c r="M536">
        <f xml:space="preserve"> [1]Coibion_update!AA542</f>
        <v>4.4986756942890622</v>
      </c>
      <c r="N536">
        <f xml:space="preserve"> [1]Coibion_update!AB542</f>
        <v>0</v>
      </c>
      <c r="O536">
        <f xml:space="preserve"> [1]Coibion_update!AC542</f>
        <v>-1.5198183000000016</v>
      </c>
      <c r="Q536">
        <f xml:space="preserve"> [1]Barakchian_Crowe!B415</f>
        <v>0</v>
      </c>
      <c r="R536">
        <f xml:space="preserve"> [1]Barakchian_Crowe!C415</f>
        <v>-7.5581440000000004</v>
      </c>
      <c r="S536">
        <f xml:space="preserve"> [1]Gertler_Karadi!C290</f>
        <v>0.10800029999999999</v>
      </c>
      <c r="T536">
        <f xml:space="preserve"> [1]Gertler_Karadi!D290</f>
        <v>8.4000099999999994E-2</v>
      </c>
      <c r="U536">
        <f xml:space="preserve"> [1]Gertler_Karadi!E290</f>
        <v>7.9999899999999999E-2</v>
      </c>
      <c r="V536">
        <f xml:space="preserve"> [1]Gertler_Karadi!F290</f>
        <v>0.1159999</v>
      </c>
      <c r="W536">
        <f xml:space="preserve"> [1]Gertler_Karadi!G290</f>
        <v>9.6000000000000002E-2</v>
      </c>
      <c r="X536" s="5">
        <f xml:space="preserve"> [1]misc!N619</f>
        <v>1.1200000000000001</v>
      </c>
      <c r="Y536">
        <f xml:space="preserve"> [1]Gilchrist_Zak!C368</f>
        <v>-1.3291999999999999</v>
      </c>
      <c r="AA536">
        <f xml:space="preserve"> [1]Coibion_update!AI542</f>
        <v>0</v>
      </c>
      <c r="AB536">
        <f t="shared" si="37"/>
        <v>8.9527499999999788E-2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1.04</v>
      </c>
      <c r="AL536">
        <f xml:space="preserve"> LN([1]misc!B555)</f>
        <v>7.1615444204107339</v>
      </c>
      <c r="AM536">
        <f xml:space="preserve"> LN([1]misc!D555)</f>
        <v>8.7012465810549511</v>
      </c>
      <c r="AN536">
        <f xml:space="preserve"> LN([1]misc!G660)</f>
        <v>2.4995489265248705</v>
      </c>
      <c r="AO536">
        <f xml:space="preserve"> LN([1]misc!J566 + [1]misc!L566)</f>
        <v>3.7600832131202684</v>
      </c>
      <c r="AP536">
        <f xml:space="preserve"> [1]Factors!B536</f>
        <v>0.19149334700000001</v>
      </c>
      <c r="AQ536">
        <f xml:space="preserve"> [1]Factors!C536</f>
        <v>-1.23347391E-2</v>
      </c>
      <c r="AR536">
        <f xml:space="preserve"> [1]Factors!D536</f>
        <v>-7.9634838099999994E-2</v>
      </c>
      <c r="AS536">
        <f xml:space="preserve"> [1]Factors!E536</f>
        <v>0.15074268800000001</v>
      </c>
      <c r="AT536">
        <f xml:space="preserve"> [1]Factors!F536</f>
        <v>-2.9685910499999999E-2</v>
      </c>
    </row>
    <row r="537" spans="1:46" x14ac:dyDescent="0.25">
      <c r="A537">
        <f t="shared" si="41"/>
        <v>2003.5833333332982</v>
      </c>
      <c r="B537" s="1">
        <v>37834</v>
      </c>
      <c r="C537" s="7">
        <f t="shared" si="38"/>
        <v>2003</v>
      </c>
      <c r="D537" s="7">
        <f t="shared" si="39"/>
        <v>8</v>
      </c>
      <c r="E537" s="7">
        <f t="shared" si="40"/>
        <v>3</v>
      </c>
      <c r="F537">
        <f xml:space="preserve"> [1]Coibion_update!O543</f>
        <v>4.5411808473555322</v>
      </c>
      <c r="G537">
        <f xml:space="preserve"> [1]Coibion_update!P543</f>
        <v>6.1</v>
      </c>
      <c r="H537">
        <f xml:space="preserve"> [1]Coibion_update!Q543</f>
        <v>5.2176494634805817</v>
      </c>
      <c r="I537">
        <f xml:space="preserve"> [1]Coibion_update!W543</f>
        <v>1.03</v>
      </c>
      <c r="J537">
        <f xml:space="preserve"> [1]Coibion_update!X543</f>
        <v>5.5274032273178761</v>
      </c>
      <c r="K537">
        <f xml:space="preserve"> [1]Coibion_update!Y543</f>
        <v>4.5441348548421248</v>
      </c>
      <c r="L537">
        <f xml:space="preserve"> [1]Coibion_update!Z543</f>
        <v>4.534103737554231</v>
      </c>
      <c r="M537">
        <f xml:space="preserve"> [1]Coibion_update!AA543</f>
        <v>4.5013196408618645</v>
      </c>
      <c r="N537">
        <f xml:space="preserve"> [1]Coibion_update!AB543</f>
        <v>-5.9003699999999999E-2</v>
      </c>
      <c r="O537">
        <f xml:space="preserve"> [1]Coibion_update!AC543</f>
        <v>-1.5788220000000017</v>
      </c>
      <c r="Q537">
        <f xml:space="preserve"> [1]Barakchian_Crowe!B416</f>
        <v>6.4649600000000002E-2</v>
      </c>
      <c r="R537">
        <f xml:space="preserve"> [1]Barakchian_Crowe!C416</f>
        <v>-7.4934940000000001</v>
      </c>
      <c r="S537">
        <f xml:space="preserve"> [1]Gertler_Karadi!C291</f>
        <v>0</v>
      </c>
      <c r="T537">
        <f xml:space="preserve"> [1]Gertler_Karadi!D291</f>
        <v>0</v>
      </c>
      <c r="U537">
        <f xml:space="preserve"> [1]Gertler_Karadi!E291</f>
        <v>-1.6129000000000001E-2</v>
      </c>
      <c r="V537">
        <f xml:space="preserve"> [1]Gertler_Karadi!F291</f>
        <v>-3.2258000000000002E-2</v>
      </c>
      <c r="W537">
        <f xml:space="preserve"> [1]Gertler_Karadi!G291</f>
        <v>-5.1612900000000003E-2</v>
      </c>
      <c r="X537" s="5">
        <f xml:space="preserve"> [1]misc!N620</f>
        <v>1.31</v>
      </c>
      <c r="Y537">
        <f xml:space="preserve"> [1]Gilchrist_Zak!C369</f>
        <v>-0.22409999999999999</v>
      </c>
      <c r="AA537">
        <f xml:space="preserve"> [1]Coibion_update!AI543</f>
        <v>-1.14774E-2</v>
      </c>
      <c r="AB537">
        <f t="shared" si="37"/>
        <v>7.8050099999999789E-2</v>
      </c>
      <c r="AC537">
        <v>-1.14774E-2</v>
      </c>
      <c r="AD537">
        <v>0</v>
      </c>
      <c r="AE537">
        <v>0</v>
      </c>
      <c r="AF537">
        <v>0</v>
      </c>
      <c r="AG537">
        <v>-2.5000000000000001E-2</v>
      </c>
      <c r="AH537">
        <v>-9.6069999999999999E-4</v>
      </c>
      <c r="AI537">
        <v>6.5646999999999997E-3</v>
      </c>
      <c r="AJ537">
        <v>-2.8720099999999998E-2</v>
      </c>
      <c r="AK537">
        <v>1.01</v>
      </c>
      <c r="AL537">
        <f xml:space="preserve"> LN([1]misc!B556)</f>
        <v>7.1675007327408951</v>
      </c>
      <c r="AM537">
        <f xml:space="preserve"> LN([1]misc!D556)</f>
        <v>8.7106524926206479</v>
      </c>
      <c r="AN537">
        <f xml:space="preserve"> LN([1]misc!G661)</f>
        <v>2.6487954738848956</v>
      </c>
      <c r="AO537">
        <f xml:space="preserve"> LN([1]misc!J567 + [1]misc!L567)</f>
        <v>3.8165468118442964</v>
      </c>
      <c r="AP537">
        <f xml:space="preserve"> [1]Factors!B537</f>
        <v>7.1812906999999995E-2</v>
      </c>
      <c r="AQ537">
        <f xml:space="preserve"> [1]Factors!C537</f>
        <v>1.4163042799999999E-3</v>
      </c>
      <c r="AR537">
        <f xml:space="preserve"> [1]Factors!D537</f>
        <v>0.18453688400000001</v>
      </c>
      <c r="AS537">
        <f xml:space="preserve"> [1]Factors!E537</f>
        <v>-0.255541931</v>
      </c>
      <c r="AT537">
        <f xml:space="preserve"> [1]Factors!F537</f>
        <v>-0.24504405700000001</v>
      </c>
    </row>
    <row r="538" spans="1:46" x14ac:dyDescent="0.25">
      <c r="A538">
        <f t="shared" si="41"/>
        <v>2003.6666666666315</v>
      </c>
      <c r="B538" s="1">
        <v>37865</v>
      </c>
      <c r="C538" s="7">
        <f t="shared" si="38"/>
        <v>2003</v>
      </c>
      <c r="D538" s="7">
        <f t="shared" si="39"/>
        <v>9</v>
      </c>
      <c r="E538" s="7">
        <f t="shared" si="40"/>
        <v>3</v>
      </c>
      <c r="F538">
        <f xml:space="preserve"> [1]Coibion_update!O544</f>
        <v>4.547394876024498</v>
      </c>
      <c r="G538">
        <f xml:space="preserve"> [1]Coibion_update!P544</f>
        <v>6.1</v>
      </c>
      <c r="H538">
        <f xml:space="preserve"> [1]Coibion_update!Q544</f>
        <v>5.2208962195794522</v>
      </c>
      <c r="I538">
        <f xml:space="preserve"> [1]Coibion_update!W544</f>
        <v>1.01</v>
      </c>
      <c r="J538">
        <f xml:space="preserve"> [1]Coibion_update!X544</f>
        <v>5.5656309016067205</v>
      </c>
      <c r="K538">
        <f xml:space="preserve"> [1]Coibion_update!Y544</f>
        <v>4.5225817406724627</v>
      </c>
      <c r="L538">
        <f xml:space="preserve"> [1]Coibion_update!Z544</f>
        <v>4.5323951712056791</v>
      </c>
      <c r="M538">
        <f xml:space="preserve"> [1]Coibion_update!AA544</f>
        <v>4.5010311462469463</v>
      </c>
      <c r="N538">
        <f xml:space="preserve"> [1]Coibion_update!AB544</f>
        <v>-0.20556859999999999</v>
      </c>
      <c r="O538">
        <f xml:space="preserve"> [1]Coibion_update!AC544</f>
        <v>-1.7843906000000018</v>
      </c>
      <c r="Q538">
        <f xml:space="preserve"> [1]Barakchian_Crowe!B417</f>
        <v>0.15653529999999999</v>
      </c>
      <c r="R538">
        <f xml:space="preserve"> [1]Barakchian_Crowe!C417</f>
        <v>-7.3369590000000002</v>
      </c>
      <c r="S538">
        <f xml:space="preserve"> [1]Gertler_Karadi!C292</f>
        <v>5.3598999999999999E-3</v>
      </c>
      <c r="T538">
        <f xml:space="preserve"> [1]Gertler_Karadi!D292</f>
        <v>0</v>
      </c>
      <c r="U538">
        <f xml:space="preserve"> [1]Gertler_Karadi!E292</f>
        <v>-1.13709E-2</v>
      </c>
      <c r="V538">
        <f xml:space="preserve"> [1]Gertler_Karadi!F292</f>
        <v>-1.5241899999999999E-2</v>
      </c>
      <c r="W538">
        <f xml:space="preserve"> [1]Gertler_Karadi!G292</f>
        <v>-3.3386899999999997E-2</v>
      </c>
      <c r="X538" s="5">
        <f xml:space="preserve"> [1]misc!N621</f>
        <v>1.24</v>
      </c>
      <c r="Y538">
        <f xml:space="preserve"> [1]Gilchrist_Zak!C370</f>
        <v>-0.69069999999999998</v>
      </c>
      <c r="AA538">
        <f xml:space="preserve"> [1]Coibion_update!AI544</f>
        <v>-0.16755890000000001</v>
      </c>
      <c r="AB538">
        <f t="shared" si="37"/>
        <v>-8.9508800000000222E-2</v>
      </c>
      <c r="AC538">
        <v>-0.16755890000000001</v>
      </c>
      <c r="AD538">
        <v>1.072E-2</v>
      </c>
      <c r="AE538">
        <v>5.0000000000000001E-3</v>
      </c>
      <c r="AF538">
        <v>0</v>
      </c>
      <c r="AG538">
        <v>-5.0000000000000001E-3</v>
      </c>
      <c r="AH538">
        <v>-1.3258000000000001E-2</v>
      </c>
      <c r="AI538">
        <v>-6.3642999999999998E-3</v>
      </c>
      <c r="AJ538">
        <v>-1.5734499999999998E-2</v>
      </c>
      <c r="AK538">
        <v>1.17</v>
      </c>
      <c r="AL538">
        <f xml:space="preserve"> LN([1]misc!B557)</f>
        <v>7.1671150344293295</v>
      </c>
      <c r="AM538">
        <f xml:space="preserve"> LN([1]misc!D557)</f>
        <v>8.7059771551378464</v>
      </c>
      <c r="AN538">
        <f xml:space="preserve"> LN([1]misc!G662)</f>
        <v>2.5247681832131308</v>
      </c>
      <c r="AO538">
        <f xml:space="preserve"> LN([1]misc!J568 + [1]misc!L568)</f>
        <v>3.7832801295354206</v>
      </c>
      <c r="AP538">
        <f xml:space="preserve"> [1]Factors!B538</f>
        <v>5.8746650499999997E-2</v>
      </c>
      <c r="AQ538">
        <f xml:space="preserve"> [1]Factors!C538</f>
        <v>0.109187189</v>
      </c>
      <c r="AR538">
        <f xml:space="preserve"> [1]Factors!D538</f>
        <v>0.22890463899999999</v>
      </c>
      <c r="AS538">
        <f xml:space="preserve"> [1]Factors!E538</f>
        <v>-0.16196309</v>
      </c>
      <c r="AT538">
        <f xml:space="preserve"> [1]Factors!F538</f>
        <v>0.13120681100000001</v>
      </c>
    </row>
    <row r="539" spans="1:46" x14ac:dyDescent="0.25">
      <c r="A539">
        <f t="shared" si="41"/>
        <v>2003.7499999999648</v>
      </c>
      <c r="B539" s="1">
        <v>37895</v>
      </c>
      <c r="C539" s="7">
        <f t="shared" si="38"/>
        <v>2003</v>
      </c>
      <c r="D539" s="7">
        <f t="shared" si="39"/>
        <v>10</v>
      </c>
      <c r="E539" s="7">
        <f t="shared" si="40"/>
        <v>4</v>
      </c>
      <c r="F539">
        <f xml:space="preserve"> [1]Coibion_update!O545</f>
        <v>4.5482241025456247</v>
      </c>
      <c r="G539">
        <f xml:space="preserve"> [1]Coibion_update!P545</f>
        <v>6</v>
      </c>
      <c r="H539">
        <f xml:space="preserve"> [1]Coibion_update!Q545</f>
        <v>5.2198151383930789</v>
      </c>
      <c r="I539">
        <f xml:space="preserve"> [1]Coibion_update!W545</f>
        <v>1.01</v>
      </c>
      <c r="J539">
        <f xml:space="preserve"> [1]Coibion_update!X545</f>
        <v>5.6132740811346986</v>
      </c>
      <c r="K539">
        <f xml:space="preserve"> [1]Coibion_update!Y545</f>
        <v>4.5252499708120428</v>
      </c>
      <c r="L539">
        <f xml:space="preserve"> [1]Coibion_update!Z545</f>
        <v>4.5315774656847179</v>
      </c>
      <c r="M539">
        <f xml:space="preserve"> [1]Coibion_update!AA545</f>
        <v>4.5045207778381613</v>
      </c>
      <c r="N539">
        <f xml:space="preserve"> [1]Coibion_update!AB545</f>
        <v>-0.1934256</v>
      </c>
      <c r="O539">
        <f xml:space="preserve"> [1]Coibion_update!AC545</f>
        <v>-1.9778162000000019</v>
      </c>
      <c r="Q539">
        <f xml:space="preserve"> [1]Barakchian_Crowe!B418</f>
        <v>3.3320900000000001E-2</v>
      </c>
      <c r="R539">
        <f xml:space="preserve"> [1]Barakchian_Crowe!C418</f>
        <v>-7.3036380000000003</v>
      </c>
      <c r="S539">
        <f xml:space="preserve"> [1]Gertler_Karadi!C293</f>
        <v>4.7146999999999996E-3</v>
      </c>
      <c r="T539">
        <f xml:space="preserve"> [1]Gertler_Karadi!D293</f>
        <v>-1.2903000000000001E-3</v>
      </c>
      <c r="U539">
        <f xml:space="preserve"> [1]Gertler_Karadi!E293</f>
        <v>-1.4112899999999999E-2</v>
      </c>
      <c r="V539">
        <f xml:space="preserve"> [1]Gertler_Karadi!F293</f>
        <v>-1.23386E-2</v>
      </c>
      <c r="W539">
        <f xml:space="preserve"> [1]Gertler_Karadi!G293</f>
        <v>-2.2419499999999998E-2</v>
      </c>
      <c r="X539" s="5">
        <f xml:space="preserve"> [1]misc!N622</f>
        <v>1.25</v>
      </c>
      <c r="Y539">
        <f xml:space="preserve"> [1]Gilchrist_Zak!C371</f>
        <v>-0.54249999999999998</v>
      </c>
      <c r="AA539">
        <f xml:space="preserve"> [1]Coibion_update!AI545</f>
        <v>-0.1738297</v>
      </c>
      <c r="AB539">
        <f t="shared" si="37"/>
        <v>-0.26333850000000025</v>
      </c>
      <c r="AC539">
        <v>-0.1738297</v>
      </c>
      <c r="AD539">
        <v>-5.0000000000000001E-3</v>
      </c>
      <c r="AE539">
        <v>0</v>
      </c>
      <c r="AF539">
        <v>-0.01</v>
      </c>
      <c r="AG539">
        <v>-0.09</v>
      </c>
      <c r="AH539">
        <v>1.5543E-3</v>
      </c>
      <c r="AI539">
        <v>3.8251000000000001E-3</v>
      </c>
      <c r="AJ539">
        <v>-9.50376E-2</v>
      </c>
      <c r="AK539">
        <v>1.03</v>
      </c>
      <c r="AL539">
        <f xml:space="preserve"> LN([1]misc!B558)</f>
        <v>7.167732080341696</v>
      </c>
      <c r="AM539">
        <f xml:space="preserve"> LN([1]misc!D558)</f>
        <v>8.7043861967472136</v>
      </c>
      <c r="AN539">
        <f xml:space="preserve"> LN([1]misc!G663)</f>
        <v>2.450832669454249</v>
      </c>
      <c r="AO539">
        <f xml:space="preserve"> LN([1]misc!J569 + [1]misc!L569)</f>
        <v>3.7680371548997647</v>
      </c>
      <c r="AP539">
        <f xml:space="preserve"> [1]Factors!B539</f>
        <v>-6.4532664399999995E-2</v>
      </c>
      <c r="AQ539">
        <f xml:space="preserve"> [1]Factors!C539</f>
        <v>-1.3339866800000001E-2</v>
      </c>
      <c r="AR539">
        <f xml:space="preserve"> [1]Factors!D539</f>
        <v>4.4410819900000002E-2</v>
      </c>
      <c r="AS539">
        <f xml:space="preserve"> [1]Factors!E539</f>
        <v>0.176161663</v>
      </c>
      <c r="AT539">
        <f xml:space="preserve"> [1]Factors!F539</f>
        <v>-5.4965130600000002E-2</v>
      </c>
    </row>
    <row r="540" spans="1:46" x14ac:dyDescent="0.25">
      <c r="A540">
        <f t="shared" si="41"/>
        <v>2003.833333333298</v>
      </c>
      <c r="B540" s="1">
        <v>37926</v>
      </c>
      <c r="C540" s="7">
        <f t="shared" si="38"/>
        <v>2003</v>
      </c>
      <c r="D540" s="7">
        <f t="shared" si="39"/>
        <v>11</v>
      </c>
      <c r="E540" s="7">
        <f t="shared" si="40"/>
        <v>4</v>
      </c>
      <c r="F540">
        <f xml:space="preserve"> [1]Coibion_update!O546</f>
        <v>4.5561637484332564</v>
      </c>
      <c r="G540">
        <f xml:space="preserve"> [1]Coibion_update!P546</f>
        <v>5.8</v>
      </c>
      <c r="H540">
        <f xml:space="preserve"> [1]Coibion_update!Q546</f>
        <v>5.2203558250783244</v>
      </c>
      <c r="I540">
        <f xml:space="preserve"> [1]Coibion_update!W546</f>
        <v>1</v>
      </c>
      <c r="J540">
        <f xml:space="preserve"> [1]Coibion_update!X546</f>
        <v>5.6300282860675388</v>
      </c>
      <c r="K540">
        <f xml:space="preserve"> [1]Coibion_update!Y546</f>
        <v>4.5470218705925198</v>
      </c>
      <c r="L540">
        <f xml:space="preserve"> [1]Coibion_update!Z546</f>
        <v>4.5408129817449518</v>
      </c>
      <c r="M540">
        <f xml:space="preserve"> [1]Coibion_update!AA546</f>
        <v>4.5070059372008604</v>
      </c>
      <c r="N540">
        <f xml:space="preserve"> [1]Coibion_update!AB546</f>
        <v>0</v>
      </c>
      <c r="O540">
        <f xml:space="preserve"> [1]Coibion_update!AC546</f>
        <v>-1.9778162000000019</v>
      </c>
      <c r="Q540">
        <f xml:space="preserve"> [1]Barakchian_Crowe!B419</f>
        <v>0</v>
      </c>
      <c r="R540">
        <f xml:space="preserve"> [1]Barakchian_Crowe!C419</f>
        <v>-7.3036380000000003</v>
      </c>
      <c r="S540">
        <f xml:space="preserve"> [1]Gertler_Karadi!C294</f>
        <v>-4.3547000000000004E-3</v>
      </c>
      <c r="T540">
        <f xml:space="preserve"> [1]Gertler_Karadi!D294</f>
        <v>-8.7097000000000008E-3</v>
      </c>
      <c r="U540">
        <f xml:space="preserve"> [1]Gertler_Karadi!E294</f>
        <v>-7.8386999999999998E-2</v>
      </c>
      <c r="V540">
        <f xml:space="preserve"> [1]Gertler_Karadi!F294</f>
        <v>-0.10016129999999999</v>
      </c>
      <c r="W540">
        <f xml:space="preserve"> [1]Gertler_Karadi!G294</f>
        <v>-0.1175807</v>
      </c>
      <c r="X540" s="5">
        <f xml:space="preserve"> [1]misc!N623</f>
        <v>1.34</v>
      </c>
      <c r="Y540">
        <f xml:space="preserve"> [1]Gilchrist_Zak!C372</f>
        <v>-0.54010000000000002</v>
      </c>
      <c r="AA540">
        <f xml:space="preserve"> [1]Coibion_update!AI546</f>
        <v>0</v>
      </c>
      <c r="AB540">
        <f t="shared" si="37"/>
        <v>-0.26333850000000025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1.01</v>
      </c>
      <c r="AL540">
        <f xml:space="preserve"> LN([1]misc!B559)</f>
        <v>7.1690420400743866</v>
      </c>
      <c r="AM540">
        <f xml:space="preserve"> LN([1]misc!D559)</f>
        <v>8.70519856467849</v>
      </c>
      <c r="AN540">
        <f xml:space="preserve"> LN([1]misc!G664)</f>
        <v>2.4437373727499296</v>
      </c>
      <c r="AO540">
        <f xml:space="preserve"> LN([1]misc!J570 + [1]misc!L570)</f>
        <v>3.7562576894438844</v>
      </c>
      <c r="AP540">
        <f xml:space="preserve"> [1]Factors!B540</f>
        <v>1.9509241199999999E-2</v>
      </c>
      <c r="AQ540">
        <f xml:space="preserve"> [1]Factors!C540</f>
        <v>-0.206687859</v>
      </c>
      <c r="AR540">
        <f xml:space="preserve"> [1]Factors!D540</f>
        <v>-0.13202886</v>
      </c>
      <c r="AS540">
        <f xml:space="preserve"> [1]Factors!E540</f>
        <v>-2.3725229900000001E-3</v>
      </c>
      <c r="AT540">
        <f xml:space="preserve"> [1]Factors!F540</f>
        <v>0.24795698999999999</v>
      </c>
    </row>
    <row r="541" spans="1:46" x14ac:dyDescent="0.25">
      <c r="A541">
        <f t="shared" si="41"/>
        <v>2003.9166666666313</v>
      </c>
      <c r="B541" s="1">
        <v>37956</v>
      </c>
      <c r="C541" s="7">
        <f t="shared" si="38"/>
        <v>2003</v>
      </c>
      <c r="D541" s="7">
        <f t="shared" si="39"/>
        <v>12</v>
      </c>
      <c r="E541" s="7">
        <f t="shared" si="40"/>
        <v>4</v>
      </c>
      <c r="F541">
        <f xml:space="preserve"> [1]Coibion_update!O547</f>
        <v>4.5552117897011692</v>
      </c>
      <c r="G541">
        <f xml:space="preserve"> [1]Coibion_update!P547</f>
        <v>5.7</v>
      </c>
      <c r="H541">
        <f xml:space="preserve"> [1]Coibion_update!Q547</f>
        <v>5.2230548820474896</v>
      </c>
      <c r="I541">
        <f xml:space="preserve"> [1]Coibion_update!W547</f>
        <v>0.98</v>
      </c>
      <c r="J541">
        <f xml:space="preserve"> [1]Coibion_update!X547</f>
        <v>5.6467887531360805</v>
      </c>
      <c r="K541">
        <f xml:space="preserve"> [1]Coibion_update!Y547</f>
        <v>4.5415059492192036</v>
      </c>
      <c r="L541">
        <f xml:space="preserve"> [1]Coibion_update!Z547</f>
        <v>4.5373302210774451</v>
      </c>
      <c r="M541">
        <f xml:space="preserve"> [1]Coibion_update!AA547</f>
        <v>4.5105297818339709</v>
      </c>
      <c r="N541">
        <f xml:space="preserve"> [1]Coibion_update!AB547</f>
        <v>-0.23147980000000001</v>
      </c>
      <c r="O541">
        <f xml:space="preserve"> [1]Coibion_update!AC547</f>
        <v>-2.2092960000000019</v>
      </c>
      <c r="Q541">
        <f xml:space="preserve"> [1]Barakchian_Crowe!B420</f>
        <v>0.2952921</v>
      </c>
      <c r="R541">
        <f xml:space="preserve"> [1]Barakchian_Crowe!C420</f>
        <v>-7.0083460000000004</v>
      </c>
      <c r="S541">
        <f xml:space="preserve"> [1]Gertler_Karadi!C295</f>
        <v>0</v>
      </c>
      <c r="T541">
        <f xml:space="preserve"> [1]Gertler_Karadi!D295</f>
        <v>3.7096E-3</v>
      </c>
      <c r="U541">
        <f xml:space="preserve"> [1]Gertler_Karadi!E295</f>
        <v>3.7096E-3</v>
      </c>
      <c r="V541">
        <f xml:space="preserve"> [1]Gertler_Karadi!F295</f>
        <v>4.0806500000000002E-2</v>
      </c>
      <c r="W541">
        <f xml:space="preserve"> [1]Gertler_Karadi!G295</f>
        <v>6.3064599999999998E-2</v>
      </c>
      <c r="X541" s="5">
        <f xml:space="preserve"> [1]misc!N624</f>
        <v>1.31</v>
      </c>
      <c r="Y541">
        <f xml:space="preserve"> [1]Gilchrist_Zak!C373</f>
        <v>-0.49230000000000002</v>
      </c>
      <c r="AA541">
        <f xml:space="preserve"> [1]Coibion_update!AI547</f>
        <v>-0.19224659999999999</v>
      </c>
      <c r="AB541">
        <f t="shared" si="37"/>
        <v>-0.45558510000000024</v>
      </c>
      <c r="AC541">
        <v>-0.19224659999999999</v>
      </c>
      <c r="AD541">
        <v>0</v>
      </c>
      <c r="AE541">
        <v>0</v>
      </c>
      <c r="AF541">
        <v>5.0000000000000001E-3</v>
      </c>
      <c r="AG541">
        <v>5.0000000000000001E-3</v>
      </c>
      <c r="AH541">
        <v>4.5557999999999996E-3</v>
      </c>
      <c r="AI541">
        <v>3.1397700000000001E-2</v>
      </c>
      <c r="AJ541">
        <v>8.5389000000000003E-3</v>
      </c>
      <c r="AK541">
        <v>0.94</v>
      </c>
      <c r="AL541">
        <f xml:space="preserve"> LN([1]misc!B560)</f>
        <v>7.1741115647191656</v>
      </c>
      <c r="AM541">
        <f xml:space="preserve"> LN([1]misc!D560)</f>
        <v>8.7048836431990715</v>
      </c>
      <c r="AN541">
        <f xml:space="preserve"> LN([1]misc!G665)</f>
        <v>2.3857306740807145</v>
      </c>
      <c r="AO541">
        <f xml:space="preserve"> LN([1]misc!J571 + [1]misc!L571)</f>
        <v>3.7494099538539687</v>
      </c>
      <c r="AP541">
        <f xml:space="preserve"> [1]Factors!B541</f>
        <v>-0.19366746400000001</v>
      </c>
      <c r="AQ541">
        <f xml:space="preserve"> [1]Factors!C541</f>
        <v>-0.285070983</v>
      </c>
      <c r="AR541">
        <f xml:space="preserve"> [1]Factors!D541</f>
        <v>-3.7689153099999997E-2</v>
      </c>
      <c r="AS541">
        <f xml:space="preserve"> [1]Factors!E541</f>
        <v>4.6454381600000002E-3</v>
      </c>
      <c r="AT541">
        <f xml:space="preserve"> [1]Factors!F541</f>
        <v>-8.2120365200000003E-2</v>
      </c>
    </row>
    <row r="542" spans="1:46" x14ac:dyDescent="0.25">
      <c r="A542">
        <f t="shared" si="41"/>
        <v>2003.9999999999645</v>
      </c>
      <c r="B542" s="1">
        <v>37987</v>
      </c>
      <c r="C542" s="7">
        <f t="shared" si="38"/>
        <v>2004</v>
      </c>
      <c r="D542" s="7">
        <f t="shared" si="39"/>
        <v>1</v>
      </c>
      <c r="E542" s="7">
        <f t="shared" si="40"/>
        <v>1</v>
      </c>
      <c r="F542">
        <f xml:space="preserve"> [1]Coibion_update!O548</f>
        <v>4.5570424023962</v>
      </c>
      <c r="G542">
        <f xml:space="preserve"> [1]Coibion_update!P548</f>
        <v>5.7</v>
      </c>
      <c r="H542">
        <f xml:space="preserve"> [1]Coibion_update!Q548</f>
        <v>5.2273582776075429</v>
      </c>
      <c r="I542">
        <f xml:space="preserve"> [1]Coibion_update!W548</f>
        <v>1</v>
      </c>
      <c r="J542">
        <f xml:space="preserve"> [1]Coibion_update!X548</f>
        <v>5.6752115176681652</v>
      </c>
      <c r="K542">
        <f xml:space="preserve"> [1]Coibion_update!Y548</f>
        <v>4.5404503150743105</v>
      </c>
      <c r="L542">
        <f xml:space="preserve"> [1]Coibion_update!Z548</f>
        <v>4.5448680121797098</v>
      </c>
      <c r="M542">
        <f xml:space="preserve"> [1]Coibion_update!AA548</f>
        <v>4.5147420694953597</v>
      </c>
      <c r="N542">
        <f xml:space="preserve"> [1]Coibion_update!AB548</f>
        <v>-0.1027214</v>
      </c>
      <c r="O542">
        <f xml:space="preserve"> [1]Coibion_update!AC548</f>
        <v>-2.312017400000002</v>
      </c>
      <c r="Q542">
        <f xml:space="preserve"> [1]Barakchian_Crowe!B421</f>
        <v>0.51494320000000005</v>
      </c>
      <c r="R542">
        <f xml:space="preserve"> [1]Barakchian_Crowe!C421</f>
        <v>-6.4934029999999998</v>
      </c>
      <c r="S542">
        <f xml:space="preserve"> [1]Gertler_Karadi!C296</f>
        <v>6.4519999999999996E-4</v>
      </c>
      <c r="T542">
        <f xml:space="preserve"> [1]Gertler_Karadi!D296</f>
        <v>1.9354999999999999E-3</v>
      </c>
      <c r="U542">
        <f xml:space="preserve"> [1]Gertler_Karadi!E296</f>
        <v>1.54839E-2</v>
      </c>
      <c r="V542">
        <f xml:space="preserve"> [1]Gertler_Karadi!F296</f>
        <v>3.8064500000000001E-2</v>
      </c>
      <c r="W542">
        <f xml:space="preserve"> [1]Gertler_Karadi!G296</f>
        <v>5.35483E-2</v>
      </c>
      <c r="X542" s="5">
        <f xml:space="preserve"> [1]misc!N625</f>
        <v>1.24</v>
      </c>
      <c r="Y542">
        <f xml:space="preserve"> [1]Gilchrist_Zak!C374</f>
        <v>-0.71099999999999997</v>
      </c>
      <c r="AA542">
        <f xml:space="preserve"> [1]Coibion_update!AI548</f>
        <v>-0.18042730000000001</v>
      </c>
      <c r="AB542">
        <f t="shared" si="37"/>
        <v>-0.63601240000000026</v>
      </c>
      <c r="AC542">
        <v>-0.18042730000000001</v>
      </c>
      <c r="AD542">
        <v>5.0000000000000001E-3</v>
      </c>
      <c r="AE542">
        <v>0</v>
      </c>
      <c r="AF542">
        <v>5.0000000000000001E-3</v>
      </c>
      <c r="AG542">
        <v>0.11</v>
      </c>
      <c r="AH542">
        <v>-6.2998999999999998E-3</v>
      </c>
      <c r="AI542">
        <v>-8.8750000000000005E-4</v>
      </c>
      <c r="AJ542">
        <v>9.2952499999999993E-2</v>
      </c>
      <c r="AK542">
        <v>1.03</v>
      </c>
      <c r="AL542">
        <f xml:space="preserve"> LN([1]misc!B561)</f>
        <v>7.1740349451734815</v>
      </c>
      <c r="AM542">
        <f xml:space="preserve"> LN([1]misc!D561)</f>
        <v>8.7062089585695759</v>
      </c>
      <c r="AN542">
        <f xml:space="preserve"> LN([1]misc!G666)</f>
        <v>2.4491931126301361</v>
      </c>
      <c r="AO542">
        <f xml:space="preserve"> LN([1]misc!J572 + [1]misc!L572)</f>
        <v>3.7582889054861042</v>
      </c>
      <c r="AP542">
        <f xml:space="preserve"> [1]Factors!B542</f>
        <v>-4.4875826100000002E-2</v>
      </c>
      <c r="AQ542">
        <f xml:space="preserve"> [1]Factors!C542</f>
        <v>-1.0366732700000001E-2</v>
      </c>
      <c r="AR542">
        <f xml:space="preserve"> [1]Factors!D542</f>
        <v>3.2981738900000001E-3</v>
      </c>
      <c r="AS542">
        <f xml:space="preserve"> [1]Factors!E542</f>
        <v>5.2437450300000001E-2</v>
      </c>
      <c r="AT542">
        <f xml:space="preserve"> [1]Factors!F542</f>
        <v>0.25649137500000002</v>
      </c>
    </row>
    <row r="543" spans="1:46" x14ac:dyDescent="0.25">
      <c r="A543">
        <f t="shared" si="41"/>
        <v>2004.0833333332978</v>
      </c>
      <c r="B543" s="1">
        <v>38018</v>
      </c>
      <c r="C543" s="7">
        <f t="shared" si="38"/>
        <v>2004</v>
      </c>
      <c r="D543" s="7">
        <f t="shared" si="39"/>
        <v>2</v>
      </c>
      <c r="E543" s="7">
        <f t="shared" si="40"/>
        <v>1</v>
      </c>
      <c r="F543">
        <f xml:space="preserve"> [1]Coibion_update!O549</f>
        <v>4.5626373538193432</v>
      </c>
      <c r="G543">
        <f xml:space="preserve"> [1]Coibion_update!P549</f>
        <v>5.6</v>
      </c>
      <c r="H543">
        <f xml:space="preserve"> [1]Coibion_update!Q549</f>
        <v>5.2295030505476765</v>
      </c>
      <c r="I543">
        <f xml:space="preserve"> [1]Coibion_update!W549</f>
        <v>1.01</v>
      </c>
      <c r="J543">
        <f xml:space="preserve"> [1]Coibion_update!X549</f>
        <v>5.6883642219278201</v>
      </c>
      <c r="K543">
        <f xml:space="preserve"> [1]Coibion_update!Y549</f>
        <v>4.5546134623709387</v>
      </c>
      <c r="L543">
        <f xml:space="preserve"> [1]Coibion_update!Z549</f>
        <v>4.5362808805665615</v>
      </c>
      <c r="M543">
        <f xml:space="preserve"> [1]Coibion_update!AA549</f>
        <v>4.5178351202532756</v>
      </c>
      <c r="N543">
        <f xml:space="preserve"> [1]Coibion_update!AB549</f>
        <v>0</v>
      </c>
      <c r="O543">
        <f xml:space="preserve"> [1]Coibion_update!AC549</f>
        <v>-2.312017400000002</v>
      </c>
      <c r="Q543">
        <f xml:space="preserve"> [1]Barakchian_Crowe!B422</f>
        <v>0</v>
      </c>
      <c r="R543">
        <f xml:space="preserve"> [1]Barakchian_Crowe!C422</f>
        <v>-6.4934029999999998</v>
      </c>
      <c r="S543">
        <f xml:space="preserve"> [1]Gertler_Karadi!C297</f>
        <v>4.3547000000000004E-3</v>
      </c>
      <c r="T543">
        <f xml:space="preserve"> [1]Gertler_Karadi!D297</f>
        <v>4.3550000000000004E-3</v>
      </c>
      <c r="U543">
        <f xml:space="preserve"> [1]Gertler_Karadi!E297</f>
        <v>9.5806600000000006E-2</v>
      </c>
      <c r="V543">
        <f xml:space="preserve"> [1]Gertler_Karadi!F297</f>
        <v>0.16112899999999999</v>
      </c>
      <c r="W543">
        <f xml:space="preserve"> [1]Gertler_Karadi!G297</f>
        <v>0.21338699999999999</v>
      </c>
      <c r="X543" s="5">
        <f xml:space="preserve"> [1]misc!N626</f>
        <v>1.24</v>
      </c>
      <c r="Y543">
        <f xml:space="preserve"> [1]Gilchrist_Zak!C375</f>
        <v>-0.28439999999999999</v>
      </c>
      <c r="AA543">
        <f xml:space="preserve"> [1]Coibion_update!AI549</f>
        <v>0</v>
      </c>
      <c r="AB543">
        <f t="shared" si="37"/>
        <v>-0.63601240000000026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1.04</v>
      </c>
      <c r="AL543">
        <f xml:space="preserve"> LN([1]misc!B562)</f>
        <v>7.1858414577604712</v>
      </c>
      <c r="AM543">
        <f xml:space="preserve"> LN([1]misc!D562)</f>
        <v>8.7128093158481938</v>
      </c>
      <c r="AN543">
        <f xml:space="preserve"> LN([1]misc!G667)</f>
        <v>2.3883957494071568</v>
      </c>
      <c r="AO543">
        <f xml:space="preserve"> LN([1]misc!J573 + [1]misc!L573)</f>
        <v>3.7600599310463001</v>
      </c>
      <c r="AP543">
        <f xml:space="preserve"> [1]Factors!B543</f>
        <v>-0.16973980399999999</v>
      </c>
      <c r="AQ543">
        <f xml:space="preserve"> [1]Factors!C543</f>
        <v>0.167584381</v>
      </c>
      <c r="AR543">
        <f xml:space="preserve"> [1]Factors!D543</f>
        <v>-5.2902931999999998E-3</v>
      </c>
      <c r="AS543">
        <f xml:space="preserve"> [1]Factors!E543</f>
        <v>0.22423087899999999</v>
      </c>
      <c r="AT543">
        <f xml:space="preserve"> [1]Factors!F543</f>
        <v>0.26317571099999998</v>
      </c>
    </row>
    <row r="544" spans="1:46" x14ac:dyDescent="0.25">
      <c r="A544">
        <f t="shared" si="41"/>
        <v>2004.166666666631</v>
      </c>
      <c r="B544" s="1">
        <v>38047</v>
      </c>
      <c r="C544" s="7">
        <f t="shared" si="38"/>
        <v>2004</v>
      </c>
      <c r="D544" s="7">
        <f t="shared" si="39"/>
        <v>3</v>
      </c>
      <c r="E544" s="7">
        <f t="shared" si="40"/>
        <v>1</v>
      </c>
      <c r="F544">
        <f xml:space="preserve"> [1]Coibion_update!O550</f>
        <v>4.5571924417162268</v>
      </c>
      <c r="G544">
        <f xml:space="preserve"> [1]Coibion_update!P550</f>
        <v>5.8</v>
      </c>
      <c r="H544">
        <f xml:space="preserve"> [1]Coibion_update!Q550</f>
        <v>5.2316432332800442</v>
      </c>
      <c r="I544">
        <f xml:space="preserve"> [1]Coibion_update!W550</f>
        <v>1</v>
      </c>
      <c r="J544">
        <f xml:space="preserve"> [1]Coibion_update!X550</f>
        <v>5.7188352772824933</v>
      </c>
      <c r="K544">
        <f xml:space="preserve"> [1]Coibion_update!Y550</f>
        <v>4.5680081522993232</v>
      </c>
      <c r="L544">
        <f xml:space="preserve"> [1]Coibion_update!Z550</f>
        <v>4.5511362974956056</v>
      </c>
      <c r="M544">
        <f xml:space="preserve"> [1]Coibion_update!AA550</f>
        <v>4.5167323375261725</v>
      </c>
      <c r="N544">
        <f xml:space="preserve"> [1]Coibion_update!AB550</f>
        <v>7.3171E-2</v>
      </c>
      <c r="O544">
        <f xml:space="preserve"> [1]Coibion_update!AC550</f>
        <v>-2.2388464000000021</v>
      </c>
      <c r="Q544">
        <f xml:space="preserve"> [1]Barakchian_Crowe!B423</f>
        <v>5.4207499999999999E-2</v>
      </c>
      <c r="R544">
        <f xml:space="preserve"> [1]Barakchian_Crowe!C423</f>
        <v>-6.4391959999999999</v>
      </c>
      <c r="S544">
        <f xml:space="preserve"> [1]Gertler_Karadi!C298</f>
        <v>0</v>
      </c>
      <c r="T544">
        <f xml:space="preserve"> [1]Gertler_Karadi!D298</f>
        <v>-2.5806000000000002E-3</v>
      </c>
      <c r="U544">
        <f xml:space="preserve"> [1]Gertler_Karadi!E298</f>
        <v>-3.0967999999999999E-2</v>
      </c>
      <c r="V544">
        <f xml:space="preserve"> [1]Gertler_Karadi!F298</f>
        <v>-4.1290500000000001E-2</v>
      </c>
      <c r="W544">
        <f xml:space="preserve"> [1]Gertler_Karadi!G298</f>
        <v>-5.1612900000000003E-2</v>
      </c>
      <c r="X544" s="5">
        <f xml:space="preserve"> [1]misc!N627</f>
        <v>1.19</v>
      </c>
      <c r="Y544">
        <f xml:space="preserve"> [1]Gilchrist_Zak!C376</f>
        <v>-0.53159999999999996</v>
      </c>
      <c r="AA544">
        <f xml:space="preserve"> [1]Coibion_update!AI550</f>
        <v>-0.1155938</v>
      </c>
      <c r="AB544">
        <f t="shared" si="37"/>
        <v>-0.75160620000000022</v>
      </c>
      <c r="AC544">
        <v>-0.1155938</v>
      </c>
      <c r="AD544">
        <v>0</v>
      </c>
      <c r="AE544">
        <v>0</v>
      </c>
      <c r="AF544">
        <v>-5.0000000000000001E-3</v>
      </c>
      <c r="AG544">
        <v>-0.06</v>
      </c>
      <c r="AH544">
        <v>6.1701999999999998E-3</v>
      </c>
      <c r="AI544">
        <v>-1.8162999999999999E-2</v>
      </c>
      <c r="AJ544">
        <v>-6.2956200000000004E-2</v>
      </c>
      <c r="AK544">
        <v>1.05</v>
      </c>
      <c r="AL544">
        <f xml:space="preserve"> LN([1]misc!B563)</f>
        <v>7.1912787162850593</v>
      </c>
      <c r="AM544">
        <f xml:space="preserve"> LN([1]misc!D563)</f>
        <v>8.7185981626864582</v>
      </c>
      <c r="AN544">
        <f xml:space="preserve"> LN([1]misc!G668)</f>
        <v>2.4888156662847156</v>
      </c>
      <c r="AO544">
        <f xml:space="preserve"> LN([1]misc!J574 + [1]misc!L574)</f>
        <v>3.8025652185177528</v>
      </c>
      <c r="AP544">
        <f xml:space="preserve"> [1]Factors!B544</f>
        <v>-0.16326894</v>
      </c>
      <c r="AQ544">
        <f xml:space="preserve"> [1]Factors!C544</f>
        <v>-3.3297726E-2</v>
      </c>
      <c r="AR544">
        <f xml:space="preserve"> [1]Factors!D544</f>
        <v>-2.6611091699999999E-2</v>
      </c>
      <c r="AS544">
        <f xml:space="preserve"> [1]Factors!E544</f>
        <v>6.3719101700000003E-2</v>
      </c>
      <c r="AT544">
        <f xml:space="preserve"> [1]Factors!F544</f>
        <v>6.9770440200000006E-2</v>
      </c>
    </row>
    <row r="545" spans="1:46" x14ac:dyDescent="0.25">
      <c r="A545">
        <f t="shared" si="41"/>
        <v>2004.2499999999643</v>
      </c>
      <c r="B545" s="1">
        <v>38078</v>
      </c>
      <c r="C545" s="7">
        <f t="shared" si="38"/>
        <v>2004</v>
      </c>
      <c r="D545" s="7">
        <f t="shared" si="39"/>
        <v>4</v>
      </c>
      <c r="E545" s="7">
        <f t="shared" si="40"/>
        <v>2</v>
      </c>
      <c r="F545">
        <f xml:space="preserve"> [1]Coibion_update!O551</f>
        <v>4.5610354186235131</v>
      </c>
      <c r="G545">
        <f xml:space="preserve"> [1]Coibion_update!P551</f>
        <v>5.6</v>
      </c>
      <c r="H545">
        <f xml:space="preserve"> [1]Coibion_update!Q551</f>
        <v>5.2332453698043215</v>
      </c>
      <c r="I545">
        <f xml:space="preserve"> [1]Coibion_update!W551</f>
        <v>1</v>
      </c>
      <c r="J545">
        <f xml:space="preserve"> [1]Coibion_update!X551</f>
        <v>5.7219170448516836</v>
      </c>
      <c r="K545">
        <f xml:space="preserve"> [1]Coibion_update!Y551</f>
        <v>4.5580366488540331</v>
      </c>
      <c r="L545">
        <f xml:space="preserve"> [1]Coibion_update!Z551</f>
        <v>4.5467462658503743</v>
      </c>
      <c r="M545">
        <f xml:space="preserve"> [1]Coibion_update!AA551</f>
        <v>4.5215168009908382</v>
      </c>
      <c r="N545">
        <f xml:space="preserve"> [1]Coibion_update!AB551</f>
        <v>0</v>
      </c>
      <c r="O545">
        <f xml:space="preserve"> [1]Coibion_update!AC551</f>
        <v>-2.2388464000000021</v>
      </c>
      <c r="Q545">
        <f xml:space="preserve"> [1]Barakchian_Crowe!B424</f>
        <v>0</v>
      </c>
      <c r="R545">
        <f xml:space="preserve"> [1]Barakchian_Crowe!C424</f>
        <v>-6.4391959999999999</v>
      </c>
      <c r="S545">
        <f xml:space="preserve"> [1]Gertler_Karadi!C299</f>
        <v>0</v>
      </c>
      <c r="T545">
        <f xml:space="preserve"> [1]Gertler_Karadi!D299</f>
        <v>-2.4195000000000002E-3</v>
      </c>
      <c r="U545">
        <f xml:space="preserve"> [1]Gertler_Karadi!E299</f>
        <v>-2.9032200000000001E-2</v>
      </c>
      <c r="V545">
        <f xml:space="preserve"> [1]Gertler_Karadi!F299</f>
        <v>-3.8709599999999997E-2</v>
      </c>
      <c r="W545">
        <f xml:space="preserve"> [1]Gertler_Karadi!G299</f>
        <v>-4.8387100000000002E-2</v>
      </c>
      <c r="X545" s="5">
        <f xml:space="preserve"> [1]misc!N628</f>
        <v>1.43</v>
      </c>
      <c r="Y545">
        <f xml:space="preserve"> [1]Gilchrist_Zak!C377</f>
        <v>-0.74380000000000002</v>
      </c>
      <c r="AA545">
        <f xml:space="preserve"> [1]Coibion_update!AI551</f>
        <v>0</v>
      </c>
      <c r="AB545">
        <f t="shared" si="37"/>
        <v>-0.75160620000000022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1.03</v>
      </c>
      <c r="AL545">
        <f xml:space="preserve"> LN([1]misc!B564)</f>
        <v>7.19315975968986</v>
      </c>
      <c r="AM545">
        <f xml:space="preserve"> LN([1]misc!D564)</f>
        <v>8.7242073608005644</v>
      </c>
      <c r="AN545">
        <f xml:space="preserve"> LN([1]misc!G669)</f>
        <v>2.6455362957129678</v>
      </c>
      <c r="AO545">
        <f xml:space="preserve"> LN([1]misc!J575 + [1]misc!L575)</f>
        <v>3.8183055565542401</v>
      </c>
      <c r="AP545">
        <f xml:space="preserve"> [1]Factors!B545</f>
        <v>-0.10620262900000001</v>
      </c>
      <c r="AQ545">
        <f xml:space="preserve"> [1]Factors!C545</f>
        <v>3.77678631E-2</v>
      </c>
      <c r="AR545">
        <f xml:space="preserve"> [1]Factors!D545</f>
        <v>-0.14614566300000001</v>
      </c>
      <c r="AS545">
        <f xml:space="preserve"> [1]Factors!E545</f>
        <v>-4.4842555700000002E-2</v>
      </c>
      <c r="AT545">
        <f xml:space="preserve"> [1]Factors!F545</f>
        <v>0.29942229300000001</v>
      </c>
    </row>
    <row r="546" spans="1:46" x14ac:dyDescent="0.25">
      <c r="A546">
        <f t="shared" si="41"/>
        <v>2004.3333333332976</v>
      </c>
      <c r="B546" s="1">
        <v>38108</v>
      </c>
      <c r="C546" s="7">
        <f t="shared" si="38"/>
        <v>2004</v>
      </c>
      <c r="D546" s="7">
        <f t="shared" si="39"/>
        <v>5</v>
      </c>
      <c r="E546" s="7">
        <f t="shared" si="40"/>
        <v>2</v>
      </c>
      <c r="F546">
        <f xml:space="preserve"> [1]Coibion_update!O552</f>
        <v>4.5687260944507466</v>
      </c>
      <c r="G546">
        <f xml:space="preserve"> [1]Coibion_update!P552</f>
        <v>5.6</v>
      </c>
      <c r="H546">
        <f xml:space="preserve"> [1]Coibion_update!Q552</f>
        <v>5.2375052271512796</v>
      </c>
      <c r="I546">
        <f xml:space="preserve"> [1]Coibion_update!W552</f>
        <v>1</v>
      </c>
      <c r="J546">
        <f xml:space="preserve"> [1]Coibion_update!X552</f>
        <v>5.7084051071416448</v>
      </c>
      <c r="K546">
        <f xml:space="preserve"> [1]Coibion_update!Y552</f>
        <v>4.5854673537122235</v>
      </c>
      <c r="L546">
        <f xml:space="preserve"> [1]Coibion_update!Z552</f>
        <v>4.5499428475976575</v>
      </c>
      <c r="M546">
        <f xml:space="preserve"> [1]Coibion_update!AA552</f>
        <v>4.5230595082042173</v>
      </c>
      <c r="N546">
        <f xml:space="preserve"> [1]Coibion_update!AB552</f>
        <v>-0.1168102</v>
      </c>
      <c r="O546">
        <f xml:space="preserve"> [1]Coibion_update!AC552</f>
        <v>-2.3556566000000023</v>
      </c>
      <c r="Q546">
        <f xml:space="preserve"> [1]Barakchian_Crowe!B425</f>
        <v>0.21652830000000001</v>
      </c>
      <c r="R546">
        <f xml:space="preserve"> [1]Barakchian_Crowe!C425</f>
        <v>-6.2226670000000004</v>
      </c>
      <c r="S546">
        <f xml:space="preserve"> [1]Gertler_Karadi!C300</f>
        <v>-1.0368799999999999E-2</v>
      </c>
      <c r="T546">
        <f xml:space="preserve"> [1]Gertler_Karadi!D300</f>
        <v>-4.5161000000000003E-3</v>
      </c>
      <c r="U546">
        <f xml:space="preserve"> [1]Gertler_Karadi!E300</f>
        <v>4.5161000000000003E-3</v>
      </c>
      <c r="V546">
        <f xml:space="preserve"> [1]Gertler_Karadi!F300</f>
        <v>9.0322000000000006E-3</v>
      </c>
      <c r="W546">
        <f xml:space="preserve"> [1]Gertler_Karadi!G300</f>
        <v>1.8064500000000001E-2</v>
      </c>
      <c r="X546" s="5">
        <f xml:space="preserve"> [1]misc!N629</f>
        <v>1.78</v>
      </c>
      <c r="Y546">
        <f xml:space="preserve"> [1]Gilchrist_Zak!C378</f>
        <v>-0.3261</v>
      </c>
      <c r="AA546">
        <f xml:space="preserve"> [1]Coibion_update!AI552</f>
        <v>-0.1538611</v>
      </c>
      <c r="AB546">
        <f t="shared" si="37"/>
        <v>-0.9054673000000002</v>
      </c>
      <c r="AC546">
        <v>-0.1538611</v>
      </c>
      <c r="AD546">
        <v>-1.1480000000000001E-2</v>
      </c>
      <c r="AE546">
        <v>-9.9900000000000006E-3</v>
      </c>
      <c r="AF546">
        <v>-5.0000000000000001E-3</v>
      </c>
      <c r="AG546">
        <v>5.0000000000000001E-3</v>
      </c>
      <c r="AH546">
        <v>-9.5575E-3</v>
      </c>
      <c r="AI546">
        <v>-1.1632000000000001E-3</v>
      </c>
      <c r="AJ546">
        <v>2.8373999999999999E-3</v>
      </c>
      <c r="AK546">
        <v>1.02</v>
      </c>
      <c r="AL546">
        <f xml:space="preserve"> LN([1]misc!B565)</f>
        <v>7.1967614743960491</v>
      </c>
      <c r="AM546">
        <f xml:space="preserve"> LN([1]misc!D565)</f>
        <v>8.7382866427107295</v>
      </c>
      <c r="AN546">
        <f xml:space="preserve"> LN([1]misc!G670)</f>
        <v>2.6448263709351747</v>
      </c>
      <c r="AO546">
        <f xml:space="preserve"> LN([1]misc!J576 + [1]misc!L576)</f>
        <v>3.8135498286186866</v>
      </c>
      <c r="AP546">
        <f xml:space="preserve"> [1]Factors!B546</f>
        <v>-0.30363591699999998</v>
      </c>
      <c r="AQ546">
        <f xml:space="preserve"> [1]Factors!C546</f>
        <v>-3.83629646E-2</v>
      </c>
      <c r="AR546">
        <f xml:space="preserve"> [1]Factors!D546</f>
        <v>5.4316701699999997E-2</v>
      </c>
      <c r="AS546">
        <f xml:space="preserve"> [1]Factors!E546</f>
        <v>-0.242102713</v>
      </c>
      <c r="AT546">
        <f xml:space="preserve"> [1]Factors!F546</f>
        <v>0.13327455999999999</v>
      </c>
    </row>
    <row r="547" spans="1:46" x14ac:dyDescent="0.25">
      <c r="A547">
        <f t="shared" si="41"/>
        <v>2004.4166666666308</v>
      </c>
      <c r="B547" s="1">
        <v>38139</v>
      </c>
      <c r="C547" s="7">
        <f t="shared" si="38"/>
        <v>2004</v>
      </c>
      <c r="D547" s="7">
        <f t="shared" si="39"/>
        <v>6</v>
      </c>
      <c r="E547" s="7">
        <f t="shared" si="40"/>
        <v>2</v>
      </c>
      <c r="F547">
        <f xml:space="preserve"> [1]Coibion_update!O553</f>
        <v>4.5606381929261506</v>
      </c>
      <c r="G547">
        <f xml:space="preserve"> [1]Coibion_update!P553</f>
        <v>5.6</v>
      </c>
      <c r="H547">
        <f xml:space="preserve"> [1]Coibion_update!Q553</f>
        <v>5.2412177745074642</v>
      </c>
      <c r="I547">
        <f xml:space="preserve"> [1]Coibion_update!W553</f>
        <v>1.03</v>
      </c>
      <c r="J547">
        <f xml:space="preserve"> [1]Coibion_update!X553</f>
        <v>5.6893454268584316</v>
      </c>
      <c r="K547">
        <f xml:space="preserve"> [1]Coibion_update!Y553</f>
        <v>4.5485045918690235</v>
      </c>
      <c r="L547">
        <f xml:space="preserve"> [1]Coibion_update!Z553</f>
        <v>4.5448998763956663</v>
      </c>
      <c r="M547">
        <f xml:space="preserve"> [1]Coibion_update!AA553</f>
        <v>4.5257372923401809</v>
      </c>
      <c r="N547">
        <f xml:space="preserve"> [1]Coibion_update!AB553</f>
        <v>0.1512154</v>
      </c>
      <c r="O547">
        <f xml:space="preserve"> [1]Coibion_update!AC553</f>
        <v>-2.2044412000000024</v>
      </c>
      <c r="Q547">
        <f xml:space="preserve"> [1]Barakchian_Crowe!B426</f>
        <v>-0.85826429999999998</v>
      </c>
      <c r="R547">
        <f xml:space="preserve"> [1]Barakchian_Crowe!C426</f>
        <v>-7.0809319999999998</v>
      </c>
      <c r="S547">
        <f xml:space="preserve"> [1]Gertler_Karadi!C301</f>
        <v>-1.2777000000000001E-3</v>
      </c>
      <c r="T547">
        <f xml:space="preserve"> [1]Gertler_Karadi!D301</f>
        <v>-8.1709999999999997E-4</v>
      </c>
      <c r="U547">
        <f xml:space="preserve"> [1]Gertler_Karadi!E301</f>
        <v>-5.1590000000000002E-4</v>
      </c>
      <c r="V547">
        <f xml:space="preserve"> [1]Gertler_Karadi!F301</f>
        <v>1.3449999999999999E-4</v>
      </c>
      <c r="W547">
        <f xml:space="preserve"> [1]Gertler_Karadi!G301</f>
        <v>1.4354999999999999E-3</v>
      </c>
      <c r="X547" s="5">
        <f xml:space="preserve"> [1]misc!N630</f>
        <v>2.12</v>
      </c>
      <c r="Y547">
        <f xml:space="preserve"> [1]Gilchrist_Zak!C379</f>
        <v>-0.33500000000000002</v>
      </c>
      <c r="AA547">
        <f xml:space="preserve"> [1]Coibion_update!AI553</f>
        <v>1.4772E-2</v>
      </c>
      <c r="AB547">
        <f t="shared" si="37"/>
        <v>-0.89069530000000019</v>
      </c>
      <c r="AC547">
        <v>1.4772E-2</v>
      </c>
      <c r="AD547">
        <v>-5.0000000000000001E-3</v>
      </c>
      <c r="AE547">
        <v>-5.0000000000000001E-3</v>
      </c>
      <c r="AF547">
        <v>-0.01</v>
      </c>
      <c r="AG547">
        <v>-0.03</v>
      </c>
      <c r="AH547">
        <v>-1.6885500000000001E-2</v>
      </c>
      <c r="AI547">
        <v>-2.6821999999999999E-2</v>
      </c>
      <c r="AJ547">
        <v>-3.6853999999999998E-2</v>
      </c>
      <c r="AK547">
        <v>1.38</v>
      </c>
      <c r="AL547">
        <f xml:space="preserve"> LN([1]misc!B566)</f>
        <v>7.203777475708919</v>
      </c>
      <c r="AM547">
        <f xml:space="preserve"> LN([1]misc!D566)</f>
        <v>8.7389758170911058</v>
      </c>
      <c r="AN547">
        <f xml:space="preserve"> LN([1]misc!G671)</f>
        <v>2.5802168295923251</v>
      </c>
      <c r="AO547">
        <f xml:space="preserve"> LN([1]misc!J577 + [1]misc!L577)</f>
        <v>3.8218575687083938</v>
      </c>
      <c r="AP547">
        <f xml:space="preserve"> [1]Factors!B547</f>
        <v>-0.405660939</v>
      </c>
      <c r="AQ547">
        <f xml:space="preserve"> [1]Factors!C547</f>
        <v>6.2478365899999999E-2</v>
      </c>
      <c r="AR547">
        <f xml:space="preserve"> [1]Factors!D547</f>
        <v>0.16909845900000001</v>
      </c>
      <c r="AS547">
        <f xml:space="preserve"> [1]Factors!E547</f>
        <v>-6.4670560500000002E-2</v>
      </c>
      <c r="AT547">
        <f xml:space="preserve"> [1]Factors!F547</f>
        <v>5.4261443899999998E-2</v>
      </c>
    </row>
    <row r="548" spans="1:46" x14ac:dyDescent="0.25">
      <c r="A548">
        <f t="shared" si="41"/>
        <v>2004.4999999999641</v>
      </c>
      <c r="B548" s="1">
        <v>38169</v>
      </c>
      <c r="C548" s="7">
        <f t="shared" si="38"/>
        <v>2004</v>
      </c>
      <c r="D548" s="7">
        <f t="shared" si="39"/>
        <v>7</v>
      </c>
      <c r="E548" s="7">
        <f t="shared" si="40"/>
        <v>3</v>
      </c>
      <c r="F548">
        <f xml:space="preserve"> [1]Coibion_update!O554</f>
        <v>4.5683526628590734</v>
      </c>
      <c r="G548">
        <f xml:space="preserve"> [1]Coibion_update!P554</f>
        <v>5.5</v>
      </c>
      <c r="H548">
        <f xml:space="preserve"> [1]Coibion_update!Q554</f>
        <v>5.2422759756644117</v>
      </c>
      <c r="I548">
        <f xml:space="preserve"> [1]Coibion_update!W554</f>
        <v>1.26</v>
      </c>
      <c r="J548">
        <f xml:space="preserve"> [1]Coibion_update!X554</f>
        <v>5.6834096848482636</v>
      </c>
      <c r="K548">
        <f xml:space="preserve"> [1]Coibion_update!Y554</f>
        <v>4.5776242565581402</v>
      </c>
      <c r="L548">
        <f xml:space="preserve"> [1]Coibion_update!Z554</f>
        <v>4.5491605238448907</v>
      </c>
      <c r="M548">
        <f xml:space="preserve"> [1]Coibion_update!AA554</f>
        <v>4.5287749847343779</v>
      </c>
      <c r="N548">
        <f xml:space="preserve"> [1]Coibion_update!AB554</f>
        <v>0</v>
      </c>
      <c r="O548">
        <f xml:space="preserve"> [1]Coibion_update!AC554</f>
        <v>-2.2044412000000024</v>
      </c>
      <c r="Q548">
        <f xml:space="preserve"> [1]Barakchian_Crowe!B427</f>
        <v>0</v>
      </c>
      <c r="R548">
        <f xml:space="preserve"> [1]Barakchian_Crowe!C427</f>
        <v>-7.0809319999999998</v>
      </c>
      <c r="S548">
        <f xml:space="preserve"> [1]Gertler_Karadi!C302</f>
        <v>-4.8335000000000001E-3</v>
      </c>
      <c r="T548">
        <f xml:space="preserve"> [1]Gertler_Karadi!D302</f>
        <v>-9.6667000000000003E-3</v>
      </c>
      <c r="U548">
        <f xml:space="preserve"> [1]Gertler_Karadi!E302</f>
        <v>-2.9000000000000001E-2</v>
      </c>
      <c r="V548">
        <f xml:space="preserve"> [1]Gertler_Karadi!F302</f>
        <v>-2.41666E-2</v>
      </c>
      <c r="W548">
        <f xml:space="preserve"> [1]Gertler_Karadi!G302</f>
        <v>-1.45001E-2</v>
      </c>
      <c r="X548" s="5">
        <f xml:space="preserve"> [1]misc!N631</f>
        <v>2.1</v>
      </c>
      <c r="Y548">
        <f xml:space="preserve"> [1]Gilchrist_Zak!C380</f>
        <v>-0.30669999999999997</v>
      </c>
      <c r="AA548">
        <f xml:space="preserve"> [1]Coibion_update!AI554</f>
        <v>0</v>
      </c>
      <c r="AB548">
        <f t="shared" ref="AB548:AB589" si="42" xml:space="preserve"> AB547 + AA548</f>
        <v>-0.89069530000000019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1.29</v>
      </c>
      <c r="AL548">
        <f xml:space="preserve"> LN([1]misc!B567)</f>
        <v>7.2014691236656372</v>
      </c>
      <c r="AM548">
        <f xml:space="preserve"> LN([1]misc!D567)</f>
        <v>8.7407206690213162</v>
      </c>
      <c r="AN548">
        <f xml:space="preserve"> LN([1]misc!G672)</f>
        <v>2.5888912192658955</v>
      </c>
      <c r="AO548">
        <f xml:space="preserve"> LN([1]misc!J578 + [1]misc!L578)</f>
        <v>3.8260728832901432</v>
      </c>
      <c r="AP548">
        <f xml:space="preserve"> [1]Factors!B548</f>
        <v>4.1632463500000001E-2</v>
      </c>
      <c r="AQ548">
        <f xml:space="preserve"> [1]Factors!C548</f>
        <v>9.2095131499999996E-2</v>
      </c>
      <c r="AR548">
        <f xml:space="preserve"> [1]Factors!D548</f>
        <v>0.13247456199999999</v>
      </c>
      <c r="AS548">
        <f xml:space="preserve"> [1]Factors!E548</f>
        <v>-0.139534151</v>
      </c>
      <c r="AT548">
        <f xml:space="preserve"> [1]Factors!F548</f>
        <v>0.39953849000000002</v>
      </c>
    </row>
    <row r="549" spans="1:46" x14ac:dyDescent="0.25">
      <c r="A549">
        <f t="shared" si="41"/>
        <v>2004.5833333332973</v>
      </c>
      <c r="B549" s="1">
        <v>38200</v>
      </c>
      <c r="C549" s="7">
        <f t="shared" si="38"/>
        <v>2004</v>
      </c>
      <c r="D549" s="7">
        <f t="shared" si="39"/>
        <v>8</v>
      </c>
      <c r="E549" s="7">
        <f t="shared" si="40"/>
        <v>3</v>
      </c>
      <c r="F549">
        <f xml:space="preserve"> [1]Coibion_update!O555</f>
        <v>4.5689728976762032</v>
      </c>
      <c r="G549">
        <f xml:space="preserve"> [1]Coibion_update!P555</f>
        <v>5.4</v>
      </c>
      <c r="H549">
        <f xml:space="preserve"> [1]Coibion_update!Q555</f>
        <v>5.2428046566177775</v>
      </c>
      <c r="I549">
        <f xml:space="preserve"> [1]Coibion_update!W555</f>
        <v>1.43</v>
      </c>
      <c r="J549">
        <f xml:space="preserve"> [1]Coibion_update!X555</f>
        <v>5.6762742352395996</v>
      </c>
      <c r="K549">
        <f xml:space="preserve"> [1]Coibion_update!Y555</f>
        <v>4.5732872851203643</v>
      </c>
      <c r="L549">
        <f xml:space="preserve"> [1]Coibion_update!Z555</f>
        <v>4.5550446305805412</v>
      </c>
      <c r="M549">
        <f xml:space="preserve"> [1]Coibion_update!AA555</f>
        <v>4.5308021800285099</v>
      </c>
      <c r="N549">
        <f xml:space="preserve"> [1]Coibion_update!AB555</f>
        <v>0.28112890000000001</v>
      </c>
      <c r="O549">
        <f xml:space="preserve"> [1]Coibion_update!AC555</f>
        <v>-1.9233123000000023</v>
      </c>
      <c r="Q549">
        <f xml:space="preserve"> [1]Barakchian_Crowe!B428</f>
        <v>0.90333289999999999</v>
      </c>
      <c r="R549">
        <f xml:space="preserve"> [1]Barakchian_Crowe!C428</f>
        <v>-6.1775989999999998</v>
      </c>
      <c r="S549">
        <f xml:space="preserve"> [1]Gertler_Karadi!C303</f>
        <v>5.2373000000000003E-3</v>
      </c>
      <c r="T549">
        <f xml:space="preserve"> [1]Gertler_Karadi!D303</f>
        <v>2.83799E-2</v>
      </c>
      <c r="U549">
        <f xml:space="preserve"> [1]Gertler_Karadi!E303</f>
        <v>3.1935499999999999E-2</v>
      </c>
      <c r="V549">
        <f xml:space="preserve"> [1]Gertler_Karadi!F303</f>
        <v>3.1935499999999999E-2</v>
      </c>
      <c r="W549">
        <f xml:space="preserve"> [1]Gertler_Karadi!G303</f>
        <v>2.8387300000000001E-2</v>
      </c>
      <c r="X549" s="5">
        <f xml:space="preserve"> [1]misc!N632</f>
        <v>2.02</v>
      </c>
      <c r="Y549">
        <f xml:space="preserve"> [1]Gilchrist_Zak!C381</f>
        <v>-0.45989999999999998</v>
      </c>
      <c r="AA549">
        <f xml:space="preserve"> [1]Coibion_update!AI555</f>
        <v>6.2300000000000001E-2</v>
      </c>
      <c r="AB549">
        <f t="shared" si="42"/>
        <v>-0.82839530000000017</v>
      </c>
      <c r="AC549">
        <v>6.2300000000000001E-2</v>
      </c>
      <c r="AD549">
        <v>7.3800000000000003E-3</v>
      </c>
      <c r="AE549">
        <v>5.0000000000000001E-3</v>
      </c>
      <c r="AF549">
        <v>3.9989999999999998E-2</v>
      </c>
      <c r="AG549">
        <v>4.4999999999999998E-2</v>
      </c>
      <c r="AH549">
        <v>-1.9312999999999999E-3</v>
      </c>
      <c r="AI549">
        <v>2.52515E-2</v>
      </c>
      <c r="AJ549">
        <v>4.7842000000000003E-2</v>
      </c>
      <c r="AK549">
        <v>1.55</v>
      </c>
      <c r="AL549">
        <f xml:space="preserve"> LN([1]misc!B568)</f>
        <v>7.2108923059887786</v>
      </c>
      <c r="AM549">
        <f xml:space="preserve"> LN([1]misc!D568)</f>
        <v>8.7446474383175321</v>
      </c>
      <c r="AN549">
        <f xml:space="preserve"> LN([1]misc!G673)</f>
        <v>2.5164860629413228</v>
      </c>
      <c r="AO549">
        <f xml:space="preserve"> LN([1]misc!J579 + [1]misc!L579)</f>
        <v>3.8129537692158628</v>
      </c>
      <c r="AP549">
        <f xml:space="preserve"> [1]Factors!B549</f>
        <v>-0.19479417099999999</v>
      </c>
      <c r="AQ549">
        <f xml:space="preserve"> [1]Factors!C549</f>
        <v>-0.24152231599999999</v>
      </c>
      <c r="AR549">
        <f xml:space="preserve"> [1]Factors!D549</f>
        <v>-0.103700998</v>
      </c>
      <c r="AS549">
        <f xml:space="preserve"> [1]Factors!E549</f>
        <v>2.1566434200000002E-2</v>
      </c>
      <c r="AT549">
        <f xml:space="preserve"> [1]Factors!F549</f>
        <v>0.13283131200000001</v>
      </c>
    </row>
    <row r="550" spans="1:46" x14ac:dyDescent="0.25">
      <c r="A550">
        <f t="shared" si="41"/>
        <v>2004.6666666666306</v>
      </c>
      <c r="B550" s="1">
        <v>38231</v>
      </c>
      <c r="C550" s="7">
        <f t="shared" si="38"/>
        <v>2004</v>
      </c>
      <c r="D550" s="7">
        <f t="shared" si="39"/>
        <v>9</v>
      </c>
      <c r="E550" s="7">
        <f t="shared" si="40"/>
        <v>3</v>
      </c>
      <c r="F550">
        <f xml:space="preserve"> [1]Coibion_update!O556</f>
        <v>4.5695886031604029</v>
      </c>
      <c r="G550">
        <f xml:space="preserve"> [1]Coibion_update!P556</f>
        <v>5.4</v>
      </c>
      <c r="H550">
        <f xml:space="preserve"> [1]Coibion_update!Q556</f>
        <v>5.2459708861758276</v>
      </c>
      <c r="I550">
        <f xml:space="preserve"> [1]Coibion_update!W556</f>
        <v>1.61</v>
      </c>
      <c r="J550">
        <f xml:space="preserve"> [1]Coibion_update!X556</f>
        <v>5.6933953817697143</v>
      </c>
      <c r="K550">
        <f xml:space="preserve"> [1]Coibion_update!Y556</f>
        <v>4.5992828898192037</v>
      </c>
      <c r="L550">
        <f xml:space="preserve"> [1]Coibion_update!Z556</f>
        <v>4.5605074920818982</v>
      </c>
      <c r="M550">
        <f xml:space="preserve"> [1]Coibion_update!AA556</f>
        <v>4.5352840585239251</v>
      </c>
      <c r="N550">
        <f xml:space="preserve"> [1]Coibion_update!AB556</f>
        <v>0.14964079999999999</v>
      </c>
      <c r="O550">
        <f xml:space="preserve"> [1]Coibion_update!AC556</f>
        <v>-1.7736715000000023</v>
      </c>
      <c r="Q550">
        <f xml:space="preserve"> [1]Barakchian_Crowe!B429</f>
        <v>0.53592600000000001</v>
      </c>
      <c r="R550">
        <f xml:space="preserve"> [1]Barakchian_Crowe!C429</f>
        <v>-5.6416729999999999</v>
      </c>
      <c r="S550">
        <f xml:space="preserve"> [1]Gertler_Karadi!C304</f>
        <v>2.1427E-3</v>
      </c>
      <c r="T550">
        <f xml:space="preserve"> [1]Gertler_Karadi!D304</f>
        <v>8.2766999999999997E-3</v>
      </c>
      <c r="U550">
        <f xml:space="preserve"> [1]Gertler_Karadi!E304</f>
        <v>8.0645000000000005E-3</v>
      </c>
      <c r="V550">
        <f xml:space="preserve"> [1]Gertler_Karadi!F304</f>
        <v>8.0645000000000005E-3</v>
      </c>
      <c r="W550">
        <f xml:space="preserve"> [1]Gertler_Karadi!G304</f>
        <v>4.9462000000000004E-3</v>
      </c>
      <c r="X550" s="5">
        <f xml:space="preserve"> [1]misc!N633</f>
        <v>2.12</v>
      </c>
      <c r="Y550">
        <f xml:space="preserve"> [1]Gilchrist_Zak!C382</f>
        <v>-0.59770000000000001</v>
      </c>
      <c r="AA550">
        <f xml:space="preserve"> [1]Coibion_update!AI556</f>
        <v>0.1167787</v>
      </c>
      <c r="AB550">
        <f t="shared" si="42"/>
        <v>-0.71161660000000015</v>
      </c>
      <c r="AC550">
        <v>0.1167787</v>
      </c>
      <c r="AD550">
        <v>0</v>
      </c>
      <c r="AE550">
        <v>0</v>
      </c>
      <c r="AF550">
        <v>-0.01</v>
      </c>
      <c r="AG550">
        <v>-1.4999999999999999E-2</v>
      </c>
      <c r="AH550">
        <v>-7.2849999999999998E-4</v>
      </c>
      <c r="AI550">
        <v>-2.1467999999999999E-3</v>
      </c>
      <c r="AJ550">
        <v>-1.54497E-2</v>
      </c>
      <c r="AK550">
        <v>1.94</v>
      </c>
      <c r="AL550">
        <f xml:space="preserve"> LN([1]misc!B569)</f>
        <v>7.2162688610138508</v>
      </c>
      <c r="AM550">
        <f xml:space="preserve"> LN([1]misc!D569)</f>
        <v>8.7501286451929161</v>
      </c>
      <c r="AN550">
        <f xml:space="preserve"> LN([1]misc!G674)</f>
        <v>2.565718292524414</v>
      </c>
      <c r="AO550">
        <f xml:space="preserve"> LN([1]misc!J580 + [1]misc!L580)</f>
        <v>3.8317235981434168</v>
      </c>
      <c r="AP550">
        <f xml:space="preserve"> [1]Factors!B550</f>
        <v>-8.0448829200000002E-2</v>
      </c>
      <c r="AQ550">
        <f xml:space="preserve"> [1]Factors!C550</f>
        <v>-0.17051359199999999</v>
      </c>
      <c r="AR550">
        <f xml:space="preserve"> [1]Factors!D550</f>
        <v>-0.12935813900000001</v>
      </c>
      <c r="AS550">
        <f xml:space="preserve"> [1]Factors!E550</f>
        <v>-4.0616283599999997E-2</v>
      </c>
      <c r="AT550">
        <f xml:space="preserve"> [1]Factors!F550</f>
        <v>0.17264348400000001</v>
      </c>
    </row>
    <row r="551" spans="1:46" x14ac:dyDescent="0.25">
      <c r="A551">
        <f t="shared" si="41"/>
        <v>2004.7499999999638</v>
      </c>
      <c r="B551" s="1">
        <v>38261</v>
      </c>
      <c r="C551" s="7">
        <f t="shared" si="38"/>
        <v>2004</v>
      </c>
      <c r="D551" s="7">
        <f t="shared" si="39"/>
        <v>10</v>
      </c>
      <c r="E551" s="7">
        <f t="shared" si="40"/>
        <v>4</v>
      </c>
      <c r="F551">
        <f xml:space="preserve"> [1]Coibion_update!O557</f>
        <v>4.5789976538568071</v>
      </c>
      <c r="G551">
        <f xml:space="preserve"> [1]Coibion_update!P557</f>
        <v>5.5</v>
      </c>
      <c r="H551">
        <f xml:space="preserve"> [1]Coibion_update!Q557</f>
        <v>5.2512257590141864</v>
      </c>
      <c r="I551">
        <f xml:space="preserve"> [1]Coibion_update!W557</f>
        <v>1.76</v>
      </c>
      <c r="J551">
        <f xml:space="preserve"> [1]Coibion_update!X557</f>
        <v>5.6710182070622279</v>
      </c>
      <c r="K551">
        <f xml:space="preserve"> [1]Coibion_update!Y557</f>
        <v>4.5900362434033743</v>
      </c>
      <c r="L551">
        <f xml:space="preserve"> [1]Coibion_update!Z557</f>
        <v>4.5627531700972943</v>
      </c>
      <c r="M551">
        <f xml:space="preserve"> [1]Coibion_update!AA557</f>
        <v>4.5386991320446493</v>
      </c>
      <c r="N551">
        <f xml:space="preserve"> [1]Coibion_update!AB557</f>
        <v>0</v>
      </c>
      <c r="O551">
        <f xml:space="preserve"> [1]Coibion_update!AC557</f>
        <v>-1.7736715000000023</v>
      </c>
      <c r="Q551">
        <f xml:space="preserve"> [1]Barakchian_Crowe!B430</f>
        <v>0</v>
      </c>
      <c r="R551">
        <f xml:space="preserve"> [1]Barakchian_Crowe!C430</f>
        <v>-5.6416729999999999</v>
      </c>
      <c r="S551">
        <f xml:space="preserve"> [1]Gertler_Karadi!C305</f>
        <v>0</v>
      </c>
      <c r="T551">
        <f xml:space="preserve"> [1]Gertler_Karadi!D305</f>
        <v>-6.6667000000000002E-3</v>
      </c>
      <c r="U551">
        <f xml:space="preserve"> [1]Gertler_Karadi!E305</f>
        <v>-0.01</v>
      </c>
      <c r="V551">
        <f xml:space="preserve"> [1]Gertler_Karadi!F305</f>
        <v>-0.01</v>
      </c>
      <c r="W551">
        <f xml:space="preserve"> [1]Gertler_Karadi!G305</f>
        <v>-1.3333299999999999E-2</v>
      </c>
      <c r="X551" s="5">
        <f xml:space="preserve"> [1]misc!N634</f>
        <v>2.23</v>
      </c>
      <c r="Y551">
        <f xml:space="preserve"> [1]Gilchrist_Zak!C383</f>
        <v>-0.57350000000000001</v>
      </c>
      <c r="AA551">
        <f xml:space="preserve"> [1]Coibion_update!AI557</f>
        <v>0</v>
      </c>
      <c r="AB551">
        <f t="shared" si="42"/>
        <v>-0.71161660000000015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1.79</v>
      </c>
      <c r="AL551">
        <f xml:space="preserve"> LN([1]misc!B570)</f>
        <v>7.2161219426267511</v>
      </c>
      <c r="AM551">
        <f xml:space="preserve"> LN([1]misc!D570)</f>
        <v>8.7544920815186256</v>
      </c>
      <c r="AN551">
        <f xml:space="preserve"> LN([1]misc!G675)</f>
        <v>2.4785531758158248</v>
      </c>
      <c r="AO551">
        <f xml:space="preserve"> LN([1]misc!J581 + [1]misc!L581)</f>
        <v>3.8310298462186143</v>
      </c>
      <c r="AP551">
        <f xml:space="preserve"> [1]Factors!B551</f>
        <v>-8.9736563000000005E-2</v>
      </c>
      <c r="AQ551">
        <f xml:space="preserve"> [1]Factors!C551</f>
        <v>-2.27630926E-2</v>
      </c>
      <c r="AR551">
        <f xml:space="preserve"> [1]Factors!D551</f>
        <v>-6.9374111500000002E-2</v>
      </c>
      <c r="AS551">
        <f xml:space="preserve"> [1]Factors!E551</f>
        <v>3.7677384999999998E-3</v>
      </c>
      <c r="AT551">
        <f xml:space="preserve"> [1]Factors!F551</f>
        <v>0.10085606599999999</v>
      </c>
    </row>
    <row r="552" spans="1:46" x14ac:dyDescent="0.25">
      <c r="A552">
        <f t="shared" si="41"/>
        <v>2004.8333333332971</v>
      </c>
      <c r="B552" s="1">
        <v>38292</v>
      </c>
      <c r="C552" s="7">
        <f t="shared" si="38"/>
        <v>2004</v>
      </c>
      <c r="D552" s="7">
        <f t="shared" si="39"/>
        <v>11</v>
      </c>
      <c r="E552" s="7">
        <f t="shared" si="40"/>
        <v>4</v>
      </c>
      <c r="F552">
        <f xml:space="preserve"> [1]Coibion_update!O558</f>
        <v>4.5811079996373323</v>
      </c>
      <c r="G552">
        <f xml:space="preserve"> [1]Coibion_update!P558</f>
        <v>5.4</v>
      </c>
      <c r="H552">
        <f xml:space="preserve"> [1]Coibion_update!Q558</f>
        <v>5.2559316500515987</v>
      </c>
      <c r="I552">
        <f xml:space="preserve"> [1]Coibion_update!W558</f>
        <v>1.93</v>
      </c>
      <c r="J552">
        <f xml:space="preserve"> [1]Coibion_update!X558</f>
        <v>5.697730867227766</v>
      </c>
      <c r="K552">
        <f xml:space="preserve"> [1]Coibion_update!Y558</f>
        <v>4.5894370669990918</v>
      </c>
      <c r="L552">
        <f xml:space="preserve"> [1]Coibion_update!Z558</f>
        <v>4.5619703666818721</v>
      </c>
      <c r="M552">
        <f xml:space="preserve"> [1]Coibion_update!AA558</f>
        <v>4.5413247579393383</v>
      </c>
      <c r="N552">
        <f xml:space="preserve"> [1]Coibion_update!AB558</f>
        <v>0.31822139999999999</v>
      </c>
      <c r="O552">
        <f xml:space="preserve"> [1]Coibion_update!AC558</f>
        <v>-1.4554501000000024</v>
      </c>
      <c r="Q552">
        <f xml:space="preserve"> [1]Barakchian_Crowe!B431</f>
        <v>0.29954320000000001</v>
      </c>
      <c r="R552">
        <f xml:space="preserve"> [1]Barakchian_Crowe!C431</f>
        <v>-5.34213</v>
      </c>
      <c r="S552">
        <f xml:space="preserve"> [1]Gertler_Karadi!C306</f>
        <v>-5.2500000000000003E-3</v>
      </c>
      <c r="T552">
        <f xml:space="preserve"> [1]Gertler_Karadi!D306</f>
        <v>-6.9931000000000004E-3</v>
      </c>
      <c r="U552">
        <f xml:space="preserve"> [1]Gertler_Karadi!E306</f>
        <v>-1.3999899999999999E-2</v>
      </c>
      <c r="V552">
        <f xml:space="preserve"> [1]Gertler_Karadi!F306</f>
        <v>-2.7999900000000001E-2</v>
      </c>
      <c r="W552">
        <f xml:space="preserve"> [1]Gertler_Karadi!G306</f>
        <v>-3.5000099999999999E-2</v>
      </c>
      <c r="X552" s="5">
        <f xml:space="preserve"> [1]misc!N635</f>
        <v>2.5</v>
      </c>
      <c r="Y552">
        <f xml:space="preserve"> [1]Gilchrist_Zak!C384</f>
        <v>-0.7016</v>
      </c>
      <c r="AA552">
        <f xml:space="preserve"> [1]Coibion_update!AI558</f>
        <v>0.2427629</v>
      </c>
      <c r="AB552">
        <f t="shared" si="42"/>
        <v>-0.46885370000000015</v>
      </c>
      <c r="AC552">
        <v>0.2427629</v>
      </c>
      <c r="AD552">
        <v>-7.4999999999999997E-3</v>
      </c>
      <c r="AE552">
        <v>-5.0000000000000001E-3</v>
      </c>
      <c r="AF552">
        <v>-9.9900000000000006E-3</v>
      </c>
      <c r="AG552">
        <v>-0.02</v>
      </c>
      <c r="AH552">
        <v>8.5888000000000006E-3</v>
      </c>
      <c r="AI552">
        <v>-2.1019999999999999E-4</v>
      </c>
      <c r="AJ552">
        <v>-2.57621E-2</v>
      </c>
      <c r="AK552">
        <v>2.02</v>
      </c>
      <c r="AL552">
        <f xml:space="preserve"> LN([1]misc!B571)</f>
        <v>7.2256270225969752</v>
      </c>
      <c r="AM552">
        <f xml:space="preserve"> LN([1]misc!D571)</f>
        <v>8.7587423161698084</v>
      </c>
      <c r="AN552">
        <f xml:space="preserve"> LN([1]misc!G676)</f>
        <v>2.4923786646267012</v>
      </c>
      <c r="AO552">
        <f xml:space="preserve"> LN([1]misc!J582 + [1]misc!L582)</f>
        <v>3.8247206770253497</v>
      </c>
      <c r="AP552">
        <f xml:space="preserve"> [1]Factors!B552</f>
        <v>-0.33787505000000001</v>
      </c>
      <c r="AQ552">
        <f xml:space="preserve"> [1]Factors!C552</f>
        <v>0.29635160300000002</v>
      </c>
      <c r="AR552">
        <f xml:space="preserve"> [1]Factors!D552</f>
        <v>0.17175488799999999</v>
      </c>
      <c r="AS552">
        <f xml:space="preserve"> [1]Factors!E552</f>
        <v>0.24880870299999999</v>
      </c>
      <c r="AT552">
        <f xml:space="preserve"> [1]Factors!F552</f>
        <v>8.1459568800000007E-2</v>
      </c>
    </row>
    <row r="553" spans="1:46" x14ac:dyDescent="0.25">
      <c r="A553">
        <f t="shared" si="41"/>
        <v>2004.9166666666304</v>
      </c>
      <c r="B553" s="1">
        <v>38322</v>
      </c>
      <c r="C553" s="7">
        <f t="shared" si="38"/>
        <v>2004</v>
      </c>
      <c r="D553" s="7">
        <f t="shared" si="39"/>
        <v>12</v>
      </c>
      <c r="E553" s="7">
        <f t="shared" si="40"/>
        <v>4</v>
      </c>
      <c r="F553">
        <f xml:space="preserve"> [1]Coibion_update!O559</f>
        <v>4.5881583009457234</v>
      </c>
      <c r="G553">
        <f xml:space="preserve"> [1]Coibion_update!P559</f>
        <v>5.4</v>
      </c>
      <c r="H553">
        <f xml:space="preserve"> [1]Coibion_update!Q559</f>
        <v>5.2559316500515987</v>
      </c>
      <c r="I553">
        <f xml:space="preserve"> [1]Coibion_update!W559</f>
        <v>2.16</v>
      </c>
      <c r="J553">
        <f xml:space="preserve"> [1]Coibion_update!X559</f>
        <v>5.6908323154805727</v>
      </c>
      <c r="K553">
        <f xml:space="preserve"> [1]Coibion_update!Y559</f>
        <v>4.6128704626142794</v>
      </c>
      <c r="L553">
        <f xml:space="preserve"> [1]Coibion_update!Z559</f>
        <v>4.5669489731678938</v>
      </c>
      <c r="M553">
        <f xml:space="preserve"> [1]Coibion_update!AA559</f>
        <v>4.5444855623715847</v>
      </c>
      <c r="N553">
        <f xml:space="preserve"> [1]Coibion_update!AB559</f>
        <v>0.16138449999999999</v>
      </c>
      <c r="O553">
        <f xml:space="preserve"> [1]Coibion_update!AC559</f>
        <v>-1.2940656000000024</v>
      </c>
      <c r="Q553">
        <f xml:space="preserve"> [1]Barakchian_Crowe!B432</f>
        <v>0.19203600000000001</v>
      </c>
      <c r="R553">
        <f xml:space="preserve"> [1]Barakchian_Crowe!C432</f>
        <v>-5.1500940000000002</v>
      </c>
      <c r="S553">
        <f xml:space="preserve"> [1]Gertler_Karadi!C307</f>
        <v>-7.5512000000000001E-3</v>
      </c>
      <c r="T553">
        <f xml:space="preserve"> [1]Gertler_Karadi!D307</f>
        <v>-5.9001000000000001E-3</v>
      </c>
      <c r="U553">
        <f xml:space="preserve"> [1]Gertler_Karadi!E307</f>
        <v>-1.4709699999999999E-2</v>
      </c>
      <c r="V553">
        <f xml:space="preserve"> [1]Gertler_Karadi!F307</f>
        <v>-2.07098E-2</v>
      </c>
      <c r="W553">
        <f xml:space="preserve"> [1]Gertler_Karadi!G307</f>
        <v>-2.6613000000000001E-2</v>
      </c>
      <c r="X553" s="5">
        <f xml:space="preserve"> [1]misc!N636</f>
        <v>2.67</v>
      </c>
      <c r="Y553">
        <f xml:space="preserve"> [1]Gilchrist_Zak!C385</f>
        <v>-0.85340000000000005</v>
      </c>
      <c r="AA553">
        <f xml:space="preserve"> [1]Coibion_update!AI559</f>
        <v>9.8183000000000006E-2</v>
      </c>
      <c r="AB553">
        <f t="shared" si="42"/>
        <v>-0.37067070000000013</v>
      </c>
      <c r="AC553">
        <v>9.8183000000000006E-2</v>
      </c>
      <c r="AD553">
        <v>-9.1299999999999992E-3</v>
      </c>
      <c r="AE553">
        <v>-5.0000000000000001E-3</v>
      </c>
      <c r="AF553">
        <v>-5.0000000000000001E-3</v>
      </c>
      <c r="AG553">
        <v>-1.4999999999999999E-2</v>
      </c>
      <c r="AH553">
        <v>-1.2284399999999999E-2</v>
      </c>
      <c r="AI553">
        <v>-1.8402600000000002E-2</v>
      </c>
      <c r="AJ553">
        <v>-2.9464000000000001E-2</v>
      </c>
      <c r="AK553">
        <v>1.97</v>
      </c>
      <c r="AL553">
        <f xml:space="preserve"> LN([1]misc!B572)</f>
        <v>7.2265725803646292</v>
      </c>
      <c r="AM553">
        <f xml:space="preserve"> LN([1]misc!D572)</f>
        <v>8.7617224300511225</v>
      </c>
      <c r="AN553">
        <f xml:space="preserve"> LN([1]misc!G677)</f>
        <v>2.4886496360668349</v>
      </c>
      <c r="AO553">
        <f xml:space="preserve"> LN([1]misc!J583 + [1]misc!L583)</f>
        <v>3.8364801581795018</v>
      </c>
      <c r="AP553">
        <f xml:space="preserve"> [1]Factors!B553</f>
        <v>-8.4089673099999998E-2</v>
      </c>
      <c r="AQ553">
        <f xml:space="preserve"> [1]Factors!C553</f>
        <v>0.19694998799999999</v>
      </c>
      <c r="AR553">
        <f xml:space="preserve"> [1]Factors!D553</f>
        <v>0.107670814</v>
      </c>
      <c r="AS553">
        <f xml:space="preserve"> [1]Factors!E553</f>
        <v>0.10714541700000001</v>
      </c>
      <c r="AT553">
        <f xml:space="preserve"> [1]Factors!F553</f>
        <v>0.21591686800000001</v>
      </c>
    </row>
    <row r="554" spans="1:46" x14ac:dyDescent="0.25">
      <c r="A554">
        <f t="shared" si="41"/>
        <v>2004.9999999999636</v>
      </c>
      <c r="B554" s="1">
        <v>38353</v>
      </c>
      <c r="C554" s="7">
        <f t="shared" si="38"/>
        <v>2005</v>
      </c>
      <c r="D554" s="7">
        <f t="shared" si="39"/>
        <v>1</v>
      </c>
      <c r="E554" s="7">
        <f t="shared" si="40"/>
        <v>1</v>
      </c>
      <c r="F554">
        <f xml:space="preserve"> [1]Coibion_update!O560</f>
        <v>4.5929822134811209</v>
      </c>
      <c r="G554">
        <f xml:space="preserve"> [1]Coibion_update!P560</f>
        <v>5.3</v>
      </c>
      <c r="H554">
        <f xml:space="preserve"> [1]Coibion_update!Q560</f>
        <v>5.2554098655367598</v>
      </c>
      <c r="I554">
        <f xml:space="preserve"> [1]Coibion_update!W560</f>
        <v>2.2799999999999998</v>
      </c>
      <c r="J554">
        <f xml:space="preserve"> [1]Coibion_update!X560</f>
        <v>5.6739759750735361</v>
      </c>
      <c r="K554">
        <f xml:space="preserve"> [1]Coibion_update!Y560</f>
        <v>4.5995443908365248</v>
      </c>
      <c r="L554">
        <f xml:space="preserve"> [1]Coibion_update!Z560</f>
        <v>4.5772232839371405</v>
      </c>
      <c r="M554">
        <f xml:space="preserve"> [1]Coibion_update!AA560</f>
        <v>4.543475616982251</v>
      </c>
      <c r="N554">
        <f xml:space="preserve"> [1]Coibion_update!AB560</f>
        <v>0</v>
      </c>
      <c r="O554">
        <f xml:space="preserve"> [1]Coibion_update!AC560</f>
        <v>-1.2940656000000024</v>
      </c>
      <c r="Q554">
        <f xml:space="preserve"> [1]Barakchian_Crowe!B433</f>
        <v>0</v>
      </c>
      <c r="R554">
        <f xml:space="preserve"> [1]Barakchian_Crowe!C433</f>
        <v>-5.1500940000000002</v>
      </c>
      <c r="S554">
        <f xml:space="preserve"> [1]Gertler_Karadi!C308</f>
        <v>-3.8287999999999998E-3</v>
      </c>
      <c r="T554">
        <f xml:space="preserve"> [1]Gertler_Karadi!D308</f>
        <v>-2.0969000000000001E-3</v>
      </c>
      <c r="U554">
        <f xml:space="preserve"> [1]Gertler_Karadi!E308</f>
        <v>-6.2903999999999998E-3</v>
      </c>
      <c r="V554">
        <f xml:space="preserve"> [1]Gertler_Karadi!F308</f>
        <v>-6.2903999999999998E-3</v>
      </c>
      <c r="W554">
        <f xml:space="preserve"> [1]Gertler_Karadi!G308</f>
        <v>-8.3870999999999998E-3</v>
      </c>
      <c r="X554" s="5">
        <f xml:space="preserve"> [1]misc!N637</f>
        <v>2.86</v>
      </c>
      <c r="Y554">
        <f xml:space="preserve"> [1]Gilchrist_Zak!C386</f>
        <v>-0.80579999999999996</v>
      </c>
      <c r="AA554">
        <f xml:space="preserve"> [1]Coibion_update!AI560</f>
        <v>0</v>
      </c>
      <c r="AB554">
        <f t="shared" si="42"/>
        <v>-0.37067070000000013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2.5</v>
      </c>
      <c r="AL554">
        <f xml:space="preserve"> LN([1]misc!B573)</f>
        <v>7.2201543539707549</v>
      </c>
      <c r="AM554">
        <f xml:space="preserve"> LN([1]misc!D573)</f>
        <v>8.7625051967013992</v>
      </c>
      <c r="AN554">
        <f xml:space="preserve"> LN([1]misc!G678)</f>
        <v>2.6442580680144308</v>
      </c>
      <c r="AO554">
        <f xml:space="preserve"> LN([1]misc!J584 + [1]misc!L584)</f>
        <v>3.8583479294810639</v>
      </c>
      <c r="AP554">
        <f xml:space="preserve"> [1]Factors!B554</f>
        <v>-0.210437398</v>
      </c>
      <c r="AQ554">
        <f xml:space="preserve"> [1]Factors!C554</f>
        <v>-0.35769846900000002</v>
      </c>
      <c r="AR554">
        <f xml:space="preserve"> [1]Factors!D554</f>
        <v>-0.24262869500000001</v>
      </c>
      <c r="AS554">
        <f xml:space="preserve"> [1]Factors!E554</f>
        <v>-0.18231973100000001</v>
      </c>
      <c r="AT554">
        <f xml:space="preserve"> [1]Factors!F554</f>
        <v>-0.107154047</v>
      </c>
    </row>
    <row r="555" spans="1:46" x14ac:dyDescent="0.25">
      <c r="A555">
        <f t="shared" si="41"/>
        <v>2005.0833333332969</v>
      </c>
      <c r="B555" s="1">
        <v>38384</v>
      </c>
      <c r="C555" s="7">
        <f t="shared" si="38"/>
        <v>2005</v>
      </c>
      <c r="D555" s="7">
        <f t="shared" si="39"/>
        <v>2</v>
      </c>
      <c r="E555" s="7">
        <f t="shared" si="40"/>
        <v>1</v>
      </c>
      <c r="F555">
        <f xml:space="preserve"> [1]Coibion_update!O561</f>
        <v>4.5995132154594387</v>
      </c>
      <c r="G555">
        <f xml:space="preserve"> [1]Coibion_update!P561</f>
        <v>5.4</v>
      </c>
      <c r="H555">
        <f xml:space="preserve"> [1]Coibion_update!Q561</f>
        <v>5.259576538231606</v>
      </c>
      <c r="I555">
        <f xml:space="preserve"> [1]Coibion_update!W561</f>
        <v>2.5</v>
      </c>
      <c r="J555">
        <f xml:space="preserve"> [1]Coibion_update!X561</f>
        <v>5.6701567470065406</v>
      </c>
      <c r="K555">
        <f xml:space="preserve"> [1]Coibion_update!Y561</f>
        <v>4.6065791928715116</v>
      </c>
      <c r="L555">
        <f xml:space="preserve"> [1]Coibion_update!Z561</f>
        <v>4.5808570014058079</v>
      </c>
      <c r="M555">
        <f xml:space="preserve"> [1]Coibion_update!AA561</f>
        <v>4.5461523975232181</v>
      </c>
      <c r="N555">
        <f xml:space="preserve"> [1]Coibion_update!AB561</f>
        <v>0.1223306</v>
      </c>
      <c r="O555">
        <f xml:space="preserve"> [1]Coibion_update!AC561</f>
        <v>-1.1717350000000024</v>
      </c>
      <c r="Q555">
        <f xml:space="preserve"> [1]Barakchian_Crowe!B434</f>
        <v>0.29529139999999998</v>
      </c>
      <c r="R555">
        <f xml:space="preserve"> [1]Barakchian_Crowe!C434</f>
        <v>-4.8548020000000003</v>
      </c>
      <c r="S555">
        <f xml:space="preserve"> [1]Gertler_Karadi!C309</f>
        <v>0</v>
      </c>
      <c r="T555">
        <f xml:space="preserve"> [1]Gertler_Karadi!D309</f>
        <v>0</v>
      </c>
      <c r="U555">
        <f xml:space="preserve"> [1]Gertler_Karadi!E309</f>
        <v>-1.4464100000000001E-2</v>
      </c>
      <c r="V555">
        <f xml:space="preserve"> [1]Gertler_Karadi!F309</f>
        <v>-1.9285699999999999E-2</v>
      </c>
      <c r="W555">
        <f xml:space="preserve"> [1]Gertler_Karadi!G309</f>
        <v>-1.9285699999999999E-2</v>
      </c>
      <c r="X555" s="5">
        <f xml:space="preserve"> [1]misc!N638</f>
        <v>3.03</v>
      </c>
      <c r="Y555">
        <f xml:space="preserve"> [1]Gilchrist_Zak!C387</f>
        <v>-1.093</v>
      </c>
      <c r="AA555">
        <f xml:space="preserve"> [1]Coibion_update!AI561</f>
        <v>8.5238999999999995E-2</v>
      </c>
      <c r="AB555">
        <f t="shared" si="42"/>
        <v>-0.28543170000000012</v>
      </c>
      <c r="AC555">
        <v>8.5238999999999995E-2</v>
      </c>
      <c r="AD555">
        <v>0</v>
      </c>
      <c r="AE555">
        <v>0</v>
      </c>
      <c r="AF555">
        <v>0</v>
      </c>
      <c r="AG555">
        <v>-1.4999999999999999E-2</v>
      </c>
      <c r="AH555">
        <v>-1.00987E-2</v>
      </c>
      <c r="AI555">
        <v>-1.26654E-2</v>
      </c>
      <c r="AJ555">
        <v>-2.0918900000000001E-2</v>
      </c>
      <c r="AK555">
        <v>2.52</v>
      </c>
      <c r="AL555">
        <f xml:space="preserve"> LN([1]misc!B574)</f>
        <v>7.2232956795623142</v>
      </c>
      <c r="AM555">
        <f xml:space="preserve"> LN([1]misc!D574)</f>
        <v>8.7640063932490957</v>
      </c>
      <c r="AN555">
        <f xml:space="preserve"> LN([1]misc!G679)</f>
        <v>2.5034012324241646</v>
      </c>
      <c r="AO555">
        <f xml:space="preserve"> LN([1]misc!J585 + [1]misc!L585)</f>
        <v>3.8255714716970304</v>
      </c>
      <c r="AP555">
        <f xml:space="preserve"> [1]Factors!B555</f>
        <v>-1.9098563900000001E-2</v>
      </c>
      <c r="AQ555">
        <f xml:space="preserve"> [1]Factors!C555</f>
        <v>-0.106858628</v>
      </c>
      <c r="AR555">
        <f xml:space="preserve"> [1]Factors!D555</f>
        <v>2.00860712E-2</v>
      </c>
      <c r="AS555">
        <f xml:space="preserve"> [1]Factors!E555</f>
        <v>-0.19707569</v>
      </c>
      <c r="AT555">
        <f xml:space="preserve"> [1]Factors!F555</f>
        <v>1.8836272800000001E-2</v>
      </c>
    </row>
    <row r="556" spans="1:46" x14ac:dyDescent="0.25">
      <c r="A556">
        <f t="shared" si="41"/>
        <v>2005.1666666666301</v>
      </c>
      <c r="B556" s="1">
        <v>38412</v>
      </c>
      <c r="C556" s="7">
        <f t="shared" si="38"/>
        <v>2005</v>
      </c>
      <c r="D556" s="7">
        <f t="shared" si="39"/>
        <v>3</v>
      </c>
      <c r="E556" s="7">
        <f t="shared" si="40"/>
        <v>1</v>
      </c>
      <c r="F556">
        <f xml:space="preserve"> [1]Coibion_update!O562</f>
        <v>4.5983942813084848</v>
      </c>
      <c r="G556">
        <f xml:space="preserve"> [1]Coibion_update!P562</f>
        <v>5.2</v>
      </c>
      <c r="H556">
        <f xml:space="preserve"> [1]Coibion_update!Q562</f>
        <v>5.2632081894344687</v>
      </c>
      <c r="I556">
        <f xml:space="preserve"> [1]Coibion_update!W562</f>
        <v>2.63</v>
      </c>
      <c r="J556">
        <f xml:space="preserve"> [1]Coibion_update!X562</f>
        <v>5.6975631748422844</v>
      </c>
      <c r="K556">
        <f xml:space="preserve"> [1]Coibion_update!Y562</f>
        <v>4.6178988319648155</v>
      </c>
      <c r="L556">
        <f xml:space="preserve"> [1]Coibion_update!Z562</f>
        <v>4.5719132540866392</v>
      </c>
      <c r="M556">
        <f xml:space="preserve"> [1]Coibion_update!AA562</f>
        <v>4.5507245597983701</v>
      </c>
      <c r="N556">
        <f xml:space="preserve"> [1]Coibion_update!AB562</f>
        <v>5.5443600000000003E-2</v>
      </c>
      <c r="O556">
        <f xml:space="preserve"> [1]Coibion_update!AC562</f>
        <v>-1.1162914000000024</v>
      </c>
      <c r="Q556">
        <f xml:space="preserve"> [1]Barakchian_Crowe!B435</f>
        <v>0.56033929999999998</v>
      </c>
      <c r="R556">
        <f xml:space="preserve"> [1]Barakchian_Crowe!C435</f>
        <v>-4.2944630000000004</v>
      </c>
      <c r="S556">
        <f xml:space="preserve"> [1]Gertler_Karadi!C310</f>
        <v>0</v>
      </c>
      <c r="T556">
        <f xml:space="preserve"> [1]Gertler_Karadi!D310</f>
        <v>3.2258E-3</v>
      </c>
      <c r="U556">
        <f xml:space="preserve"> [1]Gertler_Karadi!E310</f>
        <v>2.2044899999999999E-2</v>
      </c>
      <c r="V556">
        <f xml:space="preserve"> [1]Gertler_Karadi!F310</f>
        <v>2.99308E-2</v>
      </c>
      <c r="W556">
        <f xml:space="preserve"> [1]Gertler_Karadi!G310</f>
        <v>3.3156600000000001E-2</v>
      </c>
      <c r="X556" s="5">
        <f xml:space="preserve"> [1]misc!N639</f>
        <v>3.3</v>
      </c>
      <c r="Y556">
        <f xml:space="preserve"> [1]Gilchrist_Zak!C388</f>
        <v>-0.73240000000000005</v>
      </c>
      <c r="AA556">
        <f xml:space="preserve"> [1]Coibion_update!AI562</f>
        <v>8.2026600000000005E-2</v>
      </c>
      <c r="AB556">
        <f t="shared" si="42"/>
        <v>-0.20340510000000012</v>
      </c>
      <c r="AC556">
        <v>8.2026600000000005E-2</v>
      </c>
      <c r="AD556">
        <v>0</v>
      </c>
      <c r="AE556">
        <v>0</v>
      </c>
      <c r="AF556">
        <v>0.01</v>
      </c>
      <c r="AG556">
        <v>7.0000000000000007E-2</v>
      </c>
      <c r="AH556">
        <v>-9.2306999999999997E-3</v>
      </c>
      <c r="AI556">
        <v>1.34935E-2</v>
      </c>
      <c r="AJ556">
        <v>6.2173600000000002E-2</v>
      </c>
      <c r="AK556">
        <v>2.96</v>
      </c>
      <c r="AL556">
        <f xml:space="preserve"> LN([1]misc!B575)</f>
        <v>7.2229309157428405</v>
      </c>
      <c r="AM556">
        <f xml:space="preserve"> LN([1]misc!D575)</f>
        <v>8.765536543752189</v>
      </c>
      <c r="AN556">
        <f xml:space="preserve"> LN([1]misc!G680)</f>
        <v>2.4874866520513876</v>
      </c>
      <c r="AO556">
        <f xml:space="preserve"> LN([1]misc!J586 + [1]misc!L586)</f>
        <v>3.8451778259986535</v>
      </c>
      <c r="AP556">
        <f xml:space="preserve"> [1]Factors!B556</f>
        <v>-0.26716182199999999</v>
      </c>
      <c r="AQ556">
        <f xml:space="preserve"> [1]Factors!C556</f>
        <v>6.0993121800000001E-2</v>
      </c>
      <c r="AR556">
        <f xml:space="preserve"> [1]Factors!D556</f>
        <v>-3.0355646600000001E-2</v>
      </c>
      <c r="AS556">
        <f xml:space="preserve"> [1]Factors!E556</f>
        <v>5.3492906100000001E-2</v>
      </c>
      <c r="AT556">
        <f xml:space="preserve"> [1]Factors!F556</f>
        <v>-6.4261131400000001E-3</v>
      </c>
    </row>
    <row r="557" spans="1:46" x14ac:dyDescent="0.25">
      <c r="A557">
        <f t="shared" si="41"/>
        <v>2005.2499999999634</v>
      </c>
      <c r="B557" s="1">
        <v>38443</v>
      </c>
      <c r="C557" s="7">
        <f t="shared" si="38"/>
        <v>2005</v>
      </c>
      <c r="D557" s="7">
        <f t="shared" si="39"/>
        <v>4</v>
      </c>
      <c r="E557" s="7">
        <f t="shared" si="40"/>
        <v>2</v>
      </c>
      <c r="F557">
        <f xml:space="preserve"> [1]Coibion_update!O563</f>
        <v>4.599750526127365</v>
      </c>
      <c r="G557">
        <f xml:space="preserve"> [1]Coibion_update!P563</f>
        <v>5.2</v>
      </c>
      <c r="H557">
        <f xml:space="preserve"> [1]Coibion_update!Q563</f>
        <v>5.2663105704129505</v>
      </c>
      <c r="I557">
        <f xml:space="preserve"> [1]Coibion_update!W563</f>
        <v>2.79</v>
      </c>
      <c r="J557">
        <f xml:space="preserve"> [1]Coibion_update!X563</f>
        <v>5.7012793444380829</v>
      </c>
      <c r="K557">
        <f xml:space="preserve"> [1]Coibion_update!Y563</f>
        <v>4.6486127438309284</v>
      </c>
      <c r="L557">
        <f xml:space="preserve"> [1]Coibion_update!Z563</f>
        <v>4.5829552514169336</v>
      </c>
      <c r="M557">
        <f xml:space="preserve"> [1]Coibion_update!AA563</f>
        <v>4.5529396103844393</v>
      </c>
      <c r="N557">
        <f xml:space="preserve"> [1]Coibion_update!AB563</f>
        <v>0</v>
      </c>
      <c r="O557">
        <f xml:space="preserve"> [1]Coibion_update!AC563</f>
        <v>-1.1162914000000024</v>
      </c>
      <c r="Q557">
        <f xml:space="preserve"> [1]Barakchian_Crowe!B436</f>
        <v>0</v>
      </c>
      <c r="R557">
        <f xml:space="preserve"> [1]Barakchian_Crowe!C436</f>
        <v>-4.2944630000000004</v>
      </c>
      <c r="S557">
        <f xml:space="preserve"> [1]Gertler_Karadi!C311</f>
        <v>0</v>
      </c>
      <c r="T557">
        <f xml:space="preserve"> [1]Gertler_Karadi!D311</f>
        <v>6.7742000000000002E-3</v>
      </c>
      <c r="U557">
        <f xml:space="preserve"> [1]Gertler_Karadi!E311</f>
        <v>4.7419299999999998E-2</v>
      </c>
      <c r="V557">
        <f xml:space="preserve"> [1]Gertler_Karadi!F311</f>
        <v>6.4354900000000007E-2</v>
      </c>
      <c r="W557">
        <f xml:space="preserve"> [1]Gertler_Karadi!G311</f>
        <v>7.1129100000000001E-2</v>
      </c>
      <c r="X557" s="5">
        <f xml:space="preserve"> [1]misc!N640</f>
        <v>3.32</v>
      </c>
      <c r="Y557">
        <f xml:space="preserve"> [1]Gilchrist_Zak!C389</f>
        <v>-0.53380000000000005</v>
      </c>
      <c r="AA557">
        <f xml:space="preserve"> [1]Coibion_update!AI563</f>
        <v>0</v>
      </c>
      <c r="AB557">
        <f t="shared" si="42"/>
        <v>-0.20340510000000012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2.97</v>
      </c>
      <c r="AL557">
        <f xml:space="preserve"> LN([1]misc!B576)</f>
        <v>7.212663132098986</v>
      </c>
      <c r="AM557">
        <f xml:space="preserve"> LN([1]misc!D576)</f>
        <v>8.766612491742686</v>
      </c>
      <c r="AN557">
        <f xml:space="preserve"> LN([1]misc!G681)</f>
        <v>2.5576923195136478</v>
      </c>
      <c r="AO557">
        <f xml:space="preserve"> LN([1]misc!J587 + [1]misc!L587)</f>
        <v>3.8286631353832381</v>
      </c>
      <c r="AP557">
        <f xml:space="preserve"> [1]Factors!B557</f>
        <v>-6.2710777400000001E-2</v>
      </c>
      <c r="AQ557">
        <f xml:space="preserve"> [1]Factors!C557</f>
        <v>0.197571837</v>
      </c>
      <c r="AR557">
        <f xml:space="preserve"> [1]Factors!D557</f>
        <v>0.151907718</v>
      </c>
      <c r="AS557">
        <f xml:space="preserve"> [1]Factors!E557</f>
        <v>-0.133020577</v>
      </c>
      <c r="AT557">
        <f xml:space="preserve"> [1]Factors!F557</f>
        <v>0.243170625</v>
      </c>
    </row>
    <row r="558" spans="1:46" x14ac:dyDescent="0.25">
      <c r="A558">
        <f t="shared" si="41"/>
        <v>2005.3333333332967</v>
      </c>
      <c r="B558" s="1">
        <v>38473</v>
      </c>
      <c r="C558" s="7">
        <f t="shared" si="38"/>
        <v>2005</v>
      </c>
      <c r="D558" s="7">
        <f t="shared" si="39"/>
        <v>5</v>
      </c>
      <c r="E558" s="7">
        <f t="shared" si="40"/>
        <v>2</v>
      </c>
      <c r="F558">
        <f xml:space="preserve"> [1]Coibion_update!O564</f>
        <v>4.601578744475769</v>
      </c>
      <c r="G558">
        <f xml:space="preserve"> [1]Coibion_update!P564</f>
        <v>5.0999999999999996</v>
      </c>
      <c r="H558">
        <f xml:space="preserve"> [1]Coibion_update!Q564</f>
        <v>5.265794174842477</v>
      </c>
      <c r="I558">
        <f xml:space="preserve"> [1]Coibion_update!W564</f>
        <v>3</v>
      </c>
      <c r="J558">
        <f xml:space="preserve"> [1]Coibion_update!X564</f>
        <v>5.6961870355343702</v>
      </c>
      <c r="K558">
        <f xml:space="preserve"> [1]Coibion_update!Y564</f>
        <v>4.6048001175212026</v>
      </c>
      <c r="L558">
        <f xml:space="preserve"> [1]Coibion_update!Z564</f>
        <v>4.5776345357935702</v>
      </c>
      <c r="M558">
        <f xml:space="preserve"> [1]Coibion_update!AA564</f>
        <v>4.5558748942632139</v>
      </c>
      <c r="N558">
        <f xml:space="preserve"> [1]Coibion_update!AB564</f>
        <v>0.30341570000000001</v>
      </c>
      <c r="O558">
        <f xml:space="preserve"> [1]Coibion_update!AC564</f>
        <v>-0.81287570000000242</v>
      </c>
      <c r="Q558">
        <f xml:space="preserve"> [1]Barakchian_Crowe!B437</f>
        <v>0.44230419999999998</v>
      </c>
      <c r="R558">
        <f xml:space="preserve"> [1]Barakchian_Crowe!C437</f>
        <v>-3.8521589999999999</v>
      </c>
      <c r="S558">
        <f xml:space="preserve"> [1]Gertler_Karadi!C312</f>
        <v>-5.1732000000000002E-3</v>
      </c>
      <c r="T558">
        <f xml:space="preserve"> [1]Gertler_Karadi!D312</f>
        <v>9.3547999999999999E-3</v>
      </c>
      <c r="U558">
        <f xml:space="preserve"> [1]Gertler_Karadi!E312</f>
        <v>1.40324E-2</v>
      </c>
      <c r="V558">
        <f xml:space="preserve"> [1]Gertler_Karadi!F312</f>
        <v>2.33872E-2</v>
      </c>
      <c r="W558">
        <f xml:space="preserve"> [1]Gertler_Karadi!G312</f>
        <v>3.2742E-2</v>
      </c>
      <c r="X558" s="5">
        <f xml:space="preserve"> [1]misc!N641</f>
        <v>3.33</v>
      </c>
      <c r="Y558">
        <f xml:space="preserve"> [1]Gilchrist_Zak!C390</f>
        <v>-0.38419999999999999</v>
      </c>
      <c r="AA558">
        <f xml:space="preserve"> [1]Coibion_update!AI564</f>
        <v>0.155223</v>
      </c>
      <c r="AB558">
        <f t="shared" si="42"/>
        <v>-4.8182100000000117E-2</v>
      </c>
      <c r="AC558">
        <v>0.155223</v>
      </c>
      <c r="AD558">
        <v>-5.5300000000000002E-3</v>
      </c>
      <c r="AE558">
        <v>0</v>
      </c>
      <c r="AF558">
        <v>0.01</v>
      </c>
      <c r="AG558">
        <v>1.4999999999999999E-2</v>
      </c>
      <c r="AH558">
        <v>3.3514999999999999E-3</v>
      </c>
      <c r="AI558">
        <v>5.8795999999999996E-3</v>
      </c>
      <c r="AJ558">
        <v>1.41774E-2</v>
      </c>
      <c r="AK558">
        <v>3.09</v>
      </c>
      <c r="AL558">
        <f xml:space="preserve"> LN([1]misc!B577)</f>
        <v>7.2201543539707549</v>
      </c>
      <c r="AM558">
        <f xml:space="preserve"> LN([1]misc!D577)</f>
        <v>8.7705943298911446</v>
      </c>
      <c r="AN558">
        <f xml:space="preserve"> LN([1]misc!G682)</f>
        <v>2.4780498623247871</v>
      </c>
      <c r="AO558">
        <f xml:space="preserve"> LN([1]misc!J588 + [1]misc!L588)</f>
        <v>3.8134615459374843</v>
      </c>
      <c r="AP558">
        <f xml:space="preserve"> [1]Factors!B558</f>
        <v>-0.151938569</v>
      </c>
      <c r="AQ558">
        <f xml:space="preserve"> [1]Factors!C558</f>
        <v>6.0582327300000002E-2</v>
      </c>
      <c r="AR558">
        <f xml:space="preserve"> [1]Factors!D558</f>
        <v>-9.6986074899999997E-2</v>
      </c>
      <c r="AS558">
        <f xml:space="preserve"> [1]Factors!E558</f>
        <v>-2.64139005E-2</v>
      </c>
      <c r="AT558">
        <f xml:space="preserve"> [1]Factors!F558</f>
        <v>7.8610269299999994E-2</v>
      </c>
    </row>
    <row r="559" spans="1:46" x14ac:dyDescent="0.25">
      <c r="A559">
        <f t="shared" si="41"/>
        <v>2005.4166666666299</v>
      </c>
      <c r="B559" s="1">
        <v>38504</v>
      </c>
      <c r="C559" s="7">
        <f t="shared" si="38"/>
        <v>2005</v>
      </c>
      <c r="D559" s="7">
        <f t="shared" si="39"/>
        <v>6</v>
      </c>
      <c r="E559" s="7">
        <f t="shared" si="40"/>
        <v>2</v>
      </c>
      <c r="F559">
        <f xml:space="preserve"> [1]Coibion_update!O565</f>
        <v>4.6054321516720851</v>
      </c>
      <c r="G559">
        <f xml:space="preserve"> [1]Coibion_update!P565</f>
        <v>5</v>
      </c>
      <c r="H559">
        <f xml:space="preserve"> [1]Coibion_update!Q565</f>
        <v>5.2663105704129505</v>
      </c>
      <c r="I559">
        <f xml:space="preserve"> [1]Coibion_update!W565</f>
        <v>3.04</v>
      </c>
      <c r="J559">
        <f xml:space="preserve"> [1]Coibion_update!X565</f>
        <v>5.6978650008921639</v>
      </c>
      <c r="K559">
        <f xml:space="preserve"> [1]Coibion_update!Y565</f>
        <v>4.6538841567786911</v>
      </c>
      <c r="L559">
        <f xml:space="preserve"> [1]Coibion_update!Z565</f>
        <v>4.5824234289921755</v>
      </c>
      <c r="M559">
        <f xml:space="preserve"> [1]Coibion_update!AA565</f>
        <v>4.5602564985645797</v>
      </c>
      <c r="N559">
        <f xml:space="preserve"> [1]Coibion_update!AB565</f>
        <v>0.2362667</v>
      </c>
      <c r="O559">
        <f xml:space="preserve"> [1]Coibion_update!AC565</f>
        <v>-0.57660900000000237</v>
      </c>
      <c r="Q559">
        <f xml:space="preserve"> [1]Barakchian_Crowe!B438</f>
        <v>0.4072732</v>
      </c>
      <c r="R559">
        <f xml:space="preserve"> [1]Barakchian_Crowe!C438</f>
        <v>-3.4448850000000002</v>
      </c>
      <c r="S559">
        <f xml:space="preserve"> [1]Gertler_Karadi!C313</f>
        <v>-5.2329999999999998E-4</v>
      </c>
      <c r="T559">
        <f xml:space="preserve"> [1]Gertler_Karadi!D313</f>
        <v>1.1451E-3</v>
      </c>
      <c r="U559">
        <f xml:space="preserve"> [1]Gertler_Karadi!E313</f>
        <v>2.8011999999999998E-3</v>
      </c>
      <c r="V559">
        <f xml:space="preserve"> [1]Gertler_Karadi!F313</f>
        <v>3.2794E-3</v>
      </c>
      <c r="W559">
        <f xml:space="preserve"> [1]Gertler_Karadi!G313</f>
        <v>3.7580000000000001E-3</v>
      </c>
      <c r="X559" s="5">
        <f xml:space="preserve"> [1]misc!N642</f>
        <v>3.36</v>
      </c>
      <c r="Y559">
        <f xml:space="preserve"> [1]Gilchrist_Zak!C391</f>
        <v>-0.56230000000000002</v>
      </c>
      <c r="AA559">
        <f xml:space="preserve"> [1]Coibion_update!AI565</f>
        <v>9.4652799999999995E-2</v>
      </c>
      <c r="AB559">
        <f t="shared" si="42"/>
        <v>4.6470699999999879E-2</v>
      </c>
      <c r="AC559">
        <v>9.4652799999999995E-2</v>
      </c>
      <c r="AD559">
        <v>-5.0000000000000001E-3</v>
      </c>
      <c r="AE559">
        <v>0</v>
      </c>
      <c r="AF559">
        <v>1.4999999999999999E-2</v>
      </c>
      <c r="AG559">
        <v>5.5E-2</v>
      </c>
      <c r="AH559">
        <v>1.0794999999999999E-3</v>
      </c>
      <c r="AI559">
        <v>7.2674000000000002E-3</v>
      </c>
      <c r="AJ559">
        <v>5.2246800000000003E-2</v>
      </c>
      <c r="AK559">
        <v>3.35</v>
      </c>
      <c r="AL559">
        <f xml:space="preserve"> LN([1]misc!B578)</f>
        <v>7.2304183203291634</v>
      </c>
      <c r="AM559">
        <f xml:space="preserve"> LN([1]misc!D578)</f>
        <v>8.7759818402130367</v>
      </c>
      <c r="AN559">
        <f xml:space="preserve"> LN([1]misc!G683)</f>
        <v>2.4121567294233364</v>
      </c>
      <c r="AO559">
        <f xml:space="preserve"> LN([1]misc!J589 + [1]misc!L589)</f>
        <v>3.8254624359004703</v>
      </c>
      <c r="AP559">
        <f xml:space="preserve"> [1]Factors!B559</f>
        <v>1.21761999E-2</v>
      </c>
      <c r="AQ559">
        <f xml:space="preserve"> [1]Factors!C559</f>
        <v>-0.22855846499999999</v>
      </c>
      <c r="AR559">
        <f xml:space="preserve"> [1]Factors!D559</f>
        <v>-0.29836336800000002</v>
      </c>
      <c r="AS559">
        <f xml:space="preserve"> [1]Factors!E559</f>
        <v>-0.19516064399999999</v>
      </c>
      <c r="AT559">
        <f xml:space="preserve"> [1]Factors!F559</f>
        <v>-0.110651179</v>
      </c>
    </row>
    <row r="560" spans="1:46" x14ac:dyDescent="0.25">
      <c r="A560">
        <f t="shared" si="41"/>
        <v>2005.4999999999632</v>
      </c>
      <c r="B560" s="1">
        <v>38534</v>
      </c>
      <c r="C560" s="7">
        <f t="shared" si="38"/>
        <v>2005</v>
      </c>
      <c r="D560" s="7">
        <f t="shared" si="39"/>
        <v>7</v>
      </c>
      <c r="E560" s="7">
        <f t="shared" si="40"/>
        <v>3</v>
      </c>
      <c r="F560">
        <f xml:space="preserve"> [1]Coibion_update!O566</f>
        <v>4.6026139215262933</v>
      </c>
      <c r="G560">
        <f xml:space="preserve"> [1]Coibion_update!P566</f>
        <v>5</v>
      </c>
      <c r="H560">
        <f xml:space="preserve"> [1]Coibion_update!Q566</f>
        <v>5.2724866065135148</v>
      </c>
      <c r="I560">
        <f xml:space="preserve"> [1]Coibion_update!W566</f>
        <v>3.26</v>
      </c>
      <c r="J560">
        <f xml:space="preserve"> [1]Coibion_update!X566</f>
        <v>5.6795922358549831</v>
      </c>
      <c r="K560">
        <f xml:space="preserve"> [1]Coibion_update!Y566</f>
        <v>4.6901177681507908</v>
      </c>
      <c r="L560">
        <f xml:space="preserve"> [1]Coibion_update!Z566</f>
        <v>4.5807852760524019</v>
      </c>
      <c r="M560">
        <f xml:space="preserve"> [1]Coibion_update!AA566</f>
        <v>4.5630556898807439</v>
      </c>
      <c r="N560">
        <f xml:space="preserve"> [1]Coibion_update!AB566</f>
        <v>0</v>
      </c>
      <c r="O560">
        <f xml:space="preserve"> [1]Coibion_update!AC566</f>
        <v>-0.57660900000000237</v>
      </c>
      <c r="Q560">
        <f xml:space="preserve"> [1]Barakchian_Crowe!B439</f>
        <v>0</v>
      </c>
      <c r="R560">
        <f xml:space="preserve"> [1]Barakchian_Crowe!C439</f>
        <v>-3.4448850000000002</v>
      </c>
      <c r="S560">
        <f xml:space="preserve"> [1]Gertler_Karadi!C314</f>
        <v>-4.8335000000000001E-3</v>
      </c>
      <c r="T560">
        <f xml:space="preserve"> [1]Gertler_Karadi!D314</f>
        <v>1.45001E-2</v>
      </c>
      <c r="U560">
        <f xml:space="preserve"> [1]Gertler_Karadi!E314</f>
        <v>5.3166400000000003E-2</v>
      </c>
      <c r="V560">
        <f xml:space="preserve"> [1]Gertler_Karadi!F314</f>
        <v>4.8333399999999999E-2</v>
      </c>
      <c r="W560">
        <f xml:space="preserve"> [1]Gertler_Karadi!G314</f>
        <v>4.3499900000000001E-2</v>
      </c>
      <c r="X560" s="5">
        <f xml:space="preserve"> [1]misc!N643</f>
        <v>3.64</v>
      </c>
      <c r="Y560">
        <f xml:space="preserve"> [1]Gilchrist_Zak!C392</f>
        <v>-0.65290000000000004</v>
      </c>
      <c r="AA560">
        <f xml:space="preserve"> [1]Coibion_update!AI566</f>
        <v>0</v>
      </c>
      <c r="AB560">
        <f t="shared" si="42"/>
        <v>4.6470699999999879E-2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3.31</v>
      </c>
      <c r="AL560">
        <f xml:space="preserve"> LN([1]misc!B579)</f>
        <v>7.2213243723857641</v>
      </c>
      <c r="AM560">
        <f xml:space="preserve"> LN([1]misc!D579)</f>
        <v>8.7804647364878718</v>
      </c>
      <c r="AN560">
        <f xml:space="preserve"> LN([1]misc!G684)</f>
        <v>2.4426078709138732</v>
      </c>
      <c r="AO560">
        <f xml:space="preserve"> LN([1]misc!J590 + [1]misc!L590)</f>
        <v>3.8283370023398091</v>
      </c>
      <c r="AP560">
        <f xml:space="preserve"> [1]Factors!B560</f>
        <v>-9.5572466600000003E-2</v>
      </c>
      <c r="AQ560">
        <f xml:space="preserve"> [1]Factors!C560</f>
        <v>-0.18466479799999999</v>
      </c>
      <c r="AR560">
        <f xml:space="preserve"> [1]Factors!D560</f>
        <v>-0.209371064</v>
      </c>
      <c r="AS560">
        <f xml:space="preserve"> [1]Factors!E560</f>
        <v>-9.0744623400000002E-2</v>
      </c>
      <c r="AT560">
        <f xml:space="preserve"> [1]Factors!F560</f>
        <v>3.5415411000000001E-2</v>
      </c>
    </row>
    <row r="561" spans="1:46" x14ac:dyDescent="0.25">
      <c r="A561">
        <f t="shared" si="41"/>
        <v>2005.5833333332964</v>
      </c>
      <c r="B561" s="1">
        <v>38565</v>
      </c>
      <c r="C561" s="7">
        <f t="shared" si="38"/>
        <v>2005</v>
      </c>
      <c r="D561" s="7">
        <f t="shared" si="39"/>
        <v>8</v>
      </c>
      <c r="E561" s="7">
        <f t="shared" si="40"/>
        <v>3</v>
      </c>
      <c r="F561">
        <f xml:space="preserve"> [1]Coibion_update!O567</f>
        <v>4.6045419887134944</v>
      </c>
      <c r="G561">
        <f xml:space="preserve"> [1]Coibion_update!P567</f>
        <v>4.9000000000000004</v>
      </c>
      <c r="H561">
        <f xml:space="preserve"> [1]Coibion_update!Q567</f>
        <v>5.2786247332023004</v>
      </c>
      <c r="I561">
        <f xml:space="preserve"> [1]Coibion_update!W567</f>
        <v>3.5</v>
      </c>
      <c r="J561">
        <f xml:space="preserve"> [1]Coibion_update!X567</f>
        <v>5.6719821621064037</v>
      </c>
      <c r="K561">
        <f xml:space="preserve"> [1]Coibion_update!Y567</f>
        <v>4.6381503132826829</v>
      </c>
      <c r="L561">
        <f xml:space="preserve"> [1]Coibion_update!Z567</f>
        <v>4.5879121185518104</v>
      </c>
      <c r="M561">
        <f xml:space="preserve"> [1]Coibion_update!AA567</f>
        <v>4.5656182179759766</v>
      </c>
      <c r="N561">
        <f xml:space="preserve"> [1]Coibion_update!AB567</f>
        <v>6.1947200000000001E-2</v>
      </c>
      <c r="O561">
        <f xml:space="preserve"> [1]Coibion_update!AC567</f>
        <v>-0.51466180000000239</v>
      </c>
      <c r="Q561">
        <f xml:space="preserve"> [1]Barakchian_Crowe!B440</f>
        <v>0.1105931</v>
      </c>
      <c r="R561">
        <f xml:space="preserve"> [1]Barakchian_Crowe!C440</f>
        <v>-3.334292</v>
      </c>
      <c r="S561">
        <f xml:space="preserve"> [1]Gertler_Karadi!C315</f>
        <v>-5.2306999999999996E-3</v>
      </c>
      <c r="T561">
        <f xml:space="preserve"> [1]Gertler_Karadi!D315</f>
        <v>-7.4193000000000002E-3</v>
      </c>
      <c r="U561">
        <f xml:space="preserve"> [1]Gertler_Karadi!E315</f>
        <v>-1.85483E-2</v>
      </c>
      <c r="V561">
        <f xml:space="preserve"> [1]Gertler_Karadi!F315</f>
        <v>-1.8548499999999999E-2</v>
      </c>
      <c r="W561">
        <f xml:space="preserve"> [1]Gertler_Karadi!G315</f>
        <v>-2.2258E-2</v>
      </c>
      <c r="X561" s="5">
        <f xml:space="preserve"> [1]misc!N644</f>
        <v>3.87</v>
      </c>
      <c r="Y561">
        <f xml:space="preserve"> [1]Gilchrist_Zak!C393</f>
        <v>-0.71799999999999997</v>
      </c>
      <c r="AA561">
        <f xml:space="preserve"> [1]Coibion_update!AI567</f>
        <v>1.8240699999999999E-2</v>
      </c>
      <c r="AB561">
        <f t="shared" si="42"/>
        <v>6.4711399999999877E-2</v>
      </c>
      <c r="AC561">
        <v>1.8240699999999999E-2</v>
      </c>
      <c r="AD561">
        <v>-7.0499999999999998E-3</v>
      </c>
      <c r="AE561">
        <v>-5.0000000000000001E-3</v>
      </c>
      <c r="AF561">
        <v>-0.01</v>
      </c>
      <c r="AG561">
        <v>-2.5000000000000001E-2</v>
      </c>
      <c r="AH561">
        <v>-2.3895799999999998E-2</v>
      </c>
      <c r="AI561">
        <v>-3.1521800000000003E-2</v>
      </c>
      <c r="AJ561">
        <v>-4.8300799999999998E-2</v>
      </c>
      <c r="AK561">
        <v>3.63</v>
      </c>
      <c r="AL561">
        <f xml:space="preserve"> LN([1]misc!B580)</f>
        <v>7.2275898744503264</v>
      </c>
      <c r="AM561">
        <f xml:space="preserve"> LN([1]misc!D580)</f>
        <v>8.7847439825710278</v>
      </c>
      <c r="AN561">
        <f xml:space="preserve"> LN([1]misc!G685)</f>
        <v>2.4004374931615504</v>
      </c>
      <c r="AO561">
        <f xml:space="preserve"> LN([1]misc!J591 + [1]misc!L591)</f>
        <v>3.8065291475473075</v>
      </c>
      <c r="AP561">
        <f xml:space="preserve"> [1]Factors!B561</f>
        <v>-0.124444677</v>
      </c>
      <c r="AQ561">
        <f xml:space="preserve"> [1]Factors!C561</f>
        <v>0.28274917999999999</v>
      </c>
      <c r="AR561">
        <f xml:space="preserve"> [1]Factors!D561</f>
        <v>0.10940201300000001</v>
      </c>
      <c r="AS561">
        <f xml:space="preserve"> [1]Factors!E561</f>
        <v>-0.104133472</v>
      </c>
      <c r="AT561">
        <f xml:space="preserve"> [1]Factors!F561</f>
        <v>0.16986578599999999</v>
      </c>
    </row>
    <row r="562" spans="1:46" x14ac:dyDescent="0.25">
      <c r="A562">
        <f t="shared" si="41"/>
        <v>2005.6666666666297</v>
      </c>
      <c r="B562" s="1">
        <v>38596</v>
      </c>
      <c r="C562" s="7">
        <f t="shared" si="38"/>
        <v>2005</v>
      </c>
      <c r="D562" s="7">
        <f t="shared" si="39"/>
        <v>9</v>
      </c>
      <c r="E562" s="7">
        <f t="shared" si="40"/>
        <v>3</v>
      </c>
      <c r="F562">
        <f xml:space="preserve"> [1]Coibion_update!O568</f>
        <v>4.5854551148587586</v>
      </c>
      <c r="G562">
        <f xml:space="preserve"> [1]Coibion_update!P568</f>
        <v>5</v>
      </c>
      <c r="H562">
        <f xml:space="preserve"> [1]Coibion_update!Q568</f>
        <v>5.2922992942224738</v>
      </c>
      <c r="I562">
        <f xml:space="preserve"> [1]Coibion_update!W568</f>
        <v>3.62</v>
      </c>
      <c r="J562">
        <f xml:space="preserve"> [1]Coibion_update!X568</f>
        <v>5.6836137803656746</v>
      </c>
      <c r="K562">
        <f xml:space="preserve"> [1]Coibion_update!Y568</f>
        <v>4.6119868993150135</v>
      </c>
      <c r="L562">
        <f xml:space="preserve"> [1]Coibion_update!Z568</f>
        <v>4.5809594572730328</v>
      </c>
      <c r="M562">
        <f xml:space="preserve"> [1]Coibion_update!AA568</f>
        <v>4.5671255809484448</v>
      </c>
      <c r="N562">
        <f xml:space="preserve"> [1]Coibion_update!AB568</f>
        <v>0.24896989999999999</v>
      </c>
      <c r="O562">
        <f xml:space="preserve"> [1]Coibion_update!AC568</f>
        <v>-0.26569190000000242</v>
      </c>
      <c r="Q562">
        <f xml:space="preserve"> [1]Barakchian_Crowe!B441</f>
        <v>1.321917</v>
      </c>
      <c r="R562">
        <f xml:space="preserve"> [1]Barakchian_Crowe!C441</f>
        <v>-2.012375</v>
      </c>
      <c r="S562">
        <f xml:space="preserve"> [1]Gertler_Karadi!C316</f>
        <v>1.46806E-2</v>
      </c>
      <c r="T562">
        <f xml:space="preserve"> [1]Gertler_Karadi!D316</f>
        <v>8.4192999999999994E-3</v>
      </c>
      <c r="U562">
        <f xml:space="preserve"> [1]Gertler_Karadi!E316</f>
        <v>-9.5180000000000004E-4</v>
      </c>
      <c r="V562">
        <f xml:space="preserve"> [1]Gertler_Karadi!F316</f>
        <v>-2.7850000000000001E-3</v>
      </c>
      <c r="W562">
        <f xml:space="preserve"> [1]Gertler_Karadi!G316</f>
        <v>-4.0752999999999996E-3</v>
      </c>
      <c r="X562" s="5">
        <f xml:space="preserve"> [1]misc!N645</f>
        <v>3.85</v>
      </c>
      <c r="Y562">
        <f xml:space="preserve"> [1]Gilchrist_Zak!C394</f>
        <v>-0.55289999999999995</v>
      </c>
      <c r="AA562">
        <f xml:space="preserve"> [1]Coibion_update!AI568</f>
        <v>0.1452309</v>
      </c>
      <c r="AB562">
        <f t="shared" si="42"/>
        <v>0.20994229999999986</v>
      </c>
      <c r="AC562">
        <v>0.1452309</v>
      </c>
      <c r="AD562">
        <v>4.4999999999999998E-2</v>
      </c>
      <c r="AE562">
        <v>1.4999999999999999E-2</v>
      </c>
      <c r="AF562">
        <v>0.03</v>
      </c>
      <c r="AG562">
        <v>1.4999999999999999E-2</v>
      </c>
      <c r="AH562">
        <v>2.35427E-2</v>
      </c>
      <c r="AI562">
        <v>3.7359499999999997E-2</v>
      </c>
      <c r="AJ562">
        <v>3.2272700000000001E-2</v>
      </c>
      <c r="AK562">
        <v>3.93</v>
      </c>
      <c r="AL562">
        <f xml:space="preserve"> LN([1]misc!B581)</f>
        <v>7.2277351177330802</v>
      </c>
      <c r="AM562">
        <f xml:space="preserve"> LN([1]misc!D581)</f>
        <v>8.790208226824614</v>
      </c>
      <c r="AN562">
        <f xml:space="preserve"> LN([1]misc!G686)</f>
        <v>2.460016100942874</v>
      </c>
      <c r="AO562">
        <f xml:space="preserve"> LN([1]misc!J592 + [1]misc!L592)</f>
        <v>3.8301185658066608</v>
      </c>
      <c r="AP562">
        <f xml:space="preserve"> [1]Factors!B562</f>
        <v>-0.16963667499999999</v>
      </c>
      <c r="AQ562">
        <f xml:space="preserve"> [1]Factors!C562</f>
        <v>0.294201086</v>
      </c>
      <c r="AR562">
        <f xml:space="preserve"> [1]Factors!D562</f>
        <v>0.11460015699999999</v>
      </c>
      <c r="AS562">
        <f xml:space="preserve"> [1]Factors!E562</f>
        <v>0.108139842</v>
      </c>
      <c r="AT562">
        <f xml:space="preserve"> [1]Factors!F562</f>
        <v>0.14086468099999999</v>
      </c>
    </row>
    <row r="563" spans="1:46" x14ac:dyDescent="0.25">
      <c r="A563">
        <f t="shared" si="41"/>
        <v>2005.7499999999629</v>
      </c>
      <c r="B563" s="1">
        <v>38626</v>
      </c>
      <c r="C563" s="7">
        <f t="shared" si="38"/>
        <v>2005</v>
      </c>
      <c r="D563" s="7">
        <f t="shared" si="39"/>
        <v>10</v>
      </c>
      <c r="E563" s="7">
        <f t="shared" si="40"/>
        <v>4</v>
      </c>
      <c r="F563">
        <f xml:space="preserve"> [1]Coibion_update!O569</f>
        <v>4.5983358852665113</v>
      </c>
      <c r="G563">
        <f xml:space="preserve"> [1]Coibion_update!P569</f>
        <v>5</v>
      </c>
      <c r="H563">
        <f xml:space="preserve"> [1]Coibion_update!Q569</f>
        <v>5.2938072110701508</v>
      </c>
      <c r="I563">
        <f xml:space="preserve"> [1]Coibion_update!W569</f>
        <v>3.78</v>
      </c>
      <c r="J563">
        <f xml:space="preserve"> [1]Coibion_update!X569</f>
        <v>5.698166735870565</v>
      </c>
      <c r="K563">
        <f xml:space="preserve"> [1]Coibion_update!Y569</f>
        <v>4.6028875828305393</v>
      </c>
      <c r="L563">
        <f xml:space="preserve"> [1]Coibion_update!Z569</f>
        <v>4.5978333370140732</v>
      </c>
      <c r="M563">
        <f xml:space="preserve"> [1]Coibion_update!AA569</f>
        <v>4.5668866335624827</v>
      </c>
      <c r="N563">
        <f xml:space="preserve"> [1]Coibion_update!AB569</f>
        <v>0</v>
      </c>
      <c r="O563">
        <f xml:space="preserve"> [1]Coibion_update!AC569</f>
        <v>-0.26569190000000242</v>
      </c>
      <c r="Q563">
        <f xml:space="preserve"> [1]Barakchian_Crowe!B442</f>
        <v>0</v>
      </c>
      <c r="R563">
        <f xml:space="preserve"> [1]Barakchian_Crowe!C442</f>
        <v>-2.012375</v>
      </c>
      <c r="S563">
        <f xml:space="preserve"> [1]Gertler_Karadi!C317</f>
        <v>2.85001E-2</v>
      </c>
      <c r="T563">
        <f xml:space="preserve"> [1]Gertler_Karadi!D317</f>
        <v>1.9000099999999999E-2</v>
      </c>
      <c r="U563">
        <f xml:space="preserve"> [1]Gertler_Karadi!E317</f>
        <v>9.4999999999999998E-3</v>
      </c>
      <c r="V563">
        <f xml:space="preserve"> [1]Gertler_Karadi!F317</f>
        <v>6.3334000000000003E-3</v>
      </c>
      <c r="W563">
        <f xml:space="preserve"> [1]Gertler_Karadi!G317</f>
        <v>6.3334000000000003E-3</v>
      </c>
      <c r="X563" s="5">
        <f xml:space="preserve"> [1]misc!N646</f>
        <v>4.18</v>
      </c>
      <c r="Y563">
        <f xml:space="preserve"> [1]Gilchrist_Zak!C395</f>
        <v>-0.45279999999999998</v>
      </c>
      <c r="AA563">
        <f xml:space="preserve"> [1]Coibion_update!AI569</f>
        <v>0</v>
      </c>
      <c r="AB563">
        <f t="shared" si="42"/>
        <v>0.20994229999999986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4.0199999999999996</v>
      </c>
      <c r="AL563">
        <f xml:space="preserve"> LN([1]misc!B582)</f>
        <v>7.2265725803646292</v>
      </c>
      <c r="AM563">
        <f xml:space="preserve"> LN([1]misc!D582)</f>
        <v>8.7954005199054741</v>
      </c>
      <c r="AN563">
        <f xml:space="preserve"> LN([1]misc!G687)</f>
        <v>2.3274728085018248</v>
      </c>
      <c r="AO563">
        <f xml:space="preserve"> LN([1]misc!J593 + [1]misc!L593)</f>
        <v>3.8111413336468916</v>
      </c>
      <c r="AP563">
        <f xml:space="preserve"> [1]Factors!B563</f>
        <v>4.7239669800000002E-2</v>
      </c>
      <c r="AQ563">
        <f xml:space="preserve"> [1]Factors!C563</f>
        <v>1.0215219799999999</v>
      </c>
      <c r="AR563">
        <f xml:space="preserve"> [1]Factors!D563</f>
        <v>0.29174044799999999</v>
      </c>
      <c r="AS563">
        <f xml:space="preserve"> [1]Factors!E563</f>
        <v>0.29966598</v>
      </c>
      <c r="AT563">
        <f xml:space="preserve"> [1]Factors!F563</f>
        <v>0.56233086399999999</v>
      </c>
    </row>
    <row r="564" spans="1:46" x14ac:dyDescent="0.25">
      <c r="A564">
        <f t="shared" si="41"/>
        <v>2005.8333333332962</v>
      </c>
      <c r="B564" s="1">
        <v>38657</v>
      </c>
      <c r="C564" s="7">
        <f t="shared" si="38"/>
        <v>2005</v>
      </c>
      <c r="D564" s="7">
        <f t="shared" si="39"/>
        <v>11</v>
      </c>
      <c r="E564" s="7">
        <f t="shared" si="40"/>
        <v>4</v>
      </c>
      <c r="F564">
        <f xml:space="preserve"> [1]Coibion_update!O570</f>
        <v>4.6081467516179773</v>
      </c>
      <c r="G564">
        <f xml:space="preserve"> [1]Coibion_update!P570</f>
        <v>5</v>
      </c>
      <c r="H564">
        <f xml:space="preserve"> [1]Coibion_update!Q570</f>
        <v>5.2887719537045053</v>
      </c>
      <c r="I564">
        <f xml:space="preserve"> [1]Coibion_update!W570</f>
        <v>4</v>
      </c>
      <c r="J564">
        <f xml:space="preserve"> [1]Coibion_update!X570</f>
        <v>5.6954142249856847</v>
      </c>
      <c r="K564">
        <f xml:space="preserve"> [1]Coibion_update!Y570</f>
        <v>4.6211517970003904</v>
      </c>
      <c r="L564">
        <f xml:space="preserve"> [1]Coibion_update!Z570</f>
        <v>4.6001375434600167</v>
      </c>
      <c r="M564">
        <f xml:space="preserve"> [1]Coibion_update!AA570</f>
        <v>4.5709513426014077</v>
      </c>
      <c r="N564">
        <f xml:space="preserve"> [1]Coibion_update!AB570</f>
        <v>0.22275490000000001</v>
      </c>
      <c r="O564">
        <f xml:space="preserve"> [1]Coibion_update!AC570</f>
        <v>-4.2937000000002418E-2</v>
      </c>
      <c r="Q564">
        <f xml:space="preserve"> [1]Barakchian_Crowe!B443</f>
        <v>0.25924180000000002</v>
      </c>
      <c r="R564">
        <f xml:space="preserve"> [1]Barakchian_Crowe!C443</f>
        <v>-1.753134</v>
      </c>
      <c r="S564">
        <f xml:space="preserve"> [1]Gertler_Karadi!C318</f>
        <v>-5.1801E-3</v>
      </c>
      <c r="T564">
        <f xml:space="preserve"> [1]Gertler_Karadi!D318</f>
        <v>0</v>
      </c>
      <c r="U564">
        <f xml:space="preserve"> [1]Gertler_Karadi!E318</f>
        <v>0.01</v>
      </c>
      <c r="V564">
        <f xml:space="preserve"> [1]Gertler_Karadi!F318</f>
        <v>0.01</v>
      </c>
      <c r="W564">
        <f xml:space="preserve"> [1]Gertler_Karadi!G318</f>
        <v>1.5000100000000001E-2</v>
      </c>
      <c r="X564" s="5">
        <f xml:space="preserve"> [1]misc!N647</f>
        <v>4.33</v>
      </c>
      <c r="Y564">
        <f xml:space="preserve"> [1]Gilchrist_Zak!C396</f>
        <v>-0.3841</v>
      </c>
      <c r="AA564">
        <f xml:space="preserve"> [1]Coibion_update!AI570</f>
        <v>6.9968699999999995E-2</v>
      </c>
      <c r="AB564">
        <f t="shared" si="42"/>
        <v>0.27991099999999985</v>
      </c>
      <c r="AC564">
        <v>6.9968699999999995E-2</v>
      </c>
      <c r="AD564">
        <v>-5.1799999999999997E-3</v>
      </c>
      <c r="AE564">
        <v>-5.0000000000000001E-3</v>
      </c>
      <c r="AF564">
        <v>0</v>
      </c>
      <c r="AG564">
        <v>0.01</v>
      </c>
      <c r="AH564">
        <v>-8.0785000000000006E-3</v>
      </c>
      <c r="AI564">
        <v>-1.3905900000000001E-2</v>
      </c>
      <c r="AJ564">
        <v>-1.8748E-3</v>
      </c>
      <c r="AK564">
        <v>4.03</v>
      </c>
      <c r="AL564">
        <f xml:space="preserve"> LN([1]misc!B583)</f>
        <v>7.2274446100688978</v>
      </c>
      <c r="AM564">
        <f xml:space="preserve"> LN([1]misc!D583)</f>
        <v>8.7982886194732099</v>
      </c>
      <c r="AN564">
        <f xml:space="preserve"> LN([1]misc!G688)</f>
        <v>2.316980973277778</v>
      </c>
      <c r="AO564">
        <f xml:space="preserve"> LN([1]misc!J594 + [1]misc!L594)</f>
        <v>3.8060845450146412</v>
      </c>
      <c r="AP564">
        <f xml:space="preserve"> [1]Factors!B564</f>
        <v>-0.47282966799999998</v>
      </c>
      <c r="AQ564">
        <f xml:space="preserve"> [1]Factors!C564</f>
        <v>-3.1611908899999999E-2</v>
      </c>
      <c r="AR564">
        <f xml:space="preserve"> [1]Factors!D564</f>
        <v>7.36406488E-2</v>
      </c>
      <c r="AS564">
        <f xml:space="preserve"> [1]Factors!E564</f>
        <v>-0.16887761500000001</v>
      </c>
      <c r="AT564">
        <f xml:space="preserve"> [1]Factors!F564</f>
        <v>-0.112952674</v>
      </c>
    </row>
    <row r="565" spans="1:46" x14ac:dyDescent="0.25">
      <c r="A565">
        <f t="shared" si="41"/>
        <v>2005.9166666666295</v>
      </c>
      <c r="B565" s="1">
        <v>38687</v>
      </c>
      <c r="C565" s="7">
        <f t="shared" si="38"/>
        <v>2005</v>
      </c>
      <c r="D565" s="7">
        <f t="shared" si="39"/>
        <v>12</v>
      </c>
      <c r="E565" s="7">
        <f t="shared" si="40"/>
        <v>4</v>
      </c>
      <c r="F565">
        <f xml:space="preserve"> [1]Coibion_update!O571</f>
        <v>4.6140783898570987</v>
      </c>
      <c r="G565">
        <f xml:space="preserve"> [1]Coibion_update!P571</f>
        <v>4.9000000000000004</v>
      </c>
      <c r="H565">
        <f xml:space="preserve"> [1]Coibion_update!Q571</f>
        <v>5.2887719537045053</v>
      </c>
      <c r="I565">
        <f xml:space="preserve"> [1]Coibion_update!W571</f>
        <v>4.16</v>
      </c>
      <c r="J565">
        <f xml:space="preserve"> [1]Coibion_update!X571</f>
        <v>5.7073095804323577</v>
      </c>
      <c r="K565">
        <f xml:space="preserve"> [1]Coibion_update!Y571</f>
        <v>4.6363490344690916</v>
      </c>
      <c r="L565">
        <f xml:space="preserve"> [1]Coibion_update!Z571</f>
        <v>4.6024264253170282</v>
      </c>
      <c r="M565">
        <f xml:space="preserve"> [1]Coibion_update!AA571</f>
        <v>4.5736175974749846</v>
      </c>
      <c r="N565">
        <f xml:space="preserve"> [1]Coibion_update!AB571</f>
        <v>4.8736799999999997E-2</v>
      </c>
      <c r="O565">
        <f xml:space="preserve"> [1]Coibion_update!AC571</f>
        <v>5.7997999999975791E-3</v>
      </c>
      <c r="Q565">
        <f xml:space="preserve"> [1]Barakchian_Crowe!B444</f>
        <v>0.1001499</v>
      </c>
      <c r="R565">
        <f xml:space="preserve"> [1]Barakchian_Crowe!C444</f>
        <v>-1.652984</v>
      </c>
      <c r="S565">
        <f xml:space="preserve"> [1]Gertler_Karadi!C319</f>
        <v>-5.2772000000000001E-3</v>
      </c>
      <c r="T565">
        <f xml:space="preserve"> [1]Gertler_Karadi!D319</f>
        <v>-3.0645999999999998E-3</v>
      </c>
      <c r="U565">
        <f xml:space="preserve"> [1]Gertler_Karadi!E319</f>
        <v>-9.1933999999999991E-3</v>
      </c>
      <c r="V565">
        <f xml:space="preserve"> [1]Gertler_Karadi!F319</f>
        <v>-1.83871E-2</v>
      </c>
      <c r="W565">
        <f xml:space="preserve"> [1]Gertler_Karadi!G319</f>
        <v>-1.83871E-2</v>
      </c>
      <c r="X565" s="5">
        <f xml:space="preserve"> [1]misc!N648</f>
        <v>4.3499999999999996</v>
      </c>
      <c r="Y565">
        <f xml:space="preserve"> [1]Gilchrist_Zak!C397</f>
        <v>-0.39119999999999999</v>
      </c>
      <c r="AA565">
        <f xml:space="preserve"> [1]Coibion_update!AI571</f>
        <v>1.6412E-3</v>
      </c>
      <c r="AB565">
        <f t="shared" si="42"/>
        <v>0.28155219999999986</v>
      </c>
      <c r="AC565">
        <v>1.6412E-3</v>
      </c>
      <c r="AD565">
        <v>-8.6099999999999996E-3</v>
      </c>
      <c r="AE565">
        <v>-5.0000000000000001E-3</v>
      </c>
      <c r="AF565">
        <v>-5.0000000000000001E-3</v>
      </c>
      <c r="AG565">
        <v>-1.4999999999999999E-2</v>
      </c>
      <c r="AH565">
        <v>-1.7464400000000001E-2</v>
      </c>
      <c r="AI565">
        <v>-1.7811299999999999E-2</v>
      </c>
      <c r="AJ565">
        <v>-1.3436699999999999E-2</v>
      </c>
      <c r="AK565">
        <v>4.09</v>
      </c>
      <c r="AL565">
        <f xml:space="preserve"> LN([1]misc!B584)</f>
        <v>7.2260635449756787</v>
      </c>
      <c r="AM565">
        <f xml:space="preserve"> LN([1]misc!D584)</f>
        <v>8.802492427166225</v>
      </c>
      <c r="AN565">
        <f xml:space="preserve"> LN([1]misc!G689)</f>
        <v>2.3071745453278529</v>
      </c>
      <c r="AO565">
        <f xml:space="preserve"> LN([1]misc!J595 + [1]misc!L595)</f>
        <v>3.8020965260495418</v>
      </c>
      <c r="AP565">
        <f xml:space="preserve"> [1]Factors!B565</f>
        <v>-0.19779480299999999</v>
      </c>
      <c r="AQ565">
        <f xml:space="preserve"> [1]Factors!C565</f>
        <v>-0.61626044099999999</v>
      </c>
      <c r="AR565">
        <f xml:space="preserve"> [1]Factors!D565</f>
        <v>-0.41534014400000002</v>
      </c>
      <c r="AS565">
        <f xml:space="preserve"> [1]Factors!E565</f>
        <v>-0.50842213000000003</v>
      </c>
      <c r="AT565">
        <f xml:space="preserve"> [1]Factors!F565</f>
        <v>-0.10405318099999999</v>
      </c>
    </row>
    <row r="566" spans="1:46" x14ac:dyDescent="0.25">
      <c r="A566">
        <f t="shared" si="41"/>
        <v>2005.9999999999627</v>
      </c>
      <c r="B566" s="1">
        <v>38718</v>
      </c>
      <c r="C566" s="7">
        <f t="shared" si="38"/>
        <v>2006</v>
      </c>
      <c r="D566" s="7">
        <f t="shared" si="39"/>
        <v>1</v>
      </c>
      <c r="E566" s="7">
        <f t="shared" si="40"/>
        <v>1</v>
      </c>
      <c r="F566">
        <f xml:space="preserve"> [1]Coibion_update!O572</f>
        <v>4.6153739500708797</v>
      </c>
      <c r="G566">
        <f xml:space="preserve"> [1]Coibion_update!P572</f>
        <v>4.7</v>
      </c>
      <c r="H566">
        <f xml:space="preserve"> [1]Coibion_update!Q572</f>
        <v>5.2948112272187489</v>
      </c>
      <c r="I566">
        <f xml:space="preserve"> [1]Coibion_update!W572</f>
        <v>4.29</v>
      </c>
      <c r="J566">
        <f xml:space="preserve"> [1]Coibion_update!X572</f>
        <v>5.7311057703050912</v>
      </c>
      <c r="K566">
        <f xml:space="preserve"> [1]Coibion_update!Y572</f>
        <v>4.6666038921721835</v>
      </c>
      <c r="L566">
        <f xml:space="preserve"> [1]Coibion_update!Z572</f>
        <v>4.6061197350236798</v>
      </c>
      <c r="M566">
        <f xml:space="preserve"> [1]Coibion_update!AA572</f>
        <v>4.5721613391810987</v>
      </c>
      <c r="N566">
        <f xml:space="preserve"> [1]Coibion_update!AB572</f>
        <v>0.1203751</v>
      </c>
      <c r="O566">
        <f xml:space="preserve"> [1]Coibion_update!AC572</f>
        <v>0.12617489999999759</v>
      </c>
      <c r="Q566">
        <f xml:space="preserve"> [1]Barakchian_Crowe!B445</f>
        <v>0.24842059999999999</v>
      </c>
      <c r="R566">
        <f xml:space="preserve"> [1]Barakchian_Crowe!C445</f>
        <v>-1.404563</v>
      </c>
      <c r="S566">
        <f xml:space="preserve"> [1]Gertler_Karadi!C320</f>
        <v>-3.1714E-3</v>
      </c>
      <c r="T566">
        <f xml:space="preserve"> [1]Gertler_Karadi!D320</f>
        <v>-1.1289E-3</v>
      </c>
      <c r="U566">
        <f xml:space="preserve"> [1]Gertler_Karadi!E320</f>
        <v>-5.0001000000000004E-3</v>
      </c>
      <c r="V566">
        <f xml:space="preserve"> [1]Gertler_Karadi!F320</f>
        <v>-1.04837E-2</v>
      </c>
      <c r="W566">
        <f xml:space="preserve"> [1]Gertler_Karadi!G320</f>
        <v>-1.0322599999999999E-2</v>
      </c>
      <c r="X566" s="5">
        <f xml:space="preserve"> [1]misc!N649</f>
        <v>4.45</v>
      </c>
      <c r="Y566">
        <f xml:space="preserve"> [1]Gilchrist_Zak!C398</f>
        <v>-0.4536</v>
      </c>
      <c r="AA566">
        <f xml:space="preserve"> [1]Coibion_update!AI572</f>
        <v>1.5128600000000001E-2</v>
      </c>
      <c r="AB566">
        <f t="shared" si="42"/>
        <v>0.29668079999999986</v>
      </c>
      <c r="AC566">
        <v>1.5128600000000001E-2</v>
      </c>
      <c r="AD566">
        <v>5.0000000000000001E-3</v>
      </c>
      <c r="AE566">
        <v>0</v>
      </c>
      <c r="AF566">
        <v>2.5000000000000001E-2</v>
      </c>
      <c r="AG566">
        <v>2.5000000000000001E-2</v>
      </c>
      <c r="AH566">
        <v>-1.6514999999999998E-2</v>
      </c>
      <c r="AI566">
        <v>-5.9829999999999996E-3</v>
      </c>
      <c r="AJ566">
        <v>2.5146999999999999E-3</v>
      </c>
      <c r="AK566">
        <v>4.47</v>
      </c>
      <c r="AL566">
        <f xml:space="preserve"> LN([1]misc!B585)</f>
        <v>7.2298387781512501</v>
      </c>
      <c r="AM566">
        <f xml:space="preserve"> LN([1]misc!D585)</f>
        <v>8.8084737814303065</v>
      </c>
      <c r="AN566">
        <f xml:space="preserve"> LN([1]misc!G690)</f>
        <v>2.3294217469476055</v>
      </c>
      <c r="AO566">
        <f xml:space="preserve"> LN([1]misc!J596 + [1]misc!L596)</f>
        <v>3.7902394784663547</v>
      </c>
      <c r="AP566">
        <f xml:space="preserve"> [1]Factors!B566</f>
        <v>-9.3986767600000007E-2</v>
      </c>
      <c r="AQ566">
        <f xml:space="preserve"> [1]Factors!C566</f>
        <v>-0.22247857200000001</v>
      </c>
      <c r="AR566">
        <f xml:space="preserve"> [1]Factors!D566</f>
        <v>-0.15225393200000001</v>
      </c>
      <c r="AS566">
        <f xml:space="preserve"> [1]Factors!E566</f>
        <v>-0.104473942</v>
      </c>
      <c r="AT566">
        <f xml:space="preserve"> [1]Factors!F566</f>
        <v>8.5461522600000006E-2</v>
      </c>
    </row>
    <row r="567" spans="1:46" x14ac:dyDescent="0.25">
      <c r="A567">
        <f t="shared" si="41"/>
        <v>2006.083333333296</v>
      </c>
      <c r="B567" s="1">
        <v>38749</v>
      </c>
      <c r="C567" s="7">
        <f t="shared" si="38"/>
        <v>2006</v>
      </c>
      <c r="D567" s="7">
        <f t="shared" si="39"/>
        <v>2</v>
      </c>
      <c r="E567" s="7">
        <f t="shared" si="40"/>
        <v>1</v>
      </c>
      <c r="F567">
        <f xml:space="preserve"> [1]Coibion_update!O573</f>
        <v>4.6151017047831253</v>
      </c>
      <c r="G567">
        <f xml:space="preserve"> [1]Coibion_update!P573</f>
        <v>4.8</v>
      </c>
      <c r="H567">
        <f xml:space="preserve"> [1]Coibion_update!Q573</f>
        <v>5.2953128575277377</v>
      </c>
      <c r="I567">
        <f xml:space="preserve"> [1]Coibion_update!W573</f>
        <v>4.49</v>
      </c>
      <c r="J567">
        <f xml:space="preserve"> [1]Coibion_update!X573</f>
        <v>5.7416561270842825</v>
      </c>
      <c r="K567">
        <f xml:space="preserve"> [1]Coibion_update!Y573</f>
        <v>4.6537698558241534</v>
      </c>
      <c r="L567">
        <f xml:space="preserve"> [1]Coibion_update!Z573</f>
        <v>4.6120166950651491</v>
      </c>
      <c r="M567">
        <f xml:space="preserve"> [1]Coibion_update!AA573</f>
        <v>4.5777887116468534</v>
      </c>
      <c r="N567">
        <f xml:space="preserve"> [1]Coibion_update!AB573</f>
        <v>0</v>
      </c>
      <c r="O567">
        <f xml:space="preserve"> [1]Coibion_update!AC573</f>
        <v>0.12617489999999759</v>
      </c>
      <c r="Q567">
        <f xml:space="preserve"> [1]Barakchian_Crowe!B446</f>
        <v>0</v>
      </c>
      <c r="R567">
        <f xml:space="preserve"> [1]Barakchian_Crowe!C446</f>
        <v>-1.404563</v>
      </c>
      <c r="S567">
        <f xml:space="preserve"> [1]Gertler_Karadi!C321</f>
        <v>4.8386999999999996E-3</v>
      </c>
      <c r="T567">
        <f xml:space="preserve"> [1]Gertler_Karadi!D321</f>
        <v>2.41935E-2</v>
      </c>
      <c r="U567">
        <f xml:space="preserve"> [1]Gertler_Karadi!E321</f>
        <v>2.41935E-2</v>
      </c>
      <c r="V567">
        <f xml:space="preserve"> [1]Gertler_Karadi!F321</f>
        <v>3.3870900000000002E-2</v>
      </c>
      <c r="W567">
        <f xml:space="preserve"> [1]Gertler_Karadi!G321</f>
        <v>3.8709599999999997E-2</v>
      </c>
      <c r="X567" s="5">
        <f xml:space="preserve"> [1]misc!N650</f>
        <v>4.68</v>
      </c>
      <c r="Y567">
        <f xml:space="preserve"> [1]Gilchrist_Zak!C399</f>
        <v>-0.34470000000000001</v>
      </c>
      <c r="AA567">
        <f xml:space="preserve"> [1]Coibion_update!AI573</f>
        <v>0</v>
      </c>
      <c r="AB567">
        <f t="shared" si="42"/>
        <v>0.29668079999999986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4.5199999999999996</v>
      </c>
      <c r="AL567">
        <f xml:space="preserve"> LN([1]misc!B586)</f>
        <v>7.2292588999094285</v>
      </c>
      <c r="AM567">
        <f xml:space="preserve"> LN([1]misc!D586)</f>
        <v>8.8124713404896458</v>
      </c>
      <c r="AN567">
        <f xml:space="preserve"> LN([1]misc!G691)</f>
        <v>2.2416666780246288</v>
      </c>
      <c r="AO567">
        <f xml:space="preserve"> LN([1]misc!J597 + [1]misc!L597)</f>
        <v>3.7860742206050384</v>
      </c>
      <c r="AP567">
        <f xml:space="preserve"> [1]Factors!B567</f>
        <v>-0.34456286800000002</v>
      </c>
      <c r="AQ567">
        <f xml:space="preserve"> [1]Factors!C567</f>
        <v>0.232568098</v>
      </c>
      <c r="AR567">
        <f xml:space="preserve"> [1]Factors!D567</f>
        <v>-7.2881272100000005E-2</v>
      </c>
      <c r="AS567">
        <f xml:space="preserve"> [1]Factors!E567</f>
        <v>0.12394015799999999</v>
      </c>
      <c r="AT567">
        <f xml:space="preserve"> [1]Factors!F567</f>
        <v>0.24465673600000001</v>
      </c>
    </row>
    <row r="568" spans="1:46" x14ac:dyDescent="0.25">
      <c r="A568">
        <f t="shared" si="41"/>
        <v>2006.1666666666292</v>
      </c>
      <c r="B568" s="1">
        <v>38777</v>
      </c>
      <c r="C568" s="7">
        <f t="shared" si="38"/>
        <v>2006</v>
      </c>
      <c r="D568" s="7">
        <f t="shared" si="39"/>
        <v>3</v>
      </c>
      <c r="E568" s="7">
        <f t="shared" si="40"/>
        <v>1</v>
      </c>
      <c r="F568">
        <f xml:space="preserve"> [1]Coibion_update!O574</f>
        <v>4.6177487431949258</v>
      </c>
      <c r="G568">
        <f xml:space="preserve"> [1]Coibion_update!P574</f>
        <v>4.7</v>
      </c>
      <c r="H568">
        <f xml:space="preserve"> [1]Coibion_update!Q574</f>
        <v>5.2968162404217694</v>
      </c>
      <c r="I568">
        <f xml:space="preserve"> [1]Coibion_update!W574</f>
        <v>4.59</v>
      </c>
      <c r="J568">
        <f xml:space="preserve"> [1]Coibion_update!X574</f>
        <v>5.7393748183593241</v>
      </c>
      <c r="K568">
        <f xml:space="preserve"> [1]Coibion_update!Y574</f>
        <v>4.6605670492083791</v>
      </c>
      <c r="L568">
        <f xml:space="preserve"> [1]Coibion_update!Z574</f>
        <v>4.6069486036655025</v>
      </c>
      <c r="M568">
        <f xml:space="preserve"> [1]Coibion_update!AA574</f>
        <v>4.5812770037680934</v>
      </c>
      <c r="N568">
        <f xml:space="preserve"> [1]Coibion_update!AB574</f>
        <v>0.1017777</v>
      </c>
      <c r="O568">
        <f xml:space="preserve"> [1]Coibion_update!AC574</f>
        <v>0.22795259999999759</v>
      </c>
      <c r="Q568">
        <f xml:space="preserve"> [1]Barakchian_Crowe!B447</f>
        <v>0.83690640000000005</v>
      </c>
      <c r="R568">
        <f xml:space="preserve"> [1]Barakchian_Crowe!C447</f>
        <v>-0.56765670000000001</v>
      </c>
      <c r="S568">
        <f xml:space="preserve"> [1]Gertler_Karadi!C322</f>
        <v>0</v>
      </c>
      <c r="T568">
        <f xml:space="preserve"> [1]Gertler_Karadi!D322</f>
        <v>3.8709999999999999E-3</v>
      </c>
      <c r="U568">
        <f xml:space="preserve"> [1]Gertler_Karadi!E322</f>
        <v>7.0968000000000003E-3</v>
      </c>
      <c r="V568">
        <f xml:space="preserve"> [1]Gertler_Karadi!F322</f>
        <v>7.7419000000000003E-3</v>
      </c>
      <c r="W568">
        <f xml:space="preserve"> [1]Gertler_Karadi!G322</f>
        <v>8.3870999999999998E-3</v>
      </c>
      <c r="X568" s="5">
        <f xml:space="preserve"> [1]misc!N651</f>
        <v>4.7699999999999996</v>
      </c>
      <c r="Y568">
        <f xml:space="preserve"> [1]Gilchrist_Zak!C400</f>
        <v>-0.51319999999999999</v>
      </c>
      <c r="AA568">
        <f xml:space="preserve"> [1]Coibion_update!AI574</f>
        <v>4.6656099999999999E-2</v>
      </c>
      <c r="AB568">
        <f t="shared" si="42"/>
        <v>0.34333689999999983</v>
      </c>
      <c r="AC568">
        <v>4.6656099999999999E-2</v>
      </c>
      <c r="AD568">
        <v>0</v>
      </c>
      <c r="AE568">
        <v>5.0000000000000001E-3</v>
      </c>
      <c r="AF568">
        <v>0.03</v>
      </c>
      <c r="AG568">
        <v>5.5E-2</v>
      </c>
      <c r="AH568">
        <v>-3.3693E-3</v>
      </c>
      <c r="AI568">
        <v>7.1701000000000004E-3</v>
      </c>
      <c r="AJ568">
        <v>3.7792899999999997E-2</v>
      </c>
      <c r="AK568">
        <v>5</v>
      </c>
      <c r="AL568">
        <f xml:space="preserve"> LN([1]misc!B587)</f>
        <v>7.2325886170647102</v>
      </c>
      <c r="AM568">
        <f xml:space="preserve"> LN([1]misc!D587)</f>
        <v>8.814954299309683</v>
      </c>
      <c r="AN568">
        <f xml:space="preserve"> LN([1]misc!G692)</f>
        <v>2.2124415431410798</v>
      </c>
      <c r="AO568">
        <f xml:space="preserve"> LN([1]misc!J598 + [1]misc!L598)</f>
        <v>3.777554030553576</v>
      </c>
      <c r="AP568">
        <f xml:space="preserve"> [1]Factors!B568</f>
        <v>-2.69930554E-2</v>
      </c>
      <c r="AQ568">
        <f xml:space="preserve"> [1]Factors!C568</f>
        <v>-0.227815398</v>
      </c>
      <c r="AR568">
        <f xml:space="preserve"> [1]Factors!D568</f>
        <v>-0.21243458100000001</v>
      </c>
      <c r="AS568">
        <f xml:space="preserve"> [1]Factors!E568</f>
        <v>-0.41786782</v>
      </c>
      <c r="AT568">
        <f xml:space="preserve"> [1]Factors!F568</f>
        <v>5.0871899599999999E-2</v>
      </c>
    </row>
    <row r="569" spans="1:46" x14ac:dyDescent="0.25">
      <c r="A569">
        <f t="shared" si="41"/>
        <v>2006.2499999999625</v>
      </c>
      <c r="B569" s="1">
        <v>38808</v>
      </c>
      <c r="C569" s="7">
        <f t="shared" si="38"/>
        <v>2006</v>
      </c>
      <c r="D569" s="7">
        <f t="shared" si="39"/>
        <v>4</v>
      </c>
      <c r="E569" s="7">
        <f t="shared" si="40"/>
        <v>2</v>
      </c>
      <c r="F569">
        <f xml:space="preserve"> [1]Coibion_update!O575</f>
        <v>4.6216771926087956</v>
      </c>
      <c r="G569">
        <f xml:space="preserve"> [1]Coibion_update!P575</f>
        <v>4.7</v>
      </c>
      <c r="H569">
        <f xml:space="preserve"> [1]Coibion_update!Q575</f>
        <v>5.3018112558022921</v>
      </c>
      <c r="I569">
        <f xml:space="preserve"> [1]Coibion_update!W575</f>
        <v>4.79</v>
      </c>
      <c r="J569">
        <f xml:space="preserve"> [1]Coibion_update!X575</f>
        <v>5.7662876800075979</v>
      </c>
      <c r="K569">
        <f xml:space="preserve"> [1]Coibion_update!Y575</f>
        <v>4.6620229975808742</v>
      </c>
      <c r="L569">
        <f xml:space="preserve"> [1]Coibion_update!Z575</f>
        <v>4.6123642465683314</v>
      </c>
      <c r="M569">
        <f xml:space="preserve"> [1]Coibion_update!AA575</f>
        <v>4.581973204383889</v>
      </c>
      <c r="N569">
        <f xml:space="preserve"> [1]Coibion_update!AB575</f>
        <v>0</v>
      </c>
      <c r="O569">
        <f xml:space="preserve"> [1]Coibion_update!AC575</f>
        <v>0.22795259999999759</v>
      </c>
      <c r="Q569">
        <f xml:space="preserve"> [1]Barakchian_Crowe!B448</f>
        <v>0</v>
      </c>
      <c r="R569">
        <f xml:space="preserve"> [1]Barakchian_Crowe!C448</f>
        <v>-0.56765670000000001</v>
      </c>
      <c r="S569">
        <f xml:space="preserve"> [1]Gertler_Karadi!C323</f>
        <v>0</v>
      </c>
      <c r="T569">
        <f xml:space="preserve"> [1]Gertler_Karadi!D323</f>
        <v>2.6128999999999999E-2</v>
      </c>
      <c r="U569">
        <f xml:space="preserve"> [1]Gertler_Karadi!E323</f>
        <v>4.7903300000000003E-2</v>
      </c>
      <c r="V569">
        <f xml:space="preserve"> [1]Gertler_Karadi!F323</f>
        <v>5.2257999999999999E-2</v>
      </c>
      <c r="W569">
        <f xml:space="preserve"> [1]Gertler_Karadi!G323</f>
        <v>5.6612999999999997E-2</v>
      </c>
      <c r="X569" s="5">
        <f xml:space="preserve"> [1]misc!N652</f>
        <v>4.9000000000000004</v>
      </c>
      <c r="Y569">
        <f xml:space="preserve"> [1]Gilchrist_Zak!C401</f>
        <v>-0.5272</v>
      </c>
      <c r="AA569">
        <f xml:space="preserve"> [1]Coibion_update!AI575</f>
        <v>0</v>
      </c>
      <c r="AB569">
        <f t="shared" si="42"/>
        <v>0.34333689999999983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4.8600000000000003</v>
      </c>
      <c r="AL569">
        <f xml:space="preserve"> LN([1]misc!B588)</f>
        <v>7.2296938401120086</v>
      </c>
      <c r="AM569">
        <f xml:space="preserve"> LN([1]misc!D588)</f>
        <v>8.8189704582405639</v>
      </c>
      <c r="AN569">
        <f xml:space="preserve"> LN([1]misc!G693)</f>
        <v>2.3325321693619978</v>
      </c>
      <c r="AO569">
        <f xml:space="preserve"> LN([1]misc!J599 + [1]misc!L599)</f>
        <v>3.7910975374992657</v>
      </c>
      <c r="AP569">
        <f xml:space="preserve"> [1]Factors!B569</f>
        <v>-0.194033331</v>
      </c>
      <c r="AQ569">
        <f xml:space="preserve"> [1]Factors!C569</f>
        <v>-2.69515673E-2</v>
      </c>
      <c r="AR569">
        <f xml:space="preserve"> [1]Factors!D569</f>
        <v>-9.5007566900000007E-2</v>
      </c>
      <c r="AS569">
        <f xml:space="preserve"> [1]Factors!E569</f>
        <v>-0.18890791500000001</v>
      </c>
      <c r="AT569">
        <f xml:space="preserve"> [1]Factors!F569</f>
        <v>6.3441352899999998E-2</v>
      </c>
    </row>
    <row r="570" spans="1:46" x14ac:dyDescent="0.25">
      <c r="A570">
        <f t="shared" si="41"/>
        <v>2006.3333333332957</v>
      </c>
      <c r="B570" s="1">
        <v>38838</v>
      </c>
      <c r="C570" s="7">
        <f t="shared" si="38"/>
        <v>2006</v>
      </c>
      <c r="D570" s="7">
        <f t="shared" si="39"/>
        <v>5</v>
      </c>
      <c r="E570" s="7">
        <f t="shared" si="40"/>
        <v>2</v>
      </c>
      <c r="F570">
        <f xml:space="preserve"> [1]Coibion_update!O576</f>
        <v>4.6203090134808766</v>
      </c>
      <c r="G570">
        <f xml:space="preserve"> [1]Coibion_update!P576</f>
        <v>4.5999999999999996</v>
      </c>
      <c r="H570">
        <f xml:space="preserve"> [1]Coibion_update!Q576</f>
        <v>5.3047963326457461</v>
      </c>
      <c r="I570">
        <f xml:space="preserve"> [1]Coibion_update!W576</f>
        <v>4.9400000000000004</v>
      </c>
      <c r="J570">
        <f xml:space="preserve"> [1]Coibion_update!X576</f>
        <v>5.8014837329465383</v>
      </c>
      <c r="K570">
        <f xml:space="preserve"> [1]Coibion_update!Y576</f>
        <v>4.6511086689292558</v>
      </c>
      <c r="L570">
        <f xml:space="preserve"> [1]Coibion_update!Z576</f>
        <v>4.6121060769892042</v>
      </c>
      <c r="M570">
        <f xml:space="preserve"> [1]Coibion_update!AA576</f>
        <v>4.5858242543905536</v>
      </c>
      <c r="N570">
        <f xml:space="preserve"> [1]Coibion_update!AB576</f>
        <v>0.17008309999999999</v>
      </c>
      <c r="O570">
        <f xml:space="preserve"> [1]Coibion_update!AC576</f>
        <v>0.39803569999999755</v>
      </c>
      <c r="Q570">
        <f xml:space="preserve"> [1]Barakchian_Crowe!B449</f>
        <v>0.23535590000000001</v>
      </c>
      <c r="R570">
        <f xml:space="preserve"> [1]Barakchian_Crowe!C449</f>
        <v>-0.33230080000000001</v>
      </c>
      <c r="S570">
        <f xml:space="preserve"> [1]Gertler_Karadi!C324</f>
        <v>0</v>
      </c>
      <c r="T570">
        <f xml:space="preserve"> [1]Gertler_Karadi!D324</f>
        <v>2.4838699999999998E-2</v>
      </c>
      <c r="U570">
        <f xml:space="preserve"> [1]Gertler_Karadi!E324</f>
        <v>3.9032200000000003E-2</v>
      </c>
      <c r="V570">
        <f xml:space="preserve"> [1]Gertler_Karadi!F324</f>
        <v>4.6129000000000003E-2</v>
      </c>
      <c r="W570">
        <f xml:space="preserve"> [1]Gertler_Karadi!G324</f>
        <v>4.6129000000000003E-2</v>
      </c>
      <c r="X570" s="5">
        <f xml:space="preserve"> [1]misc!N653</f>
        <v>5</v>
      </c>
      <c r="Y570">
        <f xml:space="preserve"> [1]Gilchrist_Zak!C402</f>
        <v>-0.3982</v>
      </c>
      <c r="AA570">
        <f xml:space="preserve"> [1]Coibion_update!AI576</f>
        <v>0.12680630000000001</v>
      </c>
      <c r="AB570">
        <f t="shared" si="42"/>
        <v>0.47014319999999987</v>
      </c>
      <c r="AC570">
        <v>0.12680630000000001</v>
      </c>
      <c r="AD570">
        <v>0</v>
      </c>
      <c r="AE570">
        <v>0</v>
      </c>
      <c r="AF570">
        <v>3.5000000000000003E-2</v>
      </c>
      <c r="AG570">
        <v>5.5E-2</v>
      </c>
      <c r="AH570">
        <v>6.1054000000000004E-3</v>
      </c>
      <c r="AI570">
        <v>4.7002299999999997E-2</v>
      </c>
      <c r="AJ570">
        <v>5.2956400000000001E-2</v>
      </c>
      <c r="AK570">
        <v>5.05</v>
      </c>
      <c r="AL570">
        <f xml:space="preserve"> LN([1]misc!B589)</f>
        <v>7.2350426060262771</v>
      </c>
      <c r="AM570">
        <f xml:space="preserve"> LN([1]misc!D589)</f>
        <v>8.8212750492355969</v>
      </c>
      <c r="AN570">
        <f xml:space="preserve"> LN([1]misc!G694)</f>
        <v>2.3720178677093822</v>
      </c>
      <c r="AO570">
        <f xml:space="preserve"> LN([1]misc!J600 + [1]misc!L600)</f>
        <v>3.8013595651979375</v>
      </c>
      <c r="AP570">
        <f xml:space="preserve"> [1]Factors!B570</f>
        <v>-0.26380711299999998</v>
      </c>
      <c r="AQ570">
        <f xml:space="preserve"> [1]Factors!C570</f>
        <v>0.312795557</v>
      </c>
      <c r="AR570">
        <f xml:space="preserve"> [1]Factors!D570</f>
        <v>0.16725751599999999</v>
      </c>
      <c r="AS570">
        <f xml:space="preserve"> [1]Factors!E570</f>
        <v>3.4636243499999997E-2</v>
      </c>
      <c r="AT570">
        <f xml:space="preserve"> [1]Factors!F570</f>
        <v>0.20598396799999999</v>
      </c>
    </row>
    <row r="571" spans="1:46" x14ac:dyDescent="0.25">
      <c r="A571">
        <f t="shared" si="41"/>
        <v>2006.416666666629</v>
      </c>
      <c r="B571" s="1">
        <v>38869</v>
      </c>
      <c r="C571" s="7">
        <f t="shared" si="38"/>
        <v>2006</v>
      </c>
      <c r="D571" s="7">
        <f t="shared" si="39"/>
        <v>6</v>
      </c>
      <c r="E571" s="7">
        <f t="shared" si="40"/>
        <v>2</v>
      </c>
      <c r="F571">
        <f xml:space="preserve"> [1]Coibion_update!O577</f>
        <v>4.624161700107174</v>
      </c>
      <c r="G571">
        <f xml:space="preserve"> [1]Coibion_update!P577</f>
        <v>4.5999999999999996</v>
      </c>
      <c r="H571">
        <f xml:space="preserve"> [1]Coibion_update!Q577</f>
        <v>5.3072771079195089</v>
      </c>
      <c r="I571">
        <f xml:space="preserve"> [1]Coibion_update!W577</f>
        <v>4.99</v>
      </c>
      <c r="J571">
        <f xml:space="preserve"> [1]Coibion_update!X577</f>
        <v>5.8058876975933549</v>
      </c>
      <c r="K571">
        <f xml:space="preserve"> [1]Coibion_update!Y577</f>
        <v>4.6644762918854985</v>
      </c>
      <c r="L571">
        <f xml:space="preserve"> [1]Coibion_update!Z577</f>
        <v>4.6105357654865013</v>
      </c>
      <c r="M571">
        <f xml:space="preserve"> [1]Coibion_update!AA577</f>
        <v>4.5851307306503646</v>
      </c>
      <c r="N571">
        <f xml:space="preserve"> [1]Coibion_update!AB577</f>
        <v>0.44131140000000002</v>
      </c>
      <c r="O571">
        <f xml:space="preserve"> [1]Coibion_update!AC577</f>
        <v>0.83934709999999757</v>
      </c>
      <c r="Q571">
        <f xml:space="preserve"> [1]Barakchian_Crowe!B450</f>
        <v>-0.71049379999999995</v>
      </c>
      <c r="R571">
        <f xml:space="preserve"> [1]Barakchian_Crowe!C450</f>
        <v>-1.0427949999999999</v>
      </c>
      <c r="S571">
        <f xml:space="preserve"> [1]Gertler_Karadi!C325</f>
        <v>-9.9989999999999996E-4</v>
      </c>
      <c r="T571">
        <f xml:space="preserve"> [1]Gertler_Karadi!D325</f>
        <v>8.4945999999999997E-3</v>
      </c>
      <c r="U571">
        <f xml:space="preserve"> [1]Gertler_Karadi!E325</f>
        <v>1.29678E-2</v>
      </c>
      <c r="V571">
        <f xml:space="preserve"> [1]Gertler_Karadi!F325</f>
        <v>1.6204400000000001E-2</v>
      </c>
      <c r="W571">
        <f xml:space="preserve"> [1]Gertler_Karadi!G325</f>
        <v>1.6204099999999999E-2</v>
      </c>
      <c r="X571" s="5">
        <f xml:space="preserve"> [1]misc!N654</f>
        <v>5.16</v>
      </c>
      <c r="Y571">
        <f xml:space="preserve"> [1]Gilchrist_Zak!C403</f>
        <v>-0.44619999999999999</v>
      </c>
      <c r="AA571">
        <f xml:space="preserve"> [1]Coibion_update!AI577</f>
        <v>0.29465180000000002</v>
      </c>
      <c r="AB571">
        <f t="shared" si="42"/>
        <v>0.76479499999999989</v>
      </c>
      <c r="AC571">
        <v>0.29465180000000002</v>
      </c>
      <c r="AD571">
        <v>-1.4999999999999999E-2</v>
      </c>
      <c r="AE571">
        <v>-5.0000000000000001E-3</v>
      </c>
      <c r="AF571">
        <v>-2.5000000000000001E-2</v>
      </c>
      <c r="AG571">
        <v>-4.4999999999999998E-2</v>
      </c>
      <c r="AH571">
        <v>1.9808300000000001E-2</v>
      </c>
      <c r="AI571">
        <v>6.4898000000000004E-3</v>
      </c>
      <c r="AJ571">
        <v>-2.4270900000000002E-2</v>
      </c>
      <c r="AK571">
        <v>5.05</v>
      </c>
      <c r="AL571">
        <f xml:space="preserve"> LN([1]misc!B590)</f>
        <v>7.225554250337729</v>
      </c>
      <c r="AM571">
        <f xml:space="preserve"> LN([1]misc!D590)</f>
        <v>8.826969381341085</v>
      </c>
      <c r="AN571">
        <f xml:space="preserve"> LN([1]misc!G695)</f>
        <v>2.3014844875500127</v>
      </c>
      <c r="AO571">
        <f xml:space="preserve"> LN([1]misc!J601 + [1]misc!L601)</f>
        <v>3.8129096025307865</v>
      </c>
      <c r="AP571">
        <f xml:space="preserve"> [1]Factors!B571</f>
        <v>3.0006386600000001E-2</v>
      </c>
      <c r="AQ571">
        <f xml:space="preserve"> [1]Factors!C571</f>
        <v>0.151558522</v>
      </c>
      <c r="AR571">
        <f xml:space="preserve"> [1]Factors!D571</f>
        <v>-8.6272831099999995E-4</v>
      </c>
      <c r="AS571">
        <f xml:space="preserve"> [1]Factors!E571</f>
        <v>-4.7836295299999998E-2</v>
      </c>
      <c r="AT571">
        <f xml:space="preserve"> [1]Factors!F571</f>
        <v>0.300713748</v>
      </c>
    </row>
    <row r="572" spans="1:46" x14ac:dyDescent="0.25">
      <c r="A572">
        <f t="shared" si="41"/>
        <v>2006.4999999999623</v>
      </c>
      <c r="B572" s="1">
        <v>38899</v>
      </c>
      <c r="C572" s="7">
        <f t="shared" si="38"/>
        <v>2006</v>
      </c>
      <c r="D572" s="7">
        <f t="shared" si="39"/>
        <v>7</v>
      </c>
      <c r="E572" s="7">
        <f t="shared" si="40"/>
        <v>3</v>
      </c>
      <c r="F572">
        <f xml:space="preserve"> [1]Coibion_update!O578</f>
        <v>4.6239732943237364</v>
      </c>
      <c r="G572">
        <f xml:space="preserve"> [1]Coibion_update!P578</f>
        <v>4.7</v>
      </c>
      <c r="H572">
        <f xml:space="preserve"> [1]Coibion_update!Q578</f>
        <v>5.3127132468317688</v>
      </c>
      <c r="I572">
        <f xml:space="preserve"> [1]Coibion_update!W578</f>
        <v>5.24</v>
      </c>
      <c r="J572">
        <f xml:space="preserve"> [1]Coibion_update!X578</f>
        <v>5.8226908028592961</v>
      </c>
      <c r="K572">
        <f xml:space="preserve"> [1]Coibion_update!Y578</f>
        <v>4.6779093646283965</v>
      </c>
      <c r="L572">
        <f xml:space="preserve"> [1]Coibion_update!Z578</f>
        <v>4.6158034519048448</v>
      </c>
      <c r="M572">
        <f xml:space="preserve"> [1]Coibion_update!AA578</f>
        <v>4.5879324665017558</v>
      </c>
      <c r="N572">
        <f xml:space="preserve"> [1]Coibion_update!AB578</f>
        <v>0</v>
      </c>
      <c r="O572">
        <f xml:space="preserve"> [1]Coibion_update!AC578</f>
        <v>0.83934709999999757</v>
      </c>
      <c r="Q572">
        <f xml:space="preserve"> [1]Barakchian_Crowe!B451</f>
        <v>0</v>
      </c>
      <c r="R572">
        <f xml:space="preserve"> [1]Barakchian_Crowe!C451</f>
        <v>-1.0427949999999999</v>
      </c>
      <c r="S572">
        <f xml:space="preserve"> [1]Gertler_Karadi!C326</f>
        <v>-1.4000200000000001E-2</v>
      </c>
      <c r="T572">
        <f xml:space="preserve"> [1]Gertler_Karadi!D326</f>
        <v>-2.3333300000000001E-2</v>
      </c>
      <c r="U572">
        <f xml:space="preserve"> [1]Gertler_Karadi!E326</f>
        <v>-4.2000099999999999E-2</v>
      </c>
      <c r="V572">
        <f xml:space="preserve"> [1]Gertler_Karadi!F326</f>
        <v>-3.73333E-2</v>
      </c>
      <c r="W572">
        <f xml:space="preserve"> [1]Gertler_Karadi!G326</f>
        <v>-3.73333E-2</v>
      </c>
      <c r="X572" s="5">
        <f xml:space="preserve"> [1]misc!N655</f>
        <v>5.22</v>
      </c>
      <c r="Y572">
        <f xml:space="preserve"> [1]Gilchrist_Zak!C404</f>
        <v>-0.37469999999999998</v>
      </c>
      <c r="AA572">
        <f xml:space="preserve"> [1]Coibion_update!AI578</f>
        <v>0</v>
      </c>
      <c r="AB572">
        <f t="shared" si="42"/>
        <v>0.76479499999999989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5.31</v>
      </c>
      <c r="AL572">
        <f xml:space="preserve"> LN([1]misc!B591)</f>
        <v>7.2230038791517233</v>
      </c>
      <c r="AM572">
        <f xml:space="preserve"> LN([1]misc!D591)</f>
        <v>8.8326898273626089</v>
      </c>
      <c r="AN572">
        <f xml:space="preserve"> LN([1]misc!G696)</f>
        <v>2.2708880062507912</v>
      </c>
      <c r="AO572">
        <f xml:space="preserve"> LN([1]misc!J602 + [1]misc!L602)</f>
        <v>3.7890414810129172</v>
      </c>
      <c r="AP572">
        <f xml:space="preserve"> [1]Factors!B572</f>
        <v>-9.6184916800000006E-2</v>
      </c>
      <c r="AQ572">
        <f xml:space="preserve"> [1]Factors!C572</f>
        <v>-7.5447616999999995E-2</v>
      </c>
      <c r="AR572">
        <f xml:space="preserve"> [1]Factors!D572</f>
        <v>-4.9792612999999999E-2</v>
      </c>
      <c r="AS572">
        <f xml:space="preserve"> [1]Factors!E572</f>
        <v>-0.154926437</v>
      </c>
      <c r="AT572">
        <f xml:space="preserve"> [1]Factors!F572</f>
        <v>1.0828295599999999E-2</v>
      </c>
    </row>
    <row r="573" spans="1:46" x14ac:dyDescent="0.25">
      <c r="A573">
        <f t="shared" si="41"/>
        <v>2006.5833333332955</v>
      </c>
      <c r="B573" s="1">
        <v>38930</v>
      </c>
      <c r="C573" s="7">
        <f t="shared" si="38"/>
        <v>2006</v>
      </c>
      <c r="D573" s="7">
        <f t="shared" si="39"/>
        <v>8</v>
      </c>
      <c r="E573" s="7">
        <f t="shared" si="40"/>
        <v>3</v>
      </c>
      <c r="F573">
        <f xml:space="preserve"> [1]Coibion_update!O579</f>
        <v>4.6274403546338192</v>
      </c>
      <c r="G573">
        <f xml:space="preserve"> [1]Coibion_update!P579</f>
        <v>4.7</v>
      </c>
      <c r="H573">
        <f xml:space="preserve"> [1]Coibion_update!Q579</f>
        <v>5.3171391207886245</v>
      </c>
      <c r="I573">
        <f xml:space="preserve"> [1]Coibion_update!W579</f>
        <v>5.25</v>
      </c>
      <c r="J573">
        <f xml:space="preserve"> [1]Coibion_update!X579</f>
        <v>5.832205005910728</v>
      </c>
      <c r="K573">
        <f xml:space="preserve"> [1]Coibion_update!Y579</f>
        <v>4.6612385615076279</v>
      </c>
      <c r="L573">
        <f xml:space="preserve"> [1]Coibion_update!Z579</f>
        <v>4.6142785783520823</v>
      </c>
      <c r="M573">
        <f xml:space="preserve"> [1]Coibion_update!AA579</f>
        <v>4.5881257513788327</v>
      </c>
      <c r="N573">
        <f xml:space="preserve"> [1]Coibion_update!AB579</f>
        <v>6.11265E-2</v>
      </c>
      <c r="O573">
        <f xml:space="preserve"> [1]Coibion_update!AC579</f>
        <v>0.90047359999999754</v>
      </c>
      <c r="Q573">
        <f xml:space="preserve"> [1]Barakchian_Crowe!B452</f>
        <v>-0.3696913</v>
      </c>
      <c r="R573">
        <f xml:space="preserve"> [1]Barakchian_Crowe!C452</f>
        <v>-1.4124859999999999</v>
      </c>
      <c r="S573">
        <f xml:space="preserve"> [1]Gertler_Karadi!C327</f>
        <v>-3.6526400000000001E-2</v>
      </c>
      <c r="T573">
        <f xml:space="preserve"> [1]Gertler_Karadi!D327</f>
        <v>-2.7096700000000001E-2</v>
      </c>
      <c r="U573">
        <f xml:space="preserve"> [1]Gertler_Karadi!E327</f>
        <v>-2.7096700000000001E-2</v>
      </c>
      <c r="V573">
        <f xml:space="preserve"> [1]Gertler_Karadi!F327</f>
        <v>-2.3225800000000001E-2</v>
      </c>
      <c r="W573">
        <f xml:space="preserve"> [1]Gertler_Karadi!G327</f>
        <v>-2.3225800000000001E-2</v>
      </c>
      <c r="X573" s="5">
        <f xml:space="preserve"> [1]misc!N656</f>
        <v>5.08</v>
      </c>
      <c r="Y573">
        <f xml:space="preserve"> [1]Gilchrist_Zak!C405</f>
        <v>-0.41739999999999999</v>
      </c>
      <c r="AA573">
        <f xml:space="preserve"> [1]Coibion_update!AI579</f>
        <v>6.3313900000000006E-2</v>
      </c>
      <c r="AB573">
        <f t="shared" si="42"/>
        <v>0.82810889999999993</v>
      </c>
      <c r="AC573">
        <v>6.3313900000000006E-2</v>
      </c>
      <c r="AD573">
        <v>-4.718E-2</v>
      </c>
      <c r="AE573">
        <v>-3.5000000000000003E-2</v>
      </c>
      <c r="AF573">
        <v>-3.5000000000000003E-2</v>
      </c>
      <c r="AG573">
        <v>-3.5000000000000003E-2</v>
      </c>
      <c r="AH573">
        <v>-1.7524499999999998E-2</v>
      </c>
      <c r="AI573">
        <v>-7.8910999999999999E-3</v>
      </c>
      <c r="AJ573">
        <v>-1.7702800000000001E-2</v>
      </c>
      <c r="AK573">
        <v>5.31</v>
      </c>
      <c r="AL573">
        <f xml:space="preserve"> LN([1]misc!B592)</f>
        <v>7.2228579470099099</v>
      </c>
      <c r="AM573">
        <f xml:space="preserve"> LN([1]misc!D592)</f>
        <v>8.8359959525258081</v>
      </c>
      <c r="AN573">
        <f xml:space="preserve"> LN([1]misc!G697)</f>
        <v>2.1798523276117487</v>
      </c>
      <c r="AO573">
        <f xml:space="preserve"> LN([1]misc!J603 + [1]misc!L603)</f>
        <v>3.7564913725239562</v>
      </c>
      <c r="AP573">
        <f xml:space="preserve"> [1]Factors!B573</f>
        <v>5.0874592400000002E-2</v>
      </c>
      <c r="AQ573">
        <f xml:space="preserve"> [1]Factors!C573</f>
        <v>0.17128891700000001</v>
      </c>
      <c r="AR573">
        <f xml:space="preserve"> [1]Factors!D573</f>
        <v>2.00733072E-3</v>
      </c>
      <c r="AS573">
        <f xml:space="preserve"> [1]Factors!E573</f>
        <v>-8.5450823499999995E-2</v>
      </c>
      <c r="AT573">
        <f xml:space="preserve"> [1]Factors!F573</f>
        <v>0.211941352</v>
      </c>
    </row>
    <row r="574" spans="1:46" x14ac:dyDescent="0.25">
      <c r="A574">
        <f t="shared" si="41"/>
        <v>2006.6666666666288</v>
      </c>
      <c r="B574" s="1">
        <v>38961</v>
      </c>
      <c r="C574" s="7">
        <f t="shared" si="38"/>
        <v>2006</v>
      </c>
      <c r="D574" s="7">
        <f t="shared" si="39"/>
        <v>9</v>
      </c>
      <c r="E574" s="7">
        <f t="shared" si="40"/>
        <v>3</v>
      </c>
      <c r="F574">
        <f xml:space="preserve"> [1]Coibion_update!O580</f>
        <v>4.6260438081918771</v>
      </c>
      <c r="G574">
        <f xml:space="preserve"> [1]Coibion_update!P580</f>
        <v>4.5</v>
      </c>
      <c r="H574">
        <f xml:space="preserve"> [1]Coibion_update!Q580</f>
        <v>5.3122202717170284</v>
      </c>
      <c r="I574">
        <f xml:space="preserve"> [1]Coibion_update!W580</f>
        <v>5.25</v>
      </c>
      <c r="J574">
        <f xml:space="preserve"> [1]Coibion_update!X580</f>
        <v>5.8345767915708375</v>
      </c>
      <c r="K574">
        <f xml:space="preserve"> [1]Coibion_update!Y580</f>
        <v>4.679581683501902</v>
      </c>
      <c r="L574">
        <f xml:space="preserve"> [1]Coibion_update!Z580</f>
        <v>4.6199110043095901</v>
      </c>
      <c r="M574">
        <f xml:space="preserve"> [1]Coibion_update!AA580</f>
        <v>4.5906249145460558</v>
      </c>
      <c r="N574">
        <f xml:space="preserve"> [1]Coibion_update!AB580</f>
        <v>6.1020499999999998E-2</v>
      </c>
      <c r="O574">
        <f xml:space="preserve"> [1]Coibion_update!AC580</f>
        <v>0.96149409999999758</v>
      </c>
      <c r="Q574">
        <f xml:space="preserve"> [1]Barakchian_Crowe!B453</f>
        <v>0.15653529999999999</v>
      </c>
      <c r="R574">
        <f xml:space="preserve"> [1]Barakchian_Crowe!C453</f>
        <v>-1.255951</v>
      </c>
      <c r="S574">
        <f xml:space="preserve"> [1]Gertler_Karadi!C328</f>
        <v>-1.6149799999999999E-2</v>
      </c>
      <c r="T574">
        <f xml:space="preserve"> [1]Gertler_Karadi!D328</f>
        <v>-7.9030999999999997E-3</v>
      </c>
      <c r="U574">
        <f xml:space="preserve"> [1]Gertler_Karadi!E328</f>
        <v>-5.7010000000000003E-4</v>
      </c>
      <c r="V574">
        <f xml:space="preserve"> [1]Gertler_Karadi!F328</f>
        <v>5.5909999999999998E-4</v>
      </c>
      <c r="W574">
        <f xml:space="preserve"> [1]Gertler_Karadi!G328</f>
        <v>4.2256999999999998E-3</v>
      </c>
      <c r="X574" s="5">
        <f xml:space="preserve"> [1]misc!N657</f>
        <v>4.97</v>
      </c>
      <c r="Y574">
        <f xml:space="preserve"> [1]Gilchrist_Zak!C406</f>
        <v>-0.5171</v>
      </c>
      <c r="AA574">
        <f xml:space="preserve"> [1]Coibion_update!AI580</f>
        <v>-2.7317299999999999E-2</v>
      </c>
      <c r="AB574">
        <f t="shared" si="42"/>
        <v>0.80079159999999994</v>
      </c>
      <c r="AC574">
        <v>-2.7317299999999999E-2</v>
      </c>
      <c r="AD574">
        <v>-1.499E-2</v>
      </c>
      <c r="AE574">
        <v>-5.0000000000000001E-3</v>
      </c>
      <c r="AF574">
        <v>0</v>
      </c>
      <c r="AG574">
        <v>0.02</v>
      </c>
      <c r="AH574">
        <v>1.8753999999999999E-3</v>
      </c>
      <c r="AI574">
        <v>5.7939999999999999E-4</v>
      </c>
      <c r="AJ574">
        <v>3.7897E-2</v>
      </c>
      <c r="AK574">
        <v>5.34</v>
      </c>
      <c r="AL574">
        <f xml:space="preserve"> LN([1]misc!B593)</f>
        <v>7.217223304755775</v>
      </c>
      <c r="AM574">
        <f xml:space="preserve"> LN([1]misc!D593)</f>
        <v>8.8404788662332745</v>
      </c>
      <c r="AN574">
        <f xml:space="preserve"> LN([1]misc!G698)</f>
        <v>2.2147370024208506</v>
      </c>
      <c r="AO574">
        <f xml:space="preserve"> LN([1]misc!J604 + [1]misc!L604)</f>
        <v>3.7592913183543017</v>
      </c>
      <c r="AP574">
        <f xml:space="preserve"> [1]Factors!B574</f>
        <v>-7.8164773199999996E-2</v>
      </c>
      <c r="AQ574">
        <f xml:space="preserve"> [1]Factors!C574</f>
        <v>0.112900482</v>
      </c>
      <c r="AR574">
        <f xml:space="preserve"> [1]Factors!D574</f>
        <v>-5.5998604799999997E-2</v>
      </c>
      <c r="AS574">
        <f xml:space="preserve"> [1]Factors!E574</f>
        <v>0.12514868300000001</v>
      </c>
      <c r="AT574">
        <f xml:space="preserve"> [1]Factors!F574</f>
        <v>4.6579711099999997E-2</v>
      </c>
    </row>
    <row r="575" spans="1:46" x14ac:dyDescent="0.25">
      <c r="A575">
        <f t="shared" si="41"/>
        <v>2006.749999999962</v>
      </c>
      <c r="B575" s="1">
        <v>38991</v>
      </c>
      <c r="C575" s="7">
        <f t="shared" si="38"/>
        <v>2006</v>
      </c>
      <c r="D575" s="7">
        <f t="shared" si="39"/>
        <v>10</v>
      </c>
      <c r="E575" s="7">
        <f t="shared" si="40"/>
        <v>4</v>
      </c>
      <c r="F575">
        <f xml:space="preserve"> [1]Coibion_update!O581</f>
        <v>4.6257989425337476</v>
      </c>
      <c r="G575">
        <f xml:space="preserve"> [1]Coibion_update!P581</f>
        <v>4.4000000000000004</v>
      </c>
      <c r="H575">
        <f xml:space="preserve"> [1]Coibion_update!Q581</f>
        <v>5.307772525318792</v>
      </c>
      <c r="I575">
        <f xml:space="preserve"> [1]Coibion_update!W581</f>
        <v>5.25</v>
      </c>
      <c r="J575">
        <f xml:space="preserve"> [1]Coibion_update!X581</f>
        <v>5.8498433774404033</v>
      </c>
      <c r="K575">
        <f xml:space="preserve"> [1]Coibion_update!Y581</f>
        <v>4.6801292244535464</v>
      </c>
      <c r="L575">
        <f xml:space="preserve"> [1]Coibion_update!Z581</f>
        <v>4.6285253191856714</v>
      </c>
      <c r="M575">
        <f xml:space="preserve"> [1]Coibion_update!AA581</f>
        <v>4.594806669785612</v>
      </c>
      <c r="N575">
        <f xml:space="preserve"> [1]Coibion_update!AB581</f>
        <v>-6.5343899999999996E-2</v>
      </c>
      <c r="O575">
        <f xml:space="preserve"> [1]Coibion_update!AC581</f>
        <v>0.89615019999999757</v>
      </c>
      <c r="Q575">
        <f xml:space="preserve"> [1]Barakchian_Crowe!B454</f>
        <v>-1.2378999999999999E-2</v>
      </c>
      <c r="R575">
        <f xml:space="preserve"> [1]Barakchian_Crowe!C454</f>
        <v>-1.26833</v>
      </c>
      <c r="S575">
        <f xml:space="preserve"> [1]Gertler_Karadi!C329</f>
        <v>-1.0622700000000001E-2</v>
      </c>
      <c r="T575">
        <f xml:space="preserve"> [1]Gertler_Karadi!D329</f>
        <v>-1.1291999999999999E-3</v>
      </c>
      <c r="U575">
        <f xml:space="preserve"> [1]Gertler_Karadi!E329</f>
        <v>1.1537800000000001E-2</v>
      </c>
      <c r="V575">
        <f xml:space="preserve"> [1]Gertler_Karadi!F329</f>
        <v>1.04086E-2</v>
      </c>
      <c r="W575">
        <f xml:space="preserve"> [1]Gertler_Karadi!G329</f>
        <v>1.56131E-2</v>
      </c>
      <c r="X575" s="5">
        <f xml:space="preserve"> [1]misc!N658</f>
        <v>5.01</v>
      </c>
      <c r="Y575">
        <f xml:space="preserve"> [1]Gilchrist_Zak!C407</f>
        <v>-0.53359999999999996</v>
      </c>
      <c r="AA575">
        <f xml:space="preserve"> [1]Coibion_update!AI581</f>
        <v>-5.6401899999999998E-2</v>
      </c>
      <c r="AB575">
        <f t="shared" si="42"/>
        <v>0.74438969999999993</v>
      </c>
      <c r="AC575">
        <v>-5.6401899999999998E-2</v>
      </c>
      <c r="AD575">
        <v>-5.0000000000000001E-3</v>
      </c>
      <c r="AE575">
        <v>-5.0000000000000001E-3</v>
      </c>
      <c r="AF575">
        <v>-5.0000000000000001E-3</v>
      </c>
      <c r="AG575">
        <v>-5.0000000000000001E-3</v>
      </c>
      <c r="AH575">
        <v>-1.00556E-2</v>
      </c>
      <c r="AI575">
        <v>-1.62442E-2</v>
      </c>
      <c r="AJ575">
        <v>-2.5577E-3</v>
      </c>
      <c r="AK575">
        <v>5.31</v>
      </c>
      <c r="AL575">
        <f xml:space="preserve"> LN([1]misc!B594)</f>
        <v>7.2219088686397104</v>
      </c>
      <c r="AM575">
        <f xml:space="preserve"> LN([1]misc!D594)</f>
        <v>8.8475898662755554</v>
      </c>
      <c r="AN575">
        <f xml:space="preserve"> LN([1]misc!G699)</f>
        <v>2.1071782966514356</v>
      </c>
      <c r="AO575">
        <f xml:space="preserve"> LN([1]misc!J605 + [1]misc!L605)</f>
        <v>3.7510558125406122</v>
      </c>
      <c r="AP575">
        <f xml:space="preserve"> [1]Factors!B575</f>
        <v>0.18100675399999999</v>
      </c>
      <c r="AQ575">
        <f xml:space="preserve"> [1]Factors!C575</f>
        <v>-0.57147024099999999</v>
      </c>
      <c r="AR575">
        <f xml:space="preserve"> [1]Factors!D575</f>
        <v>-0.55326692200000005</v>
      </c>
      <c r="AS575">
        <f xml:space="preserve"> [1]Factors!E575</f>
        <v>-0.40963970900000002</v>
      </c>
      <c r="AT575">
        <f xml:space="preserve"> [1]Factors!F575</f>
        <v>3.2431041000000001E-2</v>
      </c>
    </row>
    <row r="576" spans="1:46" x14ac:dyDescent="0.25">
      <c r="A576">
        <f t="shared" si="41"/>
        <v>2006.8333333332953</v>
      </c>
      <c r="B576" s="1">
        <v>39022</v>
      </c>
      <c r="C576" s="7">
        <f t="shared" si="38"/>
        <v>2006</v>
      </c>
      <c r="D576" s="7">
        <f t="shared" si="39"/>
        <v>11</v>
      </c>
      <c r="E576" s="7">
        <f t="shared" si="40"/>
        <v>4</v>
      </c>
      <c r="F576">
        <f xml:space="preserve"> [1]Coibion_update!O582</f>
        <v>4.6246619806670921</v>
      </c>
      <c r="G576">
        <f xml:space="preserve"> [1]Coibion_update!P582</f>
        <v>4.5</v>
      </c>
      <c r="H576">
        <f xml:space="preserve"> [1]Coibion_update!Q582</f>
        <v>5.3082676974012051</v>
      </c>
      <c r="I576">
        <f xml:space="preserve"> [1]Coibion_update!W582</f>
        <v>5.25</v>
      </c>
      <c r="J576">
        <f xml:space="preserve"> [1]Coibion_update!X582</f>
        <v>5.8718924119671367</v>
      </c>
      <c r="K576">
        <f xml:space="preserve"> [1]Coibion_update!Y582</f>
        <v>4.682353424658741</v>
      </c>
      <c r="L576">
        <f xml:space="preserve"> [1]Coibion_update!Z582</f>
        <v>4.6303114783944235</v>
      </c>
      <c r="M576">
        <f xml:space="preserve"> [1]Coibion_update!AA582</f>
        <v>4.5962707028010588</v>
      </c>
      <c r="N576">
        <f xml:space="preserve"> [1]Coibion_update!AB582</f>
        <v>0</v>
      </c>
      <c r="O576">
        <f xml:space="preserve"> [1]Coibion_update!AC582</f>
        <v>0.89615019999999757</v>
      </c>
      <c r="Q576">
        <f xml:space="preserve"> [1]Barakchian_Crowe!B455</f>
        <v>0</v>
      </c>
      <c r="R576">
        <f xml:space="preserve"> [1]Barakchian_Crowe!C455</f>
        <v>-1.26833</v>
      </c>
      <c r="S576">
        <f xml:space="preserve"> [1]Gertler_Karadi!C330</f>
        <v>-3.8709999999999999E-3</v>
      </c>
      <c r="T576">
        <f xml:space="preserve"> [1]Gertler_Karadi!D330</f>
        <v>-3.8709999999999999E-3</v>
      </c>
      <c r="U576">
        <f xml:space="preserve"> [1]Gertler_Karadi!E330</f>
        <v>-3.8709999999999999E-3</v>
      </c>
      <c r="V576">
        <f xml:space="preserve"> [1]Gertler_Karadi!F330</f>
        <v>-7.7419000000000003E-3</v>
      </c>
      <c r="W576">
        <f xml:space="preserve"> [1]Gertler_Karadi!G330</f>
        <v>-1.1612900000000001E-2</v>
      </c>
      <c r="X576" s="5">
        <f xml:space="preserve"> [1]misc!N659</f>
        <v>5.01</v>
      </c>
      <c r="Y576">
        <f xml:space="preserve"> [1]Gilchrist_Zak!C408</f>
        <v>-0.51800000000000002</v>
      </c>
      <c r="AA576">
        <f xml:space="preserve"> [1]Coibion_update!AI582</f>
        <v>0</v>
      </c>
      <c r="AB576">
        <f t="shared" si="42"/>
        <v>0.74438969999999993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5.31</v>
      </c>
      <c r="AL576">
        <f xml:space="preserve"> LN([1]misc!B595)</f>
        <v>7.2243163109842943</v>
      </c>
      <c r="AM576">
        <f xml:space="preserve"> LN([1]misc!D595)</f>
        <v>8.853308221389609</v>
      </c>
      <c r="AN576">
        <f xml:space="preserve"> LN([1]misc!G700)</f>
        <v>2.1248928045837534</v>
      </c>
      <c r="AO576">
        <f xml:space="preserve"> LN([1]misc!J606 + [1]misc!L606)</f>
        <v>3.7556498577477888</v>
      </c>
      <c r="AP576">
        <f xml:space="preserve"> [1]Factors!B576</f>
        <v>0.25707267700000003</v>
      </c>
      <c r="AQ576">
        <f xml:space="preserve"> [1]Factors!C576</f>
        <v>-0.58877414900000002</v>
      </c>
      <c r="AR576">
        <f xml:space="preserve"> [1]Factors!D576</f>
        <v>-0.377437525</v>
      </c>
      <c r="AS576">
        <f xml:space="preserve"> [1]Factors!E576</f>
        <v>-0.47418955200000001</v>
      </c>
      <c r="AT576">
        <f xml:space="preserve"> [1]Factors!F576</f>
        <v>-2.2501668400000001E-2</v>
      </c>
    </row>
    <row r="577" spans="1:46" x14ac:dyDescent="0.25">
      <c r="A577">
        <f t="shared" si="41"/>
        <v>2006.9166666666285</v>
      </c>
      <c r="B577" s="1">
        <v>39052</v>
      </c>
      <c r="C577" s="7">
        <f t="shared" si="38"/>
        <v>2006</v>
      </c>
      <c r="D577" s="7">
        <f t="shared" si="39"/>
        <v>12</v>
      </c>
      <c r="E577" s="7">
        <f t="shared" si="40"/>
        <v>4</v>
      </c>
      <c r="F577">
        <f xml:space="preserve"> [1]Coibion_update!O583</f>
        <v>4.634487211431165</v>
      </c>
      <c r="G577">
        <f xml:space="preserve"> [1]Coibion_update!P583</f>
        <v>4.4000000000000004</v>
      </c>
      <c r="H577">
        <f xml:space="preserve"> [1]Coibion_update!Q583</f>
        <v>5.3136984685863391</v>
      </c>
      <c r="I577">
        <f xml:space="preserve"> [1]Coibion_update!W583</f>
        <v>5.24</v>
      </c>
      <c r="J577">
        <f xml:space="preserve"> [1]Coibion_update!X583</f>
        <v>5.8842968439144521</v>
      </c>
      <c r="K577">
        <f xml:space="preserve"> [1]Coibion_update!Y583</f>
        <v>4.6958149542101415</v>
      </c>
      <c r="L577">
        <f xml:space="preserve"> [1]Coibion_update!Z583</f>
        <v>4.6407882635898376</v>
      </c>
      <c r="M577">
        <f xml:space="preserve"> [1]Coibion_update!AA583</f>
        <v>4.5976922961321325</v>
      </c>
      <c r="N577">
        <f xml:space="preserve"> [1]Coibion_update!AB583</f>
        <v>5.0971099999999998E-2</v>
      </c>
      <c r="O577">
        <f xml:space="preserve"> [1]Coibion_update!AC583</f>
        <v>0.94712129999999761</v>
      </c>
      <c r="Q577">
        <f xml:space="preserve"> [1]Barakchian_Crowe!B456</f>
        <v>7.41647E-2</v>
      </c>
      <c r="R577">
        <f xml:space="preserve"> [1]Barakchian_Crowe!C456</f>
        <v>-1.1941649999999999</v>
      </c>
      <c r="S577">
        <f xml:space="preserve"> [1]Gertler_Karadi!C331</f>
        <v>0</v>
      </c>
      <c r="T577">
        <f xml:space="preserve"> [1]Gertler_Karadi!D331</f>
        <v>-3.2258E-3</v>
      </c>
      <c r="U577">
        <f xml:space="preserve"> [1]Gertler_Karadi!E331</f>
        <v>-9.6773999999999992E-3</v>
      </c>
      <c r="V577">
        <f xml:space="preserve"> [1]Gertler_Karadi!F331</f>
        <v>-3.5483800000000003E-2</v>
      </c>
      <c r="W577">
        <f xml:space="preserve"> [1]Gertler_Karadi!G331</f>
        <v>-3.8709599999999997E-2</v>
      </c>
      <c r="X577" s="5">
        <f xml:space="preserve"> [1]misc!N660</f>
        <v>4.9400000000000004</v>
      </c>
      <c r="Y577">
        <f xml:space="preserve"> [1]Gilchrist_Zak!C409</f>
        <v>-0.65720000000000001</v>
      </c>
      <c r="AA577">
        <f xml:space="preserve"> [1]Coibion_update!AI583</f>
        <v>8.4948800000000005E-2</v>
      </c>
      <c r="AB577">
        <f t="shared" si="42"/>
        <v>0.82933849999999998</v>
      </c>
      <c r="AC577">
        <v>8.4948800000000005E-2</v>
      </c>
      <c r="AD577">
        <v>0</v>
      </c>
      <c r="AE577">
        <v>0</v>
      </c>
      <c r="AF577">
        <v>-5.0000000000000001E-3</v>
      </c>
      <c r="AG577">
        <v>-1.4999999999999999E-2</v>
      </c>
      <c r="AH577">
        <v>2.7069200000000002E-2</v>
      </c>
      <c r="AI577">
        <v>1.26543E-2</v>
      </c>
      <c r="AJ577">
        <v>4.4264999999999999E-3</v>
      </c>
      <c r="AK577">
        <v>5.17</v>
      </c>
      <c r="AL577">
        <f xml:space="preserve"> LN([1]misc!B596)</f>
        <v>7.2213243723857641</v>
      </c>
      <c r="AM577">
        <f xml:space="preserve"> LN([1]misc!D596)</f>
        <v>8.8597610973522887</v>
      </c>
      <c r="AN577">
        <f xml:space="preserve"> LN([1]misc!G701)</f>
        <v>2.137592518321866</v>
      </c>
      <c r="AO577">
        <f xml:space="preserve"> LN([1]misc!J607 + [1]misc!L607)</f>
        <v>3.7596407609968483</v>
      </c>
      <c r="AP577">
        <f xml:space="preserve"> [1]Factors!B577</f>
        <v>0.101432357</v>
      </c>
      <c r="AQ577">
        <f xml:space="preserve"> [1]Factors!C577</f>
        <v>-4.9630927700000001E-2</v>
      </c>
      <c r="AR577">
        <f xml:space="preserve"> [1]Factors!D577</f>
        <v>-0.18021253800000001</v>
      </c>
      <c r="AS577">
        <f xml:space="preserve"> [1]Factors!E577</f>
        <v>-4.9560786099999997E-2</v>
      </c>
      <c r="AT577">
        <f xml:space="preserve"> [1]Factors!F577</f>
        <v>0.164227809</v>
      </c>
    </row>
    <row r="578" spans="1:46" x14ac:dyDescent="0.25">
      <c r="A578">
        <f t="shared" si="41"/>
        <v>2006.9999999999618</v>
      </c>
      <c r="B578" s="1">
        <v>39083</v>
      </c>
      <c r="C578" s="7">
        <f t="shared" si="38"/>
        <v>2007</v>
      </c>
      <c r="D578" s="7">
        <f t="shared" si="39"/>
        <v>1</v>
      </c>
      <c r="E578" s="7">
        <f t="shared" si="40"/>
        <v>1</v>
      </c>
      <c r="F578">
        <f xml:space="preserve"> [1]Coibion_update!O584</f>
        <v>4.6298179195226323</v>
      </c>
      <c r="G578">
        <f xml:space="preserve"> [1]Coibion_update!P584</f>
        <v>4.5999999999999996</v>
      </c>
      <c r="H578">
        <f xml:space="preserve"> [1]Coibion_update!Q584</f>
        <v>5.3153563746425716</v>
      </c>
      <c r="I578">
        <f xml:space="preserve"> [1]Coibion_update!W584</f>
        <v>5.25</v>
      </c>
      <c r="J578">
        <f xml:space="preserve"> [1]Coibion_update!X584</f>
        <v>5.8828766066910827</v>
      </c>
      <c r="K578">
        <f xml:space="preserve"> [1]Coibion_update!Y584</f>
        <v>4.6980683683548223</v>
      </c>
      <c r="L578">
        <f xml:space="preserve"> [1]Coibion_update!Z584</f>
        <v>4.6362327114399093</v>
      </c>
      <c r="M578">
        <f xml:space="preserve"> [1]Coibion_update!AA584</f>
        <v>4.5999264616650377</v>
      </c>
      <c r="N578">
        <f xml:space="preserve"> [1]Coibion_update!AB584</f>
        <v>-6.7077200000000003E-2</v>
      </c>
      <c r="O578">
        <f xml:space="preserve"> [1]Coibion_update!AC584</f>
        <v>0.88004409999999766</v>
      </c>
      <c r="Q578">
        <f xml:space="preserve"> [1]Barakchian_Crowe!B457</f>
        <v>0.15653529999999999</v>
      </c>
      <c r="R578">
        <f xml:space="preserve"> [1]Barakchian_Crowe!C457</f>
        <v>-1.0376300000000001</v>
      </c>
      <c r="S578">
        <f xml:space="preserve"> [1]Gertler_Karadi!C332</f>
        <v>-1.6139999999999999E-4</v>
      </c>
      <c r="T578">
        <f xml:space="preserve"> [1]Gertler_Karadi!D332</f>
        <v>-1.9354999999999999E-3</v>
      </c>
      <c r="U578">
        <f xml:space="preserve"> [1]Gertler_Karadi!E332</f>
        <v>-5.3226999999999997E-3</v>
      </c>
      <c r="V578">
        <f xml:space="preserve"> [1]Gertler_Karadi!F332</f>
        <v>-1.98388E-2</v>
      </c>
      <c r="W578">
        <f xml:space="preserve"> [1]Gertler_Karadi!G332</f>
        <v>-2.19355E-2</v>
      </c>
      <c r="X578" s="5">
        <f xml:space="preserve"> [1]misc!N661</f>
        <v>5.0599999999999996</v>
      </c>
      <c r="Y578">
        <f xml:space="preserve"> [1]Gilchrist_Zak!C410</f>
        <v>-0.67420000000000002</v>
      </c>
      <c r="AA578">
        <f xml:space="preserve"> [1]Coibion_update!AI584</f>
        <v>-7.1945099999999998E-2</v>
      </c>
      <c r="AB578">
        <f t="shared" si="42"/>
        <v>0.75739339999999999</v>
      </c>
      <c r="AC578">
        <v>-7.1945099999999998E-2</v>
      </c>
      <c r="AD578">
        <v>-5.0000000000000001E-3</v>
      </c>
      <c r="AE578">
        <v>0</v>
      </c>
      <c r="AF578">
        <v>-5.0000000000000001E-3</v>
      </c>
      <c r="AG578">
        <v>0</v>
      </c>
      <c r="AH578">
        <v>-5.1820000000000002E-4</v>
      </c>
      <c r="AI578">
        <v>-5.9652000000000004E-3</v>
      </c>
      <c r="AJ578">
        <v>-7.9013E-3</v>
      </c>
      <c r="AK578">
        <v>5.33</v>
      </c>
      <c r="AL578">
        <f xml:space="preserve"> LN([1]misc!B597)</f>
        <v>7.224753405767971</v>
      </c>
      <c r="AM578">
        <f xml:space="preserve"> LN([1]misc!D597)</f>
        <v>8.864478187457939</v>
      </c>
      <c r="AN578">
        <f xml:space="preserve"> LN([1]misc!G702)</f>
        <v>2.1690537003695232</v>
      </c>
      <c r="AO578">
        <f xml:space="preserve"> LN([1]misc!J608 + [1]misc!L608)</f>
        <v>3.7325852863740039</v>
      </c>
      <c r="AP578">
        <f xml:space="preserve"> [1]Factors!B578</f>
        <v>-0.24059957200000001</v>
      </c>
      <c r="AQ578">
        <f xml:space="preserve"> [1]Factors!C578</f>
        <v>0.131111541</v>
      </c>
      <c r="AR578">
        <f xml:space="preserve"> [1]Factors!D578</f>
        <v>-8.6158025299999993E-3</v>
      </c>
      <c r="AS578">
        <f xml:space="preserve"> [1]Factors!E578</f>
        <v>0.173633185</v>
      </c>
      <c r="AT578">
        <f xml:space="preserve"> [1]Factors!F578</f>
        <v>-2.4693211E-2</v>
      </c>
    </row>
    <row r="579" spans="1:46" x14ac:dyDescent="0.25">
      <c r="A579">
        <f t="shared" si="41"/>
        <v>2007.0833333332951</v>
      </c>
      <c r="B579" s="1">
        <v>39114</v>
      </c>
      <c r="C579" s="7">
        <f t="shared" ref="C579:C642" si="43">YEAR(B579)</f>
        <v>2007</v>
      </c>
      <c r="D579" s="7">
        <f t="shared" ref="D579:D642" si="44">MONTH(B579)</f>
        <v>2</v>
      </c>
      <c r="E579" s="7">
        <f t="shared" ref="E579:E642" si="45">ROUNDUP(D579/3,0)</f>
        <v>1</v>
      </c>
      <c r="F579">
        <f xml:space="preserve"> [1]Coibion_update!O585</f>
        <v>4.6406348154209978</v>
      </c>
      <c r="G579">
        <f xml:space="preserve"> [1]Coibion_update!P585</f>
        <v>4.5</v>
      </c>
      <c r="H579">
        <f xml:space="preserve"> [1]Coibion_update!Q585</f>
        <v>5.3192272237761111</v>
      </c>
      <c r="I579">
        <f xml:space="preserve"> [1]Coibion_update!W585</f>
        <v>5.26</v>
      </c>
      <c r="J579">
        <f xml:space="preserve"> [1]Coibion_update!X585</f>
        <v>5.9039166625875579</v>
      </c>
      <c r="K579">
        <f xml:space="preserve"> [1]Coibion_update!Y585</f>
        <v>4.6958240875894468</v>
      </c>
      <c r="L579">
        <f xml:space="preserve"> [1]Coibion_update!Z585</f>
        <v>4.6331549345228549</v>
      </c>
      <c r="M579">
        <f xml:space="preserve"> [1]Coibion_update!AA585</f>
        <v>4.6023762866836968</v>
      </c>
      <c r="N579">
        <f xml:space="preserve"> [1]Coibion_update!AB585</f>
        <v>0</v>
      </c>
      <c r="O579">
        <f xml:space="preserve"> [1]Coibion_update!AC585</f>
        <v>0.88004409999999766</v>
      </c>
      <c r="Q579">
        <f xml:space="preserve"> [1]Barakchian_Crowe!B458</f>
        <v>0</v>
      </c>
      <c r="R579">
        <f xml:space="preserve"> [1]Barakchian_Crowe!C458</f>
        <v>-1.0376300000000001</v>
      </c>
      <c r="S579">
        <f xml:space="preserve"> [1]Gertler_Karadi!C333</f>
        <v>-4.8386999999999996E-3</v>
      </c>
      <c r="T579">
        <f xml:space="preserve"> [1]Gertler_Karadi!D333</f>
        <v>-4.8386999999999996E-3</v>
      </c>
      <c r="U579">
        <f xml:space="preserve"> [1]Gertler_Karadi!E333</f>
        <v>0</v>
      </c>
      <c r="V579">
        <f xml:space="preserve"> [1]Gertler_Karadi!F333</f>
        <v>-9.6773999999999992E-3</v>
      </c>
      <c r="W579">
        <f xml:space="preserve"> [1]Gertler_Karadi!G333</f>
        <v>-1.93551E-2</v>
      </c>
      <c r="X579" s="5">
        <f xml:space="preserve"> [1]misc!N662</f>
        <v>5.05</v>
      </c>
      <c r="Y579">
        <f xml:space="preserve"> [1]Gilchrist_Zak!C411</f>
        <v>-0.72929999999999995</v>
      </c>
      <c r="AA579">
        <f xml:space="preserve"> [1]Coibion_update!AI585</f>
        <v>0</v>
      </c>
      <c r="AB579">
        <f t="shared" si="42"/>
        <v>0.75739339999999999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5.41</v>
      </c>
      <c r="AL579">
        <f xml:space="preserve"> LN([1]misc!B598)</f>
        <v>7.2186166243813235</v>
      </c>
      <c r="AM579">
        <f xml:space="preserve"> LN([1]misc!D598)</f>
        <v>8.8672019657357755</v>
      </c>
      <c r="AN579">
        <f xml:space="preserve"> LN([1]misc!G703)</f>
        <v>2.0302512974890643</v>
      </c>
      <c r="AO579">
        <f xml:space="preserve"> LN([1]misc!J609 + [1]misc!L609)</f>
        <v>3.741210959374019</v>
      </c>
      <c r="AP579">
        <f xml:space="preserve"> [1]Factors!B579</f>
        <v>0.21267883900000001</v>
      </c>
      <c r="AQ579">
        <f xml:space="preserve"> [1]Factors!C579</f>
        <v>-9.7474437099999995E-3</v>
      </c>
      <c r="AR579">
        <f xml:space="preserve"> [1]Factors!D579</f>
        <v>-9.7479184499999996E-2</v>
      </c>
      <c r="AS579">
        <f xml:space="preserve"> [1]Factors!E579</f>
        <v>-0.38337026299999999</v>
      </c>
      <c r="AT579">
        <f xml:space="preserve"> [1]Factors!F579</f>
        <v>2.28206151E-2</v>
      </c>
    </row>
    <row r="580" spans="1:46" x14ac:dyDescent="0.25">
      <c r="A580">
        <f t="shared" si="41"/>
        <v>2007.1666666666283</v>
      </c>
      <c r="B580" s="1">
        <v>39142</v>
      </c>
      <c r="C580" s="7">
        <f t="shared" si="43"/>
        <v>2007</v>
      </c>
      <c r="D580" s="7">
        <f t="shared" si="44"/>
        <v>3</v>
      </c>
      <c r="E580" s="7">
        <f t="shared" si="45"/>
        <v>1</v>
      </c>
      <c r="F580">
        <f xml:space="preserve"> [1]Coibion_update!O586</f>
        <v>4.6420564456546991</v>
      </c>
      <c r="G580">
        <f xml:space="preserve"> [1]Coibion_update!P586</f>
        <v>4.4000000000000004</v>
      </c>
      <c r="H580">
        <f xml:space="preserve"> [1]Coibion_update!Q586</f>
        <v>5.3244138712693108</v>
      </c>
      <c r="I580">
        <f xml:space="preserve"> [1]Coibion_update!W586</f>
        <v>5.26</v>
      </c>
      <c r="J580">
        <f xml:space="preserve"> [1]Coibion_update!X586</f>
        <v>5.9437438108965699</v>
      </c>
      <c r="K580">
        <f xml:space="preserve"> [1]Coibion_update!Y586</f>
        <v>4.6979043233696736</v>
      </c>
      <c r="L580">
        <f xml:space="preserve"> [1]Coibion_update!Z586</f>
        <v>4.6363878058054482</v>
      </c>
      <c r="M580">
        <f xml:space="preserve"> [1]Coibion_update!AA586</f>
        <v>4.6020453086405668</v>
      </c>
      <c r="N580">
        <f xml:space="preserve"> [1]Coibion_update!AB586</f>
        <v>0.15645319999999999</v>
      </c>
      <c r="O580">
        <f xml:space="preserve"> [1]Coibion_update!AC586</f>
        <v>1.0364972999999977</v>
      </c>
      <c r="Q580">
        <f xml:space="preserve"> [1]Barakchian_Crowe!B459</f>
        <v>-0.24209549999999999</v>
      </c>
      <c r="R580">
        <f xml:space="preserve"> [1]Barakchian_Crowe!C459</f>
        <v>-1.279725</v>
      </c>
      <c r="S580">
        <f xml:space="preserve"> [1]Gertler_Karadi!C334</f>
        <v>0</v>
      </c>
      <c r="T580">
        <f xml:space="preserve"> [1]Gertler_Karadi!D334</f>
        <v>-5.326E-3</v>
      </c>
      <c r="U580">
        <f xml:space="preserve"> [1]Gertler_Karadi!E334</f>
        <v>-3.3709500000000003E-2</v>
      </c>
      <c r="V580">
        <f xml:space="preserve"> [1]Gertler_Karadi!F334</f>
        <v>-4.0806500000000002E-2</v>
      </c>
      <c r="W580">
        <f xml:space="preserve"> [1]Gertler_Karadi!G334</f>
        <v>-4.0806500000000002E-2</v>
      </c>
      <c r="X580" s="5">
        <f xml:space="preserve"> [1]misc!N663</f>
        <v>4.92</v>
      </c>
      <c r="Y580">
        <f xml:space="preserve"> [1]Gilchrist_Zak!C412</f>
        <v>-0.47989999999999999</v>
      </c>
      <c r="AA580">
        <f xml:space="preserve"> [1]Coibion_update!AI586</f>
        <v>-7.8233E-3</v>
      </c>
      <c r="AB580">
        <f t="shared" si="42"/>
        <v>0.74957010000000002</v>
      </c>
      <c r="AC580">
        <v>-7.8233E-3</v>
      </c>
      <c r="AD580">
        <v>0</v>
      </c>
      <c r="AE580">
        <v>0</v>
      </c>
      <c r="AF580">
        <v>-1.5010000000000001E-2</v>
      </c>
      <c r="AG580">
        <v>-9.5000000000000001E-2</v>
      </c>
      <c r="AH580">
        <v>9.7228999999999996E-3</v>
      </c>
      <c r="AI580">
        <v>-2.2257599999999999E-2</v>
      </c>
      <c r="AJ580">
        <v>-8.9232599999999995E-2</v>
      </c>
      <c r="AK580">
        <v>5.3</v>
      </c>
      <c r="AL580">
        <f xml:space="preserve"> LN([1]misc!B599)</f>
        <v>7.2209588886639953</v>
      </c>
      <c r="AM580">
        <f xml:space="preserve"> LN([1]misc!D599)</f>
        <v>8.8724311033188492</v>
      </c>
      <c r="AN580">
        <f xml:space="preserve"> LN([1]misc!G704)</f>
        <v>2.0060640718750604</v>
      </c>
      <c r="AO580">
        <f xml:space="preserve"> LN([1]misc!J610 + [1]misc!L610)</f>
        <v>3.7350232626281676</v>
      </c>
      <c r="AP580">
        <f xml:space="preserve"> [1]Factors!B580</f>
        <v>-0.121260505</v>
      </c>
      <c r="AQ580">
        <f xml:space="preserve"> [1]Factors!C580</f>
        <v>0.15383970599999999</v>
      </c>
      <c r="AR580">
        <f xml:space="preserve"> [1]Factors!D580</f>
        <v>8.16681395E-2</v>
      </c>
      <c r="AS580">
        <f xml:space="preserve"> [1]Factors!E580</f>
        <v>0.10416288999999999</v>
      </c>
      <c r="AT580">
        <f xml:space="preserve"> [1]Factors!F580</f>
        <v>-0.124668001</v>
      </c>
    </row>
    <row r="581" spans="1:46" x14ac:dyDescent="0.25">
      <c r="A581">
        <f t="shared" si="41"/>
        <v>2007.2499999999616</v>
      </c>
      <c r="B581" s="1">
        <v>39173</v>
      </c>
      <c r="C581" s="7">
        <f t="shared" si="43"/>
        <v>2007</v>
      </c>
      <c r="D581" s="7">
        <f t="shared" si="44"/>
        <v>4</v>
      </c>
      <c r="E581" s="7">
        <f t="shared" si="45"/>
        <v>2</v>
      </c>
      <c r="F581">
        <f xml:space="preserve"> [1]Coibion_update!O587</f>
        <v>4.6493076382990655</v>
      </c>
      <c r="G581">
        <f xml:space="preserve"> [1]Coibion_update!P587</f>
        <v>4.5</v>
      </c>
      <c r="H581">
        <f xml:space="preserve"> [1]Coibion_update!Q587</f>
        <v>5.3274100407513094</v>
      </c>
      <c r="I581">
        <f xml:space="preserve"> [1]Coibion_update!W587</f>
        <v>5.25</v>
      </c>
      <c r="J581">
        <f xml:space="preserve"> [1]Coibion_update!X587</f>
        <v>5.963322241161702</v>
      </c>
      <c r="K581">
        <f xml:space="preserve"> [1]Coibion_update!Y587</f>
        <v>4.7035936961641838</v>
      </c>
      <c r="L581">
        <f xml:space="preserve"> [1]Coibion_update!Z587</f>
        <v>4.6337284878960521</v>
      </c>
      <c r="M581">
        <f xml:space="preserve"> [1]Coibion_update!AA587</f>
        <v>4.605080181937848</v>
      </c>
      <c r="N581">
        <f xml:space="preserve"> [1]Coibion_update!AB587</f>
        <v>0</v>
      </c>
      <c r="O581">
        <f xml:space="preserve"> [1]Coibion_update!AC587</f>
        <v>1.0364972999999977</v>
      </c>
      <c r="Q581">
        <f xml:space="preserve"> [1]Barakchian_Crowe!B460</f>
        <v>0</v>
      </c>
      <c r="R581">
        <f xml:space="preserve"> [1]Barakchian_Crowe!C460</f>
        <v>-1.279725</v>
      </c>
      <c r="S581">
        <f xml:space="preserve"> [1]Gertler_Karadi!C335</f>
        <v>0</v>
      </c>
      <c r="T581">
        <f xml:space="preserve"> [1]Gertler_Karadi!D335</f>
        <v>-9.6837999999999994E-3</v>
      </c>
      <c r="U581">
        <f xml:space="preserve"> [1]Gertler_Karadi!E335</f>
        <v>-6.1290299999999999E-2</v>
      </c>
      <c r="V581">
        <f xml:space="preserve"> [1]Gertler_Karadi!F335</f>
        <v>-7.4193499999999996E-2</v>
      </c>
      <c r="W581">
        <f xml:space="preserve"> [1]Gertler_Karadi!G335</f>
        <v>-7.4193499999999996E-2</v>
      </c>
      <c r="X581" s="5">
        <f xml:space="preserve"> [1]misc!N664</f>
        <v>4.93</v>
      </c>
      <c r="Y581">
        <f xml:space="preserve"> [1]Gilchrist_Zak!C413</f>
        <v>-0.4793</v>
      </c>
      <c r="AA581">
        <f xml:space="preserve"> [1]Coibion_update!AI587</f>
        <v>0</v>
      </c>
      <c r="AB581">
        <f t="shared" si="42"/>
        <v>0.74957010000000002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5.29</v>
      </c>
      <c r="AL581">
        <f xml:space="preserve"> LN([1]misc!B600)</f>
        <v>7.2274446100688978</v>
      </c>
      <c r="AM581">
        <f xml:space="preserve"> LN([1]misc!D600)</f>
        <v>8.8806967670884802</v>
      </c>
      <c r="AN581">
        <f xml:space="preserve"> LN([1]misc!G705)</f>
        <v>2.1411244268674201</v>
      </c>
      <c r="AO581">
        <f xml:space="preserve"> LN([1]misc!J611 + [1]misc!L611)</f>
        <v>3.7435570154046318</v>
      </c>
      <c r="AP581">
        <f xml:space="preserve"> [1]Factors!B581</f>
        <v>-7.6306629900000006E-2</v>
      </c>
      <c r="AQ581">
        <f xml:space="preserve"> [1]Factors!C581</f>
        <v>0.22546263699999999</v>
      </c>
      <c r="AR581">
        <f xml:space="preserve"> [1]Factors!D581</f>
        <v>6.0985223E-3</v>
      </c>
      <c r="AS581">
        <f xml:space="preserve"> [1]Factors!E581</f>
        <v>0.18350655399999999</v>
      </c>
      <c r="AT581">
        <f xml:space="preserve"> [1]Factors!F581</f>
        <v>0.19430298100000001</v>
      </c>
    </row>
    <row r="582" spans="1:46" x14ac:dyDescent="0.25">
      <c r="A582">
        <f t="shared" si="41"/>
        <v>2007.3333333332948</v>
      </c>
      <c r="B582" s="1">
        <v>39203</v>
      </c>
      <c r="C582" s="7">
        <f t="shared" si="43"/>
        <v>2007</v>
      </c>
      <c r="D582" s="7">
        <f t="shared" si="44"/>
        <v>5</v>
      </c>
      <c r="E582" s="7">
        <f t="shared" si="45"/>
        <v>2</v>
      </c>
      <c r="F582">
        <f xml:space="preserve"> [1]Coibion_update!O588</f>
        <v>4.6497993241312958</v>
      </c>
      <c r="G582">
        <f xml:space="preserve"> [1]Coibion_update!P588</f>
        <v>4.4000000000000004</v>
      </c>
      <c r="H582">
        <f xml:space="preserve"> [1]Coibion_update!Q588</f>
        <v>5.3315345174082331</v>
      </c>
      <c r="I582">
        <f xml:space="preserve"> [1]Coibion_update!W588</f>
        <v>5.25</v>
      </c>
      <c r="J582">
        <f xml:space="preserve"> [1]Coibion_update!X588</f>
        <v>5.9834071734802485</v>
      </c>
      <c r="K582">
        <f xml:space="preserve"> [1]Coibion_update!Y588</f>
        <v>4.7214231628123411</v>
      </c>
      <c r="L582">
        <f xml:space="preserve"> [1]Coibion_update!Z588</f>
        <v>4.6333980057779591</v>
      </c>
      <c r="M582">
        <f xml:space="preserve"> [1]Coibion_update!AA588</f>
        <v>4.6036189834953545</v>
      </c>
      <c r="N582">
        <f xml:space="preserve"> [1]Coibion_update!AB588</f>
        <v>-1.25519E-2</v>
      </c>
      <c r="O582">
        <f xml:space="preserve"> [1]Coibion_update!AC588</f>
        <v>1.0239453999999977</v>
      </c>
      <c r="Q582">
        <f xml:space="preserve"> [1]Barakchian_Crowe!B461</f>
        <v>0.28910029999999998</v>
      </c>
      <c r="R582">
        <f xml:space="preserve"> [1]Barakchian_Crowe!C461</f>
        <v>-0.99062490000000003</v>
      </c>
      <c r="S582">
        <f xml:space="preserve"> [1]Gertler_Karadi!C336</f>
        <v>-5.2230000000000002E-3</v>
      </c>
      <c r="T582">
        <f xml:space="preserve"> [1]Gertler_Karadi!D336</f>
        <v>3.7096E-3</v>
      </c>
      <c r="U582">
        <f xml:space="preserve"> [1]Gertler_Karadi!E336</f>
        <v>2.59676E-2</v>
      </c>
      <c r="V582">
        <f xml:space="preserve"> [1]Gertler_Karadi!F336</f>
        <v>4.0806500000000002E-2</v>
      </c>
      <c r="W582">
        <f xml:space="preserve"> [1]Gertler_Karadi!G336</f>
        <v>4.4516300000000002E-2</v>
      </c>
      <c r="X582" s="5">
        <f xml:space="preserve"> [1]misc!N665</f>
        <v>4.91</v>
      </c>
      <c r="Y582">
        <f xml:space="preserve"> [1]Gilchrist_Zak!C414</f>
        <v>-0.73450000000000004</v>
      </c>
      <c r="AA582">
        <f xml:space="preserve"> [1]Coibion_update!AI588</f>
        <v>-3.9509799999999998E-2</v>
      </c>
      <c r="AB582">
        <f t="shared" si="42"/>
        <v>0.71006029999999998</v>
      </c>
      <c r="AC582">
        <v>-3.9509799999999998E-2</v>
      </c>
      <c r="AD582">
        <v>-7.0400000000000003E-3</v>
      </c>
      <c r="AE582">
        <v>-5.0000000000000001E-3</v>
      </c>
      <c r="AF582">
        <v>5.0000000000000001E-3</v>
      </c>
      <c r="AG582">
        <v>3.5000000000000003E-2</v>
      </c>
      <c r="AH582">
        <v>-7.0770000000000002E-4</v>
      </c>
      <c r="AI582">
        <v>4.6154000000000004E-3</v>
      </c>
      <c r="AJ582">
        <v>3.5162800000000001E-2</v>
      </c>
      <c r="AK582">
        <v>5.28</v>
      </c>
      <c r="AL582">
        <f xml:space="preserve"> LN([1]misc!B601)</f>
        <v>7.2297663117575084</v>
      </c>
      <c r="AM582">
        <f xml:space="preserve"> LN([1]misc!D601)</f>
        <v>8.8840006278335242</v>
      </c>
      <c r="AN582">
        <f xml:space="preserve"> LN([1]misc!G706)</f>
        <v>2.2113466125597747</v>
      </c>
      <c r="AO582">
        <f xml:space="preserve"> LN([1]misc!J612 + [1]misc!L612)</f>
        <v>3.7689836983555978</v>
      </c>
      <c r="AP582">
        <f xml:space="preserve"> [1]Factors!B582</f>
        <v>-6.9294341100000004E-2</v>
      </c>
      <c r="AQ582">
        <f xml:space="preserve"> [1]Factors!C582</f>
        <v>9.0110208600000005E-2</v>
      </c>
      <c r="AR582">
        <f xml:space="preserve"> [1]Factors!D582</f>
        <v>7.3057619300000001E-2</v>
      </c>
      <c r="AS582">
        <f xml:space="preserve"> [1]Factors!E582</f>
        <v>6.4538984800000004E-2</v>
      </c>
      <c r="AT582">
        <f xml:space="preserve"> [1]Factors!F582</f>
        <v>9.1913253299999997E-2</v>
      </c>
    </row>
    <row r="583" spans="1:46" x14ac:dyDescent="0.25">
      <c r="A583">
        <f t="shared" si="41"/>
        <v>2007.4166666666281</v>
      </c>
      <c r="B583" s="1">
        <v>39234</v>
      </c>
      <c r="C583" s="7">
        <f t="shared" si="43"/>
        <v>2007</v>
      </c>
      <c r="D583" s="7">
        <f t="shared" si="44"/>
        <v>6</v>
      </c>
      <c r="E583" s="7">
        <f t="shared" si="45"/>
        <v>2</v>
      </c>
      <c r="F583">
        <f xml:space="preserve"> [1]Coibion_update!O589</f>
        <v>4.649689337592581</v>
      </c>
      <c r="G583">
        <f xml:space="preserve"> [1]Coibion_update!P589</f>
        <v>4.5999999999999996</v>
      </c>
      <c r="H583">
        <f xml:space="preserve"> [1]Coibion_update!Q589</f>
        <v>5.3338485895876921</v>
      </c>
      <c r="I583">
        <f xml:space="preserve"> [1]Coibion_update!W589</f>
        <v>5.25</v>
      </c>
      <c r="J583">
        <f xml:space="preserve"> [1]Coibion_update!X589</f>
        <v>6.0040845784640844</v>
      </c>
      <c r="K583">
        <f xml:space="preserve"> [1]Coibion_update!Y589</f>
        <v>4.7097283798718648</v>
      </c>
      <c r="L583">
        <f xml:space="preserve"> [1]Coibion_update!Z589</f>
        <v>4.6327075289811797</v>
      </c>
      <c r="M583">
        <f xml:space="preserve"> [1]Coibion_update!AA589</f>
        <v>4.6051701859880918</v>
      </c>
      <c r="N583">
        <f xml:space="preserve"> [1]Coibion_update!AB589</f>
        <v>-7.20803E-2</v>
      </c>
      <c r="O583">
        <f xml:space="preserve"> [1]Coibion_update!AC589</f>
        <v>0.95186509999999769</v>
      </c>
      <c r="Q583">
        <f xml:space="preserve"> [1]Barakchian_Crowe!B462</f>
        <v>0.346335</v>
      </c>
      <c r="R583">
        <f xml:space="preserve"> [1]Barakchian_Crowe!C462</f>
        <v>-0.64429000000000003</v>
      </c>
      <c r="S583">
        <f xml:space="preserve"> [1]Gertler_Karadi!C337</f>
        <v>-1.8167000000000001E-3</v>
      </c>
      <c r="T583">
        <f xml:space="preserve"> [1]Gertler_Karadi!D337</f>
        <v>1.2903000000000001E-3</v>
      </c>
      <c r="U583">
        <f xml:space="preserve"> [1]Gertler_Karadi!E337</f>
        <v>9.5321999999999994E-3</v>
      </c>
      <c r="V583">
        <f xml:space="preserve"> [1]Gertler_Karadi!F337</f>
        <v>1.56934E-2</v>
      </c>
      <c r="W583">
        <f xml:space="preserve"> [1]Gertler_Karadi!G337</f>
        <v>1.7983900000000001E-2</v>
      </c>
      <c r="X583" s="5">
        <f xml:space="preserve"> [1]misc!N666</f>
        <v>4.96</v>
      </c>
      <c r="Y583">
        <f xml:space="preserve"> [1]Gilchrist_Zak!C415</f>
        <v>-0.49370000000000003</v>
      </c>
      <c r="AA583">
        <f xml:space="preserve"> [1]Coibion_update!AI589</f>
        <v>-0.1098971</v>
      </c>
      <c r="AB583">
        <f t="shared" si="42"/>
        <v>0.60016320000000001</v>
      </c>
      <c r="AC583">
        <v>-0.1098971</v>
      </c>
      <c r="AD583">
        <v>0</v>
      </c>
      <c r="AE583">
        <v>0</v>
      </c>
      <c r="AF583">
        <v>0</v>
      </c>
      <c r="AG583">
        <v>5.0000000000000001E-3</v>
      </c>
      <c r="AH583">
        <v>-1.00903E-2</v>
      </c>
      <c r="AI583">
        <v>-1.32263E-2</v>
      </c>
      <c r="AJ583">
        <v>-8.3868999999999992E-3</v>
      </c>
      <c r="AK583">
        <v>5.31</v>
      </c>
      <c r="AL583">
        <f xml:space="preserve"> LN([1]misc!B602)</f>
        <v>7.2189097076190603</v>
      </c>
      <c r="AM583">
        <f xml:space="preserve"> LN([1]misc!D602)</f>
        <v>8.8885636257535729</v>
      </c>
      <c r="AN583">
        <f xml:space="preserve"> LN([1]misc!G707)</f>
        <v>2.1674524190025495</v>
      </c>
      <c r="AO583">
        <f xml:space="preserve"> LN([1]misc!J613 + [1]misc!L613)</f>
        <v>3.7843487121737356</v>
      </c>
      <c r="AP583">
        <f xml:space="preserve"> [1]Factors!B583</f>
        <v>3.3026288299999999E-3</v>
      </c>
      <c r="AQ583">
        <f xml:space="preserve"> [1]Factors!C583</f>
        <v>0.18266000700000001</v>
      </c>
      <c r="AR583">
        <f xml:space="preserve"> [1]Factors!D583</f>
        <v>2.8987089800000001E-2</v>
      </c>
      <c r="AS583">
        <f xml:space="preserve"> [1]Factors!E583</f>
        <v>7.0622354300000001E-3</v>
      </c>
      <c r="AT583">
        <f xml:space="preserve"> [1]Factors!F583</f>
        <v>0.205075374</v>
      </c>
    </row>
    <row r="584" spans="1:46" x14ac:dyDescent="0.25">
      <c r="A584">
        <f xml:space="preserve"> A583 + 1/12</f>
        <v>2007.4999999999613</v>
      </c>
      <c r="B584" s="1">
        <v>39264</v>
      </c>
      <c r="C584" s="7">
        <f t="shared" si="43"/>
        <v>2007</v>
      </c>
      <c r="D584" s="7">
        <f t="shared" si="44"/>
        <v>7</v>
      </c>
      <c r="E584" s="7">
        <f t="shared" si="45"/>
        <v>3</v>
      </c>
      <c r="F584">
        <f xml:space="preserve"> [1]Coibion_update!O590</f>
        <v>4.6496099484869244</v>
      </c>
      <c r="G584">
        <f xml:space="preserve"> [1]Coibion_update!P590</f>
        <v>4.7</v>
      </c>
      <c r="H584">
        <f xml:space="preserve"> [1]Coibion_update!Q590</f>
        <v>5.3356276020543731</v>
      </c>
      <c r="I584">
        <f xml:space="preserve"> [1]Coibion_update!W590</f>
        <v>5.26</v>
      </c>
      <c r="J584">
        <f xml:space="preserve"> [1]Coibion_update!X590</f>
        <v>6.0178873693390864</v>
      </c>
      <c r="K584">
        <f xml:space="preserve"> [1]Coibion_update!Y590</f>
        <v>4.7101246192056028</v>
      </c>
      <c r="L584">
        <f xml:space="preserve"> [1]Coibion_update!Z590</f>
        <v>4.638363153343855</v>
      </c>
      <c r="M584">
        <f xml:space="preserve"> [1]Coibion_update!AA590</f>
        <v>4.6065891787415056</v>
      </c>
      <c r="N584">
        <f xml:space="preserve"> [1]Coibion_update!AB590</f>
        <v>0</v>
      </c>
      <c r="O584">
        <f xml:space="preserve"> [1]Coibion_update!AC590</f>
        <v>0.95186509999999769</v>
      </c>
      <c r="Q584">
        <f xml:space="preserve"> [1]Barakchian_Crowe!B463</f>
        <v>0</v>
      </c>
      <c r="R584">
        <f xml:space="preserve"> [1]Barakchian_Crowe!C463</f>
        <v>-0.64429000000000003</v>
      </c>
      <c r="S584">
        <f xml:space="preserve"> [1]Gertler_Karadi!C338</f>
        <v>0</v>
      </c>
      <c r="T584">
        <f xml:space="preserve"> [1]Gertler_Karadi!D338</f>
        <v>0</v>
      </c>
      <c r="U584">
        <f xml:space="preserve"> [1]Gertler_Karadi!E338</f>
        <v>4.5002000000000002E-3</v>
      </c>
      <c r="V584">
        <f xml:space="preserve"> [1]Gertler_Karadi!F338</f>
        <v>1.35E-2</v>
      </c>
      <c r="W584">
        <f xml:space="preserve"> [1]Gertler_Karadi!G338</f>
        <v>2.24998E-2</v>
      </c>
      <c r="X584" s="5">
        <f xml:space="preserve"> [1]misc!N667</f>
        <v>4.96</v>
      </c>
      <c r="Y584">
        <f xml:space="preserve"> [1]Gilchrist_Zak!C416</f>
        <v>-7.9600000000000004E-2</v>
      </c>
      <c r="AA584">
        <f xml:space="preserve"> [1]Coibion_update!AI590</f>
        <v>0</v>
      </c>
      <c r="AB584">
        <f t="shared" si="42"/>
        <v>0.60016320000000001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5.28</v>
      </c>
      <c r="AL584">
        <f xml:space="preserve"> LN([1]misc!B603)</f>
        <v>7.2216166632172207</v>
      </c>
      <c r="AM584">
        <f xml:space="preserve"> LN([1]misc!D603)</f>
        <v>8.892501451822648</v>
      </c>
      <c r="AN584">
        <f xml:space="preserve"> LN([1]misc!G708)</f>
        <v>2.115773470927226</v>
      </c>
      <c r="AO584">
        <f xml:space="preserve"> LN([1]misc!J614 + [1]misc!L614)</f>
        <v>3.7449761934658063</v>
      </c>
      <c r="AP584">
        <f xml:space="preserve"> [1]Factors!B584</f>
        <v>2.4075676899999999E-2</v>
      </c>
      <c r="AQ584">
        <f xml:space="preserve"> [1]Factors!C584</f>
        <v>1.46884454E-2</v>
      </c>
      <c r="AR584">
        <f xml:space="preserve"> [1]Factors!D584</f>
        <v>6.5410567599999997E-2</v>
      </c>
      <c r="AS584">
        <f xml:space="preserve"> [1]Factors!E584</f>
        <v>-0.179602502</v>
      </c>
      <c r="AT584">
        <f xml:space="preserve"> [1]Factors!F584</f>
        <v>8.4231981999999997E-2</v>
      </c>
    </row>
    <row r="585" spans="1:46" x14ac:dyDescent="0.25">
      <c r="A585">
        <f t="shared" ref="A585:A588" si="46" xml:space="preserve"> A584 + 1/12</f>
        <v>2007.5833333332946</v>
      </c>
      <c r="B585" s="1">
        <v>39295</v>
      </c>
      <c r="C585" s="7">
        <f t="shared" si="43"/>
        <v>2007</v>
      </c>
      <c r="D585" s="7">
        <f t="shared" si="44"/>
        <v>8</v>
      </c>
      <c r="E585" s="7">
        <f t="shared" si="45"/>
        <v>3</v>
      </c>
      <c r="F585">
        <f xml:space="preserve"> [1]Coibion_update!O591</f>
        <v>4.6513025355811228</v>
      </c>
      <c r="G585">
        <f xml:space="preserve"> [1]Coibion_update!P591</f>
        <v>4.5999999999999996</v>
      </c>
      <c r="H585">
        <f xml:space="preserve"> [1]Coibion_update!Q591</f>
        <v>5.3359358352544914</v>
      </c>
      <c r="I585">
        <f xml:space="preserve"> [1]Coibion_update!W591</f>
        <v>5.0199999999999996</v>
      </c>
      <c r="J585">
        <f xml:space="preserve"> [1]Coibion_update!X591</f>
        <v>6.006279265245996</v>
      </c>
      <c r="K585">
        <f xml:space="preserve"> [1]Coibion_update!Y591</f>
        <v>4.722899886888869</v>
      </c>
      <c r="L585">
        <f xml:space="preserve"> [1]Coibion_update!Z591</f>
        <v>4.6322793884667091</v>
      </c>
      <c r="M585">
        <f xml:space="preserve"> [1]Coibion_update!AA591</f>
        <v>4.6114007357387274</v>
      </c>
      <c r="N585">
        <f xml:space="preserve"> [1]Coibion_update!AB591</f>
        <v>2.4510400000000002E-2</v>
      </c>
      <c r="O585">
        <f xml:space="preserve"> [1]Coibion_update!AC591</f>
        <v>0.97637549999999773</v>
      </c>
      <c r="Q585">
        <f xml:space="preserve"> [1]Barakchian_Crowe!B464</f>
        <v>1.341016</v>
      </c>
      <c r="R585">
        <f xml:space="preserve"> [1]Barakchian_Crowe!C464</f>
        <v>0.69672619999999996</v>
      </c>
      <c r="S585">
        <f xml:space="preserve"> [1]Gertler_Karadi!C339</f>
        <v>5.2097000000000003E-3</v>
      </c>
      <c r="T585">
        <f xml:space="preserve"> [1]Gertler_Karadi!D339</f>
        <v>0</v>
      </c>
      <c r="U585">
        <f xml:space="preserve"> [1]Gertler_Karadi!E339</f>
        <v>-1.2096900000000001E-2</v>
      </c>
      <c r="V585">
        <f xml:space="preserve"> [1]Gertler_Karadi!F339</f>
        <v>-3.2258000000000002E-2</v>
      </c>
      <c r="W585">
        <f xml:space="preserve"> [1]Gertler_Karadi!G339</f>
        <v>-4.0322499999999997E-2</v>
      </c>
      <c r="X585" s="5">
        <f xml:space="preserve"> [1]misc!N668</f>
        <v>4.47</v>
      </c>
      <c r="Y585">
        <f xml:space="preserve"> [1]Gilchrist_Zak!C417</f>
        <v>8.72E-2</v>
      </c>
      <c r="AA585">
        <f xml:space="preserve"> [1]Coibion_update!AI591</f>
        <v>0.1068538</v>
      </c>
      <c r="AB585">
        <f t="shared" si="42"/>
        <v>0.70701700000000001</v>
      </c>
      <c r="AC585">
        <v>0.1068538</v>
      </c>
      <c r="AD585">
        <v>6.4599999999999996E-3</v>
      </c>
      <c r="AE585">
        <v>5.0000000000000001E-3</v>
      </c>
      <c r="AF585">
        <v>0</v>
      </c>
      <c r="AG585">
        <v>-1.4999999999999999E-2</v>
      </c>
      <c r="AH585">
        <v>2.5077599999999999E-2</v>
      </c>
      <c r="AI585">
        <v>2.8892500000000002E-2</v>
      </c>
      <c r="AJ585">
        <v>7.6280000000000002E-3</v>
      </c>
      <c r="AK585">
        <v>4.96</v>
      </c>
      <c r="AL585">
        <f xml:space="preserve"> LN([1]misc!B604)</f>
        <v>7.2250446961865764</v>
      </c>
      <c r="AM585">
        <f xml:space="preserve"> LN([1]misc!D604)</f>
        <v>8.901529993904882</v>
      </c>
      <c r="AN585">
        <f xml:space="preserve"> LN([1]misc!G709)</f>
        <v>2.3898631011011062</v>
      </c>
      <c r="AO585">
        <f xml:space="preserve"> LN([1]misc!J615 + [1]misc!L615)</f>
        <v>3.7983390570226807</v>
      </c>
      <c r="AP585">
        <f xml:space="preserve"> [1]Factors!B585</f>
        <v>0.118096402</v>
      </c>
      <c r="AQ585">
        <f xml:space="preserve"> [1]Factors!C585</f>
        <v>1.04485663E-2</v>
      </c>
      <c r="AR585">
        <f xml:space="preserve"> [1]Factors!D585</f>
        <v>-2.25976523E-2</v>
      </c>
      <c r="AS585">
        <f xml:space="preserve"> [1]Factors!E585</f>
        <v>6.9267133199999997E-3</v>
      </c>
      <c r="AT585">
        <f xml:space="preserve"> [1]Factors!F585</f>
        <v>0.146206894</v>
      </c>
    </row>
    <row r="586" spans="1:46" x14ac:dyDescent="0.25">
      <c r="A586">
        <f t="shared" si="46"/>
        <v>2007.6666666666279</v>
      </c>
      <c r="B586" s="1">
        <v>39326</v>
      </c>
      <c r="C586" s="7">
        <f t="shared" si="43"/>
        <v>2007</v>
      </c>
      <c r="D586" s="7">
        <f t="shared" si="44"/>
        <v>9</v>
      </c>
      <c r="E586" s="7">
        <f t="shared" si="45"/>
        <v>3</v>
      </c>
      <c r="F586">
        <f xml:space="preserve"> [1]Coibion_update!O592</f>
        <v>4.6548513816424686</v>
      </c>
      <c r="G586">
        <f xml:space="preserve"> [1]Coibion_update!P592</f>
        <v>4.7</v>
      </c>
      <c r="H586">
        <f xml:space="preserve"> [1]Coibion_update!Q592</f>
        <v>5.34016443549993</v>
      </c>
      <c r="I586">
        <f xml:space="preserve"> [1]Coibion_update!W592</f>
        <v>4.9400000000000004</v>
      </c>
      <c r="J586">
        <f xml:space="preserve"> [1]Coibion_update!X592</f>
        <v>6.0184958861590125</v>
      </c>
      <c r="K586">
        <f xml:space="preserve"> [1]Coibion_update!Y592</f>
        <v>4.7348115221444891</v>
      </c>
      <c r="L586">
        <f xml:space="preserve"> [1]Coibion_update!Z592</f>
        <v>4.6332716160989662</v>
      </c>
      <c r="M586">
        <f xml:space="preserve"> [1]Coibion_update!AA592</f>
        <v>4.6087238641873887</v>
      </c>
      <c r="N586">
        <f xml:space="preserve"> [1]Coibion_update!AB592</f>
        <v>-0.59515879999999999</v>
      </c>
      <c r="O586">
        <f xml:space="preserve"> [1]Coibion_update!AC592</f>
        <v>0.38121669999999774</v>
      </c>
      <c r="Q586">
        <f xml:space="preserve"> [1]Barakchian_Crowe!B465</f>
        <v>-2.931006</v>
      </c>
      <c r="R586">
        <f xml:space="preserve"> [1]Barakchian_Crowe!C465</f>
        <v>-2.23428</v>
      </c>
      <c r="S586">
        <f xml:space="preserve"> [1]Gertler_Karadi!C340</f>
        <v>-8.5416300000000001E-2</v>
      </c>
      <c r="T586">
        <f xml:space="preserve"> [1]Gertler_Karadi!D340</f>
        <v>-7.3666800000000005E-2</v>
      </c>
      <c r="U586">
        <f xml:space="preserve"> [1]Gertler_Karadi!E340</f>
        <v>-8.3069799999999999E-2</v>
      </c>
      <c r="V586">
        <f xml:space="preserve"> [1]Gertler_Karadi!F340</f>
        <v>-8.1408700000000001E-2</v>
      </c>
      <c r="W586">
        <f xml:space="preserve"> [1]Gertler_Karadi!G340</f>
        <v>-7.6843999999999996E-2</v>
      </c>
      <c r="X586" s="5">
        <f xml:space="preserve"> [1]misc!N669</f>
        <v>4.1399999999999997</v>
      </c>
      <c r="Y586">
        <f xml:space="preserve"> [1]Gilchrist_Zak!C418</f>
        <v>3.2000000000000002E-3</v>
      </c>
      <c r="AA586">
        <f xml:space="preserve"> [1]Coibion_update!AI592</f>
        <v>-0.48466300000000001</v>
      </c>
      <c r="AB586">
        <f t="shared" si="42"/>
        <v>0.222354</v>
      </c>
      <c r="AC586">
        <v>-0.48466300000000001</v>
      </c>
      <c r="AD586">
        <v>-0.2</v>
      </c>
      <c r="AE586">
        <v>-0.08</v>
      </c>
      <c r="AF586">
        <v>-0.17</v>
      </c>
      <c r="AG586">
        <v>-0.185</v>
      </c>
      <c r="AH586">
        <v>-7.3133599999999993E-2</v>
      </c>
      <c r="AI586">
        <v>-0.14813689999999999</v>
      </c>
      <c r="AJ586">
        <v>-0.16917360000000001</v>
      </c>
      <c r="AK586">
        <v>4.58</v>
      </c>
      <c r="AL586">
        <f xml:space="preserve"> LN([1]misc!B605)</f>
        <v>7.224971881536236</v>
      </c>
      <c r="AM586">
        <f xml:space="preserve"> LN([1]misc!D605)</f>
        <v>8.905010149674025</v>
      </c>
      <c r="AN586">
        <f xml:space="preserve"> LN([1]misc!G710)</f>
        <v>2.1665362485307695</v>
      </c>
      <c r="AO586">
        <f xml:space="preserve"> LN([1]misc!J616 + [1]misc!L616)</f>
        <v>3.7321065540480358</v>
      </c>
      <c r="AP586">
        <f xml:space="preserve"> [1]Factors!B586</f>
        <v>0.37127349999999998</v>
      </c>
      <c r="AQ586">
        <f xml:space="preserve"> [1]Factors!C586</f>
        <v>-0.24988096200000001</v>
      </c>
      <c r="AR586">
        <f xml:space="preserve"> [1]Factors!D586</f>
        <v>-0.28129612399999998</v>
      </c>
      <c r="AS586">
        <f xml:space="preserve"> [1]Factors!E586</f>
        <v>-0.14670544799999999</v>
      </c>
      <c r="AT586">
        <f xml:space="preserve"> [1]Factors!F586</f>
        <v>2.0436343400000001E-2</v>
      </c>
    </row>
    <row r="587" spans="1:46" x14ac:dyDescent="0.25">
      <c r="A587">
        <f t="shared" si="46"/>
        <v>2007.7499999999611</v>
      </c>
      <c r="B587" s="1">
        <v>39356</v>
      </c>
      <c r="C587" s="7">
        <f t="shared" si="43"/>
        <v>2007</v>
      </c>
      <c r="D587" s="7">
        <f t="shared" si="44"/>
        <v>10</v>
      </c>
      <c r="E587" s="7">
        <f t="shared" si="45"/>
        <v>4</v>
      </c>
      <c r="F587">
        <f xml:space="preserve"> [1]Coibion_update!O593</f>
        <v>4.6495410757235884</v>
      </c>
      <c r="G587">
        <f xml:space="preserve"> [1]Coibion_update!P593</f>
        <v>4.7</v>
      </c>
      <c r="H587">
        <f xml:space="preserve"> [1]Coibion_update!Q593</f>
        <v>5.3432429299010291</v>
      </c>
      <c r="I587">
        <f xml:space="preserve"> [1]Coibion_update!W593</f>
        <v>4.76</v>
      </c>
      <c r="J587">
        <f xml:space="preserve"> [1]Coibion_update!X593</f>
        <v>6.0261316390162838</v>
      </c>
      <c r="K587">
        <f xml:space="preserve"> [1]Coibion_update!Y593</f>
        <v>4.7326306879907811</v>
      </c>
      <c r="L587">
        <f xml:space="preserve"> [1]Coibion_update!Z593</f>
        <v>4.6303309816465914</v>
      </c>
      <c r="M587">
        <f xml:space="preserve"> [1]Coibion_update!AA593</f>
        <v>4.6082952977355891</v>
      </c>
      <c r="N587">
        <f xml:space="preserve"> [1]Coibion_update!AB593</f>
        <v>-0.32200030000000002</v>
      </c>
      <c r="O587">
        <f xml:space="preserve"> [1]Coibion_update!AC593</f>
        <v>5.9216399999997726E-2</v>
      </c>
      <c r="Q587">
        <f xml:space="preserve"> [1]Barakchian_Crowe!B466</f>
        <v>1.1777150000000001</v>
      </c>
      <c r="R587">
        <f xml:space="preserve"> [1]Barakchian_Crowe!C466</f>
        <v>-1.056565</v>
      </c>
      <c r="S587">
        <f xml:space="preserve"> [1]Gertler_Karadi!C341</f>
        <v>-0.11413959999999999</v>
      </c>
      <c r="T587">
        <f xml:space="preserve"> [1]Gertler_Karadi!D341</f>
        <v>-9.5365500000000006E-2</v>
      </c>
      <c r="U587">
        <f xml:space="preserve"> [1]Gertler_Karadi!E341</f>
        <v>-0.10257529999999999</v>
      </c>
      <c r="V587">
        <f xml:space="preserve"> [1]Gertler_Karadi!F341</f>
        <v>-9.3429999999999999E-2</v>
      </c>
      <c r="W587">
        <f xml:space="preserve"> [1]Gertler_Karadi!G341</f>
        <v>-8.4607600000000005E-2</v>
      </c>
      <c r="X587" s="5">
        <f xml:space="preserve"> [1]misc!N670</f>
        <v>4.0999999999999996</v>
      </c>
      <c r="Y587">
        <f xml:space="preserve"> [1]Gilchrist_Zak!C419</f>
        <v>-7.6499999999999999E-2</v>
      </c>
      <c r="AA587">
        <f xml:space="preserve"> [1]Coibion_update!AI593</f>
        <v>-0.26173960000000002</v>
      </c>
      <c r="AB587">
        <f t="shared" si="42"/>
        <v>-3.9385600000000021E-2</v>
      </c>
      <c r="AC587">
        <v>-0.26173960000000002</v>
      </c>
      <c r="AD587">
        <v>-2.4989999999999998E-2</v>
      </c>
      <c r="AE587">
        <v>-5.0000000000000001E-3</v>
      </c>
      <c r="AF587">
        <v>0.03</v>
      </c>
      <c r="AG587">
        <v>7.0000000000000007E-2</v>
      </c>
      <c r="AH587">
        <v>3.8739999999999998E-4</v>
      </c>
      <c r="AI587">
        <v>3.4177199999999998E-2</v>
      </c>
      <c r="AJ587">
        <v>8.6246500000000004E-2</v>
      </c>
      <c r="AK587">
        <v>4.5999999999999996</v>
      </c>
      <c r="AL587">
        <f xml:space="preserve"> LN([1]misc!B606)</f>
        <v>7.2282433031590951</v>
      </c>
      <c r="AM587">
        <f xml:space="preserve"> LN([1]misc!D606)</f>
        <v>8.9068676136180773</v>
      </c>
      <c r="AN587">
        <f xml:space="preserve"> LN([1]misc!G711)</f>
        <v>2.1132389212631266</v>
      </c>
      <c r="AO587">
        <f xml:space="preserve"> LN([1]misc!J617 + [1]misc!L617)</f>
        <v>3.7555563123782165</v>
      </c>
      <c r="AP587">
        <f xml:space="preserve"> [1]Factors!B587</f>
        <v>7.2245051300000002E-2</v>
      </c>
      <c r="AQ587">
        <f xml:space="preserve"> [1]Factors!C587</f>
        <v>0.19878900799999999</v>
      </c>
      <c r="AR587">
        <f xml:space="preserve"> [1]Factors!D587</f>
        <v>2.5603199900000002E-2</v>
      </c>
      <c r="AS587">
        <f xml:space="preserve"> [1]Factors!E587</f>
        <v>0.195038563</v>
      </c>
      <c r="AT587">
        <f xml:space="preserve"> [1]Factors!F587</f>
        <v>7.2774223700000001E-2</v>
      </c>
    </row>
    <row r="588" spans="1:46" x14ac:dyDescent="0.25">
      <c r="A588">
        <f t="shared" si="46"/>
        <v>2007.8333333332944</v>
      </c>
      <c r="B588" s="1">
        <v>39387</v>
      </c>
      <c r="C588" s="7">
        <f t="shared" si="43"/>
        <v>2007</v>
      </c>
      <c r="D588" s="7">
        <f t="shared" si="44"/>
        <v>11</v>
      </c>
      <c r="E588" s="7">
        <f t="shared" si="45"/>
        <v>4</v>
      </c>
      <c r="F588">
        <f xml:space="preserve"> [1]Coibion_update!O594</f>
        <v>4.6554649319921051</v>
      </c>
      <c r="G588">
        <f xml:space="preserve"> [1]Coibion_update!P594</f>
        <v>4.7</v>
      </c>
      <c r="H588">
        <f xml:space="preserve"> [1]Coibion_update!Q594</f>
        <v>5.3510710939839026</v>
      </c>
      <c r="I588">
        <f xml:space="preserve"> [1]Coibion_update!W594</f>
        <v>4.49</v>
      </c>
      <c r="J588">
        <f xml:space="preserve"> [1]Coibion_update!X594</f>
        <v>6.0229389890677263</v>
      </c>
      <c r="K588">
        <f xml:space="preserve"> [1]Coibion_update!Y594</f>
        <v>4.7282989079692266</v>
      </c>
      <c r="L588">
        <f xml:space="preserve"> [1]Coibion_update!Z594</f>
        <v>4.6348454862978414</v>
      </c>
      <c r="M588">
        <f xml:space="preserve"> [1]Coibion_update!AA594</f>
        <v>4.6114802356841134</v>
      </c>
      <c r="N588">
        <f xml:space="preserve"> [1]Coibion_update!AB594</f>
        <v>0</v>
      </c>
      <c r="O588">
        <f xml:space="preserve"> [1]Coibion_update!AC594</f>
        <v>5.9216399999997726E-2</v>
      </c>
      <c r="Q588">
        <f xml:space="preserve"> [1]Barakchian_Crowe!B467</f>
        <v>0</v>
      </c>
      <c r="R588">
        <f xml:space="preserve"> [1]Barakchian_Crowe!C467</f>
        <v>-1.056565</v>
      </c>
      <c r="S588">
        <f xml:space="preserve"> [1]Gertler_Karadi!C342</f>
        <v>-2.4184000000000001E-2</v>
      </c>
      <c r="T588">
        <f xml:space="preserve"> [1]Gertler_Karadi!D342</f>
        <v>2.9032200000000001E-2</v>
      </c>
      <c r="U588">
        <f xml:space="preserve"> [1]Gertler_Karadi!E342</f>
        <v>6.7741899999999994E-2</v>
      </c>
      <c r="V588">
        <f xml:space="preserve"> [1]Gertler_Karadi!F342</f>
        <v>8.7096900000000005E-2</v>
      </c>
      <c r="W588">
        <f xml:space="preserve"> [1]Gertler_Karadi!G342</f>
        <v>9.6774100000000002E-2</v>
      </c>
      <c r="X588" s="5">
        <f xml:space="preserve"> [1]misc!N671</f>
        <v>3.5</v>
      </c>
      <c r="Y588">
        <f xml:space="preserve"> [1]Gilchrist_Zak!C420</f>
        <v>0.22239999999999999</v>
      </c>
      <c r="AA588">
        <f xml:space="preserve"> [1]Coibion_update!AI594</f>
        <v>0</v>
      </c>
      <c r="AB588">
        <f t="shared" si="42"/>
        <v>-3.9385600000000021E-2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4.66</v>
      </c>
      <c r="AL588">
        <f xml:space="preserve"> LN([1]misc!B607)</f>
        <v>7.2256270225969752</v>
      </c>
      <c r="AM588">
        <f xml:space="preserve"> LN([1]misc!D607)</f>
        <v>8.9113007122836159</v>
      </c>
      <c r="AN588">
        <f xml:space="preserve"> LN([1]misc!G712)</f>
        <v>2.1397131600214041</v>
      </c>
      <c r="AO588">
        <f xml:space="preserve"> LN([1]misc!J618 + [1]misc!L618)</f>
        <v>3.7572387916272794</v>
      </c>
      <c r="AP588">
        <f xml:space="preserve"> [1]Factors!B588</f>
        <v>0.23701241300000001</v>
      </c>
      <c r="AQ588">
        <f xml:space="preserve"> [1]Factors!C588</f>
        <v>0.26150269599999998</v>
      </c>
      <c r="AR588">
        <f xml:space="preserve"> [1]Factors!D588</f>
        <v>1.51760201E-2</v>
      </c>
      <c r="AS588">
        <f xml:space="preserve"> [1]Factors!E588</f>
        <v>5.62059024E-2</v>
      </c>
      <c r="AT588">
        <f xml:space="preserve"> [1]Factors!F588</f>
        <v>0.34447716</v>
      </c>
    </row>
    <row r="589" spans="1:46" x14ac:dyDescent="0.25">
      <c r="A589">
        <f xml:space="preserve"> A588 + 1/12</f>
        <v>2007.9166666666276</v>
      </c>
      <c r="B589" s="1">
        <v>39417</v>
      </c>
      <c r="C589" s="7">
        <f t="shared" si="43"/>
        <v>2007</v>
      </c>
      <c r="D589" s="7">
        <f t="shared" si="44"/>
        <v>12</v>
      </c>
      <c r="E589" s="7">
        <f t="shared" si="45"/>
        <v>4</v>
      </c>
      <c r="F589">
        <f xml:space="preserve"> [1]Coibion_update!O595</f>
        <v>4.655218605840771</v>
      </c>
      <c r="G589">
        <f xml:space="preserve"> [1]Coibion_update!P595</f>
        <v>5</v>
      </c>
      <c r="H589">
        <f xml:space="preserve"> [1]Coibion_update!Q595</f>
        <v>5.3539649173868513</v>
      </c>
      <c r="I589">
        <f xml:space="preserve"> [1]Coibion_update!W595</f>
        <v>4.24</v>
      </c>
      <c r="J589">
        <f xml:space="preserve"> [1]Coibion_update!X595</f>
        <v>6.0255760767367494</v>
      </c>
      <c r="K589">
        <f xml:space="preserve"> [1]Coibion_update!Y595</f>
        <v>4.7188738010001678</v>
      </c>
      <c r="L589">
        <f xml:space="preserve"> [1]Coibion_update!Z595</f>
        <v>4.636368420325172</v>
      </c>
      <c r="M589">
        <f xml:space="preserve"> [1]Coibion_update!AA595</f>
        <v>4.6115100465342707</v>
      </c>
      <c r="N589">
        <f xml:space="preserve"> [1]Coibion_update!AB595</f>
        <v>-5.9216199999999997E-2</v>
      </c>
      <c r="O589">
        <f xml:space="preserve"> [1]Coibion_update!AC595</f>
        <v>1.9999999772979393E-7</v>
      </c>
      <c r="Q589">
        <f xml:space="preserve"> [1]Barakchian_Crowe!B468</f>
        <v>-1.14091E-2</v>
      </c>
      <c r="R589">
        <f xml:space="preserve"> [1]Barakchian_Crowe!C468</f>
        <v>-1.067974</v>
      </c>
      <c r="S589">
        <f xml:space="preserve"> [1]Gertler_Karadi!C343</f>
        <v>2.1006799999999999E-2</v>
      </c>
      <c r="T589">
        <f xml:space="preserve"> [1]Gertler_Karadi!D343</f>
        <v>2.0322799999999999E-2</v>
      </c>
      <c r="U589">
        <f xml:space="preserve"> [1]Gertler_Karadi!E343</f>
        <v>8.4677500000000003E-2</v>
      </c>
      <c r="V589">
        <f xml:space="preserve"> [1]Gertler_Karadi!F343</f>
        <v>1.01612E-2</v>
      </c>
      <c r="W589">
        <f xml:space="preserve"> [1]Gertler_Karadi!G343</f>
        <v>-4.0645100000000003E-2</v>
      </c>
      <c r="X589" s="5">
        <f xml:space="preserve"> [1]misc!N672</f>
        <v>3.26</v>
      </c>
      <c r="Y589">
        <f xml:space="preserve"> [1]Gilchrist_Zak!C421</f>
        <v>0.39400000000000002</v>
      </c>
      <c r="AA589">
        <f xml:space="preserve"> [1]Coibion_update!AI595</f>
        <v>3.9384799999999998E-2</v>
      </c>
      <c r="AB589">
        <f t="shared" si="42"/>
        <v>-8.0000000002300453E-7</v>
      </c>
      <c r="AC589">
        <v>3.9384799999999998E-2</v>
      </c>
      <c r="AD589">
        <v>3.1009999999999999E-2</v>
      </c>
      <c r="AE589">
        <v>0.02</v>
      </c>
      <c r="AF589">
        <v>0.03</v>
      </c>
      <c r="AG589">
        <v>0.125</v>
      </c>
      <c r="AH589">
        <v>7.3968900000000004E-2</v>
      </c>
      <c r="AI589">
        <v>9.7631200000000001E-2</v>
      </c>
      <c r="AJ589">
        <v>0.16000510000000001</v>
      </c>
      <c r="AK589">
        <v>3.06</v>
      </c>
      <c r="AL589">
        <f xml:space="preserve"> LN([1]misc!B608)</f>
        <v>7.2273719699642633</v>
      </c>
      <c r="AM589">
        <f xml:space="preserve"> LN([1]misc!D608)</f>
        <v>8.9158082245743202</v>
      </c>
      <c r="AN589">
        <f xml:space="preserve"> LN([1]misc!G713)</f>
        <v>2.0916171176099696</v>
      </c>
      <c r="AO589">
        <f xml:space="preserve"> LN([1]misc!J619 + [1]misc!L619)</f>
        <v>3.3215046127529071</v>
      </c>
      <c r="AP589">
        <f xml:space="preserve"> [1]Factors!B589</f>
        <v>-5.2093436799999997E-2</v>
      </c>
      <c r="AQ589">
        <f xml:space="preserve"> [1]Factors!C589</f>
        <v>0.50367839800000003</v>
      </c>
      <c r="AR589">
        <f xml:space="preserve"> [1]Factors!D589</f>
        <v>2.64409348E-2</v>
      </c>
      <c r="AS589">
        <f xml:space="preserve"> [1]Factors!E589</f>
        <v>0.47704155100000001</v>
      </c>
      <c r="AT589">
        <f xml:space="preserve"> [1]Factors!F589</f>
        <v>0.127867122</v>
      </c>
    </row>
    <row r="590" spans="1:46" x14ac:dyDescent="0.25">
      <c r="A590">
        <f t="shared" ref="A590:A653" si="47" xml:space="preserve"> A589 + 1/12</f>
        <v>2007.9999999999609</v>
      </c>
      <c r="B590" s="1">
        <v>39448</v>
      </c>
      <c r="C590" s="7">
        <f t="shared" si="43"/>
        <v>2008</v>
      </c>
      <c r="D590" s="7">
        <f t="shared" si="44"/>
        <v>1</v>
      </c>
      <c r="E590" s="7">
        <f t="shared" si="45"/>
        <v>1</v>
      </c>
      <c r="F590">
        <f xml:space="preserve"> [1]Coibion_update!O596</f>
        <v>4.6526213588705732</v>
      </c>
      <c r="G590">
        <f xml:space="preserve"> [1]Coibion_update!P596</f>
        <v>5</v>
      </c>
      <c r="H590">
        <f xml:space="preserve"> [1]Coibion_update!Q596</f>
        <v>5.3574066927540249</v>
      </c>
      <c r="I590">
        <f xml:space="preserve"> [1]Coibion_update!W596</f>
        <v>3.94</v>
      </c>
      <c r="J590">
        <f xml:space="preserve"> [1]Coibion_update!X596</f>
        <v>6.0385866541767168</v>
      </c>
      <c r="K590">
        <f xml:space="preserve"> [1]Coibion_update!Y596</f>
        <v>4.7086469284588093</v>
      </c>
      <c r="L590">
        <f xml:space="preserve"> [1]Coibion_update!Z596</f>
        <v>4.631101056011441</v>
      </c>
      <c r="M590">
        <f xml:space="preserve"> [1]Coibion_update!AA596</f>
        <v>4.6136243486346489</v>
      </c>
      <c r="Q590">
        <f xml:space="preserve"> [1]Barakchian_Crowe!B469</f>
        <v>-1.511857</v>
      </c>
      <c r="R590">
        <f xml:space="preserve"> [1]Barakchian_Crowe!C469</f>
        <v>-2.579831</v>
      </c>
      <c r="S590">
        <f xml:space="preserve"> [1]Gertler_Karadi!C344</f>
        <v>-0.1474192</v>
      </c>
      <c r="T590">
        <f xml:space="preserve"> [1]Gertler_Karadi!D344</f>
        <v>-3.9032200000000003E-2</v>
      </c>
      <c r="U590">
        <f xml:space="preserve"> [1]Gertler_Karadi!E344</f>
        <v>6.4519999999999996E-4</v>
      </c>
      <c r="V590">
        <f xml:space="preserve"> [1]Gertler_Karadi!F344</f>
        <v>-1.7419299999999999E-2</v>
      </c>
      <c r="W590">
        <f xml:space="preserve"> [1]Gertler_Karadi!G344</f>
        <v>-2.9032200000000001E-2</v>
      </c>
      <c r="X590" s="5">
        <f xml:space="preserve"> [1]misc!N673</f>
        <v>2.71</v>
      </c>
      <c r="Y590">
        <f xml:space="preserve"> [1]Gilchrist_Zak!C422</f>
        <v>0.68620000000000003</v>
      </c>
      <c r="AK590">
        <v>3.22</v>
      </c>
      <c r="AL590">
        <f xml:space="preserve"> LN([1]misc!B609)</f>
        <v>7.2294039009971911</v>
      </c>
      <c r="AM590">
        <f xml:space="preserve"> LN([1]misc!D609)</f>
        <v>8.9196002952584799</v>
      </c>
      <c r="AN590">
        <f xml:space="preserve"> LN([1]misc!G714)</f>
        <v>2.1592919231675691</v>
      </c>
      <c r="AP590">
        <f xml:space="preserve"> [1]Factors!B590</f>
        <v>0.24129382799999999</v>
      </c>
      <c r="AQ590">
        <f xml:space="preserve"> [1]Factors!C590</f>
        <v>4.8275023299999997E-2</v>
      </c>
      <c r="AR590">
        <f xml:space="preserve"> [1]Factors!D590</f>
        <v>-5.84858163E-2</v>
      </c>
      <c r="AS590">
        <f xml:space="preserve"> [1]Factors!E590</f>
        <v>-0.16442094300000001</v>
      </c>
      <c r="AT590">
        <f xml:space="preserve"> [1]Factors!F590</f>
        <v>-3.1112400700000001E-2</v>
      </c>
    </row>
    <row r="591" spans="1:46" x14ac:dyDescent="0.25">
      <c r="A591">
        <f t="shared" si="47"/>
        <v>2008.0833333332941</v>
      </c>
      <c r="B591" s="1">
        <v>39479</v>
      </c>
      <c r="C591" s="7">
        <f t="shared" si="43"/>
        <v>2008</v>
      </c>
      <c r="D591" s="7">
        <f t="shared" si="44"/>
        <v>2</v>
      </c>
      <c r="E591" s="7">
        <f t="shared" si="45"/>
        <v>1</v>
      </c>
      <c r="F591">
        <f xml:space="preserve"> [1]Coibion_update!O597</f>
        <v>4.6500728034303309</v>
      </c>
      <c r="G591">
        <f xml:space="preserve"> [1]Coibion_update!P597</f>
        <v>4.9000000000000004</v>
      </c>
      <c r="H591">
        <f xml:space="preserve"> [1]Coibion_update!Q597</f>
        <v>5.359821601391479</v>
      </c>
      <c r="I591">
        <f xml:space="preserve"> [1]Coibion_update!W597</f>
        <v>2.98</v>
      </c>
      <c r="J591">
        <f xml:space="preserve"> [1]Coibion_update!X597</f>
        <v>6.0969950483174458</v>
      </c>
      <c r="K591">
        <f xml:space="preserve"> [1]Coibion_update!Y597</f>
        <v>4.6929246201756643</v>
      </c>
      <c r="L591">
        <f xml:space="preserve"> [1]Coibion_update!Z597</f>
        <v>4.6199011505880856</v>
      </c>
      <c r="M591">
        <f xml:space="preserve"> [1]Coibion_update!AA597</f>
        <v>4.6158034519048448</v>
      </c>
      <c r="Q591">
        <f xml:space="preserve"> [1]Barakchian_Crowe!B470</f>
        <v>0</v>
      </c>
      <c r="R591">
        <f xml:space="preserve"> [1]Barakchian_Crowe!C470</f>
        <v>-2.579831</v>
      </c>
      <c r="S591">
        <f xml:space="preserve"> [1]Gertler_Karadi!C345</f>
        <v>-0.4225874</v>
      </c>
      <c r="T591">
        <f xml:space="preserve"> [1]Gertler_Karadi!D345</f>
        <v>-0.20629049999999999</v>
      </c>
      <c r="U591">
        <f xml:space="preserve"> [1]Gertler_Karadi!E345</f>
        <v>-0.17532249999999999</v>
      </c>
      <c r="V591">
        <f xml:space="preserve"> [1]Gertler_Karadi!F345</f>
        <v>-0.1227419</v>
      </c>
      <c r="W591">
        <f xml:space="preserve"> [1]Gertler_Karadi!G345</f>
        <v>-8.0322500000000005E-2</v>
      </c>
      <c r="X591" s="5">
        <f xml:space="preserve"> [1]misc!N674</f>
        <v>2.0499999999999998</v>
      </c>
      <c r="Y591">
        <f xml:space="preserve"> [1]Gilchrist_Zak!C423</f>
        <v>0.85809999999999997</v>
      </c>
      <c r="AK591">
        <v>3.01</v>
      </c>
      <c r="AL591">
        <f xml:space="preserve"> LN([1]misc!B610)</f>
        <v>7.2317210635111646</v>
      </c>
      <c r="AM591">
        <f xml:space="preserve"> LN([1]misc!D610)</f>
        <v>8.9313801533362707</v>
      </c>
      <c r="AN591">
        <f xml:space="preserve"> LN([1]misc!G715)</f>
        <v>2.1215427176984711</v>
      </c>
    </row>
    <row r="592" spans="1:46" x14ac:dyDescent="0.25">
      <c r="A592">
        <f t="shared" si="47"/>
        <v>2008.1666666666274</v>
      </c>
      <c r="B592" s="1">
        <v>39508</v>
      </c>
      <c r="C592" s="7">
        <f t="shared" si="43"/>
        <v>2008</v>
      </c>
      <c r="D592" s="7">
        <f t="shared" si="44"/>
        <v>3</v>
      </c>
      <c r="E592" s="7">
        <f t="shared" si="45"/>
        <v>1</v>
      </c>
      <c r="F592">
        <f xml:space="preserve"> [1]Coibion_update!O598</f>
        <v>4.6472608154506325</v>
      </c>
      <c r="G592">
        <f xml:space="preserve"> [1]Coibion_update!P598</f>
        <v>5.0999999999999996</v>
      </c>
      <c r="H592">
        <f xml:space="preserve"> [1]Coibion_update!Q598</f>
        <v>5.3633932432842242</v>
      </c>
      <c r="I592">
        <f xml:space="preserve"> [1]Coibion_update!W598</f>
        <v>2.61</v>
      </c>
      <c r="J592">
        <f xml:space="preserve"> [1]Coibion_update!X598</f>
        <v>6.1304653303097636</v>
      </c>
      <c r="K592">
        <f xml:space="preserve"> [1]Coibion_update!Y598</f>
        <v>4.6913478822291435</v>
      </c>
      <c r="L592">
        <f xml:space="preserve"> [1]Coibion_update!Z598</f>
        <v>4.6340199990921462</v>
      </c>
      <c r="M592">
        <f xml:space="preserve"> [1]Coibion_update!AA598</f>
        <v>4.6139316916566644</v>
      </c>
      <c r="Q592">
        <f xml:space="preserve"> [1]Barakchian_Crowe!B471</f>
        <v>3.8305959999999999</v>
      </c>
      <c r="R592">
        <f xml:space="preserve"> [1]Barakchian_Crowe!C471</f>
        <v>1.250766</v>
      </c>
      <c r="S592">
        <f xml:space="preserve"> [1]Gertler_Karadi!C346</f>
        <v>4.3079399999999997E-2</v>
      </c>
      <c r="T592">
        <f xml:space="preserve"> [1]Gertler_Karadi!D346</f>
        <v>3.3870900000000002E-2</v>
      </c>
      <c r="U592">
        <f xml:space="preserve"> [1]Gertler_Karadi!E346</f>
        <v>1.12903E-2</v>
      </c>
      <c r="V592">
        <f xml:space="preserve"> [1]Gertler_Karadi!F346</f>
        <v>4.5161000000000003E-3</v>
      </c>
      <c r="W592">
        <f xml:space="preserve"> [1]Gertler_Karadi!G346</f>
        <v>2.2580999999999999E-3</v>
      </c>
      <c r="X592" s="5">
        <f xml:space="preserve"> [1]misc!N675</f>
        <v>1.54</v>
      </c>
      <c r="Y592">
        <f xml:space="preserve"> [1]Gilchrist_Zak!C424</f>
        <v>1.0992</v>
      </c>
      <c r="AK592">
        <v>2.5099999999999998</v>
      </c>
      <c r="AL592">
        <f xml:space="preserve"> LN([1]misc!B611)</f>
        <v>7.2374186736740196</v>
      </c>
      <c r="AM592">
        <f xml:space="preserve"> LN([1]misc!D611)</f>
        <v>8.9405506065882019</v>
      </c>
      <c r="AN592">
        <f xml:space="preserve"> LN([1]misc!G716)</f>
        <v>2.2910184566225804</v>
      </c>
    </row>
    <row r="593" spans="1:41" x14ac:dyDescent="0.25">
      <c r="A593">
        <f t="shared" si="47"/>
        <v>2008.2499999999607</v>
      </c>
      <c r="B593" s="1">
        <v>39539</v>
      </c>
      <c r="C593" s="7">
        <f t="shared" si="43"/>
        <v>2008</v>
      </c>
      <c r="D593" s="7">
        <f t="shared" si="44"/>
        <v>4</v>
      </c>
      <c r="E593" s="7">
        <f t="shared" si="45"/>
        <v>2</v>
      </c>
      <c r="F593">
        <f xml:space="preserve"> [1]Coibion_update!O599</f>
        <v>4.6398614257780215</v>
      </c>
      <c r="G593">
        <f xml:space="preserve"> [1]Coibion_update!P599</f>
        <v>5</v>
      </c>
      <c r="H593">
        <f xml:space="preserve"> [1]Coibion_update!Q599</f>
        <v>5.3657049502497323</v>
      </c>
      <c r="I593">
        <f xml:space="preserve"> [1]Coibion_update!W599</f>
        <v>2.2799999999999998</v>
      </c>
      <c r="J593">
        <f xml:space="preserve"> [1]Coibion_update!X599</f>
        <v>6.1356514674204794</v>
      </c>
      <c r="K593">
        <f xml:space="preserve"> [1]Coibion_update!Y599</f>
        <v>4.6930528499636193</v>
      </c>
      <c r="L593">
        <f xml:space="preserve"> [1]Coibion_update!Z599</f>
        <v>4.6359224505273859</v>
      </c>
      <c r="M593">
        <f xml:space="preserve"> [1]Coibion_update!AA599</f>
        <v>4.6154768889767306</v>
      </c>
      <c r="Q593">
        <f xml:space="preserve"> [1]Barakchian_Crowe!B472</f>
        <v>-0.90011719999999995</v>
      </c>
      <c r="R593">
        <f xml:space="preserve"> [1]Barakchian_Crowe!C472</f>
        <v>0.35064859999999998</v>
      </c>
      <c r="S593">
        <f xml:space="preserve"> [1]Gertler_Karadi!C347</f>
        <v>5.0143699999999999E-2</v>
      </c>
      <c r="T593">
        <f xml:space="preserve"> [1]Gertler_Karadi!D347</f>
        <v>3.86291E-2</v>
      </c>
      <c r="U593">
        <f xml:space="preserve"> [1]Gertler_Karadi!E347</f>
        <v>1.0876200000000001E-2</v>
      </c>
      <c r="V593">
        <f xml:space="preserve"> [1]Gertler_Karadi!F347</f>
        <v>2.8172000000000002E-3</v>
      </c>
      <c r="W593">
        <f xml:space="preserve"> [1]Gertler_Karadi!G347</f>
        <v>9.0839999999999996E-4</v>
      </c>
      <c r="X593" s="5">
        <f xml:space="preserve"> [1]misc!N676</f>
        <v>1.74</v>
      </c>
      <c r="Y593">
        <f xml:space="preserve"> [1]Gilchrist_Zak!C425</f>
        <v>0.5988</v>
      </c>
      <c r="AK593">
        <v>2.37</v>
      </c>
      <c r="AL593">
        <f xml:space="preserve"> LN([1]misc!B612)</f>
        <v>7.2366992491825588</v>
      </c>
      <c r="AM593">
        <f xml:space="preserve"> LN([1]misc!D612)</f>
        <v>8.9439239084285056</v>
      </c>
      <c r="AN593">
        <f xml:space="preserve"> LN([1]misc!G717)</f>
        <v>2.2773698438529819</v>
      </c>
    </row>
    <row r="594" spans="1:41" x14ac:dyDescent="0.25">
      <c r="A594">
        <f t="shared" si="47"/>
        <v>2008.3333333332939</v>
      </c>
      <c r="B594" s="1">
        <v>39569</v>
      </c>
      <c r="C594" s="7">
        <f t="shared" si="43"/>
        <v>2008</v>
      </c>
      <c r="D594" s="7">
        <f t="shared" si="44"/>
        <v>5</v>
      </c>
      <c r="E594" s="7">
        <f t="shared" si="45"/>
        <v>2</v>
      </c>
      <c r="F594">
        <f xml:space="preserve"> [1]Coibion_update!O600</f>
        <v>4.6352327448181221</v>
      </c>
      <c r="G594">
        <f xml:space="preserve"> [1]Coibion_update!P600</f>
        <v>5.4</v>
      </c>
      <c r="H594">
        <f xml:space="preserve"> [1]Coibion_update!Q600</f>
        <v>5.3716050023178559</v>
      </c>
      <c r="I594">
        <f xml:space="preserve"> [1]Coibion_update!W600</f>
        <v>1.98</v>
      </c>
      <c r="J594">
        <f xml:space="preserve"> [1]Coibion_update!X600</f>
        <v>6.1460722653344204</v>
      </c>
      <c r="K594">
        <f xml:space="preserve"> [1]Coibion_update!Y600</f>
        <v>4.6995890596061347</v>
      </c>
      <c r="L594">
        <f xml:space="preserve"> [1]Coibion_update!Z600</f>
        <v>4.6359030560237882</v>
      </c>
      <c r="M594">
        <f xml:space="preserve"> [1]Coibion_update!AA600</f>
        <v>4.6150611091360627</v>
      </c>
      <c r="Q594">
        <f xml:space="preserve"> [1]Barakchian_Crowe!B473</f>
        <v>0</v>
      </c>
      <c r="R594">
        <f xml:space="preserve"> [1]Barakchian_Crowe!C473</f>
        <v>0.35064859999999998</v>
      </c>
      <c r="S594">
        <f xml:space="preserve"> [1]Gertler_Karadi!C348</f>
        <v>-6.2833299999999995E-2</v>
      </c>
      <c r="T594">
        <f xml:space="preserve"> [1]Gertler_Karadi!D348</f>
        <v>-7.2499999999999995E-2</v>
      </c>
      <c r="U594">
        <f xml:space="preserve"> [1]Gertler_Karadi!E348</f>
        <v>-8.2166400000000001E-2</v>
      </c>
      <c r="V594">
        <f xml:space="preserve"> [1]Gertler_Karadi!F348</f>
        <v>-7.7333200000000005E-2</v>
      </c>
      <c r="W594">
        <f xml:space="preserve"> [1]Gertler_Karadi!G348</f>
        <v>-5.3166400000000003E-2</v>
      </c>
      <c r="X594" s="5">
        <f xml:space="preserve"> [1]misc!N677</f>
        <v>2.06</v>
      </c>
      <c r="Y594">
        <f xml:space="preserve"> [1]Gilchrist_Zak!C426</f>
        <v>0.63260000000000005</v>
      </c>
      <c r="AK594">
        <v>1.98</v>
      </c>
      <c r="AL594">
        <f xml:space="preserve"> LN([1]misc!B613)</f>
        <v>7.2384968408943653</v>
      </c>
      <c r="AM594">
        <f xml:space="preserve"> LN([1]misc!D613)</f>
        <v>8.9469605920473665</v>
      </c>
      <c r="AN594">
        <f xml:space="preserve"> LN([1]misc!G718)</f>
        <v>2.3836119316364188</v>
      </c>
    </row>
    <row r="595" spans="1:41" x14ac:dyDescent="0.25">
      <c r="A595">
        <f t="shared" si="47"/>
        <v>2008.4166666666272</v>
      </c>
      <c r="B595" s="1">
        <v>39600</v>
      </c>
      <c r="C595" s="7">
        <f t="shared" si="43"/>
        <v>2008</v>
      </c>
      <c r="D595" s="7">
        <f t="shared" si="44"/>
        <v>6</v>
      </c>
      <c r="E595" s="7">
        <f t="shared" si="45"/>
        <v>2</v>
      </c>
      <c r="F595">
        <f xml:space="preserve"> [1]Coibion_update!O601</f>
        <v>4.6332482808728859</v>
      </c>
      <c r="G595">
        <f xml:space="preserve"> [1]Coibion_update!P601</f>
        <v>5.6</v>
      </c>
      <c r="H595">
        <f xml:space="preserve"> [1]Coibion_update!Q601</f>
        <v>5.382028721115022</v>
      </c>
      <c r="I595">
        <f xml:space="preserve"> [1]Coibion_update!W601</f>
        <v>2</v>
      </c>
      <c r="J595">
        <f xml:space="preserve"> [1]Coibion_update!X601</f>
        <v>6.1425319069573119</v>
      </c>
      <c r="K595">
        <f xml:space="preserve"> [1]Coibion_update!Y601</f>
        <v>4.6909900200389698</v>
      </c>
      <c r="L595">
        <f xml:space="preserve"> [1]Coibion_update!Z601</f>
        <v>4.6341948650287073</v>
      </c>
      <c r="M595">
        <f xml:space="preserve"> [1]Coibion_update!AA601</f>
        <v>4.6150314039599332</v>
      </c>
      <c r="Q595">
        <f xml:space="preserve"> [1]Barakchian_Crowe!B474</f>
        <v>-0.3506476</v>
      </c>
      <c r="R595">
        <f xml:space="preserve"> [1]Barakchian_Crowe!C474</f>
        <v>1.04E-6</v>
      </c>
      <c r="S595">
        <f xml:space="preserve"> [1]Gertler_Karadi!C349</f>
        <v>-1.9999000000000002E-3</v>
      </c>
      <c r="T595">
        <f xml:space="preserve"> [1]Gertler_Karadi!D349</f>
        <v>3.0000000000000001E-3</v>
      </c>
      <c r="U595">
        <f xml:space="preserve"> [1]Gertler_Karadi!E349</f>
        <v>-6.0000000000000001E-3</v>
      </c>
      <c r="V595">
        <f xml:space="preserve"> [1]Gertler_Karadi!F349</f>
        <v>-3.9998999999999998E-3</v>
      </c>
      <c r="W595">
        <f xml:space="preserve"> [1]Gertler_Karadi!G349</f>
        <v>-3.0000000000000001E-3</v>
      </c>
      <c r="X595" s="5">
        <f xml:space="preserve"> [1]misc!N678</f>
        <v>2.42</v>
      </c>
      <c r="Y595">
        <f xml:space="preserve"> [1]Gilchrist_Zak!C427</f>
        <v>0.70979999999999999</v>
      </c>
      <c r="AK595">
        <v>2.4700000000000002</v>
      </c>
      <c r="AL595">
        <f xml:space="preserve"> LN([1]misc!B614)</f>
        <v>7.2440846482554395</v>
      </c>
      <c r="AM595">
        <f xml:space="preserve"> LN([1]misc!D614)</f>
        <v>8.9491054695392496</v>
      </c>
      <c r="AN595">
        <f xml:space="preserve"> LN([1]misc!G719)</f>
        <v>2.3172766417370356</v>
      </c>
    </row>
    <row r="596" spans="1:41" x14ac:dyDescent="0.25">
      <c r="A596">
        <f t="shared" si="47"/>
        <v>2008.4999999999604</v>
      </c>
      <c r="B596" s="1">
        <v>39630</v>
      </c>
      <c r="C596" s="7">
        <f t="shared" si="43"/>
        <v>2008</v>
      </c>
      <c r="D596" s="7">
        <f t="shared" si="44"/>
        <v>7</v>
      </c>
      <c r="E596" s="7">
        <f t="shared" si="45"/>
        <v>3</v>
      </c>
      <c r="F596">
        <f xml:space="preserve"> [1]Coibion_update!O602</f>
        <v>4.6280005779165085</v>
      </c>
      <c r="G596">
        <f xml:space="preserve"> [1]Coibion_update!P602</f>
        <v>5.8</v>
      </c>
      <c r="H596">
        <f xml:space="preserve"> [1]Coibion_update!Q602</f>
        <v>5.3891447865085267</v>
      </c>
      <c r="I596">
        <f xml:space="preserve"> [1]Coibion_update!W602</f>
        <v>2.0099999999999998</v>
      </c>
      <c r="J596">
        <f xml:space="preserve"> [1]Coibion_update!X602</f>
        <v>6.1446147266016569</v>
      </c>
      <c r="K596">
        <f xml:space="preserve"> [1]Coibion_update!Y602</f>
        <v>4.6658324541547174</v>
      </c>
      <c r="L596">
        <f xml:space="preserve"> [1]Coibion_update!Z602</f>
        <v>4.6292479754671207</v>
      </c>
      <c r="M596">
        <f xml:space="preserve"> [1]Coibion_update!AA602</f>
        <v>4.6147541130899388</v>
      </c>
      <c r="S596">
        <f xml:space="preserve"> [1]Gertler_Karadi!C350</f>
        <v>-7.9999000000000008E-3</v>
      </c>
      <c r="T596">
        <f xml:space="preserve"> [1]Gertler_Karadi!D350</f>
        <v>1.20001E-2</v>
      </c>
      <c r="U596">
        <f xml:space="preserve"> [1]Gertler_Karadi!E350</f>
        <v>-2.4000199999999999E-2</v>
      </c>
      <c r="V596">
        <f xml:space="preserve"> [1]Gertler_Karadi!F350</f>
        <v>-1.6E-2</v>
      </c>
      <c r="W596">
        <f xml:space="preserve"> [1]Gertler_Karadi!G350</f>
        <v>-1.20001E-2</v>
      </c>
      <c r="X596" s="5">
        <f xml:space="preserve"> [1]misc!N679</f>
        <v>2.2799999999999998</v>
      </c>
      <c r="Y596">
        <f xml:space="preserve"> [1]Gilchrist_Zak!C428</f>
        <v>1.0610999999999999</v>
      </c>
      <c r="AK596">
        <v>2.09</v>
      </c>
      <c r="AL596">
        <f xml:space="preserve"> LN([1]misc!B615)</f>
        <v>7.2568616534209172</v>
      </c>
      <c r="AM596">
        <f xml:space="preserve"> LN([1]misc!D615)</f>
        <v>8.9549318600746979</v>
      </c>
      <c r="AN596">
        <f xml:space="preserve"> LN([1]misc!G720)</f>
        <v>2.3523271848888596</v>
      </c>
    </row>
    <row r="597" spans="1:41" x14ac:dyDescent="0.25">
      <c r="A597">
        <f t="shared" si="47"/>
        <v>2008.5833333332937</v>
      </c>
      <c r="B597" s="1">
        <v>39661</v>
      </c>
      <c r="C597" s="7">
        <f t="shared" si="43"/>
        <v>2008</v>
      </c>
      <c r="D597" s="7">
        <f t="shared" si="44"/>
        <v>8</v>
      </c>
      <c r="E597" s="7">
        <f t="shared" si="45"/>
        <v>3</v>
      </c>
      <c r="F597">
        <f xml:space="preserve"> [1]Coibion_update!O603</f>
        <v>4.6129716750801695</v>
      </c>
      <c r="G597">
        <f xml:space="preserve"> [1]Coibion_update!P603</f>
        <v>6.1</v>
      </c>
      <c r="H597">
        <f xml:space="preserve"> [1]Coibion_update!Q603</f>
        <v>5.3876552019002313</v>
      </c>
      <c r="I597">
        <f xml:space="preserve"> [1]Coibion_update!W603</f>
        <v>2</v>
      </c>
      <c r="J597">
        <f xml:space="preserve"> [1]Coibion_update!X603</f>
        <v>6.0999601432612804</v>
      </c>
      <c r="K597">
        <f xml:space="preserve"> [1]Coibion_update!Y603</f>
        <v>4.6820386302446684</v>
      </c>
      <c r="L597">
        <f xml:space="preserve"> [1]Coibion_update!Z603</f>
        <v>4.6262465115900078</v>
      </c>
      <c r="M597">
        <f xml:space="preserve"> [1]Coibion_update!AA603</f>
        <v>4.6127513760084042</v>
      </c>
      <c r="S597">
        <f xml:space="preserve"> [1]Gertler_Karadi!C351</f>
        <v>-2.5958999999999999E-3</v>
      </c>
      <c r="T597">
        <f xml:space="preserve"> [1]Gertler_Karadi!D351</f>
        <v>-2.6128999999999999E-2</v>
      </c>
      <c r="U597">
        <f xml:space="preserve"> [1]Gertler_Karadi!E351</f>
        <v>-2.1774100000000001E-2</v>
      </c>
      <c r="V597">
        <f xml:space="preserve"> [1]Gertler_Karadi!F351</f>
        <v>-2.17743E-2</v>
      </c>
      <c r="W597">
        <f xml:space="preserve"> [1]Gertler_Karadi!G351</f>
        <v>-3.0484000000000001E-2</v>
      </c>
      <c r="X597" s="5">
        <f xml:space="preserve"> [1]misc!N680</f>
        <v>2.1800000000000002</v>
      </c>
      <c r="Y597">
        <f xml:space="preserve"> [1]Gilchrist_Zak!C429</f>
        <v>1.157</v>
      </c>
      <c r="AK597">
        <v>1.94</v>
      </c>
      <c r="AL597">
        <f xml:space="preserve"> LN([1]misc!B616)</f>
        <v>7.2470805845857562</v>
      </c>
      <c r="AM597">
        <f xml:space="preserve"> LN([1]misc!D616)</f>
        <v>8.9553319865716361</v>
      </c>
      <c r="AN597">
        <f xml:space="preserve"> LN([1]misc!G721)</f>
        <v>2.3469846802907304</v>
      </c>
    </row>
    <row r="598" spans="1:41" x14ac:dyDescent="0.25">
      <c r="A598">
        <f t="shared" si="47"/>
        <v>2008.666666666627</v>
      </c>
      <c r="B598" s="1">
        <v>39692</v>
      </c>
      <c r="C598" s="7">
        <f t="shared" si="43"/>
        <v>2008</v>
      </c>
      <c r="D598" s="7">
        <f t="shared" si="44"/>
        <v>9</v>
      </c>
      <c r="E598" s="7">
        <f t="shared" si="45"/>
        <v>3</v>
      </c>
      <c r="F598">
        <f xml:space="preserve"> [1]Coibion_update!O604</f>
        <v>4.5693585353722987</v>
      </c>
      <c r="G598">
        <f xml:space="preserve"> [1]Coibion_update!P604</f>
        <v>6.1</v>
      </c>
      <c r="H598">
        <f xml:space="preserve"> [1]Coibion_update!Q604</f>
        <v>5.3885099281999045</v>
      </c>
      <c r="I598">
        <f xml:space="preserve"> [1]Coibion_update!W604</f>
        <v>1.81</v>
      </c>
      <c r="J598">
        <f xml:space="preserve"> [1]Coibion_update!X604</f>
        <v>6.0519950468480141</v>
      </c>
      <c r="K598">
        <f xml:space="preserve"> [1]Coibion_update!Y604</f>
        <v>4.6419937976185741</v>
      </c>
      <c r="L598">
        <f xml:space="preserve"> [1]Coibion_update!Z604</f>
        <v>4.6105755506466419</v>
      </c>
      <c r="M598">
        <f xml:space="preserve"> [1]Coibion_update!AA604</f>
        <v>4.6147442084223647</v>
      </c>
      <c r="S598">
        <f xml:space="preserve"> [1]Gertler_Karadi!C352</f>
        <v>5.3180699999999997E-2</v>
      </c>
      <c r="T598">
        <f xml:space="preserve"> [1]Gertler_Karadi!D352</f>
        <v>5.6128999999999998E-2</v>
      </c>
      <c r="U598">
        <f xml:space="preserve"> [1]Gertler_Karadi!E352</f>
        <v>3.9274200000000002E-2</v>
      </c>
      <c r="V598">
        <f xml:space="preserve"> [1]Gertler_Karadi!F352</f>
        <v>2.92742E-2</v>
      </c>
      <c r="W598">
        <f xml:space="preserve"> [1]Gertler_Karadi!G352</f>
        <v>1.54839E-2</v>
      </c>
      <c r="X598" s="5">
        <f xml:space="preserve"> [1]misc!N681</f>
        <v>1.91</v>
      </c>
      <c r="Y598">
        <f xml:space="preserve"> [1]Gilchrist_Zak!C430</f>
        <v>1.4974000000000001</v>
      </c>
      <c r="AK598">
        <v>2.0299999999999998</v>
      </c>
      <c r="AL598">
        <f xml:space="preserve"> LN([1]misc!B617)</f>
        <v>7.2858491902941696</v>
      </c>
      <c r="AM598">
        <f xml:space="preserve"> LN([1]misc!D617)</f>
        <v>8.9653984532005602</v>
      </c>
      <c r="AN598">
        <f xml:space="preserve"> LN([1]misc!G722)</f>
        <v>4.2123349837799484</v>
      </c>
    </row>
    <row r="599" spans="1:41" x14ac:dyDescent="0.25">
      <c r="A599">
        <f t="shared" si="47"/>
        <v>2008.7499999999602</v>
      </c>
      <c r="B599" s="1">
        <v>39722</v>
      </c>
      <c r="C599" s="7">
        <f t="shared" si="43"/>
        <v>2008</v>
      </c>
      <c r="D599" s="7">
        <f t="shared" si="44"/>
        <v>10</v>
      </c>
      <c r="E599" s="7">
        <f t="shared" si="45"/>
        <v>4</v>
      </c>
      <c r="F599">
        <f xml:space="preserve"> [1]Coibion_update!O605</f>
        <v>4.5784637219594559</v>
      </c>
      <c r="G599">
        <f xml:space="preserve"> [1]Coibion_update!P605</f>
        <v>6.5</v>
      </c>
      <c r="H599">
        <f xml:space="preserve"> [1]Coibion_update!Q605</f>
        <v>5.3798743118003465</v>
      </c>
      <c r="I599">
        <f xml:space="preserve"> [1]Coibion_update!W605</f>
        <v>0.97</v>
      </c>
      <c r="J599">
        <f xml:space="preserve"> [1]Coibion_update!X605</f>
        <v>5.9142594761990104</v>
      </c>
      <c r="K599">
        <f xml:space="preserve"> [1]Coibion_update!Y605</f>
        <v>4.5972892125372153</v>
      </c>
      <c r="L599">
        <f xml:space="preserve"> [1]Coibion_update!Z605</f>
        <v>4.6117584357316117</v>
      </c>
      <c r="M599">
        <f xml:space="preserve"> [1]Coibion_update!AA605</f>
        <v>4.61463525060379</v>
      </c>
      <c r="S599">
        <f xml:space="preserve"> [1]Gertler_Karadi!C353</f>
        <v>-4.3731699999999998E-2</v>
      </c>
      <c r="T599">
        <f xml:space="preserve"> [1]Gertler_Karadi!D353</f>
        <v>4.7427200000000003E-2</v>
      </c>
      <c r="U599">
        <f xml:space="preserve"> [1]Gertler_Karadi!E353</f>
        <v>2.2177499999999999E-2</v>
      </c>
      <c r="V599">
        <f xml:space="preserve"> [1]Gertler_Karadi!F353</f>
        <v>1.3145199999999999E-2</v>
      </c>
      <c r="W599">
        <f xml:space="preserve"> [1]Gertler_Karadi!G353</f>
        <v>6.9356000000000001E-3</v>
      </c>
      <c r="X599" s="5">
        <f xml:space="preserve"> [1]misc!N682</f>
        <v>1.42</v>
      </c>
      <c r="Y599">
        <f xml:space="preserve"> [1]Gilchrist_Zak!C431</f>
        <v>2.9638</v>
      </c>
      <c r="AK599">
        <v>0.22</v>
      </c>
      <c r="AL599">
        <f xml:space="preserve"> LN([1]misc!B618)</f>
        <v>7.2943772992888212</v>
      </c>
      <c r="AM599">
        <f xml:space="preserve"> LN([1]misc!D618)</f>
        <v>8.9790890412678088</v>
      </c>
      <c r="AN599">
        <f xml:space="preserve"> LN([1]misc!G723)</f>
        <v>5.6276858597960011</v>
      </c>
    </row>
    <row r="600" spans="1:41" x14ac:dyDescent="0.25">
      <c r="A600">
        <f t="shared" si="47"/>
        <v>2008.8333333332935</v>
      </c>
      <c r="B600" s="1">
        <v>39753</v>
      </c>
      <c r="C600" s="7">
        <f t="shared" si="43"/>
        <v>2008</v>
      </c>
      <c r="D600" s="7">
        <f t="shared" si="44"/>
        <v>11</v>
      </c>
      <c r="E600" s="7">
        <f t="shared" si="45"/>
        <v>4</v>
      </c>
      <c r="F600">
        <f xml:space="preserve"> [1]Coibion_update!O606</f>
        <v>4.5658959514025641</v>
      </c>
      <c r="G600">
        <f xml:space="preserve"> [1]Coibion_update!P606</f>
        <v>6.8</v>
      </c>
      <c r="H600">
        <f xml:space="preserve"> [1]Coibion_update!Q606</f>
        <v>5.3620102177075282</v>
      </c>
      <c r="I600">
        <f xml:space="preserve"> [1]Coibion_update!W606</f>
        <v>0.39</v>
      </c>
      <c r="J600">
        <f xml:space="preserve"> [1]Coibion_update!X606</f>
        <v>5.8011813806433334</v>
      </c>
      <c r="K600">
        <f xml:space="preserve"> [1]Coibion_update!Y606</f>
        <v>4.5926724131581107</v>
      </c>
      <c r="L600">
        <f xml:space="preserve"> [1]Coibion_update!Z606</f>
        <v>4.6075473582738429</v>
      </c>
      <c r="M600">
        <f xml:space="preserve"> [1]Coibion_update!AA606</f>
        <v>4.6138523863709251</v>
      </c>
      <c r="S600">
        <f xml:space="preserve"> [1]Gertler_Karadi!C354</f>
        <v>-5.9003399999999998E-2</v>
      </c>
      <c r="T600">
        <f xml:space="preserve"> [1]Gertler_Karadi!D354</f>
        <v>-4.74172E-2</v>
      </c>
      <c r="U600">
        <f xml:space="preserve"> [1]Gertler_Karadi!E354</f>
        <v>-4.9677600000000002E-2</v>
      </c>
      <c r="V600">
        <f xml:space="preserve"> [1]Gertler_Karadi!F354</f>
        <v>-7.5645199999999996E-2</v>
      </c>
      <c r="W600">
        <f xml:space="preserve"> [1]Gertler_Karadi!G354</f>
        <v>-8.6935499999999999E-2</v>
      </c>
      <c r="X600" s="5">
        <f xml:space="preserve"> [1]misc!N683</f>
        <v>1.07</v>
      </c>
      <c r="Y600">
        <f xml:space="preserve"> [1]Gilchrist_Zak!C432</f>
        <v>2.0017999999999998</v>
      </c>
      <c r="AK600">
        <v>0.52</v>
      </c>
      <c r="AL600">
        <f xml:space="preserve"> LN([1]misc!B619)</f>
        <v>7.3254124278556638</v>
      </c>
      <c r="AM600">
        <f xml:space="preserve"> LN([1]misc!D619)</f>
        <v>8.9863839904049474</v>
      </c>
      <c r="AN600">
        <f xml:space="preserve"> LN([1]misc!G724)</f>
        <v>6.3475240517027665</v>
      </c>
    </row>
    <row r="601" spans="1:41" x14ac:dyDescent="0.25">
      <c r="A601">
        <f t="shared" si="47"/>
        <v>2008.9166666666267</v>
      </c>
      <c r="B601" s="1">
        <v>39783</v>
      </c>
      <c r="C601" s="7">
        <f t="shared" si="43"/>
        <v>2008</v>
      </c>
      <c r="D601" s="7">
        <f t="shared" si="44"/>
        <v>12</v>
      </c>
      <c r="E601" s="7">
        <f t="shared" si="45"/>
        <v>4</v>
      </c>
      <c r="F601">
        <f xml:space="preserve"> [1]Coibion_update!O607</f>
        <v>4.5368420934866176</v>
      </c>
      <c r="G601">
        <f xml:space="preserve"> [1]Coibion_update!P607</f>
        <v>7.3</v>
      </c>
      <c r="H601">
        <f xml:space="preserve"> [1]Coibion_update!Q607</f>
        <v>5.3537426126534466</v>
      </c>
      <c r="I601">
        <f xml:space="preserve"> [1]Coibion_update!W607</f>
        <v>0.16</v>
      </c>
      <c r="J601">
        <f xml:space="preserve"> [1]Coibion_update!X607</f>
        <v>5.7280522336289392</v>
      </c>
      <c r="K601">
        <f xml:space="preserve"> [1]Coibion_update!Y607</f>
        <v>4.5764723130405462</v>
      </c>
      <c r="L601">
        <f xml:space="preserve"> [1]Coibion_update!Z607</f>
        <v>4.6009211716986762</v>
      </c>
      <c r="M601">
        <f xml:space="preserve"> [1]Coibion_update!AA607</f>
        <v>4.6102870723675533</v>
      </c>
      <c r="S601">
        <f xml:space="preserve"> [1]Gertler_Karadi!C355</f>
        <v>-8.26683E-2</v>
      </c>
      <c r="T601">
        <f xml:space="preserve"> [1]Gertler_Karadi!D355</f>
        <v>-9.5489000000000004E-2</v>
      </c>
      <c r="U601">
        <f xml:space="preserve"> [1]Gertler_Karadi!E355</f>
        <v>-0.1522579</v>
      </c>
      <c r="V601">
        <f xml:space="preserve"> [1]Gertler_Karadi!F355</f>
        <v>-0.15741939999999999</v>
      </c>
      <c r="W601">
        <f xml:space="preserve"> [1]Gertler_Karadi!G355</f>
        <v>-0.15741939999999999</v>
      </c>
      <c r="X601" s="5">
        <f xml:space="preserve"> [1]misc!N684</f>
        <v>0.49</v>
      </c>
      <c r="Y601">
        <f xml:space="preserve"> [1]Gilchrist_Zak!C433</f>
        <v>2.2480000000000002</v>
      </c>
      <c r="AK601">
        <v>0.14000000000000001</v>
      </c>
      <c r="AL601">
        <f xml:space="preserve"> LN([1]misc!B620)</f>
        <v>7.3821865915550244</v>
      </c>
      <c r="AM601">
        <f xml:space="preserve"> LN([1]misc!D620)</f>
        <v>9.0087136641242225</v>
      </c>
      <c r="AN601">
        <f xml:space="preserve"> LN([1]misc!G725)</f>
        <v>6.6639382462883807</v>
      </c>
      <c r="AO601">
        <f xml:space="preserve"> LN([1]misc!J631 + [1]misc!L631)</f>
        <v>5.1157217722092234</v>
      </c>
    </row>
    <row r="602" spans="1:41" x14ac:dyDescent="0.25">
      <c r="A602">
        <f t="shared" si="47"/>
        <v>2008.99999999996</v>
      </c>
      <c r="B602" s="1">
        <v>39814</v>
      </c>
      <c r="C602" s="7">
        <f t="shared" si="43"/>
        <v>2009</v>
      </c>
      <c r="D602" s="7">
        <f t="shared" si="44"/>
        <v>1</v>
      </c>
      <c r="E602" s="7">
        <f t="shared" si="45"/>
        <v>1</v>
      </c>
      <c r="F602">
        <f xml:space="preserve"> [1]Coibion_update!O608</f>
        <v>4.5133037696177185</v>
      </c>
      <c r="G602">
        <f xml:space="preserve"> [1]Coibion_update!P608</f>
        <v>7.8</v>
      </c>
      <c r="H602">
        <f xml:space="preserve"> [1]Coibion_update!Q608</f>
        <v>5.3562701869857134</v>
      </c>
      <c r="I602">
        <f xml:space="preserve"> [1]Coibion_update!W608</f>
        <v>0.15</v>
      </c>
      <c r="J602">
        <f xml:space="preserve"> [1]Coibion_update!X608</f>
        <v>5.7759170724154005</v>
      </c>
      <c r="K602">
        <f xml:space="preserve"> [1]Coibion_update!Y608</f>
        <v>4.6070084952617316</v>
      </c>
      <c r="L602">
        <f xml:space="preserve"> [1]Coibion_update!Z608</f>
        <v>4.6073677695315789</v>
      </c>
      <c r="M602">
        <f xml:space="preserve"> [1]Coibion_update!AA608</f>
        <v>4.6098193618022023</v>
      </c>
      <c r="S602">
        <f xml:space="preserve"> [1]Gertler_Karadi!C356</f>
        <v>-7.6856599999999997E-2</v>
      </c>
      <c r="T602">
        <f xml:space="preserve"> [1]Gertler_Karadi!D356</f>
        <v>-8.95209E-2</v>
      </c>
      <c r="U602">
        <f xml:space="preserve"> [1]Gertler_Karadi!E356</f>
        <v>-0.1440322</v>
      </c>
      <c r="V602">
        <f xml:space="preserve"> [1]Gertler_Karadi!F356</f>
        <v>-0.14951610000000001</v>
      </c>
      <c r="W602">
        <f xml:space="preserve"> [1]Gertler_Karadi!G356</f>
        <v>-0.14951610000000001</v>
      </c>
      <c r="X602" s="5">
        <f xml:space="preserve"> [1]misc!N685</f>
        <v>0.44</v>
      </c>
      <c r="Y602">
        <f xml:space="preserve"> [1]Gilchrist_Zak!C434</f>
        <v>2.1840999999999999</v>
      </c>
      <c r="AK602" s="5">
        <v>0.61117911903324895</v>
      </c>
      <c r="AL602">
        <f xml:space="preserve"> LN([1]misc!B621)</f>
        <v>7.3687181635757231</v>
      </c>
      <c r="AM602">
        <f xml:space="preserve"> LN([1]misc!D621)</f>
        <v>9.0177745211261104</v>
      </c>
      <c r="AN602">
        <f xml:space="preserve"> LN([1]misc!G726)</f>
        <v>6.7101198612891437</v>
      </c>
      <c r="AO602">
        <f xml:space="preserve"> LN([1]misc!J632 + [1]misc!L632)</f>
        <v>5.6832157555161853</v>
      </c>
    </row>
    <row r="603" spans="1:41" x14ac:dyDescent="0.25">
      <c r="A603">
        <f t="shared" si="47"/>
        <v>2009.0833333332932</v>
      </c>
      <c r="B603" s="1">
        <v>39845</v>
      </c>
      <c r="C603" s="7">
        <f t="shared" si="43"/>
        <v>2009</v>
      </c>
      <c r="D603" s="7">
        <f t="shared" si="44"/>
        <v>2</v>
      </c>
      <c r="E603" s="7">
        <f t="shared" si="45"/>
        <v>1</v>
      </c>
      <c r="F603">
        <f xml:space="preserve"> [1]Coibion_update!O609</f>
        <v>4.5068636215035847</v>
      </c>
      <c r="G603">
        <f xml:space="preserve"> [1]Coibion_update!P609</f>
        <v>8.3000000000000007</v>
      </c>
      <c r="H603">
        <f xml:space="preserve"> [1]Coibion_update!Q609</f>
        <v>5.3599062292171586</v>
      </c>
      <c r="I603">
        <f xml:space="preserve"> [1]Coibion_update!W609</f>
        <v>0.22</v>
      </c>
      <c r="J603">
        <f xml:space="preserve"> [1]Coibion_update!X609</f>
        <v>5.7563749247753719</v>
      </c>
      <c r="K603">
        <f xml:space="preserve"> [1]Coibion_update!Y609</f>
        <v>4.5884206931299758</v>
      </c>
      <c r="L603">
        <f xml:space="preserve"> [1]Coibion_update!Z609</f>
        <v>4.6106948966307915</v>
      </c>
      <c r="M603">
        <f xml:space="preserve"> [1]Coibion_update!AA609</f>
        <v>4.6058799340573318</v>
      </c>
      <c r="S603">
        <f xml:space="preserve"> [1]Gertler_Karadi!C357</f>
        <v>4.3550000000000004E-3</v>
      </c>
      <c r="T603">
        <f xml:space="preserve"> [1]Gertler_Karadi!D357</f>
        <v>0</v>
      </c>
      <c r="U603">
        <f xml:space="preserve"> [1]Gertler_Karadi!E357</f>
        <v>-8.7097000000000008E-3</v>
      </c>
      <c r="V603">
        <f xml:space="preserve"> [1]Gertler_Karadi!F357</f>
        <v>-1.30644E-2</v>
      </c>
      <c r="W603">
        <f xml:space="preserve"> [1]Gertler_Karadi!G357</f>
        <v>-1.30644E-2</v>
      </c>
      <c r="X603" s="5">
        <f xml:space="preserve"> [1]misc!N686</f>
        <v>0.62</v>
      </c>
      <c r="Y603">
        <f xml:space="preserve"> [1]Gilchrist_Zak!C435</f>
        <v>2.6105999999999998</v>
      </c>
      <c r="AK603" s="5">
        <v>0.87610253071273014</v>
      </c>
      <c r="AL603">
        <f xml:space="preserve"> LN([1]misc!B622)</f>
        <v>7.3589582787641552</v>
      </c>
      <c r="AM603">
        <f xml:space="preserve"> LN([1]misc!D622)</f>
        <v>9.021839764105513</v>
      </c>
      <c r="AN603">
        <f xml:space="preserve"> LN([1]misc!G727)</f>
        <v>6.495555544097857</v>
      </c>
      <c r="AO603">
        <f xml:space="preserve"> LN([1]misc!J633 + [1]misc!L633)</f>
        <v>4.7688948882496227</v>
      </c>
    </row>
    <row r="604" spans="1:41" x14ac:dyDescent="0.25">
      <c r="A604">
        <f t="shared" si="47"/>
        <v>2009.1666666666265</v>
      </c>
      <c r="B604" s="1">
        <v>39873</v>
      </c>
      <c r="C604" s="7">
        <f t="shared" si="43"/>
        <v>2009</v>
      </c>
      <c r="D604" s="7">
        <f t="shared" si="44"/>
        <v>3</v>
      </c>
      <c r="E604" s="7">
        <f t="shared" si="45"/>
        <v>1</v>
      </c>
      <c r="F604">
        <f xml:space="preserve"> [1]Coibion_update!O610</f>
        <v>4.4912755805785105</v>
      </c>
      <c r="G604">
        <f xml:space="preserve"> [1]Coibion_update!P610</f>
        <v>8.6999999999999993</v>
      </c>
      <c r="H604">
        <f xml:space="preserve"> [1]Coibion_update!Q610</f>
        <v>5.3589184586758858</v>
      </c>
      <c r="I604">
        <f xml:space="preserve"> [1]Coibion_update!W610</f>
        <v>0.18</v>
      </c>
      <c r="J604">
        <f xml:space="preserve"> [1]Coibion_update!X610</f>
        <v>5.7421053489753602</v>
      </c>
      <c r="K604">
        <f xml:space="preserve"> [1]Coibion_update!Y610</f>
        <v>4.5764105643166664</v>
      </c>
      <c r="L604">
        <f xml:space="preserve"> [1]Coibion_update!Z610</f>
        <v>4.604369865817322</v>
      </c>
      <c r="M604">
        <f xml:space="preserve"> [1]Coibion_update!AA610</f>
        <v>4.6061097444647574</v>
      </c>
      <c r="S604">
        <f xml:space="preserve"> [1]Gertler_Karadi!C358</f>
        <v>0</v>
      </c>
      <c r="T604">
        <f xml:space="preserve"> [1]Gertler_Karadi!D358</f>
        <v>-4.5161000000000003E-3</v>
      </c>
      <c r="U604">
        <f xml:space="preserve"> [1]Gertler_Karadi!E358</f>
        <v>-2.7097E-2</v>
      </c>
      <c r="V604">
        <f xml:space="preserve"> [1]Gertler_Karadi!F358</f>
        <v>-2.7096700000000001E-2</v>
      </c>
      <c r="W604">
        <f xml:space="preserve"> [1]Gertler_Karadi!G358</f>
        <v>-2.4838699999999998E-2</v>
      </c>
      <c r="X604" s="5">
        <f xml:space="preserve"> [1]misc!N687</f>
        <v>0.64</v>
      </c>
      <c r="Y604">
        <f xml:space="preserve"> [1]Gilchrist_Zak!C436</f>
        <v>2.1473</v>
      </c>
      <c r="AK604" s="5">
        <v>0.7502451931884262</v>
      </c>
      <c r="AL604">
        <f xml:space="preserve"> LN([1]misc!B623)</f>
        <v>7.3658128372094724</v>
      </c>
      <c r="AM604">
        <f xml:space="preserve"> LN([1]misc!D623)</f>
        <v>9.0301006466664973</v>
      </c>
      <c r="AN604">
        <f xml:space="preserve"> LN([1]misc!G728)</f>
        <v>6.6080276154851552</v>
      </c>
      <c r="AO604">
        <f xml:space="preserve"> LN([1]misc!J634 + [1]misc!L634)</f>
        <v>5.1197886079927786</v>
      </c>
    </row>
    <row r="605" spans="1:41" x14ac:dyDescent="0.25">
      <c r="A605">
        <f t="shared" si="47"/>
        <v>2009.2499999999598</v>
      </c>
      <c r="B605" s="1">
        <v>39904</v>
      </c>
      <c r="C605" s="7">
        <f t="shared" si="43"/>
        <v>2009</v>
      </c>
      <c r="D605" s="7">
        <f t="shared" si="44"/>
        <v>4</v>
      </c>
      <c r="E605" s="7">
        <f t="shared" si="45"/>
        <v>2</v>
      </c>
      <c r="F605">
        <f xml:space="preserve"> [1]Coibion_update!O611</f>
        <v>4.4828409570372152</v>
      </c>
      <c r="G605">
        <f xml:space="preserve"> [1]Coibion_update!P611</f>
        <v>9</v>
      </c>
      <c r="H605">
        <f xml:space="preserve"> [1]Coibion_update!Q611</f>
        <v>5.3599250344280831</v>
      </c>
      <c r="I605">
        <f xml:space="preserve"> [1]Coibion_update!W611</f>
        <v>0.15</v>
      </c>
      <c r="J605">
        <f xml:space="preserve"> [1]Coibion_update!X611</f>
        <v>5.8062788926993774</v>
      </c>
      <c r="K605">
        <f xml:space="preserve"> [1]Coibion_update!Y611</f>
        <v>4.568153442308815</v>
      </c>
      <c r="L605">
        <f xml:space="preserve"> [1]Coibion_update!Z611</f>
        <v>4.6028073967989025</v>
      </c>
      <c r="M605">
        <f xml:space="preserve"> [1]Coibion_update!AA611</f>
        <v>4.605500131550067</v>
      </c>
      <c r="S605">
        <f xml:space="preserve"> [1]Gertler_Karadi!C359</f>
        <v>3.3330000000000002E-4</v>
      </c>
      <c r="T605">
        <f xml:space="preserve"> [1]Gertler_Karadi!D359</f>
        <v>-5.1507999999999996E-3</v>
      </c>
      <c r="U605">
        <f xml:space="preserve"> [1]Gertler_Karadi!E359</f>
        <v>-3.2236599999999997E-2</v>
      </c>
      <c r="V605">
        <f xml:space="preserve"> [1]Gertler_Karadi!F359</f>
        <v>-3.1570000000000001E-2</v>
      </c>
      <c r="W605">
        <f xml:space="preserve"> [1]Gertler_Karadi!G359</f>
        <v>-2.7827999999999999E-2</v>
      </c>
      <c r="X605" s="5">
        <f xml:space="preserve"> [1]misc!N688</f>
        <v>0.55000000000000004</v>
      </c>
      <c r="Y605">
        <f xml:space="preserve"> [1]Gilchrist_Zak!C437</f>
        <v>1.9360999999999999</v>
      </c>
      <c r="AK605" s="5">
        <v>0.42662848872593662</v>
      </c>
      <c r="AL605">
        <f xml:space="preserve"> LN([1]misc!B624)</f>
        <v>7.3836167177120329</v>
      </c>
      <c r="AM605">
        <f xml:space="preserve"> LN([1]misc!D624)</f>
        <v>9.0282787813880852</v>
      </c>
      <c r="AN605">
        <f xml:space="preserve"> LN([1]misc!G729)</f>
        <v>6.7387778914116563</v>
      </c>
      <c r="AO605">
        <f xml:space="preserve"> LN([1]misc!J635 + [1]misc!L635)</f>
        <v>5.7766890110892612</v>
      </c>
    </row>
    <row r="606" spans="1:41" x14ac:dyDescent="0.25">
      <c r="A606">
        <f t="shared" si="47"/>
        <v>2009.333333333293</v>
      </c>
      <c r="B606" s="1">
        <v>39934</v>
      </c>
      <c r="C606" s="7">
        <f t="shared" si="43"/>
        <v>2009</v>
      </c>
      <c r="D606" s="7">
        <f t="shared" si="44"/>
        <v>5</v>
      </c>
      <c r="E606" s="7">
        <f t="shared" si="45"/>
        <v>2</v>
      </c>
      <c r="F606">
        <f xml:space="preserve"> [1]Coibion_update!O612</f>
        <v>4.4725652212395701</v>
      </c>
      <c r="G606">
        <f xml:space="preserve"> [1]Coibion_update!P612</f>
        <v>9.4</v>
      </c>
      <c r="H606">
        <f xml:space="preserve"> [1]Coibion_update!Q612</f>
        <v>5.3613954467607305</v>
      </c>
      <c r="I606">
        <f xml:space="preserve"> [1]Coibion_update!W612</f>
        <v>0.18</v>
      </c>
      <c r="J606">
        <f xml:space="preserve"> [1]Coibion_update!X612</f>
        <v>5.8631196811707591</v>
      </c>
      <c r="K606">
        <f xml:space="preserve"> [1]Coibion_update!Y612</f>
        <v>4.5889086815092703</v>
      </c>
      <c r="L606">
        <f xml:space="preserve"> [1]Coibion_update!Z612</f>
        <v>4.6026369801297351</v>
      </c>
      <c r="M606">
        <f xml:space="preserve"> [1]Coibion_update!AA612</f>
        <v>4.6031281023538666</v>
      </c>
      <c r="S606">
        <f xml:space="preserve"> [1]Gertler_Karadi!C360</f>
        <v>4.6667999999999996E-3</v>
      </c>
      <c r="T606">
        <f xml:space="preserve"> [1]Gertler_Karadi!D360</f>
        <v>4.6667999999999996E-3</v>
      </c>
      <c r="U606">
        <f xml:space="preserve"> [1]Gertler_Karadi!E360</f>
        <v>9.3335999999999992E-3</v>
      </c>
      <c r="V606">
        <f xml:space="preserve"> [1]Gertler_Karadi!F360</f>
        <v>1.8666700000000001E-2</v>
      </c>
      <c r="W606">
        <f xml:space="preserve"> [1]Gertler_Karadi!G360</f>
        <v>3.26667E-2</v>
      </c>
      <c r="X606" s="5">
        <f xml:space="preserve"> [1]misc!N689</f>
        <v>0.5</v>
      </c>
      <c r="Y606">
        <f xml:space="preserve"> [1]Gilchrist_Zak!C438</f>
        <v>0.99109999999999998</v>
      </c>
      <c r="AK606" s="5">
        <v>0.20663905219726075</v>
      </c>
      <c r="AL606">
        <f xml:space="preserve"> LN([1]misc!B625)</f>
        <v>7.3870902356567569</v>
      </c>
      <c r="AM606">
        <f xml:space="preserve"> LN([1]misc!D625)</f>
        <v>9.0365344539904324</v>
      </c>
      <c r="AN606">
        <f xml:space="preserve"> LN([1]misc!G730)</f>
        <v>6.7630901355391844</v>
      </c>
      <c r="AO606">
        <f xml:space="preserve"> LN([1]misc!J636 + [1]misc!L636)</f>
        <v>5.9290278156621934</v>
      </c>
    </row>
    <row r="607" spans="1:41" x14ac:dyDescent="0.25">
      <c r="A607">
        <f t="shared" si="47"/>
        <v>2009.4166666666263</v>
      </c>
      <c r="B607" s="1">
        <v>39965</v>
      </c>
      <c r="C607" s="7">
        <f t="shared" si="43"/>
        <v>2009</v>
      </c>
      <c r="D607" s="7">
        <f t="shared" si="44"/>
        <v>6</v>
      </c>
      <c r="E607" s="7">
        <f t="shared" si="45"/>
        <v>2</v>
      </c>
      <c r="F607">
        <f xml:space="preserve"> [1]Coibion_update!O613</f>
        <v>4.4683648684868036</v>
      </c>
      <c r="G607">
        <f xml:space="preserve"> [1]Coibion_update!P613</f>
        <v>9.5</v>
      </c>
      <c r="H607">
        <f xml:space="preserve"> [1]Coibion_update!Q613</f>
        <v>5.3696608066161717</v>
      </c>
      <c r="I607">
        <f xml:space="preserve"> [1]Coibion_update!W613</f>
        <v>0.21</v>
      </c>
      <c r="J607">
        <f xml:space="preserve"> [1]Coibion_update!X613</f>
        <v>5.9024420582788455</v>
      </c>
      <c r="K607">
        <f xml:space="preserve"> [1]Coibion_update!Y613</f>
        <v>4.5967649608440739</v>
      </c>
      <c r="L607">
        <f xml:space="preserve"> [1]Coibion_update!Z613</f>
        <v>4.5951804543587231</v>
      </c>
      <c r="M607">
        <f xml:space="preserve"> [1]Coibion_update!AA613</f>
        <v>4.6027973730928382</v>
      </c>
      <c r="S607">
        <f xml:space="preserve"> [1]Gertler_Karadi!C361</f>
        <v>0</v>
      </c>
      <c r="T607">
        <f xml:space="preserve"> [1]Gertler_Karadi!D361</f>
        <v>0</v>
      </c>
      <c r="U607">
        <f xml:space="preserve"> [1]Gertler_Karadi!E361</f>
        <v>8.1668000000000001E-3</v>
      </c>
      <c r="V607">
        <f xml:space="preserve"> [1]Gertler_Karadi!F361</f>
        <v>1.28334E-2</v>
      </c>
      <c r="W607">
        <f xml:space="preserve"> [1]Gertler_Karadi!G361</f>
        <v>1.8666700000000001E-2</v>
      </c>
      <c r="X607" s="5">
        <f xml:space="preserve"> [1]misc!N690</f>
        <v>0.51</v>
      </c>
      <c r="Y607">
        <f xml:space="preserve"> [1]Gilchrist_Zak!C439</f>
        <v>0.6391</v>
      </c>
      <c r="AK607" s="5">
        <v>2.1533672231777601E-2</v>
      </c>
      <c r="AL607">
        <f xml:space="preserve"> LN([1]misc!B626)</f>
        <v>7.4094997940119347</v>
      </c>
      <c r="AM607">
        <f xml:space="preserve"> LN([1]misc!D626)</f>
        <v>9.0376166086538703</v>
      </c>
      <c r="AN607">
        <f xml:space="preserve"> LN([1]misc!G731)</f>
        <v>6.6489534614586301</v>
      </c>
      <c r="AO607">
        <f xml:space="preserve"> LN([1]misc!J637 + [1]misc!L637)</f>
        <v>5.9164419260211947</v>
      </c>
    </row>
    <row r="608" spans="1:41" x14ac:dyDescent="0.25">
      <c r="A608">
        <f t="shared" si="47"/>
        <v>2009.4999999999595</v>
      </c>
      <c r="B608" s="1">
        <v>39995</v>
      </c>
      <c r="C608" s="7">
        <f t="shared" si="43"/>
        <v>2009</v>
      </c>
      <c r="D608" s="7">
        <f t="shared" si="44"/>
        <v>7</v>
      </c>
      <c r="E608" s="7">
        <f t="shared" si="45"/>
        <v>3</v>
      </c>
      <c r="F608">
        <f xml:space="preserve"> [1]Coibion_update!O614</f>
        <v>4.4791998506753048</v>
      </c>
      <c r="G608">
        <f xml:space="preserve"> [1]Coibion_update!P614</f>
        <v>9.5</v>
      </c>
      <c r="H608">
        <f xml:space="preserve"> [1]Coibion_update!Q614</f>
        <v>5.369362796761016</v>
      </c>
      <c r="I608">
        <f xml:space="preserve"> [1]Coibion_update!W614</f>
        <v>0.16</v>
      </c>
      <c r="J608">
        <f xml:space="preserve"> [1]Coibion_update!X614</f>
        <v>5.8970164955642668</v>
      </c>
      <c r="K608">
        <f xml:space="preserve"> [1]Coibion_update!Y614</f>
        <v>4.6155560655405088</v>
      </c>
      <c r="L608">
        <f xml:space="preserve"> [1]Coibion_update!Z614</f>
        <v>4.6000571366012686</v>
      </c>
      <c r="M608">
        <f xml:space="preserve"> [1]Coibion_update!AA614</f>
        <v>4.6031581632271372</v>
      </c>
      <c r="S608">
        <f xml:space="preserve"> [1]Gertler_Karadi!C362</f>
        <v>0</v>
      </c>
      <c r="T608">
        <f xml:space="preserve"> [1]Gertler_Karadi!D362</f>
        <v>0</v>
      </c>
      <c r="U608">
        <f xml:space="preserve"> [1]Gertler_Karadi!E362</f>
        <v>2.6833099999999999E-2</v>
      </c>
      <c r="V608">
        <f xml:space="preserve"> [1]Gertler_Karadi!F362</f>
        <v>4.2166500000000003E-2</v>
      </c>
      <c r="W608">
        <f xml:space="preserve"> [1]Gertler_Karadi!G362</f>
        <v>6.1333199999999997E-2</v>
      </c>
      <c r="X608" s="5">
        <f xml:space="preserve"> [1]misc!N691</f>
        <v>0.48</v>
      </c>
      <c r="Y608">
        <f xml:space="preserve"> [1]Gilchrist_Zak!C440</f>
        <v>8.3400000000000002E-2</v>
      </c>
      <c r="AK608" s="5">
        <v>-0.11737757496031342</v>
      </c>
      <c r="AL608">
        <f xml:space="preserve"> LN([1]misc!B627)</f>
        <v>7.4141511056687417</v>
      </c>
      <c r="AM608">
        <f xml:space="preserve"> LN([1]misc!D627)</f>
        <v>9.0381750654266018</v>
      </c>
      <c r="AN608">
        <f xml:space="preserve"> LN([1]misc!G732)</f>
        <v>6.6318779225586111</v>
      </c>
      <c r="AO608">
        <f xml:space="preserve"> LN([1]misc!J638 + [1]misc!L638)</f>
        <v>6.0617599033266387</v>
      </c>
    </row>
    <row r="609" spans="1:41" x14ac:dyDescent="0.25">
      <c r="A609">
        <f t="shared" si="47"/>
        <v>2009.5833333332928</v>
      </c>
      <c r="B609" s="1">
        <v>40026</v>
      </c>
      <c r="C609" s="7">
        <f t="shared" si="43"/>
        <v>2009</v>
      </c>
      <c r="D609" s="7">
        <f t="shared" si="44"/>
        <v>8</v>
      </c>
      <c r="E609" s="7">
        <f t="shared" si="45"/>
        <v>3</v>
      </c>
      <c r="F609">
        <f xml:space="preserve"> [1]Coibion_update!O615</f>
        <v>4.4899725552901675</v>
      </c>
      <c r="G609">
        <f xml:space="preserve"> [1]Coibion_update!P615</f>
        <v>9.6</v>
      </c>
      <c r="H609">
        <f xml:space="preserve"> [1]Coibion_update!Q615</f>
        <v>5.3727056565518954</v>
      </c>
      <c r="I609">
        <f xml:space="preserve"> [1]Coibion_update!W615</f>
        <v>0.16</v>
      </c>
      <c r="J609">
        <f xml:space="preserve"> [1]Coibion_update!X615</f>
        <v>5.9429306001121267</v>
      </c>
      <c r="K609">
        <f xml:space="preserve"> [1]Coibion_update!Y615</f>
        <v>4.6868884122729488</v>
      </c>
      <c r="L609">
        <f xml:space="preserve"> [1]Coibion_update!Z615</f>
        <v>4.6056100892164764</v>
      </c>
      <c r="M609">
        <f xml:space="preserve"> [1]Coibion_update!AA615</f>
        <v>4.6049801679358042</v>
      </c>
      <c r="S609">
        <f xml:space="preserve"> [1]Gertler_Karadi!C363</f>
        <v>0</v>
      </c>
      <c r="T609">
        <f xml:space="preserve"> [1]Gertler_Karadi!D363</f>
        <v>-3.2258E-3</v>
      </c>
      <c r="U609">
        <f xml:space="preserve"> [1]Gertler_Karadi!E363</f>
        <v>-9.6773999999999992E-3</v>
      </c>
      <c r="V609">
        <f xml:space="preserve"> [1]Gertler_Karadi!F363</f>
        <v>-1.29032E-2</v>
      </c>
      <c r="W609">
        <f xml:space="preserve"> [1]Gertler_Karadi!G363</f>
        <v>-1.29032E-2</v>
      </c>
      <c r="X609" s="5">
        <f xml:space="preserve"> [1]misc!N692</f>
        <v>0.46</v>
      </c>
      <c r="Y609">
        <f xml:space="preserve"> [1]Gilchrist_Zak!C441</f>
        <v>-0.22370000000000001</v>
      </c>
      <c r="AK609" s="5">
        <v>-0.28274269788677753</v>
      </c>
      <c r="AL609">
        <f xml:space="preserve"> LN([1]misc!B628)</f>
        <v>7.4124018516714125</v>
      </c>
      <c r="AM609">
        <f xml:space="preserve"> LN([1]misc!D628)</f>
        <v>9.0365582501996968</v>
      </c>
      <c r="AN609">
        <f xml:space="preserve"> LN([1]misc!G733)</f>
        <v>6.6729957729331382</v>
      </c>
      <c r="AO609">
        <f xml:space="preserve"> LN([1]misc!J639 + [1]misc!L639)</f>
        <v>6.209792522124288</v>
      </c>
    </row>
    <row r="610" spans="1:41" x14ac:dyDescent="0.25">
      <c r="A610">
        <f t="shared" si="47"/>
        <v>2009.666666666626</v>
      </c>
      <c r="B610" s="1">
        <v>40057</v>
      </c>
      <c r="C610" s="7">
        <f t="shared" si="43"/>
        <v>2009</v>
      </c>
      <c r="D610" s="7">
        <f t="shared" si="44"/>
        <v>9</v>
      </c>
      <c r="E610" s="7">
        <f t="shared" si="45"/>
        <v>3</v>
      </c>
      <c r="F610">
        <f xml:space="preserve"> [1]Coibion_update!O616</f>
        <v>4.4975214989060417</v>
      </c>
      <c r="G610">
        <f xml:space="preserve"> [1]Coibion_update!P616</f>
        <v>9.8000000000000007</v>
      </c>
      <c r="H610">
        <f xml:space="preserve"> [1]Coibion_update!Q616</f>
        <v>5.3746346820187316</v>
      </c>
      <c r="I610">
        <f xml:space="preserve"> [1]Coibion_update!W616</f>
        <v>0.15</v>
      </c>
      <c r="J610">
        <f xml:space="preserve"> [1]Coibion_update!X616</f>
        <v>5.9367971457656736</v>
      </c>
      <c r="K610">
        <f xml:space="preserve"> [1]Coibion_update!Y616</f>
        <v>4.5893049967985089</v>
      </c>
      <c r="L610">
        <f xml:space="preserve"> [1]Coibion_update!Z616</f>
        <v>4.6061996559020528</v>
      </c>
      <c r="M610">
        <f xml:space="preserve"> [1]Coibion_update!AA616</f>
        <v>4.6047500977633877</v>
      </c>
      <c r="S610">
        <f xml:space="preserve"> [1]Gertler_Karadi!C364</f>
        <v>-1.3332000000000001E-3</v>
      </c>
      <c r="T610">
        <f xml:space="preserve"> [1]Gertler_Karadi!D364</f>
        <v>-5.7742999999999996E-3</v>
      </c>
      <c r="U610">
        <f xml:space="preserve"> [1]Gertler_Karadi!E364</f>
        <v>-3.06559E-2</v>
      </c>
      <c r="V610">
        <f xml:space="preserve"> [1]Gertler_Karadi!F364</f>
        <v>-4.0430099999999997E-2</v>
      </c>
      <c r="W610">
        <f xml:space="preserve"> [1]Gertler_Karadi!G364</f>
        <v>-4.3096799999999998E-2</v>
      </c>
      <c r="X610" s="5">
        <f xml:space="preserve"> [1]misc!N693</f>
        <v>0.4</v>
      </c>
      <c r="Y610">
        <f xml:space="preserve"> [1]Gilchrist_Zak!C442</f>
        <v>-0.13669999999999999</v>
      </c>
      <c r="AK610" s="5">
        <v>-0.40604609377241019</v>
      </c>
      <c r="AL610">
        <f xml:space="preserve"> LN([1]misc!B629)</f>
        <v>7.4157168051334779</v>
      </c>
      <c r="AM610">
        <f xml:space="preserve"> LN([1]misc!D629)</f>
        <v>9.0376284939606606</v>
      </c>
      <c r="AN610">
        <f xml:space="preserve"> LN([1]misc!G734)</f>
        <v>6.7846900671641883</v>
      </c>
      <c r="AO610">
        <f xml:space="preserve"> LN([1]misc!J640 + [1]misc!L640)</f>
        <v>6.4221847112315729</v>
      </c>
    </row>
    <row r="611" spans="1:41" x14ac:dyDescent="0.25">
      <c r="A611">
        <f t="shared" si="47"/>
        <v>2009.7499999999593</v>
      </c>
      <c r="B611" s="1">
        <v>40087</v>
      </c>
      <c r="C611" s="7">
        <f t="shared" si="43"/>
        <v>2009</v>
      </c>
      <c r="D611" s="7">
        <f t="shared" si="44"/>
        <v>10</v>
      </c>
      <c r="E611" s="7">
        <f t="shared" si="45"/>
        <v>4</v>
      </c>
      <c r="F611">
        <f xml:space="preserve"> [1]Coibion_update!O617</f>
        <v>4.5017311564262323</v>
      </c>
      <c r="G611">
        <f xml:space="preserve"> [1]Coibion_update!P617</f>
        <v>10</v>
      </c>
      <c r="H611">
        <f xml:space="preserve"> [1]Coibion_update!Q617</f>
        <v>5.3776321170173169</v>
      </c>
      <c r="I611">
        <f xml:space="preserve"> [1]Coibion_update!W617</f>
        <v>0.12</v>
      </c>
      <c r="J611">
        <f xml:space="preserve"> [1]Coibion_update!X617</f>
        <v>5.9447135524185288</v>
      </c>
      <c r="K611">
        <f xml:space="preserve"> [1]Coibion_update!Y617</f>
        <v>4.5977527446602293</v>
      </c>
      <c r="L611">
        <f xml:space="preserve"> [1]Coibion_update!Z617</f>
        <v>4.6084049484980207</v>
      </c>
      <c r="M611">
        <f xml:space="preserve"> [1]Coibion_update!AA617</f>
        <v>4.6055501138063768</v>
      </c>
      <c r="S611">
        <f xml:space="preserve"> [1]Gertler_Karadi!C365</f>
        <v>-3.6668999999999998E-3</v>
      </c>
      <c r="T611">
        <f xml:space="preserve"> [1]Gertler_Karadi!D365</f>
        <v>-1.09999E-2</v>
      </c>
      <c r="U611">
        <f xml:space="preserve"> [1]Gertler_Karadi!E365</f>
        <v>-6.9666900000000004E-2</v>
      </c>
      <c r="V611">
        <f xml:space="preserve"> [1]Gertler_Karadi!F365</f>
        <v>-9.1666700000000004E-2</v>
      </c>
      <c r="W611">
        <f xml:space="preserve"> [1]Gertler_Karadi!G365</f>
        <v>-9.9000000000000005E-2</v>
      </c>
      <c r="X611" s="5">
        <f xml:space="preserve"> [1]misc!N694</f>
        <v>0.37</v>
      </c>
      <c r="Y611">
        <f xml:space="preserve"> [1]Gilchrist_Zak!C443</f>
        <v>-0.34110000000000001</v>
      </c>
      <c r="AK611" s="5">
        <v>-0.47462960648832908</v>
      </c>
      <c r="AL611">
        <f xml:space="preserve"> LN([1]misc!B630)</f>
        <v>7.4237475326994868</v>
      </c>
      <c r="AM611">
        <f xml:space="preserve"> LN([1]misc!D630)</f>
        <v>9.0409389891083034</v>
      </c>
      <c r="AN611">
        <f xml:space="preserve"> LN([1]misc!G735)</f>
        <v>6.9253662907562363</v>
      </c>
      <c r="AO611">
        <f xml:space="preserve"> LN([1]misc!J641 + [1]misc!L641)</f>
        <v>6.6737138104966203</v>
      </c>
    </row>
    <row r="612" spans="1:41" x14ac:dyDescent="0.25">
      <c r="A612">
        <f t="shared" si="47"/>
        <v>2009.8333333332926</v>
      </c>
      <c r="B612" s="1">
        <v>40118</v>
      </c>
      <c r="C612" s="7">
        <f t="shared" si="43"/>
        <v>2009</v>
      </c>
      <c r="D612" s="7">
        <f t="shared" si="44"/>
        <v>11</v>
      </c>
      <c r="E612" s="7">
        <f t="shared" si="45"/>
        <v>4</v>
      </c>
      <c r="F612">
        <f xml:space="preserve"> [1]Coibion_update!O618</f>
        <v>4.5045882347832391</v>
      </c>
      <c r="G612">
        <f xml:space="preserve"> [1]Coibion_update!P618</f>
        <v>9.9</v>
      </c>
      <c r="H612">
        <f xml:space="preserve"> [1]Coibion_update!Q618</f>
        <v>5.3809751135622479</v>
      </c>
      <c r="I612">
        <f xml:space="preserve"> [1]Coibion_update!W618</f>
        <v>0.12</v>
      </c>
      <c r="J612">
        <f xml:space="preserve"> [1]Coibion_update!X618</f>
        <v>6.0000277777684703</v>
      </c>
      <c r="K612">
        <f xml:space="preserve"> [1]Coibion_update!Y618</f>
        <v>4.6192308696364259</v>
      </c>
      <c r="L612">
        <f xml:space="preserve"> [1]Coibion_update!Z618</f>
        <v>4.6061696863211745</v>
      </c>
      <c r="M612">
        <f xml:space="preserve"> [1]Coibion_update!AA618</f>
        <v>4.6027973730928382</v>
      </c>
      <c r="S612">
        <f xml:space="preserve"> [1]Gertler_Karadi!C366</f>
        <v>-5.1928E-3</v>
      </c>
      <c r="T612">
        <f xml:space="preserve"> [1]Gertler_Karadi!D366</f>
        <v>-8.9910000000000007E-3</v>
      </c>
      <c r="U612">
        <f xml:space="preserve"> [1]Gertler_Karadi!E366</f>
        <v>-1.34997E-2</v>
      </c>
      <c r="V612">
        <f xml:space="preserve"> [1]Gertler_Karadi!F366</f>
        <v>-1.7999899999999999E-2</v>
      </c>
      <c r="W612">
        <f xml:space="preserve"> [1]Gertler_Karadi!G366</f>
        <v>-3.1500100000000003E-2</v>
      </c>
      <c r="X612" s="5">
        <f xml:space="preserve"> [1]misc!N695</f>
        <v>0.31</v>
      </c>
      <c r="Y612">
        <f xml:space="preserve"> [1]Gilchrist_Zak!C444</f>
        <v>-0.14149999999999999</v>
      </c>
      <c r="AK612" s="5">
        <v>-0.61039682775121573</v>
      </c>
      <c r="AL612">
        <f xml:space="preserve"> LN([1]misc!B631)</f>
        <v>7.4315958398256221</v>
      </c>
      <c r="AM612">
        <f xml:space="preserve"> LN([1]misc!D631)</f>
        <v>9.0455718552298094</v>
      </c>
      <c r="AN612">
        <f xml:space="preserve"> LN([1]misc!G736)</f>
        <v>7.0052866265296245</v>
      </c>
      <c r="AO612">
        <f xml:space="preserve"> LN([1]misc!J642 + [1]misc!L642)</f>
        <v>6.8281697168016757</v>
      </c>
    </row>
    <row r="613" spans="1:41" x14ac:dyDescent="0.25">
      <c r="A613">
        <f t="shared" si="47"/>
        <v>2009.9166666666258</v>
      </c>
      <c r="B613" s="1">
        <v>40148</v>
      </c>
      <c r="C613" s="7">
        <f t="shared" si="43"/>
        <v>2009</v>
      </c>
      <c r="D613" s="7">
        <f t="shared" si="44"/>
        <v>12</v>
      </c>
      <c r="E613" s="7">
        <f t="shared" si="45"/>
        <v>4</v>
      </c>
      <c r="F613">
        <f xml:space="preserve"> [1]Coibion_update!O619</f>
        <v>4.5081216961980308</v>
      </c>
      <c r="G613">
        <f xml:space="preserve"> [1]Coibion_update!P619</f>
        <v>9.9</v>
      </c>
      <c r="H613">
        <f xml:space="preserve"> [1]Coibion_update!Q619</f>
        <v>5.3814951547170455</v>
      </c>
      <c r="I613">
        <f xml:space="preserve"> [1]Coibion_update!W619</f>
        <v>0.12</v>
      </c>
      <c r="J613">
        <f xml:space="preserve"> [1]Coibion_update!X619</f>
        <v>6.0324865216309034</v>
      </c>
      <c r="K613">
        <f xml:space="preserve"> [1]Coibion_update!Y619</f>
        <v>4.6223615638006681</v>
      </c>
      <c r="L613">
        <f xml:space="preserve"> [1]Coibion_update!Z619</f>
        <v>4.6124138869239655</v>
      </c>
      <c r="M613">
        <f xml:space="preserve"> [1]Coibion_update!AA619</f>
        <v>4.6075573344805898</v>
      </c>
      <c r="S613">
        <f xml:space="preserve"> [1]Gertler_Karadi!C367</f>
        <v>-1.65772E-2</v>
      </c>
      <c r="T613">
        <f xml:space="preserve"> [1]Gertler_Karadi!D367</f>
        <v>-3.5796000000000001E-3</v>
      </c>
      <c r="U613">
        <f xml:space="preserve"> [1]Gertler_Karadi!E367</f>
        <v>-1.5001000000000001E-3</v>
      </c>
      <c r="V613">
        <f xml:space="preserve"> [1]Gertler_Karadi!F367</f>
        <v>3.1611999999999999E-3</v>
      </c>
      <c r="W613">
        <f xml:space="preserve"> [1]Gertler_Karadi!G367</f>
        <v>9.4032000000000004E-3</v>
      </c>
      <c r="X613" s="5">
        <f xml:space="preserve"> [1]misc!N696</f>
        <v>0.37</v>
      </c>
      <c r="Y613">
        <f xml:space="preserve"> [1]Gilchrist_Zak!C445</f>
        <v>-0.56859999999999999</v>
      </c>
      <c r="AK613" s="5">
        <v>-0.15397760002744398</v>
      </c>
      <c r="AL613">
        <f xml:space="preserve"> LN([1]misc!B632)</f>
        <v>7.4374419103890466</v>
      </c>
      <c r="AM613">
        <f xml:space="preserve"> LN([1]misc!D632)</f>
        <v>9.0454775211692482</v>
      </c>
      <c r="AN613">
        <f xml:space="preserve"> LN([1]misc!G737)</f>
        <v>7.0029118106195503</v>
      </c>
      <c r="AO613">
        <f xml:space="preserve"> LN([1]misc!J643 + [1]misc!L643)</f>
        <v>6.8760117419445601</v>
      </c>
    </row>
    <row r="614" spans="1:41" x14ac:dyDescent="0.25">
      <c r="A614">
        <f t="shared" si="47"/>
        <v>2009.9999999999591</v>
      </c>
      <c r="B614" s="1">
        <v>40179</v>
      </c>
      <c r="C614" s="7">
        <f t="shared" si="43"/>
        <v>2010</v>
      </c>
      <c r="D614" s="7">
        <f t="shared" si="44"/>
        <v>1</v>
      </c>
      <c r="E614" s="7">
        <f t="shared" si="45"/>
        <v>1</v>
      </c>
      <c r="F614">
        <f xml:space="preserve"> [1]Coibion_update!O620</f>
        <v>4.5197887526455771</v>
      </c>
      <c r="G614">
        <f xml:space="preserve"> [1]Coibion_update!P620</f>
        <v>9.8000000000000007</v>
      </c>
      <c r="H614">
        <f xml:space="preserve"> [1]Coibion_update!Q620</f>
        <v>5.3821436765928921</v>
      </c>
      <c r="I614">
        <f xml:space="preserve"> [1]Coibion_update!W620</f>
        <v>0.11</v>
      </c>
      <c r="J614">
        <f xml:space="preserve"> [1]Coibion_update!X620</f>
        <v>6.059870579772042</v>
      </c>
      <c r="K614">
        <f xml:space="preserve"> [1]Coibion_update!Y620</f>
        <v>4.6100781223406742</v>
      </c>
      <c r="L614">
        <f xml:space="preserve"> [1]Coibion_update!Z620</f>
        <v>4.6134359304051236</v>
      </c>
      <c r="M614">
        <f xml:space="preserve"> [1]Coibion_update!AA620</f>
        <v>4.6068387930886372</v>
      </c>
      <c r="S614">
        <f xml:space="preserve"> [1]Gertler_Karadi!C368</f>
        <v>-1.5806199999999999E-2</v>
      </c>
      <c r="T614">
        <f xml:space="preserve"> [1]Gertler_Karadi!D368</f>
        <v>-2.4195000000000002E-3</v>
      </c>
      <c r="U614">
        <f xml:space="preserve"> [1]Gertler_Karadi!E368</f>
        <v>1.6130999999999999E-3</v>
      </c>
      <c r="V614">
        <f xml:space="preserve"> [1]Gertler_Karadi!F368</f>
        <v>1.0484E-2</v>
      </c>
      <c r="W614">
        <f xml:space="preserve"> [1]Gertler_Karadi!G368</f>
        <v>2.17743E-2</v>
      </c>
      <c r="X614" s="5">
        <f xml:space="preserve"> [1]misc!N697</f>
        <v>0.35</v>
      </c>
      <c r="Y614">
        <f xml:space="preserve"> [1]Gilchrist_Zak!C446</f>
        <v>-0.22389999999999999</v>
      </c>
      <c r="AK614" s="5">
        <v>-0.44770033142614185</v>
      </c>
      <c r="AL614">
        <f xml:space="preserve"> LN([1]misc!B633)</f>
        <v>7.4248213903375824</v>
      </c>
      <c r="AM614">
        <f xml:space="preserve"> LN([1]misc!D633)</f>
        <v>9.0401805604412679</v>
      </c>
      <c r="AN614">
        <f xml:space="preserve"> LN([1]misc!G738)</f>
        <v>6.9760688531322197</v>
      </c>
      <c r="AO614">
        <f xml:space="preserve"> LN([1]misc!J644 + [1]misc!L644)</f>
        <v>6.8743908244232834</v>
      </c>
    </row>
    <row r="615" spans="1:41" x14ac:dyDescent="0.25">
      <c r="A615">
        <f t="shared" si="47"/>
        <v>2010.0833333332923</v>
      </c>
      <c r="B615" s="1">
        <v>40210</v>
      </c>
      <c r="C615" s="7">
        <f t="shared" si="43"/>
        <v>2010</v>
      </c>
      <c r="D615" s="7">
        <f t="shared" si="44"/>
        <v>2</v>
      </c>
      <c r="E615" s="7">
        <f t="shared" si="45"/>
        <v>1</v>
      </c>
      <c r="F615">
        <f xml:space="preserve"> [1]Coibion_update!O621</f>
        <v>4.5228651712265444</v>
      </c>
      <c r="G615">
        <f xml:space="preserve"> [1]Coibion_update!P621</f>
        <v>9.8000000000000007</v>
      </c>
      <c r="H615">
        <f xml:space="preserve"> [1]Coibion_update!Q621</f>
        <v>5.381191446716147</v>
      </c>
      <c r="I615">
        <f xml:space="preserve"> [1]Coibion_update!W621</f>
        <v>0.13</v>
      </c>
      <c r="J615">
        <f xml:space="preserve"> [1]Coibion_update!X621</f>
        <v>6.0335896921586292</v>
      </c>
      <c r="K615">
        <f xml:space="preserve"> [1]Coibion_update!Y621</f>
        <v>4.6124535974343503</v>
      </c>
      <c r="L615">
        <f xml:space="preserve"> [1]Coibion_update!Z621</f>
        <v>4.6180666677231113</v>
      </c>
      <c r="M615">
        <f xml:space="preserve"> [1]Coibion_update!AA621</f>
        <v>4.6093813067595564</v>
      </c>
      <c r="S615">
        <f xml:space="preserve"> [1]Gertler_Karadi!C369</f>
        <v>-4.1938000000000001E-3</v>
      </c>
      <c r="T615">
        <f xml:space="preserve"> [1]Gertler_Karadi!D369</f>
        <v>0</v>
      </c>
      <c r="U615">
        <f xml:space="preserve"> [1]Gertler_Karadi!E369</f>
        <v>8.3870999999999998E-3</v>
      </c>
      <c r="V615">
        <f xml:space="preserve"> [1]Gertler_Karadi!F369</f>
        <v>2.93548E-2</v>
      </c>
      <c r="W615">
        <f xml:space="preserve"> [1]Gertler_Karadi!G369</f>
        <v>5.0322499999999999E-2</v>
      </c>
      <c r="X615" s="5">
        <f xml:space="preserve"> [1]misc!N698</f>
        <v>0.35</v>
      </c>
      <c r="Y615">
        <f xml:space="preserve"> [1]Gilchrist_Zak!C447</f>
        <v>4.2500000000000003E-2</v>
      </c>
      <c r="AK615" s="5">
        <v>-0.5446879080275826</v>
      </c>
      <c r="AL615">
        <f xml:space="preserve"> LN([1]misc!B634)</f>
        <v>7.4399117734499569</v>
      </c>
      <c r="AM615">
        <f xml:space="preserve"> LN([1]misc!D634)</f>
        <v>9.0463144251450611</v>
      </c>
      <c r="AN615">
        <f xml:space="preserve"> LN([1]misc!G739)</f>
        <v>7.0764468683562036</v>
      </c>
      <c r="AO615">
        <f xml:space="preserve"> LN([1]misc!J645 + [1]misc!L645)</f>
        <v>7.0152464232379668</v>
      </c>
    </row>
    <row r="616" spans="1:41" x14ac:dyDescent="0.25">
      <c r="A616">
        <f t="shared" si="47"/>
        <v>2010.1666666666256</v>
      </c>
      <c r="B616" s="1">
        <v>40238</v>
      </c>
      <c r="C616" s="7">
        <f t="shared" si="43"/>
        <v>2010</v>
      </c>
      <c r="D616" s="7">
        <f t="shared" si="44"/>
        <v>3</v>
      </c>
      <c r="E616" s="7">
        <f t="shared" si="45"/>
        <v>1</v>
      </c>
      <c r="F616">
        <f xml:space="preserve"> [1]Coibion_update!O622</f>
        <v>4.5295744923407284</v>
      </c>
      <c r="G616">
        <f xml:space="preserve"> [1]Coibion_update!P622</f>
        <v>9.9</v>
      </c>
      <c r="H616">
        <f xml:space="preserve"> [1]Coibion_update!Q622</f>
        <v>5.3815227599620439</v>
      </c>
      <c r="I616">
        <f xml:space="preserve"> [1]Coibion_update!W622</f>
        <v>0.16</v>
      </c>
      <c r="J616">
        <f xml:space="preserve"> [1]Coibion_update!X622</f>
        <v>6.0718917962205969</v>
      </c>
      <c r="K616">
        <f xml:space="preserve"> [1]Coibion_update!Y622</f>
        <v>4.6556826756269354</v>
      </c>
      <c r="L616">
        <f xml:space="preserve"> [1]Coibion_update!Z622</f>
        <v>4.6203247729597114</v>
      </c>
      <c r="M616">
        <f xml:space="preserve"> [1]Coibion_update!AA622</f>
        <v>4.6092418853581449</v>
      </c>
      <c r="S616">
        <f xml:space="preserve"> [1]Gertler_Karadi!C370</f>
        <v>-2.6684E-3</v>
      </c>
      <c r="T616">
        <f xml:space="preserve"> [1]Gertler_Karadi!D370</f>
        <v>-5.1612999999999997E-3</v>
      </c>
      <c r="U616">
        <f xml:space="preserve"> [1]Gertler_Karadi!E370</f>
        <v>-1.54839E-2</v>
      </c>
      <c r="V616">
        <f xml:space="preserve"> [1]Gertler_Karadi!F370</f>
        <v>-2.3225800000000001E-2</v>
      </c>
      <c r="W616">
        <f xml:space="preserve"> [1]Gertler_Karadi!G370</f>
        <v>-2.8387099999999998E-2</v>
      </c>
      <c r="X616" s="5">
        <f xml:space="preserve"> [1]misc!N699</f>
        <v>0.4</v>
      </c>
      <c r="Y616">
        <f xml:space="preserve"> [1]Gilchrist_Zak!C448</f>
        <v>-9.0999999999999998E-2</v>
      </c>
      <c r="AK616" s="5">
        <v>-0.47634946262544364</v>
      </c>
      <c r="AL616">
        <f xml:space="preserve"> LN([1]misc!B635)</f>
        <v>7.4464100546668037</v>
      </c>
      <c r="AM616">
        <f xml:space="preserve"> LN([1]misc!D635)</f>
        <v>9.046125888191261</v>
      </c>
      <c r="AN616">
        <f xml:space="preserve"> LN([1]misc!G740)</f>
        <v>7.0419600698231779</v>
      </c>
      <c r="AO616">
        <f xml:space="preserve"> LN([1]misc!J646 + [1]misc!L646)</f>
        <v>6.9978701684243969</v>
      </c>
    </row>
    <row r="617" spans="1:41" x14ac:dyDescent="0.25">
      <c r="A617">
        <f t="shared" si="47"/>
        <v>2010.2499999999588</v>
      </c>
      <c r="B617" s="1">
        <v>40269</v>
      </c>
      <c r="C617" s="7">
        <f t="shared" si="43"/>
        <v>2010</v>
      </c>
      <c r="D617" s="7">
        <f t="shared" si="44"/>
        <v>4</v>
      </c>
      <c r="E617" s="7">
        <f t="shared" si="45"/>
        <v>2</v>
      </c>
      <c r="F617">
        <f xml:space="preserve"> [1]Coibion_update!O623</f>
        <v>4.533254117549621</v>
      </c>
      <c r="G617">
        <f xml:space="preserve"> [1]Coibion_update!P623</f>
        <v>9.9</v>
      </c>
      <c r="H617">
        <f xml:space="preserve"> [1]Coibion_update!Q623</f>
        <v>5.3817527740399198</v>
      </c>
      <c r="I617">
        <f xml:space="preserve"> [1]Coibion_update!W623</f>
        <v>0.2</v>
      </c>
      <c r="J617">
        <f xml:space="preserve"> [1]Coibion_update!X623</f>
        <v>6.090132718904683</v>
      </c>
      <c r="K617">
        <f xml:space="preserve"> [1]Coibion_update!Y623</f>
        <v>4.6518056495040758</v>
      </c>
      <c r="L617">
        <f xml:space="preserve"> [1]Coibion_update!Z623</f>
        <v>4.6206497568364773</v>
      </c>
      <c r="M617">
        <f xml:space="preserve"> [1]Coibion_update!AA623</f>
        <v>4.6116392166166724</v>
      </c>
      <c r="S617">
        <f xml:space="preserve"> [1]Gertler_Karadi!C371</f>
        <v>-2.5014999999999998E-3</v>
      </c>
      <c r="T617">
        <f xml:space="preserve"> [1]Gertler_Karadi!D371</f>
        <v>-5.8386000000000002E-3</v>
      </c>
      <c r="U617">
        <f xml:space="preserve"> [1]Gertler_Karadi!E371</f>
        <v>-1.6016499999999999E-2</v>
      </c>
      <c r="V617">
        <f xml:space="preserve"> [1]Gertler_Karadi!F371</f>
        <v>-2.3274199999999998E-2</v>
      </c>
      <c r="W617">
        <f xml:space="preserve"> [1]Gertler_Karadi!G371</f>
        <v>-2.7612899999999999E-2</v>
      </c>
      <c r="X617" s="5">
        <f xml:space="preserve"> [1]misc!N700</f>
        <v>0.45</v>
      </c>
      <c r="Y617">
        <f xml:space="preserve"> [1]Gilchrist_Zak!C449</f>
        <v>-0.224</v>
      </c>
      <c r="AK617" s="5">
        <v>-0.46649602221534181</v>
      </c>
      <c r="AL617">
        <f xml:space="preserve"> LN([1]misc!B636)</f>
        <v>7.4361457339275994</v>
      </c>
      <c r="AM617">
        <f xml:space="preserve"> LN([1]misc!D636)</f>
        <v>9.0475390496681349</v>
      </c>
      <c r="AN617">
        <f xml:space="preserve"> LN([1]misc!G741)</f>
        <v>6.9814294427689001</v>
      </c>
      <c r="AO617">
        <f xml:space="preserve"> LN([1]misc!J647 + [1]misc!L647)</f>
        <v>6.9435229217595991</v>
      </c>
    </row>
    <row r="618" spans="1:41" x14ac:dyDescent="0.25">
      <c r="A618">
        <f t="shared" si="47"/>
        <v>2010.3333333332921</v>
      </c>
      <c r="B618" s="1">
        <v>40299</v>
      </c>
      <c r="C618" s="7">
        <f t="shared" si="43"/>
        <v>2010</v>
      </c>
      <c r="D618" s="7">
        <f t="shared" si="44"/>
        <v>5</v>
      </c>
      <c r="E618" s="7">
        <f t="shared" si="45"/>
        <v>2</v>
      </c>
      <c r="F618">
        <f xml:space="preserve"> [1]Coibion_update!O624</f>
        <v>4.5484347415075197</v>
      </c>
      <c r="G618">
        <f xml:space="preserve"> [1]Coibion_update!P624</f>
        <v>9.6</v>
      </c>
      <c r="H618">
        <f xml:space="preserve"> [1]Coibion_update!Q624</f>
        <v>5.3812328668753446</v>
      </c>
      <c r="I618">
        <f xml:space="preserve"> [1]Coibion_update!W624</f>
        <v>0.2</v>
      </c>
      <c r="J618">
        <f xml:space="preserve"> [1]Coibion_update!X624</f>
        <v>6.0682866897092662</v>
      </c>
      <c r="K618">
        <f xml:space="preserve"> [1]Coibion_update!Y624</f>
        <v>4.6549788789000228</v>
      </c>
      <c r="L618">
        <f xml:space="preserve"> [1]Coibion_update!Z624</f>
        <v>4.6210435351443815</v>
      </c>
      <c r="M618">
        <f xml:space="preserve"> [1]Coibion_update!AA624</f>
        <v>4.6152888195092538</v>
      </c>
      <c r="S618">
        <f xml:space="preserve"> [1]Gertler_Karadi!C372</f>
        <v>0</v>
      </c>
      <c r="T618">
        <f xml:space="preserve"> [1]Gertler_Karadi!D372</f>
        <v>-9.0001000000000005E-3</v>
      </c>
      <c r="U618">
        <f xml:space="preserve"> [1]Gertler_Karadi!E372</f>
        <v>-1.34997E-2</v>
      </c>
      <c r="V618">
        <f xml:space="preserve"> [1]Gertler_Karadi!F372</f>
        <v>-1.35E-2</v>
      </c>
      <c r="W618">
        <f xml:space="preserve"> [1]Gertler_Karadi!G372</f>
        <v>-9.0001000000000005E-3</v>
      </c>
      <c r="X618" s="5">
        <f xml:space="preserve"> [1]misc!N701</f>
        <v>0.37</v>
      </c>
      <c r="Y618">
        <f xml:space="preserve"> [1]Gilchrist_Zak!C450</f>
        <v>-0.17219999999999999</v>
      </c>
      <c r="AK618" s="5">
        <v>-0.48283184609355789</v>
      </c>
      <c r="AL618">
        <f xml:space="preserve"> LN([1]misc!B637)</f>
        <v>7.4426684542771877</v>
      </c>
      <c r="AM618">
        <f xml:space="preserve"> LN([1]misc!D637)</f>
        <v>9.0552759414725674</v>
      </c>
      <c r="AN618">
        <f xml:space="preserve"> LN([1]misc!G742)</f>
        <v>6.9761248896157211</v>
      </c>
      <c r="AO618">
        <f xml:space="preserve"> LN([1]misc!J648 + [1]misc!L648)</f>
        <v>6.9415110867043515</v>
      </c>
    </row>
    <row r="619" spans="1:41" x14ac:dyDescent="0.25">
      <c r="A619">
        <f t="shared" si="47"/>
        <v>2010.4166666666254</v>
      </c>
      <c r="B619" s="1">
        <v>40330</v>
      </c>
      <c r="C619" s="7">
        <f t="shared" si="43"/>
        <v>2010</v>
      </c>
      <c r="D619" s="7">
        <f t="shared" si="44"/>
        <v>6</v>
      </c>
      <c r="E619" s="7">
        <f t="shared" si="45"/>
        <v>2</v>
      </c>
      <c r="F619">
        <f xml:space="preserve"> [1]Coibion_update!O625</f>
        <v>4.550532357508037</v>
      </c>
      <c r="G619">
        <f xml:space="preserve"> [1]Coibion_update!P625</f>
        <v>9.4</v>
      </c>
      <c r="H619">
        <f xml:space="preserve"> [1]Coibion_update!Q625</f>
        <v>5.3808139839976166</v>
      </c>
      <c r="I619">
        <f xml:space="preserve"> [1]Coibion_update!W625</f>
        <v>0.18</v>
      </c>
      <c r="J619">
        <f xml:space="preserve"> [1]Coibion_update!X625</f>
        <v>6.0423715168817873</v>
      </c>
      <c r="K619">
        <f xml:space="preserve"> [1]Coibion_update!Y625</f>
        <v>4.6601412092326049</v>
      </c>
      <c r="L619">
        <f xml:space="preserve"> [1]Coibion_update!Z625</f>
        <v>4.6243451653741321</v>
      </c>
      <c r="M619">
        <f xml:space="preserve"> [1]Coibion_update!AA625</f>
        <v>4.6163375976799879</v>
      </c>
      <c r="S619">
        <f xml:space="preserve"> [1]Gertler_Karadi!C373</f>
        <v>1.3332000000000001E-3</v>
      </c>
      <c r="T619">
        <f xml:space="preserve"> [1]Gertler_Karadi!D373</f>
        <v>0</v>
      </c>
      <c r="U619">
        <f xml:space="preserve"> [1]Gertler_Karadi!E373</f>
        <v>2.6665E-3</v>
      </c>
      <c r="V619">
        <f xml:space="preserve"> [1]Gertler_Karadi!F373</f>
        <v>1.3332000000000001E-3</v>
      </c>
      <c r="W619">
        <f xml:space="preserve"> [1]Gertler_Karadi!G373</f>
        <v>1.3335E-3</v>
      </c>
      <c r="X619" s="5">
        <f xml:space="preserve"> [1]misc!N702</f>
        <v>0.32</v>
      </c>
      <c r="Y619">
        <f xml:space="preserve"> [1]Gilchrist_Zak!C451</f>
        <v>-3.1800000000000002E-2</v>
      </c>
      <c r="AK619" s="5">
        <v>-0.54208821741118918</v>
      </c>
      <c r="AL619">
        <f xml:space="preserve"> LN([1]misc!B638)</f>
        <v>7.4518802731490537</v>
      </c>
      <c r="AM619">
        <f xml:space="preserve"> LN([1]misc!D638)</f>
        <v>9.0572940820857966</v>
      </c>
      <c r="AN619">
        <f xml:space="preserve"> LN([1]misc!G743)</f>
        <v>6.9648584135164358</v>
      </c>
      <c r="AO619">
        <f xml:space="preserve"> LN([1]misc!J649 + [1]misc!L649)</f>
        <v>6.9372694200322105</v>
      </c>
    </row>
    <row r="620" spans="1:41" x14ac:dyDescent="0.25">
      <c r="A620">
        <f t="shared" si="47"/>
        <v>2010.4999999999586</v>
      </c>
      <c r="B620" s="1">
        <v>40360</v>
      </c>
      <c r="C620" s="7">
        <f t="shared" si="43"/>
        <v>2010</v>
      </c>
      <c r="D620" s="7">
        <f t="shared" si="44"/>
        <v>7</v>
      </c>
      <c r="E620" s="7">
        <f t="shared" si="45"/>
        <v>3</v>
      </c>
      <c r="F620">
        <f xml:space="preserve"> [1]Coibion_update!O626</f>
        <v>4.5554987335982489</v>
      </c>
      <c r="G620">
        <f xml:space="preserve"> [1]Coibion_update!P626</f>
        <v>9.4</v>
      </c>
      <c r="H620">
        <f xml:space="preserve"> [1]Coibion_update!Q626</f>
        <v>5.3826814926589748</v>
      </c>
      <c r="I620">
        <f xml:space="preserve"> [1]Coibion_update!W626</f>
        <v>0.18</v>
      </c>
      <c r="J620">
        <f xml:space="preserve"> [1]Coibion_update!X626</f>
        <v>6.0521832821426882</v>
      </c>
      <c r="K620">
        <f xml:space="preserve"> [1]Coibion_update!Y626</f>
        <v>4.666923582263574</v>
      </c>
      <c r="L620">
        <f xml:space="preserve"> [1]Coibion_update!Z626</f>
        <v>4.6205709825641144</v>
      </c>
      <c r="M620">
        <f xml:space="preserve"> [1]Coibion_update!AA626</f>
        <v>4.6174445468634797</v>
      </c>
      <c r="S620">
        <f xml:space="preserve"> [1]Gertler_Karadi!C374</f>
        <v>3.6668999999999998E-3</v>
      </c>
      <c r="T620">
        <f xml:space="preserve"> [1]Gertler_Karadi!D374</f>
        <v>0</v>
      </c>
      <c r="U620">
        <f xml:space="preserve"> [1]Gertler_Karadi!E374</f>
        <v>7.3333000000000001E-3</v>
      </c>
      <c r="V620">
        <f xml:space="preserve"> [1]Gertler_Karadi!F374</f>
        <v>3.6665999999999999E-3</v>
      </c>
      <c r="W620">
        <f xml:space="preserve"> [1]Gertler_Karadi!G374</f>
        <v>3.6665999999999999E-3</v>
      </c>
      <c r="X620" s="5">
        <f xml:space="preserve"> [1]misc!N703</f>
        <v>0.28999999999999998</v>
      </c>
      <c r="Y620">
        <f xml:space="preserve"> [1]Gilchrist_Zak!C452</f>
        <v>0.17780000000000001</v>
      </c>
      <c r="AK620" s="5">
        <v>-0.58967538632128758</v>
      </c>
      <c r="AL620">
        <f xml:space="preserve"> LN([1]misc!B639)</f>
        <v>7.4514739460501529</v>
      </c>
      <c r="AM620">
        <f xml:space="preserve"> LN([1]misc!D639)</f>
        <v>9.0585635390103096</v>
      </c>
      <c r="AN620">
        <f xml:space="preserve"> LN([1]misc!G744)</f>
        <v>6.9536249923072191</v>
      </c>
      <c r="AO620">
        <f xml:space="preserve"> LN([1]misc!J650 + [1]misc!L650)</f>
        <v>6.9297594027742635</v>
      </c>
    </row>
    <row r="621" spans="1:41" x14ac:dyDescent="0.25">
      <c r="A621">
        <f t="shared" si="47"/>
        <v>2010.5833333332919</v>
      </c>
      <c r="B621" s="1">
        <v>40391</v>
      </c>
      <c r="C621" s="7">
        <f t="shared" si="43"/>
        <v>2010</v>
      </c>
      <c r="D621" s="7">
        <f t="shared" si="44"/>
        <v>8</v>
      </c>
      <c r="E621" s="7">
        <f t="shared" si="45"/>
        <v>3</v>
      </c>
      <c r="F621">
        <f xml:space="preserve"> [1]Coibion_update!O627</f>
        <v>4.5589859235056096</v>
      </c>
      <c r="G621">
        <f xml:space="preserve"> [1]Coibion_update!P627</f>
        <v>9.5</v>
      </c>
      <c r="H621">
        <f xml:space="preserve"> [1]Coibion_update!Q627</f>
        <v>5.3841417893862138</v>
      </c>
      <c r="I621">
        <f xml:space="preserve"> [1]Coibion_update!W627</f>
        <v>0.19</v>
      </c>
      <c r="J621">
        <f xml:space="preserve"> [1]Coibion_update!X627</f>
        <v>6.1072901126135726</v>
      </c>
      <c r="K621">
        <f xml:space="preserve"> [1]Coibion_update!Y627</f>
        <v>4.6724829802687156</v>
      </c>
      <c r="L621">
        <f xml:space="preserve"> [1]Coibion_update!Z627</f>
        <v>4.6310133559456093</v>
      </c>
      <c r="M621">
        <f xml:space="preserve"> [1]Coibion_update!AA627</f>
        <v>4.6201376131098781</v>
      </c>
      <c r="S621">
        <f xml:space="preserve"> [1]Gertler_Karadi!C375</f>
        <v>2.6183000000000001E-3</v>
      </c>
      <c r="T621">
        <f xml:space="preserve"> [1]Gertler_Karadi!D375</f>
        <v>0</v>
      </c>
      <c r="U621">
        <f xml:space="preserve"> [1]Gertler_Karadi!E375</f>
        <v>-1.41935E-2</v>
      </c>
      <c r="V621">
        <f xml:space="preserve"> [1]Gertler_Karadi!F375</f>
        <v>-2.4838699999999998E-2</v>
      </c>
      <c r="W621">
        <f xml:space="preserve"> [1]Gertler_Karadi!G375</f>
        <v>-2.8387099999999998E-2</v>
      </c>
      <c r="X621" s="5">
        <f xml:space="preserve"> [1]misc!N704</f>
        <v>0.26</v>
      </c>
      <c r="Y621">
        <f xml:space="preserve"> [1]Gilchrist_Zak!C453</f>
        <v>-0.47639999999999999</v>
      </c>
      <c r="AK621" s="5">
        <v>-0.69854397093825327</v>
      </c>
      <c r="AL621">
        <f xml:space="preserve"> LN([1]misc!B640)</f>
        <v>7.4650254609907289</v>
      </c>
      <c r="AM621">
        <f xml:space="preserve"> LN([1]misc!D640)</f>
        <v>9.063104066009565</v>
      </c>
      <c r="AN621">
        <f xml:space="preserve"> LN([1]misc!G745)</f>
        <v>6.950930662109795</v>
      </c>
      <c r="AO621">
        <f xml:space="preserve"> LN([1]misc!J651 + [1]misc!L651)</f>
        <v>6.9331793313222958</v>
      </c>
    </row>
    <row r="622" spans="1:41" x14ac:dyDescent="0.25">
      <c r="A622">
        <f t="shared" si="47"/>
        <v>2010.6666666666251</v>
      </c>
      <c r="B622" s="1">
        <v>40422</v>
      </c>
      <c r="C622" s="7">
        <f t="shared" si="43"/>
        <v>2010</v>
      </c>
      <c r="D622" s="7">
        <f t="shared" si="44"/>
        <v>9</v>
      </c>
      <c r="E622" s="7">
        <f t="shared" si="45"/>
        <v>3</v>
      </c>
      <c r="F622">
        <f xml:space="preserve"> [1]Coibion_update!O628</f>
        <v>4.5613750259884203</v>
      </c>
      <c r="G622">
        <f xml:space="preserve"> [1]Coibion_update!P628</f>
        <v>9.5</v>
      </c>
      <c r="H622">
        <f xml:space="preserve"> [1]Coibion_update!Q628</f>
        <v>5.385755735696871</v>
      </c>
      <c r="I622">
        <f xml:space="preserve"> [1]Coibion_update!W628</f>
        <v>0.19</v>
      </c>
      <c r="J622">
        <f xml:space="preserve"> [1]Coibion_update!X628</f>
        <v>6.1597083084405293</v>
      </c>
      <c r="K622">
        <f xml:space="preserve"> [1]Coibion_update!Y628</f>
        <v>4.6757963895283883</v>
      </c>
      <c r="L622">
        <f xml:space="preserve"> [1]Coibion_update!Z628</f>
        <v>4.6332132770127341</v>
      </c>
      <c r="M622">
        <f xml:space="preserve"> [1]Coibion_update!AA628</f>
        <v>4.6206891416457614</v>
      </c>
      <c r="S622">
        <f xml:space="preserve"> [1]Gertler_Karadi!C376</f>
        <v>1.0715E-3</v>
      </c>
      <c r="T622">
        <f xml:space="preserve"> [1]Gertler_Karadi!D376</f>
        <v>1.6668E-3</v>
      </c>
      <c r="U622">
        <f xml:space="preserve"> [1]Gertler_Karadi!E376</f>
        <v>-9.1395000000000001E-3</v>
      </c>
      <c r="V622">
        <f xml:space="preserve"> [1]Gertler_Karadi!F376</f>
        <v>-1.34945E-2</v>
      </c>
      <c r="W622">
        <f xml:space="preserve"> [1]Gertler_Karadi!G376</f>
        <v>-1.49462E-2</v>
      </c>
      <c r="X622" s="5">
        <f xml:space="preserve"> [1]misc!N705</f>
        <v>0.26</v>
      </c>
      <c r="Y622">
        <f xml:space="preserve"> [1]Gilchrist_Zak!C454</f>
        <v>-7.3800000000000004E-2</v>
      </c>
      <c r="AK622" s="5">
        <v>-0.79569874616935499</v>
      </c>
      <c r="AL622">
        <f xml:space="preserve"> LN([1]misc!B641)</f>
        <v>7.4752825456174312</v>
      </c>
      <c r="AM622">
        <f xml:space="preserve"> LN([1]misc!D641)</f>
        <v>9.0675663979847272</v>
      </c>
      <c r="AN622">
        <f xml:space="preserve"> LN([1]misc!G746)</f>
        <v>6.9144756466405921</v>
      </c>
      <c r="AO622">
        <f xml:space="preserve"> LN([1]misc!J652 + [1]misc!L652)</f>
        <v>6.9029829093199755</v>
      </c>
    </row>
    <row r="623" spans="1:41" x14ac:dyDescent="0.25">
      <c r="A623">
        <f t="shared" si="47"/>
        <v>2010.7499999999584</v>
      </c>
      <c r="B623" s="1">
        <v>40452</v>
      </c>
      <c r="C623" s="7">
        <f t="shared" si="43"/>
        <v>2010</v>
      </c>
      <c r="D623" s="7">
        <f t="shared" si="44"/>
        <v>10</v>
      </c>
      <c r="E623" s="7">
        <f t="shared" si="45"/>
        <v>4</v>
      </c>
      <c r="F623">
        <f xml:space="preserve"> [1]Coibion_update!O629</f>
        <v>4.5589199434849643</v>
      </c>
      <c r="G623">
        <f xml:space="preserve"> [1]Coibion_update!P629</f>
        <v>9.4</v>
      </c>
      <c r="H623">
        <f xml:space="preserve"> [1]Coibion_update!Q629</f>
        <v>5.3892315343986663</v>
      </c>
      <c r="I623">
        <f xml:space="preserve"> [1]Coibion_update!W629</f>
        <v>0.19</v>
      </c>
      <c r="J623">
        <f xml:space="preserve"> [1]Coibion_update!X629</f>
        <v>6.192464733736502</v>
      </c>
      <c r="K623">
        <f xml:space="preserve"> [1]Coibion_update!Y629</f>
        <v>4.7018158372896224</v>
      </c>
      <c r="L623">
        <f xml:space="preserve"> [1]Coibion_update!Z629</f>
        <v>4.6370563748504132</v>
      </c>
      <c r="M623">
        <f xml:space="preserve"> [1]Coibion_update!AA629</f>
        <v>4.6226269265875519</v>
      </c>
      <c r="S623">
        <f xml:space="preserve"> [1]Gertler_Karadi!C377</f>
        <v>0</v>
      </c>
      <c r="T623">
        <f xml:space="preserve"> [1]Gertler_Karadi!D377</f>
        <v>3.3333E-3</v>
      </c>
      <c r="U623">
        <f xml:space="preserve"> [1]Gertler_Karadi!E377</f>
        <v>-6.6667000000000002E-3</v>
      </c>
      <c r="V623">
        <f xml:space="preserve"> [1]Gertler_Karadi!F377</f>
        <v>-6.6667000000000002E-3</v>
      </c>
      <c r="W623">
        <f xml:space="preserve"> [1]Gertler_Karadi!G377</f>
        <v>-6.6667000000000002E-3</v>
      </c>
      <c r="X623" s="5">
        <f xml:space="preserve"> [1]misc!N706</f>
        <v>0.23</v>
      </c>
      <c r="Y623">
        <f xml:space="preserve"> [1]Gilchrist_Zak!C455</f>
        <v>-2.2700000000000001E-2</v>
      </c>
      <c r="AK623" s="5">
        <v>-0.99515811148102973</v>
      </c>
      <c r="AL623">
        <f xml:space="preserve"> LN([1]misc!B642)</f>
        <v>7.4833006574619025</v>
      </c>
      <c r="AM623">
        <f xml:space="preserve"> LN([1]misc!D642)</f>
        <v>9.0732598314278157</v>
      </c>
      <c r="AN623">
        <f xml:space="preserve"> LN([1]misc!G747)</f>
        <v>6.9062621648418006</v>
      </c>
      <c r="AO623">
        <f xml:space="preserve"> LN([1]misc!J653 + [1]misc!L653)</f>
        <v>6.8990373883624141</v>
      </c>
    </row>
    <row r="624" spans="1:41" x14ac:dyDescent="0.25">
      <c r="A624">
        <f t="shared" si="47"/>
        <v>2010.8333333332916</v>
      </c>
      <c r="B624" s="1">
        <v>40483</v>
      </c>
      <c r="C624" s="7">
        <f t="shared" si="43"/>
        <v>2010</v>
      </c>
      <c r="D624" s="7">
        <f t="shared" si="44"/>
        <v>11</v>
      </c>
      <c r="E624" s="7">
        <f t="shared" si="45"/>
        <v>4</v>
      </c>
      <c r="F624">
        <f xml:space="preserve"> [1]Coibion_update!O630</f>
        <v>4.5593147114016377</v>
      </c>
      <c r="G624">
        <f xml:space="preserve"> [1]Coibion_update!P630</f>
        <v>9.8000000000000007</v>
      </c>
      <c r="H624">
        <f xml:space="preserve"> [1]Coibion_update!Q630</f>
        <v>5.3917621712579002</v>
      </c>
      <c r="I624">
        <f xml:space="preserve"> [1]Coibion_update!W630</f>
        <v>0.19</v>
      </c>
      <c r="J624">
        <f xml:space="preserve"> [1]Coibion_update!X630</f>
        <v>6.1969531631834709</v>
      </c>
      <c r="K624">
        <f xml:space="preserve"> [1]Coibion_update!Y630</f>
        <v>4.7009620679371249</v>
      </c>
      <c r="L624">
        <f xml:space="preserve"> [1]Coibion_update!Z630</f>
        <v>4.6435347635310764</v>
      </c>
      <c r="M624">
        <f xml:space="preserve"> [1]Coibion_update!AA630</f>
        <v>4.6262269285137014</v>
      </c>
      <c r="S624">
        <f xml:space="preserve"> [1]Gertler_Karadi!C378</f>
        <v>7.7743999999999999E-3</v>
      </c>
      <c r="T624">
        <f xml:space="preserve"> [1]Gertler_Karadi!D378</f>
        <v>4.6665999999999999E-3</v>
      </c>
      <c r="U624">
        <f xml:space="preserve"> [1]Gertler_Karadi!E378</f>
        <v>-9.3335999999999992E-3</v>
      </c>
      <c r="V624">
        <f xml:space="preserve"> [1]Gertler_Karadi!F378</f>
        <v>-4.6667999999999996E-3</v>
      </c>
      <c r="W624">
        <f xml:space="preserve"> [1]Gertler_Karadi!G378</f>
        <v>-4.6667999999999996E-3</v>
      </c>
      <c r="X624" s="5">
        <f xml:space="preserve"> [1]misc!N707</f>
        <v>0.25</v>
      </c>
      <c r="Y624">
        <f xml:space="preserve"> [1]Gilchrist_Zak!C456</f>
        <v>-0.14419999999999999</v>
      </c>
      <c r="AK624" s="5">
        <v>-0.95601419910052154</v>
      </c>
      <c r="AL624">
        <f xml:space="preserve"> LN([1]misc!B643)</f>
        <v>7.5142001257027893</v>
      </c>
      <c r="AM624">
        <f xml:space="preserve"> LN([1]misc!D643)</f>
        <v>9.0763745993080214</v>
      </c>
      <c r="AN624">
        <f xml:space="preserve"> LN([1]misc!G748)</f>
        <v>6.9054947258561077</v>
      </c>
      <c r="AO624">
        <f xml:space="preserve"> LN([1]misc!J654 + [1]misc!L654)</f>
        <v>6.8997593969489754</v>
      </c>
    </row>
    <row r="625" spans="1:41" x14ac:dyDescent="0.25">
      <c r="A625">
        <f t="shared" si="47"/>
        <v>2010.9166666666249</v>
      </c>
      <c r="B625" s="1">
        <v>40513</v>
      </c>
      <c r="C625" s="7">
        <f t="shared" si="43"/>
        <v>2010</v>
      </c>
      <c r="D625" s="7">
        <f t="shared" si="44"/>
        <v>12</v>
      </c>
      <c r="E625" s="7">
        <f t="shared" si="45"/>
        <v>4</v>
      </c>
      <c r="F625">
        <f xml:space="preserve"> [1]Coibion_update!O631</f>
        <v>4.5684449964239979</v>
      </c>
      <c r="G625">
        <f xml:space="preserve"> [1]Coibion_update!P631</f>
        <v>9.3000000000000007</v>
      </c>
      <c r="H625">
        <f xml:space="preserve"> [1]Coibion_update!Q631</f>
        <v>5.3957707026967494</v>
      </c>
      <c r="I625">
        <f xml:space="preserve"> [1]Coibion_update!W631</f>
        <v>0.18</v>
      </c>
      <c r="J625">
        <f xml:space="preserve"> [1]Coibion_update!X631</f>
        <v>6.229102544572644</v>
      </c>
      <c r="K625">
        <f xml:space="preserve"> [1]Coibion_update!Y631</f>
        <v>4.703348974669618</v>
      </c>
      <c r="L625">
        <f xml:space="preserve"> [1]Coibion_update!Z631</f>
        <v>4.642359992091202</v>
      </c>
      <c r="M625">
        <f xml:space="preserve"> [1]Coibion_update!AA631</f>
        <v>4.6278998977387378</v>
      </c>
      <c r="S625">
        <f xml:space="preserve"> [1]Gertler_Karadi!C379</f>
        <v>5.555E-4</v>
      </c>
      <c r="T625">
        <f xml:space="preserve"> [1]Gertler_Karadi!D379</f>
        <v>3.3330000000000002E-4</v>
      </c>
      <c r="U625">
        <f xml:space="preserve"> [1]Gertler_Karadi!E379</f>
        <v>-6.6660000000000005E-4</v>
      </c>
      <c r="V625">
        <f xml:space="preserve"> [1]Gertler_Karadi!F379</f>
        <v>-3.2364999999999998E-3</v>
      </c>
      <c r="W625">
        <f xml:space="preserve"> [1]Gertler_Karadi!G379</f>
        <v>-3.2364999999999998E-3</v>
      </c>
      <c r="X625" s="5">
        <f xml:space="preserve"> [1]misc!N708</f>
        <v>0.28999999999999998</v>
      </c>
      <c r="Y625">
        <f xml:space="preserve"> [1]Gilchrist_Zak!C457</f>
        <v>-0.3992</v>
      </c>
      <c r="AK625" s="5">
        <v>-0.88481862270105882</v>
      </c>
      <c r="AL625">
        <f xml:space="preserve"> LN([1]misc!B644)</f>
        <v>7.5184986332872663</v>
      </c>
      <c r="AM625">
        <f xml:space="preserve"> LN([1]misc!D644)</f>
        <v>9.0803911272207962</v>
      </c>
      <c r="AN625">
        <f xml:space="preserve"> LN([1]misc!G749)</f>
        <v>6.9422282007281799</v>
      </c>
      <c r="AO625">
        <f xml:space="preserve"> LN([1]misc!J655 + [1]misc!L655)</f>
        <v>6.9391289382283574</v>
      </c>
    </row>
    <row r="626" spans="1:41" x14ac:dyDescent="0.25">
      <c r="A626">
        <f t="shared" si="47"/>
        <v>2010.9999999999582</v>
      </c>
      <c r="B626" s="1">
        <v>40544</v>
      </c>
      <c r="C626" s="7">
        <f t="shared" si="43"/>
        <v>2011</v>
      </c>
      <c r="D626" s="7">
        <f t="shared" si="44"/>
        <v>1</v>
      </c>
      <c r="E626" s="7">
        <f t="shared" si="45"/>
        <v>1</v>
      </c>
      <c r="F626">
        <f xml:space="preserve"> [1]Coibion_update!O632</f>
        <v>4.5681586308473339</v>
      </c>
      <c r="G626">
        <f xml:space="preserve"> [1]Coibion_update!P632</f>
        <v>9.1999999999999993</v>
      </c>
      <c r="H626">
        <f xml:space="preserve"> [1]Coibion_update!Q632</f>
        <v>5.3988321606378999</v>
      </c>
      <c r="I626">
        <f xml:space="preserve"> [1]Coibion_update!W632</f>
        <v>0.17</v>
      </c>
      <c r="J626">
        <f xml:space="preserve"> [1]Coibion_update!X632</f>
        <v>6.2880258324163538</v>
      </c>
      <c r="K626">
        <f xml:space="preserve"> [1]Coibion_update!Y632</f>
        <v>4.7101606331790284</v>
      </c>
      <c r="L626">
        <f xml:space="preserve"> [1]Coibion_update!Z632</f>
        <v>4.6462737408665085</v>
      </c>
      <c r="M626">
        <f xml:space="preserve"> [1]Coibion_update!AA632</f>
        <v>4.6276261528086424</v>
      </c>
      <c r="S626">
        <f xml:space="preserve"> [1]Gertler_Karadi!C380</f>
        <v>-9.6750000000000004E-4</v>
      </c>
      <c r="T626">
        <f xml:space="preserve"> [1]Gertler_Karadi!D380</f>
        <v>-9.6770000000000005E-4</v>
      </c>
      <c r="U626">
        <f xml:space="preserve"> [1]Gertler_Karadi!E380</f>
        <v>-9.68E-4</v>
      </c>
      <c r="V626">
        <f xml:space="preserve"> [1]Gertler_Karadi!F380</f>
        <v>-4.0324000000000002E-3</v>
      </c>
      <c r="W626">
        <f xml:space="preserve"> [1]Gertler_Karadi!G380</f>
        <v>-6.9354000000000004E-3</v>
      </c>
      <c r="X626" s="5">
        <f xml:space="preserve"> [1]misc!N709</f>
        <v>0.27</v>
      </c>
      <c r="Y626">
        <f xml:space="preserve"> [1]Gilchrist_Zak!C458</f>
        <v>8.8200000000000001E-2</v>
      </c>
      <c r="AK626" s="5">
        <v>-1.0112305284131358</v>
      </c>
      <c r="AL626">
        <f xml:space="preserve"> LN([1]misc!B645)</f>
        <v>7.5259633728775883</v>
      </c>
      <c r="AM626">
        <f xml:space="preserve"> LN([1]misc!D645)</f>
        <v>9.08407395397135</v>
      </c>
      <c r="AN626">
        <f xml:space="preserve"> LN([1]misc!G750)</f>
        <v>6.9718683971486932</v>
      </c>
      <c r="AO626">
        <f xml:space="preserve"> LN([1]misc!J656 + [1]misc!L656)</f>
        <v>6.979726111937004</v>
      </c>
    </row>
    <row r="627" spans="1:41" x14ac:dyDescent="0.25">
      <c r="A627">
        <f t="shared" si="47"/>
        <v>2011.0833333332914</v>
      </c>
      <c r="B627" s="1">
        <v>40575</v>
      </c>
      <c r="C627" s="7">
        <f t="shared" si="43"/>
        <v>2011</v>
      </c>
      <c r="D627" s="7">
        <f t="shared" si="44"/>
        <v>2</v>
      </c>
      <c r="E627" s="7">
        <f t="shared" si="45"/>
        <v>1</v>
      </c>
      <c r="F627">
        <f xml:space="preserve"> [1]Coibion_update!O633</f>
        <v>4.5630723779637838</v>
      </c>
      <c r="G627">
        <f xml:space="preserve"> [1]Coibion_update!P633</f>
        <v>9</v>
      </c>
      <c r="H627">
        <f xml:space="preserve"> [1]Coibion_update!Q633</f>
        <v>5.4022448559139793</v>
      </c>
      <c r="I627">
        <f xml:space="preserve"> [1]Coibion_update!W633</f>
        <v>0.16</v>
      </c>
      <c r="J627">
        <f xml:space="preserve"> [1]Coibion_update!X633</f>
        <v>6.3325688960557569</v>
      </c>
      <c r="K627">
        <f xml:space="preserve"> [1]Coibion_update!Y633</f>
        <v>4.709782421754336</v>
      </c>
      <c r="L627">
        <f xml:space="preserve"> [1]Coibion_update!Z633</f>
        <v>4.6469069619681722</v>
      </c>
      <c r="M627">
        <f xml:space="preserve"> [1]Coibion_update!AA633</f>
        <v>4.6287695182384159</v>
      </c>
      <c r="S627">
        <f xml:space="preserve"> [1]Gertler_Karadi!C381</f>
        <v>-4.0321000000000003E-3</v>
      </c>
      <c r="T627">
        <f xml:space="preserve"> [1]Gertler_Karadi!D381</f>
        <v>-4.0321000000000003E-3</v>
      </c>
      <c r="U627">
        <f xml:space="preserve"> [1]Gertler_Karadi!E381</f>
        <v>-4.0321000000000003E-3</v>
      </c>
      <c r="V627">
        <f xml:space="preserve"> [1]Gertler_Karadi!F381</f>
        <v>-8.0645000000000005E-3</v>
      </c>
      <c r="W627">
        <f xml:space="preserve"> [1]Gertler_Karadi!G381</f>
        <v>-2.0161399999999999E-2</v>
      </c>
      <c r="X627" s="5">
        <f xml:space="preserve"> [1]misc!N710</f>
        <v>0.28999999999999998</v>
      </c>
      <c r="Y627">
        <f xml:space="preserve"> [1]Gilchrist_Zak!C459</f>
        <v>-0.2122</v>
      </c>
      <c r="AK627" s="5">
        <v>-1.0913065151525823</v>
      </c>
      <c r="AL627">
        <f xml:space="preserve"> LN([1]misc!B646)</f>
        <v>7.5362039256031457</v>
      </c>
      <c r="AM627">
        <f xml:space="preserve"> LN([1]misc!D646)</f>
        <v>9.0894713294951952</v>
      </c>
      <c r="AN627">
        <f xml:space="preserve"> LN([1]misc!G751)</f>
        <v>7.1059969358080464</v>
      </c>
      <c r="AO627">
        <f xml:space="preserve"> LN([1]misc!J657 + [1]misc!L657)</f>
        <v>7.123372982008652</v>
      </c>
    </row>
    <row r="628" spans="1:41" x14ac:dyDescent="0.25">
      <c r="A628">
        <f t="shared" si="47"/>
        <v>2011.1666666666247</v>
      </c>
      <c r="B628" s="1">
        <v>40603</v>
      </c>
      <c r="C628" s="7">
        <f t="shared" si="43"/>
        <v>2011</v>
      </c>
      <c r="D628" s="7">
        <f t="shared" si="44"/>
        <v>3</v>
      </c>
      <c r="E628" s="7">
        <f t="shared" si="45"/>
        <v>1</v>
      </c>
      <c r="F628">
        <f xml:space="preserve"> [1]Coibion_update!O634</f>
        <v>4.5715668656990776</v>
      </c>
      <c r="G628">
        <f xml:space="preserve"> [1]Coibion_update!P634</f>
        <v>9</v>
      </c>
      <c r="H628">
        <f xml:space="preserve"> [1]Coibion_update!Q634</f>
        <v>5.407369061414216</v>
      </c>
      <c r="I628">
        <f xml:space="preserve"> [1]Coibion_update!W634</f>
        <v>0.14000000000000001</v>
      </c>
      <c r="J628">
        <f xml:space="preserve"> [1]Coibion_update!X634</f>
        <v>6.3393005423795099</v>
      </c>
      <c r="K628">
        <f xml:space="preserve"> [1]Coibion_update!Y634</f>
        <v>4.7240903526436639</v>
      </c>
      <c r="L628">
        <f xml:space="preserve"> [1]Coibion_update!Z634</f>
        <v>4.64389077409969</v>
      </c>
      <c r="M628">
        <f xml:space="preserve"> [1]Coibion_update!AA634</f>
        <v>4.6319776339076819</v>
      </c>
      <c r="S628">
        <f xml:space="preserve"> [1]Gertler_Karadi!C382</f>
        <v>0</v>
      </c>
      <c r="T628">
        <f xml:space="preserve"> [1]Gertler_Karadi!D382</f>
        <v>0</v>
      </c>
      <c r="U628">
        <f xml:space="preserve"> [1]Gertler_Karadi!E382</f>
        <v>0</v>
      </c>
      <c r="V628">
        <f xml:space="preserve"> [1]Gertler_Karadi!F382</f>
        <v>5.4838999999999999E-3</v>
      </c>
      <c r="W628">
        <f xml:space="preserve"> [1]Gertler_Karadi!G382</f>
        <v>1.09677E-2</v>
      </c>
      <c r="X628" s="5">
        <f xml:space="preserve"> [1]misc!N711</f>
        <v>0.26</v>
      </c>
      <c r="Y628">
        <f xml:space="preserve"> [1]Gilchrist_Zak!C460</f>
        <v>-0.24679999999999999</v>
      </c>
      <c r="AK628" s="5">
        <v>-0.99145963271442916</v>
      </c>
      <c r="AL628">
        <f xml:space="preserve"> LN([1]misc!B647)</f>
        <v>7.5453897496118234</v>
      </c>
      <c r="AM628">
        <f xml:space="preserve"> LN([1]misc!D647)</f>
        <v>9.0944804858816468</v>
      </c>
      <c r="AN628">
        <f xml:space="preserve"> LN([1]misc!G752)</f>
        <v>7.2380355276091999</v>
      </c>
      <c r="AO628">
        <f xml:space="preserve"> LN([1]misc!J658 + [1]misc!L658)</f>
        <v>7.2557840522809567</v>
      </c>
    </row>
    <row r="629" spans="1:41" x14ac:dyDescent="0.25">
      <c r="A629">
        <f t="shared" si="47"/>
        <v>2011.2499999999579</v>
      </c>
      <c r="B629" s="1">
        <v>40634</v>
      </c>
      <c r="C629" s="7">
        <f t="shared" si="43"/>
        <v>2011</v>
      </c>
      <c r="D629" s="7">
        <f t="shared" si="44"/>
        <v>4</v>
      </c>
      <c r="E629" s="7">
        <f t="shared" si="45"/>
        <v>2</v>
      </c>
      <c r="F629">
        <f xml:space="preserve"> [1]Coibion_update!O635</f>
        <v>4.5673655097810952</v>
      </c>
      <c r="G629">
        <f xml:space="preserve"> [1]Coibion_update!P635</f>
        <v>9.1</v>
      </c>
      <c r="H629">
        <f xml:space="preserve"> [1]Coibion_update!Q635</f>
        <v>5.4119138731305769</v>
      </c>
      <c r="I629">
        <f xml:space="preserve"> [1]Coibion_update!W635</f>
        <v>0.1</v>
      </c>
      <c r="J629">
        <f xml:space="preserve"> [1]Coibion_update!X635</f>
        <v>6.3555172086355993</v>
      </c>
      <c r="K629">
        <f xml:space="preserve"> [1]Coibion_update!Y635</f>
        <v>4.7166936714733305</v>
      </c>
      <c r="L629">
        <f xml:space="preserve"> [1]Coibion_update!Z635</f>
        <v>4.6467918606789107</v>
      </c>
      <c r="M629">
        <f xml:space="preserve"> [1]Coibion_update!AA635</f>
        <v>4.6314128161924488</v>
      </c>
      <c r="S629">
        <f xml:space="preserve"> [1]Gertler_Karadi!C383</f>
        <v>0</v>
      </c>
      <c r="T629">
        <f xml:space="preserve"> [1]Gertler_Karadi!D383</f>
        <v>0</v>
      </c>
      <c r="U629">
        <f xml:space="preserve"> [1]Gertler_Karadi!E383</f>
        <v>0</v>
      </c>
      <c r="V629">
        <f xml:space="preserve"> [1]Gertler_Karadi!F383</f>
        <v>4.5161000000000003E-3</v>
      </c>
      <c r="W629">
        <f xml:space="preserve"> [1]Gertler_Karadi!G383</f>
        <v>9.0322000000000006E-3</v>
      </c>
      <c r="X629" s="5">
        <f xml:space="preserve"> [1]misc!N712</f>
        <v>0.25</v>
      </c>
      <c r="Y629">
        <f xml:space="preserve"> [1]Gilchrist_Zak!C461</f>
        <v>-0.2112</v>
      </c>
      <c r="AK629" s="5">
        <v>-1.0662775840722656</v>
      </c>
      <c r="AL629">
        <f xml:space="preserve"> LN([1]misc!B648)</f>
        <v>7.5484505995396578</v>
      </c>
      <c r="AM629">
        <f xml:space="preserve"> LN([1]misc!D648)</f>
        <v>9.100090143355283</v>
      </c>
      <c r="AN629">
        <f xml:space="preserve"> LN([1]misc!G753)</f>
        <v>7.302595475425318</v>
      </c>
      <c r="AO629">
        <f xml:space="preserve"> LN([1]misc!J659 + [1]misc!L659)</f>
        <v>7.3190606329390073</v>
      </c>
    </row>
    <row r="630" spans="1:41" x14ac:dyDescent="0.25">
      <c r="A630">
        <f t="shared" si="47"/>
        <v>2011.3333333332912</v>
      </c>
      <c r="B630" s="1">
        <v>40664</v>
      </c>
      <c r="C630" s="7">
        <f t="shared" si="43"/>
        <v>2011</v>
      </c>
      <c r="D630" s="7">
        <f t="shared" si="44"/>
        <v>5</v>
      </c>
      <c r="E630" s="7">
        <f t="shared" si="45"/>
        <v>2</v>
      </c>
      <c r="F630">
        <f xml:space="preserve"> [1]Coibion_update!O636</f>
        <v>4.5699967913802055</v>
      </c>
      <c r="G630">
        <f xml:space="preserve"> [1]Coibion_update!P636</f>
        <v>9</v>
      </c>
      <c r="H630">
        <f xml:space="preserve"> [1]Coibion_update!Q636</f>
        <v>5.4155180104250231</v>
      </c>
      <c r="I630">
        <f xml:space="preserve"> [1]Coibion_update!W636</f>
        <v>0.09</v>
      </c>
      <c r="J630">
        <f xml:space="preserve"> [1]Coibion_update!X636</f>
        <v>6.3263998890256188</v>
      </c>
      <c r="K630">
        <f xml:space="preserve"> [1]Coibion_update!Y636</f>
        <v>4.7058115841059411</v>
      </c>
      <c r="L630">
        <f xml:space="preserve"> [1]Coibion_update!Z636</f>
        <v>4.6425430390528932</v>
      </c>
      <c r="M630">
        <f xml:space="preserve"> [1]Coibion_update!AA636</f>
        <v>4.6337770789970874</v>
      </c>
      <c r="S630">
        <f xml:space="preserve"> [1]Gertler_Karadi!C384</f>
        <v>0</v>
      </c>
      <c r="T630">
        <f xml:space="preserve"> [1]Gertler_Karadi!D384</f>
        <v>0</v>
      </c>
      <c r="U630">
        <f xml:space="preserve"> [1]Gertler_Karadi!E384</f>
        <v>0</v>
      </c>
      <c r="V630">
        <f xml:space="preserve"> [1]Gertler_Karadi!F384</f>
        <v>0</v>
      </c>
      <c r="W630">
        <f xml:space="preserve"> [1]Gertler_Karadi!G384</f>
        <v>0</v>
      </c>
      <c r="X630" s="5">
        <f xml:space="preserve"> [1]misc!N713</f>
        <v>0.19</v>
      </c>
      <c r="Y630">
        <f xml:space="preserve"> [1]Gilchrist_Zak!C462</f>
        <v>-7.7299999999999994E-2</v>
      </c>
      <c r="AK630" s="5">
        <v>-1.1404344508762341</v>
      </c>
      <c r="AL630">
        <f xml:space="preserve"> LN([1]misc!B649)</f>
        <v>7.5675007829080521</v>
      </c>
      <c r="AM630">
        <f xml:space="preserve"> LN([1]misc!D649)</f>
        <v>9.1066340429524892</v>
      </c>
      <c r="AN630">
        <f xml:space="preserve"> LN([1]misc!G754)</f>
        <v>7.3437405393845037</v>
      </c>
      <c r="AO630">
        <f xml:space="preserve"> LN([1]misc!J660 + [1]misc!L660)</f>
        <v>7.360545987245743</v>
      </c>
    </row>
    <row r="631" spans="1:41" x14ac:dyDescent="0.25">
      <c r="A631">
        <f t="shared" si="47"/>
        <v>2011.4166666666245</v>
      </c>
      <c r="B631" s="1">
        <v>40695</v>
      </c>
      <c r="C631" s="7">
        <f t="shared" si="43"/>
        <v>2011</v>
      </c>
      <c r="D631" s="7">
        <f t="shared" si="44"/>
        <v>6</v>
      </c>
      <c r="E631" s="7">
        <f t="shared" si="45"/>
        <v>2</v>
      </c>
      <c r="F631">
        <f xml:space="preserve"> [1]Coibion_update!O637</f>
        <v>4.5722460874838582</v>
      </c>
      <c r="G631">
        <f xml:space="preserve"> [1]Coibion_update!P637</f>
        <v>9.1</v>
      </c>
      <c r="H631">
        <f xml:space="preserve"> [1]Coibion_update!Q637</f>
        <v>5.4153934857311707</v>
      </c>
      <c r="I631">
        <f xml:space="preserve"> [1]Coibion_update!W637</f>
        <v>0.09</v>
      </c>
      <c r="J631">
        <f xml:space="preserve"> [1]Coibion_update!X637</f>
        <v>6.3231395812453908</v>
      </c>
      <c r="K631">
        <f xml:space="preserve"> [1]Coibion_update!Y637</f>
        <v>4.701634245271908</v>
      </c>
      <c r="L631">
        <f xml:space="preserve"> [1]Coibion_update!Z637</f>
        <v>4.6484020743800922</v>
      </c>
      <c r="M631">
        <f xml:space="preserve"> [1]Coibion_update!AA637</f>
        <v>4.6351560814783479</v>
      </c>
      <c r="S631">
        <f xml:space="preserve"> [1]Gertler_Karadi!C385</f>
        <v>0</v>
      </c>
      <c r="T631">
        <f xml:space="preserve"> [1]Gertler_Karadi!D385</f>
        <v>-1.5001000000000001E-3</v>
      </c>
      <c r="U631">
        <f xml:space="preserve"> [1]Gertler_Karadi!E385</f>
        <v>1.5001000000000001E-3</v>
      </c>
      <c r="V631">
        <f xml:space="preserve"> [1]Gertler_Karadi!F385</f>
        <v>1.5001000000000001E-3</v>
      </c>
      <c r="W631">
        <f xml:space="preserve"> [1]Gertler_Karadi!G385</f>
        <v>4.5002000000000002E-3</v>
      </c>
      <c r="X631" s="5">
        <f xml:space="preserve"> [1]misc!N714</f>
        <v>0.18</v>
      </c>
      <c r="Y631">
        <f xml:space="preserve"> [1]Gilchrist_Zak!C463</f>
        <v>8.8099999999999998E-2</v>
      </c>
      <c r="AK631" s="5">
        <v>-1.1218285960584504</v>
      </c>
      <c r="AL631">
        <f xml:space="preserve"> LN([1]misc!B650)</f>
        <v>7.5740450053721995</v>
      </c>
      <c r="AM631">
        <f xml:space="preserve"> LN([1]misc!D650)</f>
        <v>9.1158208794962317</v>
      </c>
      <c r="AN631">
        <f xml:space="preserve"> LN([1]misc!G755)</f>
        <v>7.39162852881927</v>
      </c>
      <c r="AO631">
        <f xml:space="preserve"> LN([1]misc!J661 + [1]misc!L661)</f>
        <v>7.4105721178741639</v>
      </c>
    </row>
    <row r="632" spans="1:41" x14ac:dyDescent="0.25">
      <c r="A632">
        <f t="shared" si="47"/>
        <v>2011.4999999999577</v>
      </c>
      <c r="B632" s="1">
        <v>40725</v>
      </c>
      <c r="C632" s="7">
        <f t="shared" si="43"/>
        <v>2011</v>
      </c>
      <c r="D632" s="7">
        <f t="shared" si="44"/>
        <v>7</v>
      </c>
      <c r="E632" s="7">
        <f t="shared" si="45"/>
        <v>3</v>
      </c>
      <c r="F632">
        <f xml:space="preserve"> [1]Coibion_update!O638</f>
        <v>4.5764733421536405</v>
      </c>
      <c r="G632">
        <f xml:space="preserve"> [1]Coibion_update!P638</f>
        <v>9</v>
      </c>
      <c r="H632">
        <f xml:space="preserve"> [1]Coibion_update!Q638</f>
        <v>5.4179608926404867</v>
      </c>
      <c r="I632">
        <f xml:space="preserve"> [1]Coibion_update!W638</f>
        <v>7.0000000000000007E-2</v>
      </c>
      <c r="J632">
        <f xml:space="preserve"> [1]Coibion_update!X638</f>
        <v>6.315900349904064</v>
      </c>
      <c r="K632">
        <f xml:space="preserve"> [1]Coibion_update!Y638</f>
        <v>4.7168725495505104</v>
      </c>
      <c r="L632">
        <f xml:space="preserve"> [1]Coibion_update!Z638</f>
        <v>4.6453519756209234</v>
      </c>
      <c r="M632">
        <f xml:space="preserve"> [1]Coibion_update!AA638</f>
        <v>4.6380632292901165</v>
      </c>
      <c r="S632">
        <f xml:space="preserve"> [1]Gertler_Karadi!C386</f>
        <v>0</v>
      </c>
      <c r="T632">
        <f xml:space="preserve"> [1]Gertler_Karadi!D386</f>
        <v>-3.5000000000000001E-3</v>
      </c>
      <c r="U632">
        <f xml:space="preserve"> [1]Gertler_Karadi!E386</f>
        <v>3.5000000000000001E-3</v>
      </c>
      <c r="V632">
        <f xml:space="preserve"> [1]Gertler_Karadi!F386</f>
        <v>3.5000000000000001E-3</v>
      </c>
      <c r="W632">
        <f xml:space="preserve"> [1]Gertler_Karadi!G386</f>
        <v>1.0500000000000001E-2</v>
      </c>
      <c r="X632" s="5">
        <f xml:space="preserve"> [1]misc!N715</f>
        <v>0.19</v>
      </c>
      <c r="Y632">
        <f xml:space="preserve"> [1]Gilchrist_Zak!C464</f>
        <v>-1.18E-2</v>
      </c>
      <c r="AK632" s="5">
        <v>-1.1922176508092663</v>
      </c>
      <c r="AL632">
        <f xml:space="preserve"> LN([1]misc!B651)</f>
        <v>7.6016521784326283</v>
      </c>
      <c r="AM632">
        <f xml:space="preserve"> LN([1]misc!D651)</f>
        <v>9.1365323548314592</v>
      </c>
      <c r="AN632">
        <f xml:space="preserve"> LN([1]misc!G756)</f>
        <v>7.4098678541454923</v>
      </c>
      <c r="AO632">
        <f xml:space="preserve"> LN([1]misc!J662 + [1]misc!L662)</f>
        <v>7.4290685149823759</v>
      </c>
    </row>
    <row r="633" spans="1:41" x14ac:dyDescent="0.25">
      <c r="A633">
        <f t="shared" si="47"/>
        <v>2011.583333333291</v>
      </c>
      <c r="B633" s="1">
        <v>40756</v>
      </c>
      <c r="C633" s="7">
        <f t="shared" si="43"/>
        <v>2011</v>
      </c>
      <c r="D633" s="7">
        <f t="shared" si="44"/>
        <v>8</v>
      </c>
      <c r="E633" s="7">
        <f t="shared" si="45"/>
        <v>3</v>
      </c>
      <c r="F633">
        <f xml:space="preserve"> [1]Coibion_update!O639</f>
        <v>4.5826167587084248</v>
      </c>
      <c r="G633">
        <f xml:space="preserve"> [1]Coibion_update!P639</f>
        <v>9</v>
      </c>
      <c r="H633">
        <f xml:space="preserve"> [1]Coibion_update!Q639</f>
        <v>5.4208977653231321</v>
      </c>
      <c r="I633">
        <f xml:space="preserve"> [1]Coibion_update!W639</f>
        <v>0.1</v>
      </c>
      <c r="J633">
        <f xml:space="preserve"> [1]Coibion_update!X639</f>
        <v>6.2981952862284594</v>
      </c>
      <c r="K633">
        <f xml:space="preserve"> [1]Coibion_update!Y639</f>
        <v>4.713028579350242</v>
      </c>
      <c r="L633">
        <f xml:space="preserve"> [1]Coibion_update!Z639</f>
        <v>4.6422636381251987</v>
      </c>
      <c r="M633">
        <f xml:space="preserve"> [1]Coibion_update!AA639</f>
        <v>4.6389143919522517</v>
      </c>
      <c r="S633">
        <f xml:space="preserve"> [1]Gertler_Karadi!C387</f>
        <v>-5.2233000000000002E-3</v>
      </c>
      <c r="T633">
        <f xml:space="preserve"> [1]Gertler_Karadi!D387</f>
        <v>-3.7096E-3</v>
      </c>
      <c r="U633">
        <f xml:space="preserve"> [1]Gertler_Karadi!E387</f>
        <v>3.7098000000000001E-3</v>
      </c>
      <c r="V633">
        <f xml:space="preserve"> [1]Gertler_Karadi!F387</f>
        <v>-2.5967799999999999E-2</v>
      </c>
      <c r="W633">
        <f xml:space="preserve"> [1]Gertler_Karadi!G387</f>
        <v>-5.9354999999999998E-2</v>
      </c>
      <c r="X633" s="5">
        <f xml:space="preserve"> [1]misc!N716</f>
        <v>0.11</v>
      </c>
      <c r="Y633">
        <f xml:space="preserve"> [1]Gilchrist_Zak!C465</f>
        <v>-0.2356</v>
      </c>
      <c r="AK633" s="5">
        <v>-1.3770837142732191</v>
      </c>
      <c r="AL633">
        <f xml:space="preserve"> LN([1]misc!B652)</f>
        <v>7.6558166904194742</v>
      </c>
      <c r="AM633">
        <f xml:space="preserve"> LN([1]misc!D652)</f>
        <v>9.1582678266830726</v>
      </c>
      <c r="AN633">
        <f xml:space="preserve"> LN([1]misc!G757)</f>
        <v>7.3908355352394404</v>
      </c>
      <c r="AO633">
        <f xml:space="preserve"> LN([1]misc!J663 + [1]misc!L663)</f>
        <v>7.4114741092080081</v>
      </c>
    </row>
    <row r="634" spans="1:41" x14ac:dyDescent="0.25">
      <c r="A634">
        <f t="shared" si="47"/>
        <v>2011.6666666666242</v>
      </c>
      <c r="B634" s="1">
        <v>40787</v>
      </c>
      <c r="C634" s="7">
        <f t="shared" si="43"/>
        <v>2011</v>
      </c>
      <c r="D634" s="7">
        <f t="shared" si="44"/>
        <v>9</v>
      </c>
      <c r="E634" s="7">
        <f t="shared" si="45"/>
        <v>3</v>
      </c>
      <c r="F634">
        <f xml:space="preserve"> [1]Coibion_update!O640</f>
        <v>4.5826811936422036</v>
      </c>
      <c r="G634">
        <f xml:space="preserve"> [1]Coibion_update!P640</f>
        <v>9</v>
      </c>
      <c r="H634">
        <f xml:space="preserve"> [1]Coibion_update!Q640</f>
        <v>5.4235216851249035</v>
      </c>
      <c r="I634">
        <f xml:space="preserve"> [1]Coibion_update!W640</f>
        <v>0.08</v>
      </c>
      <c r="J634">
        <f xml:space="preserve"> [1]Coibion_update!X640</f>
        <v>6.2687742621659206</v>
      </c>
      <c r="K634">
        <f xml:space="preserve"> [1]Coibion_update!Y640</f>
        <v>4.7320318855776788</v>
      </c>
      <c r="L634">
        <f xml:space="preserve"> [1]Coibion_update!Z640</f>
        <v>4.6423696269771977</v>
      </c>
      <c r="M634">
        <f xml:space="preserve"> [1]Coibion_update!AA640</f>
        <v>4.6397358504254003</v>
      </c>
      <c r="S634">
        <f xml:space="preserve"> [1]Gertler_Karadi!C388</f>
        <v>9.6319999999999999E-4</v>
      </c>
      <c r="T634">
        <f xml:space="preserve"> [1]Gertler_Karadi!D388</f>
        <v>5.3762999999999997E-3</v>
      </c>
      <c r="U634">
        <f xml:space="preserve"> [1]Gertler_Karadi!E388</f>
        <v>1.96238E-2</v>
      </c>
      <c r="V634">
        <f xml:space="preserve"> [1]Gertler_Karadi!F388</f>
        <v>1.26345E-2</v>
      </c>
      <c r="W634">
        <f xml:space="preserve"> [1]Gertler_Karadi!G388</f>
        <v>1.0215999999999999E-3</v>
      </c>
      <c r="X634" s="5">
        <f xml:space="preserve"> [1]misc!N717</f>
        <v>0.1</v>
      </c>
      <c r="Y634">
        <f xml:space="preserve"> [1]Gilchrist_Zak!C466</f>
        <v>0.30280000000000001</v>
      </c>
      <c r="AK634" s="5">
        <v>-1.4024179299210648</v>
      </c>
      <c r="AL634">
        <f xml:space="preserve"> LN([1]misc!B653)</f>
        <v>7.6619975589018932</v>
      </c>
      <c r="AM634">
        <f xml:space="preserve"> LN([1]misc!D653)</f>
        <v>9.1612446611321197</v>
      </c>
      <c r="AN634">
        <f xml:space="preserve"> LN([1]misc!G758)</f>
        <v>7.3758470818519166</v>
      </c>
      <c r="AO634">
        <f xml:space="preserve"> LN([1]misc!J664 + [1]misc!L664)</f>
        <v>7.3967413463196499</v>
      </c>
    </row>
    <row r="635" spans="1:41" x14ac:dyDescent="0.25">
      <c r="A635">
        <f t="shared" si="47"/>
        <v>2011.7499999999575</v>
      </c>
      <c r="B635" s="1">
        <v>40817</v>
      </c>
      <c r="C635" s="7">
        <f t="shared" si="43"/>
        <v>2011</v>
      </c>
      <c r="D635" s="7">
        <f t="shared" si="44"/>
        <v>10</v>
      </c>
      <c r="E635" s="7">
        <f t="shared" si="45"/>
        <v>4</v>
      </c>
      <c r="F635">
        <f xml:space="preserve"> [1]Coibion_update!O641</f>
        <v>4.5893415718311763</v>
      </c>
      <c r="G635">
        <f xml:space="preserve"> [1]Coibion_update!P641</f>
        <v>8.8000000000000007</v>
      </c>
      <c r="H635">
        <f xml:space="preserve"> [1]Coibion_update!Q641</f>
        <v>5.4241170715593015</v>
      </c>
      <c r="I635">
        <f xml:space="preserve"> [1]Coibion_update!W641</f>
        <v>7.0000000000000007E-2</v>
      </c>
      <c r="J635">
        <f xml:space="preserve"> [1]Coibion_update!X641</f>
        <v>6.2282151018284084</v>
      </c>
      <c r="K635">
        <f xml:space="preserve"> [1]Coibion_update!Y641</f>
        <v>4.7486556223301761</v>
      </c>
      <c r="L635">
        <f xml:space="preserve"> [1]Coibion_update!Z641</f>
        <v>4.6478847883956282</v>
      </c>
      <c r="M635">
        <f xml:space="preserve"> [1]Coibion_update!AA641</f>
        <v>4.6393976845373182</v>
      </c>
      <c r="S635">
        <f xml:space="preserve"> [1]Gertler_Karadi!C389</f>
        <v>5.5599000000000004E-3</v>
      </c>
      <c r="T635">
        <f xml:space="preserve"> [1]Gertler_Karadi!D389</f>
        <v>1.3333299999999999E-2</v>
      </c>
      <c r="U635">
        <f xml:space="preserve"> [1]Gertler_Karadi!E389</f>
        <v>3.6666400000000002E-2</v>
      </c>
      <c r="V635">
        <f xml:space="preserve"> [1]Gertler_Karadi!F389</f>
        <v>4.3333299999999998E-2</v>
      </c>
      <c r="W635">
        <f xml:space="preserve"> [1]Gertler_Karadi!G389</f>
        <v>4.3333299999999998E-2</v>
      </c>
      <c r="X635" s="5">
        <f xml:space="preserve"> [1]misc!N718</f>
        <v>0.11</v>
      </c>
      <c r="Y635">
        <f xml:space="preserve"> [1]Gilchrist_Zak!C467</f>
        <v>-0.29389999999999999</v>
      </c>
      <c r="AK635" s="5">
        <v>-1.4372149062150505</v>
      </c>
      <c r="AL635">
        <f xml:space="preserve"> LN([1]misc!B654)</f>
        <v>7.6673454160907966</v>
      </c>
      <c r="AM635">
        <f xml:space="preserve"> LN([1]misc!D654)</f>
        <v>9.1645372421743687</v>
      </c>
      <c r="AN635">
        <f xml:space="preserve"> LN([1]misc!G759)</f>
        <v>7.3730271058877834</v>
      </c>
      <c r="AO635">
        <f xml:space="preserve"> LN([1]misc!J665 + [1]misc!L665)</f>
        <v>7.3944433210995824</v>
      </c>
    </row>
    <row r="636" spans="1:41" x14ac:dyDescent="0.25">
      <c r="A636">
        <f t="shared" si="47"/>
        <v>2011.8333333332907</v>
      </c>
      <c r="B636" s="1">
        <v>40848</v>
      </c>
      <c r="C636" s="7">
        <f t="shared" si="43"/>
        <v>2011</v>
      </c>
      <c r="D636" s="7">
        <f t="shared" si="44"/>
        <v>11</v>
      </c>
      <c r="E636" s="7">
        <f t="shared" si="45"/>
        <v>4</v>
      </c>
      <c r="F636">
        <f xml:space="preserve"> [1]Coibion_update!O642</f>
        <v>4.5878500547471477</v>
      </c>
      <c r="G636">
        <f xml:space="preserve"> [1]Coibion_update!P642</f>
        <v>8.6</v>
      </c>
      <c r="H636">
        <f xml:space="preserve"> [1]Coibion_update!Q642</f>
        <v>5.4256414083715754</v>
      </c>
      <c r="I636">
        <f xml:space="preserve"> [1]Coibion_update!W642</f>
        <v>0.08</v>
      </c>
      <c r="J636">
        <f xml:space="preserve"> [1]Coibion_update!X642</f>
        <v>6.2067372040416222</v>
      </c>
      <c r="K636">
        <f xml:space="preserve"> [1]Coibion_update!Y642</f>
        <v>4.7454798044482764</v>
      </c>
      <c r="L636">
        <f xml:space="preserve"> [1]Coibion_update!Z642</f>
        <v>4.6451021845794367</v>
      </c>
      <c r="M636">
        <f xml:space="preserve"> [1]Coibion_update!AA642</f>
        <v>4.6388950553897121</v>
      </c>
      <c r="S636">
        <f xml:space="preserve"> [1]Gertler_Karadi!C390</f>
        <v>0</v>
      </c>
      <c r="T636">
        <f xml:space="preserve"> [1]Gertler_Karadi!D390</f>
        <v>9.6667000000000003E-3</v>
      </c>
      <c r="U636">
        <f xml:space="preserve"> [1]Gertler_Karadi!E390</f>
        <v>9.6669000000000008E-3</v>
      </c>
      <c r="V636">
        <f xml:space="preserve"> [1]Gertler_Karadi!F390</f>
        <v>9.6667000000000003E-3</v>
      </c>
      <c r="W636">
        <f xml:space="preserve"> [1]Gertler_Karadi!G390</f>
        <v>1.45001E-2</v>
      </c>
      <c r="X636" s="5">
        <f xml:space="preserve"> [1]misc!N719</f>
        <v>0.11</v>
      </c>
      <c r="Y636">
        <f xml:space="preserve"> [1]Gilchrist_Zak!C468</f>
        <v>0.39450000000000002</v>
      </c>
      <c r="AK636" s="5">
        <v>-1.4835113829120159</v>
      </c>
      <c r="AL636">
        <f xml:space="preserve"> LN([1]misc!B655)</f>
        <v>7.683403681053826</v>
      </c>
      <c r="AM636">
        <f xml:space="preserve"> LN([1]misc!D655)</f>
        <v>9.1689974084418004</v>
      </c>
      <c r="AN636">
        <f xml:space="preserve"> LN([1]misc!G760)</f>
        <v>7.3435064329167288</v>
      </c>
      <c r="AO636">
        <f xml:space="preserve"> LN([1]misc!J666 + [1]misc!L666)</f>
        <v>7.366041780007027</v>
      </c>
    </row>
    <row r="637" spans="1:41" x14ac:dyDescent="0.25">
      <c r="A637">
        <f t="shared" si="47"/>
        <v>2011.916666666624</v>
      </c>
      <c r="B637" s="1">
        <v>40878</v>
      </c>
      <c r="C637" s="7">
        <f t="shared" si="43"/>
        <v>2011</v>
      </c>
      <c r="D637" s="7">
        <f t="shared" si="44"/>
        <v>12</v>
      </c>
      <c r="E637" s="7">
        <f t="shared" si="45"/>
        <v>4</v>
      </c>
      <c r="F637">
        <f xml:space="preserve"> [1]Coibion_update!O643</f>
        <v>4.5929366606289221</v>
      </c>
      <c r="G637">
        <f xml:space="preserve"> [1]Coibion_update!P643</f>
        <v>8.5</v>
      </c>
      <c r="H637">
        <f xml:space="preserve"> [1]Coibion_update!Q643</f>
        <v>5.4255885800767283</v>
      </c>
      <c r="I637">
        <f xml:space="preserve"> [1]Coibion_update!W643</f>
        <v>7.0000000000000007E-2</v>
      </c>
      <c r="J637">
        <f xml:space="preserve"> [1]Coibion_update!X643</f>
        <v>6.175721729369692</v>
      </c>
      <c r="K637">
        <f xml:space="preserve"> [1]Coibion_update!Y643</f>
        <v>4.7525896907727807</v>
      </c>
      <c r="L637">
        <f xml:space="preserve"> [1]Coibion_update!Z643</f>
        <v>4.6404697599750246</v>
      </c>
      <c r="M637">
        <f xml:space="preserve"> [1]Coibion_update!AA643</f>
        <v>4.6389047237177197</v>
      </c>
      <c r="S637">
        <f xml:space="preserve"> [1]Gertler_Karadi!C391</f>
        <v>2.6416999999999999E-3</v>
      </c>
      <c r="T637">
        <f xml:space="preserve"> [1]Gertler_Karadi!D391</f>
        <v>3.3330000000000002E-4</v>
      </c>
      <c r="U637">
        <f xml:space="preserve"> [1]Gertler_Karadi!E391</f>
        <v>6.4621000000000001E-3</v>
      </c>
      <c r="V637">
        <f xml:space="preserve"> [1]Gertler_Karadi!F391</f>
        <v>6.4622999999999998E-3</v>
      </c>
      <c r="W637">
        <f xml:space="preserve"> [1]Gertler_Karadi!G391</f>
        <v>6.6290000000000003E-3</v>
      </c>
      <c r="X637" s="5">
        <f xml:space="preserve"> [1]misc!N720</f>
        <v>0.12</v>
      </c>
      <c r="Y637">
        <f xml:space="preserve"> [1]Gilchrist_Zak!C469</f>
        <v>0.12039999999999999</v>
      </c>
      <c r="AK637" s="5">
        <v>-1.4664151908827243</v>
      </c>
      <c r="AL637">
        <f xml:space="preserve"> LN([1]misc!B656)</f>
        <v>7.6816526092271911</v>
      </c>
      <c r="AM637">
        <f xml:space="preserve"> LN([1]misc!D656)</f>
        <v>9.1731160646779131</v>
      </c>
      <c r="AN637">
        <f xml:space="preserve"> LN([1]misc!G761)</f>
        <v>7.346037951463976</v>
      </c>
      <c r="AO637">
        <f xml:space="preserve"> LN([1]misc!J667 + [1]misc!L667)</f>
        <v>7.3699623438536683</v>
      </c>
    </row>
    <row r="638" spans="1:41" x14ac:dyDescent="0.25">
      <c r="A638">
        <f t="shared" si="47"/>
        <v>2011.9999999999573</v>
      </c>
      <c r="B638" s="1">
        <v>40909</v>
      </c>
      <c r="C638" s="7">
        <f t="shared" si="43"/>
        <v>2012</v>
      </c>
      <c r="D638" s="7">
        <f t="shared" si="44"/>
        <v>1</v>
      </c>
      <c r="E638" s="7">
        <f t="shared" si="45"/>
        <v>1</v>
      </c>
      <c r="F638">
        <f xml:space="preserve"> [1]Coibion_update!O644</f>
        <v>4.6002541219224788</v>
      </c>
      <c r="G638">
        <f xml:space="preserve"> [1]Coibion_update!P644</f>
        <v>8.3000000000000007</v>
      </c>
      <c r="H638">
        <f xml:space="preserve"> [1]Coibion_update!Q644</f>
        <v>5.4282880523735608</v>
      </c>
      <c r="I638">
        <f xml:space="preserve"> [1]Coibion_update!W644</f>
        <v>0.08</v>
      </c>
      <c r="J638">
        <f xml:space="preserve"> [1]Coibion_update!X644</f>
        <v>6.1913599421023813</v>
      </c>
      <c r="K638">
        <f xml:space="preserve"> [1]Coibion_update!Y644</f>
        <v>4.7674675909511182</v>
      </c>
      <c r="L638">
        <f xml:space="preserve"> [1]Coibion_update!Z644</f>
        <v>4.6474151675818369</v>
      </c>
      <c r="M638">
        <f xml:space="preserve"> [1]Coibion_update!AA644</f>
        <v>4.6405373298253823</v>
      </c>
      <c r="S638">
        <f xml:space="preserve"> [1]Gertler_Karadi!C392</f>
        <v>5.3930000000000004E-4</v>
      </c>
      <c r="T638">
        <f xml:space="preserve"> [1]Gertler_Karadi!D392</f>
        <v>0</v>
      </c>
      <c r="U638">
        <f xml:space="preserve"> [1]Gertler_Karadi!E392</f>
        <v>4.84E-4</v>
      </c>
      <c r="V638">
        <f xml:space="preserve"> [1]Gertler_Karadi!F392</f>
        <v>-1.7741E-3</v>
      </c>
      <c r="W638">
        <f xml:space="preserve"> [1]Gertler_Karadi!G392</f>
        <v>-4.0324000000000002E-3</v>
      </c>
      <c r="X638" s="5">
        <f xml:space="preserve"> [1]misc!N721</f>
        <v>0.12</v>
      </c>
      <c r="Y638">
        <f xml:space="preserve"> [1]Gilchrist_Zak!C470</f>
        <v>3.8199999999999998E-2</v>
      </c>
      <c r="AK638" s="5">
        <v>-1.5397667112328284</v>
      </c>
      <c r="AL638">
        <f xml:space="preserve"> LN([1]misc!B657)</f>
        <v>7.6972575477848455</v>
      </c>
      <c r="AM638">
        <f xml:space="preserve"> LN([1]misc!D657)</f>
        <v>9.1812719494788357</v>
      </c>
      <c r="AN638">
        <f xml:space="preserve"> LN([1]misc!G762)</f>
        <v>7.3581395766320092</v>
      </c>
      <c r="AO638">
        <f xml:space="preserve"> LN([1]misc!J668 + [1]misc!L668)</f>
        <v>7.3813069813654257</v>
      </c>
    </row>
    <row r="639" spans="1:41" x14ac:dyDescent="0.25">
      <c r="A639">
        <f t="shared" si="47"/>
        <v>2012.0833333332905</v>
      </c>
      <c r="B639" s="1">
        <v>40940</v>
      </c>
      <c r="C639" s="7">
        <f t="shared" si="43"/>
        <v>2012</v>
      </c>
      <c r="D639" s="7">
        <f t="shared" si="44"/>
        <v>2</v>
      </c>
      <c r="E639" s="7">
        <f t="shared" si="45"/>
        <v>1</v>
      </c>
      <c r="F639">
        <f xml:space="preserve"> [1]Coibion_update!O645</f>
        <v>4.6025557713826064</v>
      </c>
      <c r="G639">
        <f xml:space="preserve"> [1]Coibion_update!P645</f>
        <v>8.3000000000000007</v>
      </c>
      <c r="H639">
        <f xml:space="preserve"> [1]Coibion_update!Q645</f>
        <v>5.4305948483548727</v>
      </c>
      <c r="I639">
        <f xml:space="preserve"> [1]Coibion_update!W645</f>
        <v>0.1</v>
      </c>
      <c r="J639">
        <f xml:space="preserve"> [1]Coibion_update!X645</f>
        <v>6.2125058903303216</v>
      </c>
      <c r="K639">
        <f xml:space="preserve"> [1]Coibion_update!Y645</f>
        <v>4.7783837237513183</v>
      </c>
      <c r="L639">
        <f xml:space="preserve"> [1]Coibion_update!Z645</f>
        <v>4.6509080776619456</v>
      </c>
      <c r="M639">
        <f xml:space="preserve"> [1]Coibion_update!AA645</f>
        <v>4.6439003942481296</v>
      </c>
      <c r="S639">
        <f xml:space="preserve"> [1]Gertler_Karadi!C393</f>
        <v>-3.8709999999999999E-3</v>
      </c>
      <c r="T639">
        <f xml:space="preserve"> [1]Gertler_Karadi!D393</f>
        <v>0</v>
      </c>
      <c r="U639">
        <f xml:space="preserve"> [1]Gertler_Karadi!E393</f>
        <v>-1.1612900000000001E-2</v>
      </c>
      <c r="V639">
        <f xml:space="preserve"> [1]Gertler_Karadi!F393</f>
        <v>-1.9354799999999998E-2</v>
      </c>
      <c r="W639">
        <f xml:space="preserve"> [1]Gertler_Karadi!G393</f>
        <v>-2.7096700000000001E-2</v>
      </c>
      <c r="X639" s="5">
        <f xml:space="preserve"> [1]misc!N722</f>
        <v>0.16</v>
      </c>
      <c r="Y639">
        <f xml:space="preserve"> [1]Gilchrist_Zak!C471</f>
        <v>-0.114</v>
      </c>
      <c r="AK639" s="5">
        <v>-1.4516705880030361</v>
      </c>
      <c r="AL639">
        <f xml:space="preserve"> LN([1]misc!B658)</f>
        <v>7.7017427744681539</v>
      </c>
      <c r="AM639">
        <f xml:space="preserve"> LN([1]misc!D658)</f>
        <v>9.1857300060034657</v>
      </c>
      <c r="AN639">
        <f xml:space="preserve"> LN([1]misc!G763)</f>
        <v>7.3838496966595555</v>
      </c>
      <c r="AO639">
        <f xml:space="preserve"> LN([1]misc!J669 + [1]misc!L669)</f>
        <v>7.4085293547726794</v>
      </c>
    </row>
    <row r="640" spans="1:41" x14ac:dyDescent="0.25">
      <c r="A640">
        <f t="shared" si="47"/>
        <v>2012.1666666666238</v>
      </c>
      <c r="B640" s="1">
        <v>40969</v>
      </c>
      <c r="C640" s="7">
        <f t="shared" si="43"/>
        <v>2012</v>
      </c>
      <c r="D640" s="7">
        <f t="shared" si="44"/>
        <v>3</v>
      </c>
      <c r="E640" s="7">
        <f t="shared" si="45"/>
        <v>1</v>
      </c>
      <c r="F640">
        <f xml:space="preserve"> [1]Coibion_update!O646</f>
        <v>4.5960154085983316</v>
      </c>
      <c r="G640">
        <f xml:space="preserve"> [1]Coibion_update!P646</f>
        <v>8.1999999999999993</v>
      </c>
      <c r="H640">
        <f xml:space="preserve"> [1]Coibion_update!Q646</f>
        <v>5.4331366794470739</v>
      </c>
      <c r="I640">
        <f xml:space="preserve"> [1]Coibion_update!W646</f>
        <v>0.13</v>
      </c>
      <c r="J640">
        <f xml:space="preserve"> [1]Coibion_update!X646</f>
        <v>6.2181019876764472</v>
      </c>
      <c r="K640">
        <f xml:space="preserve"> [1]Coibion_update!Y646</f>
        <v>4.7818089596465478</v>
      </c>
      <c r="L640">
        <f xml:space="preserve"> [1]Coibion_update!Z646</f>
        <v>4.650353854563412</v>
      </c>
      <c r="M640">
        <f xml:space="preserve"> [1]Coibion_update!AA646</f>
        <v>4.6415889002834367</v>
      </c>
      <c r="S640">
        <f xml:space="preserve"> [1]Gertler_Karadi!C394</f>
        <v>0</v>
      </c>
      <c r="T640">
        <f xml:space="preserve"> [1]Gertler_Karadi!D394</f>
        <v>0</v>
      </c>
      <c r="U640">
        <f xml:space="preserve"> [1]Gertler_Karadi!E394</f>
        <v>3.0645999999999998E-3</v>
      </c>
      <c r="V640">
        <f xml:space="preserve"> [1]Gertler_Karadi!F394</f>
        <v>9.1933999999999991E-3</v>
      </c>
      <c r="W640">
        <f xml:space="preserve"> [1]Gertler_Karadi!G394</f>
        <v>1.2258099999999999E-2</v>
      </c>
      <c r="X640" s="5">
        <f xml:space="preserve"> [1]misc!N723</f>
        <v>0.19</v>
      </c>
      <c r="Y640">
        <f xml:space="preserve"> [1]Gilchrist_Zak!C472</f>
        <v>-0.52969999999999995</v>
      </c>
      <c r="AK640" s="5">
        <v>-1.2660754379502457</v>
      </c>
      <c r="AL640">
        <f xml:space="preserve"> LN([1]misc!B659)</f>
        <v>7.7091737348258702</v>
      </c>
      <c r="AM640">
        <f xml:space="preserve"> LN([1]misc!D659)</f>
        <v>9.1901580726136842</v>
      </c>
      <c r="AN640">
        <f xml:space="preserve"> LN([1]misc!G764)</f>
        <v>7.3510677216934148</v>
      </c>
      <c r="AO640">
        <f xml:space="preserve"> LN([1]misc!J670 + [1]misc!L670)</f>
        <v>7.3780651113429139</v>
      </c>
    </row>
    <row r="641" spans="1:41" x14ac:dyDescent="0.25">
      <c r="A641">
        <f t="shared" si="47"/>
        <v>2012.249999999957</v>
      </c>
      <c r="B641" s="1">
        <v>41000</v>
      </c>
      <c r="C641" s="7">
        <f t="shared" si="43"/>
        <v>2012</v>
      </c>
      <c r="D641" s="7">
        <f t="shared" si="44"/>
        <v>4</v>
      </c>
      <c r="E641" s="7">
        <f t="shared" si="45"/>
        <v>2</v>
      </c>
      <c r="F641">
        <f xml:space="preserve"> [1]Coibion_update!O647</f>
        <v>4.6044499266636079</v>
      </c>
      <c r="G641">
        <f xml:space="preserve"> [1]Coibion_update!P647</f>
        <v>8.1999999999999993</v>
      </c>
      <c r="H641">
        <f xml:space="preserve"> [1]Coibion_update!Q647</f>
        <v>5.4344728133290836</v>
      </c>
      <c r="I641">
        <f xml:space="preserve"> [1]Coibion_update!W647</f>
        <v>0.14000000000000001</v>
      </c>
      <c r="J641">
        <f xml:space="preserve"> [1]Coibion_update!X647</f>
        <v>6.1963422896152993</v>
      </c>
      <c r="K641">
        <f xml:space="preserve"> [1]Coibion_update!Y647</f>
        <v>4.7847295982373161</v>
      </c>
      <c r="L641">
        <f xml:space="preserve"> [1]Coibion_update!Z647</f>
        <v>4.6511086689292558</v>
      </c>
      <c r="M641">
        <f xml:space="preserve"> [1]Coibion_update!AA647</f>
        <v>4.6430149529614413</v>
      </c>
      <c r="S641">
        <f xml:space="preserve"> [1]Gertler_Karadi!C395</f>
        <v>0</v>
      </c>
      <c r="T641">
        <f xml:space="preserve"> [1]Gertler_Karadi!D395</f>
        <v>0</v>
      </c>
      <c r="U641">
        <f xml:space="preserve"> [1]Gertler_Karadi!E395</f>
        <v>1.9354999999999999E-3</v>
      </c>
      <c r="V641">
        <f xml:space="preserve"> [1]Gertler_Karadi!F395</f>
        <v>5.8063999999999998E-3</v>
      </c>
      <c r="W641">
        <f xml:space="preserve"> [1]Gertler_Karadi!G395</f>
        <v>7.7419000000000003E-3</v>
      </c>
      <c r="X641" s="5">
        <f xml:space="preserve"> [1]misc!N724</f>
        <v>0.18</v>
      </c>
      <c r="Y641">
        <f xml:space="preserve"> [1]Gilchrist_Zak!C473</f>
        <v>-0.36109999999999998</v>
      </c>
      <c r="AK641" s="5">
        <v>-1.2620080050351254</v>
      </c>
      <c r="AL641">
        <f xml:space="preserve"> LN([1]misc!B660)</f>
        <v>7.7165944215381552</v>
      </c>
      <c r="AM641">
        <f xml:space="preserve"> LN([1]misc!D660)</f>
        <v>9.1950033589659448</v>
      </c>
      <c r="AN641">
        <f xml:space="preserve"> LN([1]misc!G765)</f>
        <v>7.338113304821511</v>
      </c>
      <c r="AO641">
        <f xml:space="preserve"> LN([1]misc!J671 + [1]misc!L671)</f>
        <v>7.3638532968052193</v>
      </c>
    </row>
    <row r="642" spans="1:41" x14ac:dyDescent="0.25">
      <c r="A642">
        <f t="shared" si="47"/>
        <v>2012.3333333332903</v>
      </c>
      <c r="B642" s="1">
        <v>41030</v>
      </c>
      <c r="C642" s="7">
        <f t="shared" si="43"/>
        <v>2012</v>
      </c>
      <c r="D642" s="7">
        <f t="shared" si="44"/>
        <v>5</v>
      </c>
      <c r="E642" s="7">
        <f t="shared" si="45"/>
        <v>2</v>
      </c>
      <c r="F642">
        <f xml:space="preserve"> [1]Coibion_update!O648</f>
        <v>4.605678056999774</v>
      </c>
      <c r="G642">
        <f xml:space="preserve"> [1]Coibion_update!P648</f>
        <v>8.1999999999999993</v>
      </c>
      <c r="H642">
        <f xml:space="preserve"> [1]Coibion_update!Q648</f>
        <v>5.432782697915969</v>
      </c>
      <c r="I642">
        <f xml:space="preserve"> [1]Coibion_update!W648</f>
        <v>0.16</v>
      </c>
      <c r="J642">
        <f xml:space="preserve"> [1]Coibion_update!X648</f>
        <v>6.1756801424113563</v>
      </c>
      <c r="K642">
        <f xml:space="preserve"> [1]Coibion_update!Y648</f>
        <v>4.7816580934226947</v>
      </c>
      <c r="L642">
        <f xml:space="preserve"> [1]Coibion_update!Z648</f>
        <v>4.6521873507511478</v>
      </c>
      <c r="M642">
        <f xml:space="preserve"> [1]Coibion_update!AA648</f>
        <v>4.6432363867945474</v>
      </c>
      <c r="S642">
        <f xml:space="preserve"> [1]Gertler_Karadi!C396</f>
        <v>0</v>
      </c>
      <c r="T642">
        <f xml:space="preserve"> [1]Gertler_Karadi!D396</f>
        <v>0</v>
      </c>
      <c r="U642">
        <f xml:space="preserve"> [1]Gertler_Karadi!E396</f>
        <v>0</v>
      </c>
      <c r="V642">
        <f xml:space="preserve"> [1]Gertler_Karadi!F396</f>
        <v>0</v>
      </c>
      <c r="W642">
        <f xml:space="preserve"> [1]Gertler_Karadi!G396</f>
        <v>0</v>
      </c>
      <c r="X642" s="5">
        <f xml:space="preserve"> [1]misc!N725</f>
        <v>0.19</v>
      </c>
      <c r="Y642">
        <f xml:space="preserve"> [1]Gilchrist_Zak!C474</f>
        <v>-0.34689999999999999</v>
      </c>
      <c r="AK642" s="5">
        <v>-1.2372153182239152</v>
      </c>
      <c r="AL642">
        <f xml:space="preserve"> LN([1]misc!B661)</f>
        <v>7.7191298409067324</v>
      </c>
      <c r="AM642">
        <f xml:space="preserve"> LN([1]misc!D661)</f>
        <v>9.1984600799454679</v>
      </c>
      <c r="AN642">
        <f xml:space="preserve"> LN([1]misc!G766)</f>
        <v>7.3199437346508063</v>
      </c>
      <c r="AO642">
        <f xml:space="preserve"> LN([1]misc!J672 + [1]misc!L672)</f>
        <v>7.3463346733983546</v>
      </c>
    </row>
    <row r="643" spans="1:41" x14ac:dyDescent="0.25">
      <c r="A643">
        <f t="shared" si="47"/>
        <v>2012.4166666666235</v>
      </c>
      <c r="B643" s="1">
        <v>41061</v>
      </c>
      <c r="C643" s="7">
        <f t="shared" ref="C643:C685" si="48">YEAR(B643)</f>
        <v>2012</v>
      </c>
      <c r="D643" s="7">
        <f t="shared" ref="D643:D685" si="49">MONTH(B643)</f>
        <v>6</v>
      </c>
      <c r="E643" s="7">
        <f t="shared" ref="E643:E685" si="50">ROUNDUP(D643/3,0)</f>
        <v>2</v>
      </c>
      <c r="F643">
        <f xml:space="preserve"> [1]Coibion_update!O649</f>
        <v>4.6048611382377542</v>
      </c>
      <c r="G643">
        <f xml:space="preserve"> [1]Coibion_update!P649</f>
        <v>8.1999999999999993</v>
      </c>
      <c r="H643">
        <f xml:space="preserve"> [1]Coibion_update!Q649</f>
        <v>5.432087480676314</v>
      </c>
      <c r="I643">
        <f xml:space="preserve"> [1]Coibion_update!W649</f>
        <v>0.16</v>
      </c>
      <c r="J643">
        <f xml:space="preserve"> [1]Coibion_update!X649</f>
        <v>6.1628094131883042</v>
      </c>
      <c r="K643">
        <f xml:space="preserve"> [1]Coibion_update!Y649</f>
        <v>4.7816832393739883</v>
      </c>
      <c r="L643">
        <f xml:space="preserve"> [1]Coibion_update!Z649</f>
        <v>4.6480476665487584</v>
      </c>
      <c r="M643">
        <f xml:space="preserve"> [1]Coibion_update!AA649</f>
        <v>4.6432267602561064</v>
      </c>
      <c r="S643">
        <f xml:space="preserve"> [1]Gertler_Karadi!C397</f>
        <v>2.7537E-3</v>
      </c>
      <c r="T643">
        <f xml:space="preserve"> [1]Gertler_Karadi!D397</f>
        <v>3.6665999999999999E-3</v>
      </c>
      <c r="U643">
        <f xml:space="preserve"> [1]Gertler_Karadi!E397</f>
        <v>7.3333000000000001E-3</v>
      </c>
      <c r="V643">
        <f xml:space="preserve"> [1]Gertler_Karadi!F397</f>
        <v>7.3333000000000001E-3</v>
      </c>
      <c r="W643">
        <f xml:space="preserve"> [1]Gertler_Karadi!G397</f>
        <v>7.3333000000000001E-3</v>
      </c>
      <c r="X643" s="5">
        <f xml:space="preserve"> [1]misc!N726</f>
        <v>0.19</v>
      </c>
      <c r="Y643">
        <f xml:space="preserve"> [1]Gilchrist_Zak!C475</f>
        <v>-6.0900000000000003E-2</v>
      </c>
      <c r="AK643" s="5">
        <v>-1.1110581728453983</v>
      </c>
      <c r="AL643">
        <f xml:space="preserve"> LN([1]misc!B662)</f>
        <v>7.7241372738767113</v>
      </c>
      <c r="AM643">
        <f xml:space="preserve"> LN([1]misc!D662)</f>
        <v>9.2053077294481085</v>
      </c>
      <c r="AN643">
        <f xml:space="preserve"> LN([1]misc!G767)</f>
        <v>7.3182716081657935</v>
      </c>
      <c r="AO643">
        <f xml:space="preserve"> LN([1]misc!J673 + [1]misc!L673)</f>
        <v>7.3472745715614494</v>
      </c>
    </row>
    <row r="644" spans="1:41" x14ac:dyDescent="0.25">
      <c r="A644">
        <f t="shared" si="47"/>
        <v>2012.4999999999568</v>
      </c>
      <c r="B644" s="1">
        <v>41091</v>
      </c>
      <c r="C644" s="7">
        <f t="shared" si="48"/>
        <v>2012</v>
      </c>
      <c r="D644" s="7">
        <f t="shared" si="49"/>
        <v>7</v>
      </c>
      <c r="E644" s="7">
        <f t="shared" si="50"/>
        <v>3</v>
      </c>
      <c r="F644">
        <f xml:space="preserve"> [1]Coibion_update!O650</f>
        <v>4.6079024499530679</v>
      </c>
      <c r="G644">
        <f xml:space="preserve"> [1]Coibion_update!P650</f>
        <v>8.1999999999999993</v>
      </c>
      <c r="H644">
        <f xml:space="preserve"> [1]Coibion_update!Q650</f>
        <v>5.4319037576601144</v>
      </c>
      <c r="I644">
        <f xml:space="preserve"> [1]Coibion_update!W650</f>
        <v>0.16</v>
      </c>
      <c r="J644">
        <f xml:space="preserve"> [1]Coibion_update!X650</f>
        <v>6.1753265834205155</v>
      </c>
      <c r="K644">
        <f xml:space="preserve"> [1]Coibion_update!Y650</f>
        <v>4.7892318945060852</v>
      </c>
      <c r="L644">
        <f xml:space="preserve"> [1]Coibion_update!Z650</f>
        <v>4.652225512863807</v>
      </c>
      <c r="M644">
        <f xml:space="preserve"> [1]Coibion_update!AA650</f>
        <v>4.6451886577703991</v>
      </c>
      <c r="X644" s="5">
        <f xml:space="preserve"> [1]misc!N727</f>
        <v>0.19</v>
      </c>
      <c r="Y644">
        <f xml:space="preserve"> [1]Gilchrist_Zak!C476</f>
        <v>-0.26879999999999998</v>
      </c>
      <c r="AK644" s="5">
        <v>-1.1787666793177374</v>
      </c>
      <c r="AL644">
        <f xml:space="preserve"> LN([1]misc!B663)</f>
        <v>7.7469921654139773</v>
      </c>
      <c r="AM644">
        <f xml:space="preserve"> LN([1]misc!D663)</f>
        <v>9.2132162327216474</v>
      </c>
      <c r="AN644">
        <f xml:space="preserve"> LN([1]misc!G768)</f>
        <v>7.3363195356690092</v>
      </c>
      <c r="AO644">
        <f xml:space="preserve"> LN([1]misc!J674 + [1]misc!L674)</f>
        <v>7.3650478387904297</v>
      </c>
    </row>
    <row r="645" spans="1:41" x14ac:dyDescent="0.25">
      <c r="A645">
        <f t="shared" si="47"/>
        <v>2012.5833333332901</v>
      </c>
      <c r="B645" s="1">
        <v>41122</v>
      </c>
      <c r="C645" s="7">
        <f t="shared" si="48"/>
        <v>2012</v>
      </c>
      <c r="D645" s="7">
        <f t="shared" si="49"/>
        <v>8</v>
      </c>
      <c r="E645" s="7">
        <f t="shared" si="50"/>
        <v>3</v>
      </c>
      <c r="F645">
        <f xml:space="preserve"> [1]Coibion_update!O651</f>
        <v>4.6034987899836564</v>
      </c>
      <c r="G645">
        <f xml:space="preserve"> [1]Coibion_update!P651</f>
        <v>8</v>
      </c>
      <c r="H645">
        <f xml:space="preserve"> [1]Coibion_update!Q651</f>
        <v>5.4376922775144623</v>
      </c>
      <c r="I645">
        <f xml:space="preserve"> [1]Coibion_update!W651</f>
        <v>0.13</v>
      </c>
      <c r="J645">
        <f xml:space="preserve"> [1]Coibion_update!X651</f>
        <v>6.191523691974818</v>
      </c>
      <c r="K645">
        <f xml:space="preserve"> [1]Coibion_update!Y651</f>
        <v>4.7945170077187989</v>
      </c>
      <c r="L645">
        <f xml:space="preserve"> [1]Coibion_update!Z651</f>
        <v>4.6528454431653472</v>
      </c>
      <c r="M645">
        <f xml:space="preserve"> [1]Coibion_update!AA651</f>
        <v>4.6417624477876807</v>
      </c>
      <c r="X645" s="5">
        <f xml:space="preserve"> [1]misc!N728</f>
        <v>0.18</v>
      </c>
      <c r="Y645">
        <f xml:space="preserve"> [1]Gilchrist_Zak!C477</f>
        <v>-0.4672</v>
      </c>
      <c r="AK645" s="5">
        <v>-1.2586624711366801</v>
      </c>
      <c r="AL645">
        <f xml:space="preserve"> LN([1]misc!B664)</f>
        <v>7.7606801352344723</v>
      </c>
      <c r="AM645">
        <f xml:space="preserve"> LN([1]misc!D664)</f>
        <v>9.22001343667187</v>
      </c>
      <c r="AN645">
        <f xml:space="preserve"> LN([1]misc!G769)</f>
        <v>7.334966223171965</v>
      </c>
      <c r="AO645">
        <f xml:space="preserve"> LN([1]misc!J675 + [1]misc!L675)</f>
        <v>7.3645577805054758</v>
      </c>
    </row>
    <row r="646" spans="1:41" x14ac:dyDescent="0.25">
      <c r="A646">
        <f t="shared" si="47"/>
        <v>2012.6666666666233</v>
      </c>
      <c r="B646" s="1">
        <v>41153</v>
      </c>
      <c r="C646" s="7">
        <f t="shared" si="48"/>
        <v>2012</v>
      </c>
      <c r="D646" s="7">
        <f t="shared" si="49"/>
        <v>9</v>
      </c>
      <c r="E646" s="7">
        <f t="shared" si="50"/>
        <v>3</v>
      </c>
      <c r="F646">
        <f xml:space="preserve"> [1]Coibion_update!O652</f>
        <v>4.6043588569496796</v>
      </c>
      <c r="G646">
        <f xml:space="preserve"> [1]Coibion_update!P652</f>
        <v>7.8</v>
      </c>
      <c r="H646">
        <f xml:space="preserve"> [1]Coibion_update!Q652</f>
        <v>5.4428678256549929</v>
      </c>
      <c r="I646">
        <f xml:space="preserve"> [1]Coibion_update!W652</f>
        <v>0.14000000000000001</v>
      </c>
      <c r="J646">
        <f xml:space="preserve"> [1]Coibion_update!X652</f>
        <v>6.2023128203280402</v>
      </c>
      <c r="K646">
        <f xml:space="preserve"> [1]Coibion_update!Y652</f>
        <v>4.8131919776318597</v>
      </c>
      <c r="L646">
        <f xml:space="preserve"> [1]Coibion_update!Z652</f>
        <v>4.6531504985066583</v>
      </c>
      <c r="M646">
        <f xml:space="preserve"> [1]Coibion_update!AA652</f>
        <v>4.6441601032792876</v>
      </c>
      <c r="X646" s="5">
        <f xml:space="preserve"> [1]misc!N729</f>
        <v>0.18</v>
      </c>
      <c r="Y646">
        <f xml:space="preserve"> [1]Gilchrist_Zak!C478</f>
        <v>-0.34289999999999998</v>
      </c>
      <c r="AK646" s="5">
        <v>-1.36045833640009</v>
      </c>
      <c r="AL646">
        <f xml:space="preserve"> LN([1]misc!B665)</f>
        <v>7.7763672288728234</v>
      </c>
      <c r="AM646">
        <f xml:space="preserve"> LN([1]misc!D665)</f>
        <v>9.2281213492712695</v>
      </c>
      <c r="AN646">
        <f xml:space="preserve"> LN([1]misc!G770)</f>
        <v>7.2921199980655302</v>
      </c>
      <c r="AO646">
        <f xml:space="preserve"> LN([1]misc!J676 + [1]misc!L676)</f>
        <v>7.3224595740514733</v>
      </c>
    </row>
    <row r="647" spans="1:41" x14ac:dyDescent="0.25">
      <c r="A647">
        <f t="shared" si="47"/>
        <v>2012.7499999999566</v>
      </c>
      <c r="B647" s="1">
        <v>41183</v>
      </c>
      <c r="C647" s="7">
        <f t="shared" si="48"/>
        <v>2012</v>
      </c>
      <c r="D647" s="7">
        <f t="shared" si="49"/>
        <v>10</v>
      </c>
      <c r="E647" s="7">
        <f t="shared" si="50"/>
        <v>4</v>
      </c>
      <c r="F647">
        <f xml:space="preserve"> [1]Coibion_update!O653</f>
        <v>4.6070464247508154</v>
      </c>
      <c r="G647">
        <f xml:space="preserve"> [1]Coibion_update!P653</f>
        <v>7.8</v>
      </c>
      <c r="H647">
        <f xml:space="preserve"> [1]Coibion_update!Q653</f>
        <v>5.4456203687404123</v>
      </c>
      <c r="I647">
        <f xml:space="preserve"> [1]Coibion_update!W653</f>
        <v>0.16</v>
      </c>
      <c r="J647">
        <f xml:space="preserve"> [1]Coibion_update!X653</f>
        <v>6.1864760778434329</v>
      </c>
      <c r="K647">
        <f xml:space="preserve"> [1]Coibion_update!Y653</f>
        <v>4.7991320639387212</v>
      </c>
      <c r="L647">
        <f xml:space="preserve"> [1]Coibion_update!Z653</f>
        <v>4.6522732134567342</v>
      </c>
      <c r="M647">
        <f xml:space="preserve"> [1]Coibion_update!AA653</f>
        <v>4.6442370411519933</v>
      </c>
      <c r="X647" s="5">
        <f xml:space="preserve"> [1]misc!N730</f>
        <v>0.18</v>
      </c>
      <c r="Y647">
        <f xml:space="preserve"> [1]Gilchrist_Zak!C479</f>
        <v>-0.30590000000000001</v>
      </c>
      <c r="AK647" s="5">
        <v>-1.3389618275044302</v>
      </c>
      <c r="AL647">
        <f xml:space="preserve"> LN([1]misc!B666)</f>
        <v>7.7896615839944614</v>
      </c>
      <c r="AM647">
        <f xml:space="preserve"> LN([1]misc!D666)</f>
        <v>9.233861567017529</v>
      </c>
      <c r="AN647">
        <f xml:space="preserve"> LN([1]misc!G771)</f>
        <v>7.2975854628418668</v>
      </c>
      <c r="AO647">
        <f xml:space="preserve"> LN([1]misc!J677 + [1]misc!L677)</f>
        <v>7.3288830841397345</v>
      </c>
    </row>
    <row r="648" spans="1:41" x14ac:dyDescent="0.25">
      <c r="A648">
        <f t="shared" si="47"/>
        <v>2012.8333333332898</v>
      </c>
      <c r="B648" s="1">
        <v>41214</v>
      </c>
      <c r="C648" s="7">
        <f t="shared" si="48"/>
        <v>2012</v>
      </c>
      <c r="D648" s="7">
        <f t="shared" si="49"/>
        <v>11</v>
      </c>
      <c r="E648" s="7">
        <f t="shared" si="50"/>
        <v>4</v>
      </c>
      <c r="F648">
        <f xml:space="preserve"> [1]Coibion_update!O654</f>
        <v>4.6115845697718933</v>
      </c>
      <c r="G648">
        <f xml:space="preserve"> [1]Coibion_update!P654</f>
        <v>7.7</v>
      </c>
      <c r="H648">
        <f xml:space="preserve"> [1]Coibion_update!Q654</f>
        <v>5.4432917872798381</v>
      </c>
      <c r="I648">
        <f xml:space="preserve"> [1]Coibion_update!W654</f>
        <v>0.16</v>
      </c>
      <c r="J648">
        <f xml:space="preserve"> [1]Coibion_update!X654</f>
        <v>6.169568890611913</v>
      </c>
      <c r="K648">
        <f xml:space="preserve"> [1]Coibion_update!Y654</f>
        <v>4.8197975775339614</v>
      </c>
      <c r="L648">
        <f xml:space="preserve"> [1]Coibion_update!Z654</f>
        <v>4.6502582678040172</v>
      </c>
      <c r="M648">
        <f xml:space="preserve"> [1]Coibion_update!AA654</f>
        <v>4.6455440801263643</v>
      </c>
      <c r="X648" s="5">
        <f xml:space="preserve"> [1]misc!N731</f>
        <v>0.18</v>
      </c>
      <c r="Y648">
        <f xml:space="preserve"> [1]Gilchrist_Zak!C480</f>
        <v>-0.23860000000000001</v>
      </c>
      <c r="AK648" s="5">
        <v>-1.4228541803822488</v>
      </c>
      <c r="AL648">
        <f xml:space="preserve"> LN([1]misc!B667)</f>
        <v>7.7928442597130276</v>
      </c>
      <c r="AM648">
        <f xml:space="preserve"> LN([1]misc!D667)</f>
        <v>9.2397049806060867</v>
      </c>
      <c r="AN648">
        <f xml:space="preserve"> LN([1]misc!G772)</f>
        <v>7.3115563366593737</v>
      </c>
      <c r="AO648">
        <f xml:space="preserve"> LN([1]misc!J678 + [1]misc!L678)</f>
        <v>7.3432696839064437</v>
      </c>
    </row>
    <row r="649" spans="1:41" x14ac:dyDescent="0.25">
      <c r="A649">
        <f t="shared" si="47"/>
        <v>2012.9166666666231</v>
      </c>
      <c r="B649" s="1">
        <v>41244</v>
      </c>
      <c r="C649" s="7">
        <f t="shared" si="48"/>
        <v>2012</v>
      </c>
      <c r="D649" s="7">
        <f t="shared" si="49"/>
        <v>12</v>
      </c>
      <c r="E649" s="7">
        <f t="shared" si="50"/>
        <v>4</v>
      </c>
      <c r="F649">
        <f xml:space="preserve"> [1]Coibion_update!O655</f>
        <v>4.6137135869853854</v>
      </c>
      <c r="G649">
        <f xml:space="preserve"> [1]Coibion_update!P655</f>
        <v>7.9</v>
      </c>
      <c r="H649">
        <f xml:space="preserve"> [1]Coibion_update!Q655</f>
        <v>5.443131741255451</v>
      </c>
      <c r="I649">
        <f xml:space="preserve"> [1]Coibion_update!W655</f>
        <v>0.16</v>
      </c>
      <c r="J649">
        <f xml:space="preserve"> [1]Coibion_update!X655</f>
        <v>6.1841282721682171</v>
      </c>
      <c r="K649">
        <f xml:space="preserve"> [1]Coibion_update!Y655</f>
        <v>4.8362104758289073</v>
      </c>
      <c r="L649">
        <f xml:space="preserve"> [1]Coibion_update!Z655</f>
        <v>4.6533887582585658</v>
      </c>
      <c r="M649">
        <f xml:space="preserve"> [1]Coibion_update!AA655</f>
        <v>4.6452463024104249</v>
      </c>
      <c r="X649" s="5">
        <f xml:space="preserve"> [1]misc!N732</f>
        <v>0.16</v>
      </c>
      <c r="Y649">
        <f xml:space="preserve"> [1]Gilchrist_Zak!C481</f>
        <v>-0.35</v>
      </c>
      <c r="AK649" s="5">
        <v>-1.429921774787247</v>
      </c>
      <c r="AL649">
        <f xml:space="preserve"> LN([1]misc!B668)</f>
        <v>7.8069812322296999</v>
      </c>
      <c r="AM649">
        <f xml:space="preserve"> LN([1]misc!D668)</f>
        <v>9.2517222097549521</v>
      </c>
      <c r="AN649">
        <f xml:space="preserve"> LN([1]misc!G773)</f>
        <v>7.3247700983185373</v>
      </c>
      <c r="AO649">
        <f xml:space="preserve"> LN([1]misc!J679 + [1]misc!L679)</f>
        <v>7.3576971348562488</v>
      </c>
    </row>
    <row r="650" spans="1:41" x14ac:dyDescent="0.25">
      <c r="A650">
        <f t="shared" si="47"/>
        <v>2012.9999999999563</v>
      </c>
      <c r="B650" s="1">
        <v>41275</v>
      </c>
      <c r="C650" s="7">
        <f t="shared" si="48"/>
        <v>2013</v>
      </c>
      <c r="D650" s="7">
        <f t="shared" si="49"/>
        <v>1</v>
      </c>
      <c r="E650" s="7">
        <f t="shared" si="50"/>
        <v>1</v>
      </c>
      <c r="F650">
        <f xml:space="preserve"> [1]Coibion_update!O656</f>
        <v>4.6144569303798235</v>
      </c>
      <c r="G650">
        <f xml:space="preserve"> [1]Coibion_update!P656</f>
        <v>8</v>
      </c>
      <c r="H650">
        <f xml:space="preserve"> [1]Coibion_update!Q656</f>
        <v>5.4443379436156594</v>
      </c>
      <c r="I650">
        <f xml:space="preserve"> [1]Coibion_update!W656</f>
        <v>0.14000000000000001</v>
      </c>
      <c r="J650">
        <f xml:space="preserve"> [1]Coibion_update!X656</f>
        <v>6.1868462806365221</v>
      </c>
      <c r="K650">
        <f xml:space="preserve"> [1]Coibion_update!Y656</f>
        <v>4.8391666310200678</v>
      </c>
      <c r="L650">
        <f xml:space="preserve"> [1]Coibion_update!Z656</f>
        <v>4.6637409353458708</v>
      </c>
      <c r="M650">
        <f xml:space="preserve"> [1]Coibion_update!AA656</f>
        <v>4.6449772656564603</v>
      </c>
      <c r="X650" s="5">
        <f xml:space="preserve"> [1]misc!N733</f>
        <v>0.15</v>
      </c>
      <c r="AK650" s="5">
        <v>-1.3576459404809018</v>
      </c>
      <c r="AL650">
        <f xml:space="preserve"> LN([1]misc!B669)</f>
        <v>7.8110012973354834</v>
      </c>
      <c r="AM650">
        <f xml:space="preserve"> LN([1]misc!D669)</f>
        <v>9.2545103557206563</v>
      </c>
      <c r="AN650">
        <f xml:space="preserve"> LN([1]misc!G774)</f>
        <v>7.3667763197801079</v>
      </c>
      <c r="AO650">
        <f xml:space="preserve"> LN([1]misc!J680 + [1]misc!L680)</f>
        <v>7.3965236196246691</v>
      </c>
    </row>
    <row r="651" spans="1:41" x14ac:dyDescent="0.25">
      <c r="A651">
        <f t="shared" si="47"/>
        <v>2013.0833333332896</v>
      </c>
      <c r="B651" s="1">
        <v>41306</v>
      </c>
      <c r="C651" s="7">
        <f t="shared" si="48"/>
        <v>2013</v>
      </c>
      <c r="D651" s="7">
        <f t="shared" si="49"/>
        <v>2</v>
      </c>
      <c r="E651" s="7">
        <f t="shared" si="50"/>
        <v>1</v>
      </c>
      <c r="F651">
        <f xml:space="preserve"> [1]Coibion_update!O657</f>
        <v>4.6185058691731209</v>
      </c>
      <c r="G651">
        <f xml:space="preserve"> [1]Coibion_update!P657</f>
        <v>7.7</v>
      </c>
      <c r="H651">
        <f xml:space="preserve"> [1]Coibion_update!Q657</f>
        <v>5.4501926023721898</v>
      </c>
      <c r="I651">
        <f xml:space="preserve"> [1]Coibion_update!W657</f>
        <v>0.15</v>
      </c>
      <c r="K651">
        <f xml:space="preserve"> [1]Coibion_update!Y657</f>
        <v>4.8444862543018541</v>
      </c>
      <c r="L651">
        <f xml:space="preserve"> [1]Coibion_update!Z657</f>
        <v>4.6636277555596601</v>
      </c>
      <c r="M651">
        <f xml:space="preserve"> [1]Coibion_update!AA657</f>
        <v>4.6462065575279512</v>
      </c>
      <c r="X651" s="5">
        <f xml:space="preserve"> [1]misc!N734</f>
        <v>0.16</v>
      </c>
      <c r="AK651" s="5">
        <v>-1.4224985174106677</v>
      </c>
      <c r="AL651">
        <f xml:space="preserve"> LN([1]misc!B670)</f>
        <v>7.8121353598304575</v>
      </c>
      <c r="AM651">
        <f xml:space="preserve"> LN([1]misc!D670)</f>
        <v>9.2541945647333872</v>
      </c>
      <c r="AN651">
        <f xml:space="preserve"> LN([1]misc!G775)</f>
        <v>7.4266002615633075</v>
      </c>
      <c r="AO651">
        <f xml:space="preserve"> LN([1]misc!J681 + [1]misc!L681)</f>
        <v>7.4564222034108401</v>
      </c>
    </row>
    <row r="652" spans="1:41" x14ac:dyDescent="0.25">
      <c r="A652">
        <f t="shared" si="47"/>
        <v>2013.1666666666229</v>
      </c>
      <c r="B652" s="1">
        <v>41334</v>
      </c>
      <c r="C652" s="7">
        <f t="shared" si="48"/>
        <v>2013</v>
      </c>
      <c r="D652" s="7">
        <f t="shared" si="49"/>
        <v>3</v>
      </c>
      <c r="E652" s="7">
        <f t="shared" si="50"/>
        <v>1</v>
      </c>
      <c r="F652">
        <f xml:space="preserve"> [1]Coibion_update!O658</f>
        <v>4.6206596031842215</v>
      </c>
      <c r="G652">
        <f xml:space="preserve"> [1]Coibion_update!P658</f>
        <v>7.5</v>
      </c>
      <c r="H652">
        <f xml:space="preserve"> [1]Coibion_update!Q658</f>
        <v>5.4477928489369098</v>
      </c>
      <c r="I652">
        <f xml:space="preserve"> [1]Coibion_update!W658</f>
        <v>0.14000000000000001</v>
      </c>
      <c r="K652">
        <f xml:space="preserve"> [1]Coibion_update!Y658</f>
        <v>4.8350430446402681</v>
      </c>
      <c r="L652">
        <f xml:space="preserve"> [1]Coibion_update!Z658</f>
        <v>4.663778659094862</v>
      </c>
      <c r="M652">
        <f xml:space="preserve"> [1]Coibion_update!AA658</f>
        <v>4.6493401697325654</v>
      </c>
      <c r="X652" s="5">
        <f xml:space="preserve"> [1]misc!N735</f>
        <v>0.15</v>
      </c>
      <c r="AK652" s="5">
        <v>-1.4406098241486949</v>
      </c>
      <c r="AL652">
        <f xml:space="preserve"> LN([1]misc!B671)</f>
        <v>7.8139148636568336</v>
      </c>
      <c r="AM652">
        <f xml:space="preserve"> LN([1]misc!D671)</f>
        <v>9.2609099045113012</v>
      </c>
      <c r="AN652">
        <f xml:space="preserve"> LN([1]misc!G776)</f>
        <v>7.4732730445043893</v>
      </c>
      <c r="AO652">
        <f xml:space="preserve"> LN([1]misc!J682 + [1]misc!L682)</f>
        <v>7.5025589337921499</v>
      </c>
    </row>
    <row r="653" spans="1:41" x14ac:dyDescent="0.25">
      <c r="A653">
        <f t="shared" si="47"/>
        <v>2013.2499999999561</v>
      </c>
      <c r="B653" s="1">
        <v>41365</v>
      </c>
      <c r="C653" s="7">
        <f t="shared" si="48"/>
        <v>2013</v>
      </c>
      <c r="D653" s="7">
        <f t="shared" si="49"/>
        <v>4</v>
      </c>
      <c r="E653" s="7">
        <f t="shared" si="50"/>
        <v>2</v>
      </c>
      <c r="F653">
        <f xml:space="preserve"> [1]Coibion_update!O659</f>
        <v>4.6204380369066866</v>
      </c>
      <c r="G653">
        <f xml:space="preserve"> [1]Coibion_update!P659</f>
        <v>7.6</v>
      </c>
      <c r="H653">
        <f xml:space="preserve"> [1]Coibion_update!Q659</f>
        <v>5.4453225782144239</v>
      </c>
      <c r="I653">
        <f xml:space="preserve"> [1]Coibion_update!W659</f>
        <v>0.15</v>
      </c>
      <c r="K653">
        <f xml:space="preserve"> [1]Coibion_update!Y659</f>
        <v>4.8400446601780001</v>
      </c>
      <c r="L653">
        <f xml:space="preserve"> [1]Coibion_update!Z659</f>
        <v>4.6607562532276372</v>
      </c>
      <c r="M653">
        <f xml:space="preserve"> [1]Coibion_update!AA659</f>
        <v>4.6495028110275491</v>
      </c>
      <c r="X653" s="5">
        <f xml:space="preserve"> [1]misc!N736</f>
        <v>0.12</v>
      </c>
      <c r="AK653" s="5">
        <v>-1.5236947536567187</v>
      </c>
      <c r="AL653">
        <f xml:space="preserve"> LN([1]misc!B672)</f>
        <v>7.8284363591575854</v>
      </c>
      <c r="AM653">
        <f xml:space="preserve"> LN([1]misc!D672)</f>
        <v>9.2641086011843647</v>
      </c>
      <c r="AN653">
        <f xml:space="preserve"> LN([1]misc!G777)</f>
        <v>7.5136830609174527</v>
      </c>
      <c r="AO653">
        <f xml:space="preserve"> LN([1]misc!J683 + [1]misc!L683)</f>
        <v>7.5400818185151373</v>
      </c>
    </row>
    <row r="654" spans="1:41" x14ac:dyDescent="0.25">
      <c r="A654">
        <f t="shared" ref="A654:A685" si="51" xml:space="preserve"> A653 + 1/12</f>
        <v>2013.3333333332894</v>
      </c>
      <c r="B654" s="1">
        <v>41395</v>
      </c>
      <c r="C654" s="7">
        <f t="shared" si="48"/>
        <v>2013</v>
      </c>
      <c r="D654" s="7">
        <f t="shared" si="49"/>
        <v>5</v>
      </c>
      <c r="E654" s="7">
        <f t="shared" si="50"/>
        <v>2</v>
      </c>
      <c r="F654">
        <f xml:space="preserve"> [1]Coibion_update!O660</f>
        <v>4.6197523475896771</v>
      </c>
      <c r="G654">
        <f xml:space="preserve"> [1]Coibion_update!P660</f>
        <v>7.5</v>
      </c>
      <c r="H654">
        <f xml:space="preserve"> [1]Coibion_update!Q660</f>
        <v>5.4466942672890539</v>
      </c>
      <c r="I654">
        <f xml:space="preserve"> [1]Coibion_update!W660</f>
        <v>0.11</v>
      </c>
      <c r="K654">
        <f xml:space="preserve"> [1]Coibion_update!Y660</f>
        <v>4.8447695939335196</v>
      </c>
      <c r="L654">
        <f xml:space="preserve"> [1]Coibion_update!Z660</f>
        <v>4.6681355954340349</v>
      </c>
      <c r="M654">
        <f xml:space="preserve"> [1]Coibion_update!AA660</f>
        <v>4.6499236421752643</v>
      </c>
      <c r="X654" s="5">
        <f xml:space="preserve"> [1]misc!N737</f>
        <v>0.12</v>
      </c>
      <c r="AK654" s="5">
        <v>-1.2690350452958672</v>
      </c>
      <c r="AL654">
        <f xml:space="preserve"> LN([1]misc!B673)</f>
        <v>7.8328075165248645</v>
      </c>
      <c r="AM654">
        <f xml:space="preserve"> LN([1]misc!D673)</f>
        <v>9.2673065451168508</v>
      </c>
      <c r="AN654">
        <f xml:space="preserve"> LN([1]misc!G778)</f>
        <v>7.5656498231485632</v>
      </c>
      <c r="AO654">
        <f xml:space="preserve"> LN([1]misc!J684 + [1]misc!L684)</f>
        <v>7.5908647498714963</v>
      </c>
    </row>
    <row r="655" spans="1:41" x14ac:dyDescent="0.25">
      <c r="A655">
        <f t="shared" si="51"/>
        <v>2013.4166666666226</v>
      </c>
      <c r="B655" s="1">
        <v>41426</v>
      </c>
      <c r="C655" s="7">
        <f t="shared" si="48"/>
        <v>2013</v>
      </c>
      <c r="D655" s="7">
        <f t="shared" si="49"/>
        <v>6</v>
      </c>
      <c r="E655" s="7">
        <f t="shared" si="50"/>
        <v>2</v>
      </c>
      <c r="F655">
        <f xml:space="preserve"> [1]Coibion_update!O661</f>
        <v>4.6216545688976698</v>
      </c>
      <c r="G655">
        <f xml:space="preserve"> [1]Coibion_update!P661</f>
        <v>7.5</v>
      </c>
      <c r="H655">
        <f xml:space="preserve"> [1]Coibion_update!Q661</f>
        <v>5.4492471505692226</v>
      </c>
      <c r="I655">
        <f xml:space="preserve"> [1]Coibion_update!W661</f>
        <v>0.09</v>
      </c>
      <c r="K655">
        <f xml:space="preserve"> [1]Coibion_update!Y661</f>
        <v>4.8504508923687117</v>
      </c>
      <c r="L655">
        <f xml:space="preserve"> [1]Coibion_update!Z661</f>
        <v>4.667628419827702</v>
      </c>
      <c r="M655">
        <f xml:space="preserve"> [1]Coibion_update!AA661</f>
        <v>4.65206331382615</v>
      </c>
      <c r="X655" s="5">
        <f xml:space="preserve"> [1]misc!N738</f>
        <v>0.14000000000000001</v>
      </c>
      <c r="AK655" s="5">
        <v>-0.96952668118230312</v>
      </c>
      <c r="AL655">
        <f xml:space="preserve"> LN([1]misc!B674)</f>
        <v>7.8311804997568917</v>
      </c>
      <c r="AM655">
        <f xml:space="preserve"> LN([1]misc!D674)</f>
        <v>9.2722911728518334</v>
      </c>
      <c r="AN655">
        <f xml:space="preserve"> LN([1]misc!G779)</f>
        <v>7.6061904534252243</v>
      </c>
    </row>
    <row r="656" spans="1:41" x14ac:dyDescent="0.25">
      <c r="A656">
        <f t="shared" si="51"/>
        <v>2013.4999999999559</v>
      </c>
      <c r="B656" s="1">
        <v>41456</v>
      </c>
      <c r="C656" s="7">
        <f t="shared" si="48"/>
        <v>2013</v>
      </c>
      <c r="D656" s="7">
        <f t="shared" si="49"/>
        <v>7</v>
      </c>
      <c r="E656" s="7">
        <f t="shared" si="50"/>
        <v>3</v>
      </c>
      <c r="F656">
        <f xml:space="preserve"> [1]Coibion_update!O662</f>
        <v>4.6177754053454869</v>
      </c>
      <c r="G656">
        <f xml:space="preserve"> [1]Coibion_update!P662</f>
        <v>7.3</v>
      </c>
      <c r="H656">
        <f xml:space="preserve"> [1]Coibion_update!Q662</f>
        <v>5.4509526129716308</v>
      </c>
      <c r="I656">
        <f xml:space="preserve"> [1]Coibion_update!W662</f>
        <v>0.09</v>
      </c>
      <c r="K656">
        <f xml:space="preserve"> [1]Coibion_update!Y662</f>
        <v>4.8528034024709692</v>
      </c>
      <c r="L656">
        <f xml:space="preserve"> [1]Coibion_update!Z662</f>
        <v>4.6721557107687142</v>
      </c>
      <c r="M656">
        <f xml:space="preserve"> [1]Coibion_update!AA662</f>
        <v>4.6512710228707546</v>
      </c>
      <c r="X656" s="5">
        <f xml:space="preserve"> [1]misc!N739</f>
        <v>0.12</v>
      </c>
      <c r="AK656" s="5">
        <v>-1.5222781030232584</v>
      </c>
      <c r="AL656">
        <f xml:space="preserve"> LN([1]misc!B675)</f>
        <v>7.8423966040688855</v>
      </c>
      <c r="AM656">
        <f xml:space="preserve"> LN([1]misc!D675)</f>
        <v>9.2783821246263134</v>
      </c>
      <c r="AN656">
        <f xml:space="preserve"> LN([1]misc!G780)</f>
        <v>7.6469388355148933</v>
      </c>
    </row>
    <row r="657" spans="1:40" x14ac:dyDescent="0.25">
      <c r="A657">
        <f t="shared" si="51"/>
        <v>2013.5833333332891</v>
      </c>
      <c r="B657" s="1">
        <v>41487</v>
      </c>
      <c r="C657" s="7">
        <f t="shared" si="48"/>
        <v>2013</v>
      </c>
      <c r="D657" s="7">
        <f t="shared" si="49"/>
        <v>8</v>
      </c>
      <c r="E657" s="7">
        <f t="shared" si="50"/>
        <v>3</v>
      </c>
      <c r="F657">
        <f xml:space="preserve"> [1]Coibion_update!O663</f>
        <v>4.6254060527558298</v>
      </c>
      <c r="G657">
        <f xml:space="preserve"> [1]Coibion_update!P663</f>
        <v>7.2</v>
      </c>
      <c r="H657">
        <f xml:space="preserve"> [1]Coibion_update!Q663</f>
        <v>5.4528094166732526</v>
      </c>
      <c r="I657">
        <f xml:space="preserve"> [1]Coibion_update!W663</f>
        <v>0.08</v>
      </c>
      <c r="K657">
        <f xml:space="preserve"> [1]Coibion_update!Y663</f>
        <v>4.8534979363613155</v>
      </c>
      <c r="L657">
        <f xml:space="preserve"> [1]Coibion_update!Z663</f>
        <v>4.6647495558366172</v>
      </c>
      <c r="M657">
        <f xml:space="preserve"> [1]Coibion_update!AA663</f>
        <v>4.653341110849385</v>
      </c>
      <c r="X657" s="5">
        <f xml:space="preserve"> [1]misc!N740</f>
        <v>0.13</v>
      </c>
      <c r="AK657" s="5">
        <v>-1.6664105501622908</v>
      </c>
      <c r="AL657">
        <f xml:space="preserve"> LN([1]misc!B676)</f>
        <v>7.847410913161025</v>
      </c>
      <c r="AM657">
        <f xml:space="preserve"> LN([1]misc!D676)</f>
        <v>9.2839160596345014</v>
      </c>
      <c r="AN657">
        <f xml:space="preserve"> LN([1]misc!G781)</f>
        <v>7.6957834563514691</v>
      </c>
    </row>
    <row r="658" spans="1:40" x14ac:dyDescent="0.25">
      <c r="A658">
        <f t="shared" si="51"/>
        <v>2013.6666666666224</v>
      </c>
      <c r="B658" s="1">
        <v>41518</v>
      </c>
      <c r="C658" s="7">
        <f t="shared" si="48"/>
        <v>2013</v>
      </c>
      <c r="D658" s="7">
        <f t="shared" si="49"/>
        <v>9</v>
      </c>
      <c r="E658" s="7">
        <f t="shared" si="50"/>
        <v>3</v>
      </c>
      <c r="F658">
        <f xml:space="preserve"> [1]Coibion_update!O664</f>
        <v>4.6311897227031738</v>
      </c>
      <c r="G658">
        <f xml:space="preserve"> [1]Coibion_update!P664</f>
        <v>7.2</v>
      </c>
      <c r="H658">
        <f xml:space="preserve"> [1]Coibion_update!Q664</f>
        <v>5.4543505590501802</v>
      </c>
      <c r="I658">
        <f xml:space="preserve"> [1]Coibion_update!W664</f>
        <v>0.08</v>
      </c>
      <c r="K658">
        <f xml:space="preserve"> [1]Coibion_update!Y664</f>
        <v>4.8529439089188857</v>
      </c>
      <c r="L658">
        <f xml:space="preserve"> [1]Coibion_update!Z664</f>
        <v>4.6769232446511904</v>
      </c>
      <c r="M658">
        <f xml:space="preserve"> [1]Coibion_update!AA664</f>
        <v>4.6560533963026609</v>
      </c>
      <c r="X658" s="5">
        <f xml:space="preserve"> [1]misc!N741</f>
        <v>0.12</v>
      </c>
      <c r="AK658" s="5">
        <v>-1.8023524735056231</v>
      </c>
      <c r="AL658">
        <f xml:space="preserve"> LN([1]misc!B677)</f>
        <v>7.8555834368544479</v>
      </c>
      <c r="AM658">
        <f xml:space="preserve"> LN([1]misc!D677)</f>
        <v>9.2887725526778748</v>
      </c>
      <c r="AN658">
        <f xml:space="preserve"> LN([1]misc!G782)</f>
        <v>7.732404294006062</v>
      </c>
    </row>
    <row r="659" spans="1:40" x14ac:dyDescent="0.25">
      <c r="A659">
        <f t="shared" si="51"/>
        <v>2013.7499999999557</v>
      </c>
      <c r="B659" s="1">
        <v>41548</v>
      </c>
      <c r="C659" s="7">
        <f t="shared" si="48"/>
        <v>2013</v>
      </c>
      <c r="D659" s="7">
        <f t="shared" si="49"/>
        <v>10</v>
      </c>
      <c r="E659" s="7">
        <f t="shared" si="50"/>
        <v>4</v>
      </c>
      <c r="F659">
        <f xml:space="preserve"> [1]Coibion_update!O665</f>
        <v>4.6313582651765195</v>
      </c>
      <c r="G659">
        <f xml:space="preserve"> [1]Coibion_update!P665</f>
        <v>7.2</v>
      </c>
      <c r="H659">
        <f xml:space="preserve"> [1]Coibion_update!Q665</f>
        <v>5.4549064995018952</v>
      </c>
      <c r="I659">
        <f xml:space="preserve"> [1]Coibion_update!W665</f>
        <v>0.09</v>
      </c>
      <c r="K659">
        <f xml:space="preserve"> [1]Coibion_update!Y665</f>
        <v>4.8592928895922789</v>
      </c>
      <c r="L659">
        <f xml:space="preserve"> [1]Coibion_update!Z665</f>
        <v>4.6742670520674174</v>
      </c>
      <c r="M659">
        <f xml:space="preserve"> [1]Coibion_update!AA665</f>
        <v>4.6589194619822818</v>
      </c>
      <c r="X659" s="5">
        <f xml:space="preserve"> [1]misc!N742</f>
        <v>0.12</v>
      </c>
      <c r="AK659" s="5">
        <v>-1.8521086191667573</v>
      </c>
      <c r="AL659">
        <f xml:space="preserve"> LN([1]misc!B678)</f>
        <v>7.8709677639656963</v>
      </c>
      <c r="AM659">
        <f xml:space="preserve"> LN([1]misc!D678)</f>
        <v>9.2982963027344159</v>
      </c>
      <c r="AN659">
        <f xml:space="preserve"> LN([1]misc!G783)</f>
        <v>7.7727350321018482</v>
      </c>
    </row>
    <row r="660" spans="1:40" x14ac:dyDescent="0.25">
      <c r="A660">
        <f t="shared" si="51"/>
        <v>2013.8333333332889</v>
      </c>
      <c r="B660" s="1">
        <v>41579</v>
      </c>
      <c r="C660" s="7">
        <f t="shared" si="48"/>
        <v>2013</v>
      </c>
      <c r="D660" s="7">
        <f t="shared" si="49"/>
        <v>11</v>
      </c>
      <c r="E660" s="7">
        <f t="shared" si="50"/>
        <v>4</v>
      </c>
      <c r="F660">
        <f xml:space="preserve"> [1]Coibion_update!O666</f>
        <v>4.6339160365146945</v>
      </c>
      <c r="G660">
        <f xml:space="preserve"> [1]Coibion_update!P666</f>
        <v>7</v>
      </c>
      <c r="H660">
        <f xml:space="preserve"> [1]Coibion_update!Q666</f>
        <v>5.4554834953357521</v>
      </c>
      <c r="I660">
        <f xml:space="preserve"> [1]Coibion_update!W666</f>
        <v>0.08</v>
      </c>
      <c r="K660">
        <f xml:space="preserve"> [1]Coibion_update!Y666</f>
        <v>4.8698164600744969</v>
      </c>
      <c r="L660">
        <f xml:space="preserve"> [1]Coibion_update!Z666</f>
        <v>4.6764205075162577</v>
      </c>
      <c r="M660">
        <f xml:space="preserve"> [1]Coibion_update!AA666</f>
        <v>4.6637126416002017</v>
      </c>
      <c r="X660" s="5">
        <f xml:space="preserve"> [1]misc!N743</f>
        <v>0.12</v>
      </c>
      <c r="AK660" s="5">
        <v>-1.9989443972916181</v>
      </c>
      <c r="AL660">
        <f xml:space="preserve"> LN([1]misc!B679)</f>
        <v>7.8717689390653014</v>
      </c>
      <c r="AM660">
        <f xml:space="preserve"> LN([1]misc!D679)</f>
        <v>9.2991567855732775</v>
      </c>
      <c r="AN660">
        <f xml:space="preserve"> LN([1]misc!G784)</f>
        <v>7.8091402702158561</v>
      </c>
    </row>
    <row r="661" spans="1:40" x14ac:dyDescent="0.25">
      <c r="A661">
        <f t="shared" si="51"/>
        <v>2013.9166666666222</v>
      </c>
      <c r="B661" s="1">
        <v>41609</v>
      </c>
      <c r="C661" s="7">
        <f t="shared" si="48"/>
        <v>2013</v>
      </c>
      <c r="D661" s="7">
        <f t="shared" si="49"/>
        <v>12</v>
      </c>
      <c r="E661" s="7">
        <f t="shared" si="50"/>
        <v>4</v>
      </c>
      <c r="F661">
        <f xml:space="preserve"> [1]Coibion_update!O667</f>
        <v>4.6365612891231356</v>
      </c>
      <c r="G661">
        <f xml:space="preserve"> [1]Coibion_update!P667</f>
        <v>6.7</v>
      </c>
      <c r="H661">
        <f xml:space="preserve"> [1]Coibion_update!Q667</f>
        <v>5.4582953205000386</v>
      </c>
      <c r="I661">
        <f xml:space="preserve"> [1]Coibion_update!W667</f>
        <v>0.09</v>
      </c>
      <c r="K661">
        <f xml:space="preserve"> [1]Coibion_update!Y667</f>
        <v>4.8605330748488615</v>
      </c>
      <c r="L661">
        <f xml:space="preserve"> [1]Coibion_update!Z667</f>
        <v>4.6825200404154232</v>
      </c>
      <c r="M661">
        <f xml:space="preserve"> [1]Coibion_update!AA667</f>
        <v>4.6652393594540014</v>
      </c>
      <c r="X661" s="5">
        <f xml:space="preserve"> [1]misc!N744</f>
        <v>0.13</v>
      </c>
      <c r="AK661" s="5">
        <v>-2.1332379041263838</v>
      </c>
      <c r="AL661">
        <f xml:space="preserve"> LN([1]misc!B680)</f>
        <v>7.8840115920237261</v>
      </c>
      <c r="AM661">
        <f xml:space="preserve"> LN([1]misc!D680)</f>
        <v>9.3041949474478063</v>
      </c>
      <c r="AN661">
        <f xml:space="preserve"> LN([1]misc!G785)</f>
        <v>7.8181277323439176</v>
      </c>
    </row>
    <row r="662" spans="1:40" x14ac:dyDescent="0.25">
      <c r="A662">
        <f t="shared" si="51"/>
        <v>2013.9999999999554</v>
      </c>
      <c r="B662" s="1">
        <v>41640</v>
      </c>
      <c r="C662" s="7">
        <f t="shared" si="48"/>
        <v>2014</v>
      </c>
      <c r="D662" s="7">
        <f t="shared" si="49"/>
        <v>1</v>
      </c>
      <c r="E662" s="7">
        <f t="shared" si="50"/>
        <v>1</v>
      </c>
      <c r="F662">
        <f xml:space="preserve"> [1]Coibion_update!O668</f>
        <v>4.6347746182565315</v>
      </c>
      <c r="G662">
        <f xml:space="preserve"> [1]Coibion_update!P668</f>
        <v>6.6</v>
      </c>
      <c r="H662">
        <f xml:space="preserve"> [1]Coibion_update!Q668</f>
        <v>5.460130046710451</v>
      </c>
      <c r="I662">
        <f xml:space="preserve"> [1]Coibion_update!W668</f>
        <v>7.0000000000000007E-2</v>
      </c>
      <c r="K662">
        <f xml:space="preserve"> [1]Coibion_update!Y668</f>
        <v>4.8438484464493694</v>
      </c>
      <c r="L662">
        <f xml:space="preserve"> [1]Coibion_update!Z668</f>
        <v>4.670489652108734</v>
      </c>
      <c r="M662">
        <f xml:space="preserve"> [1]Coibion_update!AA668</f>
        <v>4.6642029532407818</v>
      </c>
      <c r="X662" s="5">
        <f xml:space="preserve"> [1]misc!N745</f>
        <v>0.12</v>
      </c>
      <c r="AK662" s="5">
        <v>-2.3761256033244917</v>
      </c>
      <c r="AL662">
        <f xml:space="preserve"> LN([1]misc!B681)</f>
        <v>7.8959572863232763</v>
      </c>
      <c r="AM662">
        <f xml:space="preserve"> LN([1]misc!D681)</f>
        <v>9.3092440872906383</v>
      </c>
      <c r="AN662">
        <f xml:space="preserve"> LN([1]misc!G786)</f>
        <v>7.8233069378090789</v>
      </c>
    </row>
    <row r="663" spans="1:40" x14ac:dyDescent="0.25">
      <c r="A663">
        <f t="shared" si="51"/>
        <v>2014.0833333332887</v>
      </c>
      <c r="B663" s="1">
        <v>41671</v>
      </c>
      <c r="C663" s="7">
        <f t="shared" si="48"/>
        <v>2014</v>
      </c>
      <c r="D663" s="7">
        <f t="shared" si="49"/>
        <v>2</v>
      </c>
      <c r="E663" s="7">
        <f t="shared" si="50"/>
        <v>1</v>
      </c>
      <c r="F663">
        <f xml:space="preserve"> [1]Coibion_update!O669</f>
        <v>4.6425420757355367</v>
      </c>
      <c r="G663">
        <f xml:space="preserve"> [1]Coibion_update!P669</f>
        <v>6.7</v>
      </c>
      <c r="H663">
        <f xml:space="preserve"> [1]Coibion_update!Q669</f>
        <v>5.4610992614673739</v>
      </c>
      <c r="I663">
        <f xml:space="preserve"> [1]Coibion_update!W669</f>
        <v>7.0000000000000007E-2</v>
      </c>
      <c r="K663">
        <f xml:space="preserve"> [1]Coibion_update!Y669</f>
        <v>4.8684340456984181</v>
      </c>
      <c r="L663">
        <f xml:space="preserve"> [1]Coibion_update!Z669</f>
        <v>4.6817329996940531</v>
      </c>
      <c r="M663">
        <f xml:space="preserve"> [1]Coibion_update!AA669</f>
        <v>4.6662652853479019</v>
      </c>
      <c r="X663" s="5">
        <f xml:space="preserve"> [1]misc!N746</f>
        <v>0.12</v>
      </c>
      <c r="AK663" s="5">
        <v>-2.5422869509421115</v>
      </c>
      <c r="AL663">
        <f xml:space="preserve"> LN([1]misc!B682)</f>
        <v>7.9090854448436927</v>
      </c>
      <c r="AM663">
        <f xml:space="preserve"> LN([1]misc!D682)</f>
        <v>9.3165635154636153</v>
      </c>
      <c r="AN663">
        <f xml:space="preserve"> LN([1]misc!G787)</f>
        <v>7.8609097176820262</v>
      </c>
    </row>
    <row r="664" spans="1:40" x14ac:dyDescent="0.25">
      <c r="A664">
        <f t="shared" si="51"/>
        <v>2014.1666666666219</v>
      </c>
      <c r="B664" s="1">
        <v>41699</v>
      </c>
      <c r="C664" s="7">
        <f t="shared" si="48"/>
        <v>2014</v>
      </c>
      <c r="D664" s="7">
        <f t="shared" si="49"/>
        <v>3</v>
      </c>
      <c r="E664" s="7">
        <f t="shared" si="50"/>
        <v>1</v>
      </c>
      <c r="F664">
        <f xml:space="preserve"> [1]Coibion_update!O670</f>
        <v>4.6507313329644226</v>
      </c>
      <c r="G664">
        <f xml:space="preserve"> [1]Coibion_update!P670</f>
        <v>6.6</v>
      </c>
      <c r="H664">
        <f xml:space="preserve"> [1]Coibion_update!Q670</f>
        <v>5.4629415783829565</v>
      </c>
      <c r="I664">
        <f xml:space="preserve"> [1]Coibion_update!W670</f>
        <v>0.08</v>
      </c>
      <c r="K664">
        <f xml:space="preserve"> [1]Coibion_update!Y670</f>
        <v>4.8961891847034362</v>
      </c>
      <c r="L664">
        <f xml:space="preserve"> [1]Coibion_update!Z670</f>
        <v>4.6840737835835569</v>
      </c>
      <c r="M664">
        <f xml:space="preserve"> [1]Coibion_update!AA670</f>
        <v>4.667600235861558</v>
      </c>
      <c r="X664" s="5">
        <f xml:space="preserve"> [1]misc!N747</f>
        <v>0.13</v>
      </c>
      <c r="AK664" s="5">
        <v>-2.6243884377279088</v>
      </c>
      <c r="AL664">
        <f xml:space="preserve"> LN([1]misc!B683)</f>
        <v>7.9187014308976735</v>
      </c>
      <c r="AM664">
        <f xml:space="preserve"> LN([1]misc!D683)</f>
        <v>9.3203958490342291</v>
      </c>
      <c r="AN664">
        <f xml:space="preserve"> LN([1]misc!G788)</f>
        <v>7.8720842733708913</v>
      </c>
    </row>
    <row r="665" spans="1:40" x14ac:dyDescent="0.25">
      <c r="A665">
        <f t="shared" si="51"/>
        <v>2014.2499999999552</v>
      </c>
      <c r="B665" s="1">
        <v>41730</v>
      </c>
      <c r="C665" s="7">
        <f t="shared" si="48"/>
        <v>2014</v>
      </c>
      <c r="D665" s="7">
        <f t="shared" si="49"/>
        <v>4</v>
      </c>
      <c r="E665" s="7">
        <f t="shared" si="50"/>
        <v>2</v>
      </c>
      <c r="F665">
        <f xml:space="preserve"> [1]Coibion_update!O671</f>
        <v>4.6526213588705732</v>
      </c>
      <c r="G665">
        <f xml:space="preserve"> [1]Coibion_update!P671</f>
        <v>6.2</v>
      </c>
      <c r="H665">
        <f xml:space="preserve"> [1]Coibion_update!Q671</f>
        <v>5.4648482374356675</v>
      </c>
      <c r="I665">
        <f xml:space="preserve"> [1]Coibion_update!W671</f>
        <v>0.09</v>
      </c>
      <c r="K665">
        <f xml:space="preserve"> [1]Coibion_update!Y671</f>
        <v>4.8952992620829239</v>
      </c>
      <c r="L665">
        <f xml:space="preserve"> [1]Coibion_update!Z671</f>
        <v>4.6879107895270709</v>
      </c>
      <c r="M665">
        <f xml:space="preserve"> [1]Coibion_update!AA671</f>
        <v>4.6699368061091118</v>
      </c>
      <c r="X665" s="5">
        <f xml:space="preserve"> [1]misc!N748</f>
        <v>0.11</v>
      </c>
      <c r="AK665" s="5">
        <v>-2.8917869783974215</v>
      </c>
      <c r="AL665">
        <f xml:space="preserve"> LN([1]misc!B684)</f>
        <v>7.9282979122283237</v>
      </c>
      <c r="AM665">
        <f xml:space="preserve"> LN([1]misc!D684)</f>
        <v>9.3253907885386376</v>
      </c>
      <c r="AN665">
        <f xml:space="preserve"> LN([1]misc!G789)</f>
        <v>7.8862197380714996</v>
      </c>
    </row>
    <row r="666" spans="1:40" x14ac:dyDescent="0.25">
      <c r="A666">
        <f t="shared" si="51"/>
        <v>2014.3333333332885</v>
      </c>
      <c r="B666" s="1">
        <v>41760</v>
      </c>
      <c r="C666" s="7">
        <f t="shared" si="48"/>
        <v>2014</v>
      </c>
      <c r="D666" s="7">
        <f t="shared" si="49"/>
        <v>5</v>
      </c>
      <c r="E666" s="7">
        <f t="shared" si="50"/>
        <v>2</v>
      </c>
      <c r="F666">
        <f xml:space="preserve"> [1]Coibion_update!O672</f>
        <v>4.6563014172441219</v>
      </c>
      <c r="G666">
        <f xml:space="preserve"> [1]Coibion_update!P672</f>
        <v>6.3</v>
      </c>
      <c r="H666">
        <f xml:space="preserve"> [1]Coibion_update!Q672</f>
        <v>5.4678491484135971</v>
      </c>
      <c r="I666">
        <f xml:space="preserve"> [1]Coibion_update!W672</f>
        <v>0.09</v>
      </c>
      <c r="K666">
        <f xml:space="preserve"> [1]Coibion_update!Y672</f>
        <v>4.9007832250160712</v>
      </c>
      <c r="L666">
        <f xml:space="preserve"> [1]Coibion_update!Z672</f>
        <v>4.6840275760655858</v>
      </c>
      <c r="M666">
        <f xml:space="preserve"> [1]Coibion_update!AA672</f>
        <v>4.6715850706540696</v>
      </c>
      <c r="X666" s="5">
        <f xml:space="preserve"> [1]misc!N749</f>
        <v>0.1</v>
      </c>
      <c r="AK666" s="5">
        <v>-2.985643605263137</v>
      </c>
      <c r="AL666">
        <f xml:space="preserve"> LN([1]misc!B685)</f>
        <v>7.9330439032314031</v>
      </c>
      <c r="AM666">
        <f xml:space="preserve"> LN([1]misc!D685)</f>
        <v>9.3312296892516358</v>
      </c>
      <c r="AN666">
        <f xml:space="preserve"> LN([1]misc!G790)</f>
        <v>7.8767067698378055</v>
      </c>
    </row>
    <row r="667" spans="1:40" x14ac:dyDescent="0.25">
      <c r="A667">
        <f t="shared" si="51"/>
        <v>2014.4166666666217</v>
      </c>
      <c r="B667" s="1">
        <v>41791</v>
      </c>
      <c r="C667" s="7">
        <f t="shared" si="48"/>
        <v>2014</v>
      </c>
      <c r="D667" s="7">
        <f t="shared" si="49"/>
        <v>6</v>
      </c>
      <c r="E667" s="7">
        <f t="shared" si="50"/>
        <v>2</v>
      </c>
      <c r="F667">
        <f xml:space="preserve"> [1]Coibion_update!O673</f>
        <v>4.6607562532276372</v>
      </c>
      <c r="G667">
        <f xml:space="preserve"> [1]Coibion_update!P673</f>
        <v>6.1</v>
      </c>
      <c r="H667">
        <f xml:space="preserve"> [1]Coibion_update!Q673</f>
        <v>5.4695274185872726</v>
      </c>
      <c r="I667">
        <f xml:space="preserve"> [1]Coibion_update!W673</f>
        <v>0.1</v>
      </c>
      <c r="K667">
        <f xml:space="preserve"> [1]Coibion_update!Y673</f>
        <v>4.9104613051257298</v>
      </c>
      <c r="L667">
        <f xml:space="preserve"> [1]Coibion_update!Z673</f>
        <v>4.6895848611304523</v>
      </c>
      <c r="M667">
        <f xml:space="preserve"> [1]Coibion_update!AA673</f>
        <v>4.6746869202349837</v>
      </c>
      <c r="X667" s="5">
        <f xml:space="preserve"> [1]misc!N750</f>
        <v>0.1</v>
      </c>
      <c r="AK667" s="5">
        <v>-2.8885822607113241</v>
      </c>
      <c r="AL667">
        <f xml:space="preserve"> LN([1]misc!B686)</f>
        <v>7.9431437374832115</v>
      </c>
      <c r="AM667">
        <f xml:space="preserve"> LN([1]misc!D686)</f>
        <v>9.3354917501551018</v>
      </c>
      <c r="AN667">
        <f xml:space="preserve"> LN([1]misc!G791)</f>
        <v>7.8892170818919869</v>
      </c>
    </row>
    <row r="668" spans="1:40" x14ac:dyDescent="0.25">
      <c r="A668">
        <f t="shared" si="51"/>
        <v>2014.499999999955</v>
      </c>
      <c r="B668" s="1">
        <v>41821</v>
      </c>
      <c r="C668" s="7">
        <f t="shared" si="48"/>
        <v>2014</v>
      </c>
      <c r="D668" s="7">
        <f t="shared" si="49"/>
        <v>7</v>
      </c>
      <c r="E668" s="7">
        <f t="shared" si="50"/>
        <v>3</v>
      </c>
      <c r="F668">
        <f xml:space="preserve"> [1]Coibion_update!O674</f>
        <v>4.664196354487852</v>
      </c>
      <c r="G668">
        <f xml:space="preserve"> [1]Coibion_update!P674</f>
        <v>6.2</v>
      </c>
      <c r="H668">
        <f xml:space="preserve"> [1]Coibion_update!Q674</f>
        <v>5.4705717523299446</v>
      </c>
      <c r="I668">
        <f xml:space="preserve"> [1]Coibion_update!W674</f>
        <v>0.09</v>
      </c>
      <c r="K668">
        <f xml:space="preserve"> [1]Coibion_update!Y674</f>
        <v>4.911617583217887</v>
      </c>
      <c r="L668">
        <f xml:space="preserve"> [1]Coibion_update!Z674</f>
        <v>4.690329014736041</v>
      </c>
      <c r="M668">
        <f xml:space="preserve"> [1]Coibion_update!AA674</f>
        <v>4.6753583428367911</v>
      </c>
      <c r="X668" s="5">
        <f xml:space="preserve"> [1]misc!N751</f>
        <v>0.11</v>
      </c>
      <c r="AK668" s="5">
        <v>-2.8366979057230814</v>
      </c>
      <c r="AL668">
        <f xml:space="preserve"> LN([1]misc!B687)</f>
        <v>7.952509583747565</v>
      </c>
      <c r="AM668">
        <f xml:space="preserve"> LN([1]misc!D687)</f>
        <v>9.3420701426540766</v>
      </c>
      <c r="AN668">
        <f xml:space="preserve"> LN([1]misc!G792)</f>
        <v>7.9024889164517012</v>
      </c>
    </row>
    <row r="669" spans="1:40" x14ac:dyDescent="0.25">
      <c r="A669">
        <f t="shared" si="51"/>
        <v>2014.5833333332882</v>
      </c>
      <c r="B669" s="1">
        <v>41852</v>
      </c>
      <c r="C669" s="7">
        <f t="shared" si="48"/>
        <v>2014</v>
      </c>
      <c r="D669" s="7">
        <f t="shared" si="49"/>
        <v>8</v>
      </c>
      <c r="E669" s="7">
        <f t="shared" si="50"/>
        <v>3</v>
      </c>
      <c r="F669">
        <f xml:space="preserve"> [1]Coibion_update!O675</f>
        <v>4.6645121031375867</v>
      </c>
      <c r="G669">
        <f xml:space="preserve"> [1]Coibion_update!P675</f>
        <v>6.1</v>
      </c>
      <c r="H669">
        <f xml:space="preserve"> [1]Coibion_update!Q675</f>
        <v>5.4697843921562166</v>
      </c>
      <c r="I669">
        <f xml:space="preserve"> [1]Coibion_update!W675</f>
        <v>0.09</v>
      </c>
      <c r="K669">
        <f xml:space="preserve"> [1]Coibion_update!Y675</f>
        <v>4.9284703360416184</v>
      </c>
      <c r="L669">
        <f xml:space="preserve"> [1]Coibion_update!Z675</f>
        <v>4.6961802243314548</v>
      </c>
      <c r="M669">
        <f xml:space="preserve"> [1]Coibion_update!AA675</f>
        <v>4.6801848897935372</v>
      </c>
      <c r="X669" s="5">
        <f xml:space="preserve"> [1]misc!N752</f>
        <v>0.11</v>
      </c>
      <c r="AK669" s="5">
        <v>-2.8925619639076174</v>
      </c>
      <c r="AL669">
        <f xml:space="preserve"> LN([1]misc!B688)</f>
        <v>7.9442084357418601</v>
      </c>
      <c r="AM669">
        <f xml:space="preserve"> LN([1]misc!D688)</f>
        <v>9.345360655652124</v>
      </c>
      <c r="AN669">
        <f xml:space="preserve"> LN([1]misc!G793)</f>
        <v>7.9326733047788318</v>
      </c>
    </row>
    <row r="670" spans="1:40" x14ac:dyDescent="0.25">
      <c r="A670">
        <f t="shared" si="51"/>
        <v>2014.6666666666215</v>
      </c>
      <c r="B670" s="1">
        <v>41883</v>
      </c>
      <c r="C670" s="7">
        <f t="shared" si="48"/>
        <v>2014</v>
      </c>
      <c r="D670" s="7">
        <f t="shared" si="49"/>
        <v>9</v>
      </c>
      <c r="E670" s="7">
        <f t="shared" si="50"/>
        <v>3</v>
      </c>
      <c r="F670">
        <f xml:space="preserve"> [1]Coibion_update!O676</f>
        <v>4.6698112018728963</v>
      </c>
      <c r="G670">
        <f xml:space="preserve"> [1]Coibion_update!P676</f>
        <v>5.9</v>
      </c>
      <c r="H670">
        <f xml:space="preserve"> [1]Coibion_update!Q676</f>
        <v>5.4706980091111532</v>
      </c>
      <c r="I670">
        <f xml:space="preserve"> [1]Coibion_update!W676</f>
        <v>0.09</v>
      </c>
      <c r="K670">
        <f xml:space="preserve"> [1]Coibion_update!Y676</f>
        <v>4.9208929185953947</v>
      </c>
      <c r="L670">
        <f xml:space="preserve"> [1]Coibion_update!Z676</f>
        <v>4.6929795778124994</v>
      </c>
      <c r="M670">
        <f xml:space="preserve"> [1]Coibion_update!AA676</f>
        <v>4.683907426525475</v>
      </c>
      <c r="X670" s="5">
        <f xml:space="preserve"> [1]misc!N753</f>
        <v>0.11</v>
      </c>
      <c r="AK670" s="5">
        <v>-2.8051391418383611</v>
      </c>
      <c r="AL670">
        <f xml:space="preserve"> LN([1]misc!B689)</f>
        <v>7.9588216291109752</v>
      </c>
      <c r="AM670">
        <f xml:space="preserve"> LN([1]misc!D689)</f>
        <v>9.348675209565025</v>
      </c>
      <c r="AN670">
        <f xml:space="preserve"> LN([1]misc!G794)</f>
        <v>7.9227265047660769</v>
      </c>
    </row>
    <row r="671" spans="1:40" x14ac:dyDescent="0.25">
      <c r="A671">
        <f t="shared" si="51"/>
        <v>2014.7499999999548</v>
      </c>
      <c r="B671" s="1">
        <v>41913</v>
      </c>
      <c r="C671" s="7">
        <f t="shared" si="48"/>
        <v>2014</v>
      </c>
      <c r="D671" s="7">
        <f t="shared" si="49"/>
        <v>10</v>
      </c>
      <c r="E671" s="7">
        <f t="shared" si="50"/>
        <v>4</v>
      </c>
      <c r="F671">
        <f xml:space="preserve"> [1]Coibion_update!O677</f>
        <v>4.6713913531824405</v>
      </c>
      <c r="G671">
        <f xml:space="preserve"> [1]Coibion_update!P677</f>
        <v>5.7</v>
      </c>
      <c r="H671">
        <f xml:space="preserve"> [1]Coibion_update!Q677</f>
        <v>5.4712323196424197</v>
      </c>
      <c r="I671">
        <f xml:space="preserve"> [1]Coibion_update!W677</f>
        <v>0.09</v>
      </c>
      <c r="K671">
        <f xml:space="preserve"> [1]Coibion_update!Y677</f>
        <v>4.9260573176209581</v>
      </c>
      <c r="L671">
        <f xml:space="preserve"> [1]Coibion_update!Z677</f>
        <v>4.6973208342707471</v>
      </c>
      <c r="M671">
        <f xml:space="preserve"> [1]Coibion_update!AA677</f>
        <v>4.688076481983841</v>
      </c>
      <c r="X671" s="5">
        <f xml:space="preserve"> [1]misc!N754</f>
        <v>0.1</v>
      </c>
      <c r="AK671" s="5">
        <v>-2.8017096305478688</v>
      </c>
      <c r="AL671">
        <f xml:space="preserve"> LN([1]misc!B690)</f>
        <v>7.9612307219787173</v>
      </c>
      <c r="AM671">
        <f xml:space="preserve"> LN([1]misc!D690)</f>
        <v>9.3522651910376187</v>
      </c>
      <c r="AN671">
        <f xml:space="preserve"> LN([1]misc!G795)</f>
        <v>7.903104110885848</v>
      </c>
    </row>
    <row r="672" spans="1:40" x14ac:dyDescent="0.25">
      <c r="A672">
        <f t="shared" si="51"/>
        <v>2014.833333333288</v>
      </c>
      <c r="B672" s="1">
        <v>41944</v>
      </c>
      <c r="C672" s="7">
        <f t="shared" si="48"/>
        <v>2014</v>
      </c>
      <c r="D672" s="7">
        <f t="shared" si="49"/>
        <v>11</v>
      </c>
      <c r="E672" s="7">
        <f t="shared" si="50"/>
        <v>4</v>
      </c>
      <c r="F672">
        <f xml:space="preserve"> [1]Coibion_update!O678</f>
        <v>4.6802739478928732</v>
      </c>
      <c r="G672">
        <f xml:space="preserve"> [1]Coibion_update!P678</f>
        <v>5.8</v>
      </c>
      <c r="H672">
        <f xml:space="preserve"> [1]Coibion_update!Q678</f>
        <v>5.4683428016048374</v>
      </c>
      <c r="I672">
        <f xml:space="preserve"> [1]Coibion_update!W678</f>
        <v>0.09</v>
      </c>
      <c r="K672">
        <f xml:space="preserve"> [1]Coibion_update!Y678</f>
        <v>4.9414852674039293</v>
      </c>
      <c r="L672">
        <f xml:space="preserve"> [1]Coibion_update!Z678</f>
        <v>4.7024057837123703</v>
      </c>
      <c r="M672">
        <f xml:space="preserve"> [1]Coibion_update!AA678</f>
        <v>4.690227989328065</v>
      </c>
      <c r="X672" s="5">
        <f xml:space="preserve"> [1]misc!N755</f>
        <v>0.13</v>
      </c>
      <c r="AK672" s="5">
        <v>-2.7683444314271615</v>
      </c>
      <c r="AL672">
        <f xml:space="preserve"> LN([1]misc!B691)</f>
        <v>7.9667601130554671</v>
      </c>
      <c r="AM672">
        <f xml:space="preserve"> LN([1]misc!D691)</f>
        <v>9.3559806551757827</v>
      </c>
      <c r="AN672">
        <f xml:space="preserve"> LN([1]misc!G796)</f>
        <v>7.8318467061649644</v>
      </c>
    </row>
    <row r="673" spans="1:40" x14ac:dyDescent="0.25">
      <c r="A673">
        <f t="shared" si="51"/>
        <v>2014.9166666666213</v>
      </c>
      <c r="B673" s="1">
        <v>41974</v>
      </c>
      <c r="C673" s="7">
        <f t="shared" si="48"/>
        <v>2014</v>
      </c>
      <c r="D673" s="7">
        <f t="shared" si="49"/>
        <v>12</v>
      </c>
      <c r="E673" s="7">
        <f t="shared" si="50"/>
        <v>4</v>
      </c>
      <c r="F673">
        <f xml:space="preserve"> [1]Coibion_update!O679</f>
        <v>4.6813049599335566</v>
      </c>
      <c r="G673">
        <f xml:space="preserve"> [1]Coibion_update!P679</f>
        <v>5.6</v>
      </c>
      <c r="H673">
        <f xml:space="preserve"> [1]Coibion_update!Q679</f>
        <v>5.465034471362948</v>
      </c>
      <c r="I673">
        <f xml:space="preserve"> [1]Coibion_update!W679</f>
        <v>0.12</v>
      </c>
      <c r="K673">
        <f xml:space="preserve"> [1]Coibion_update!Y679</f>
        <v>4.9380502642410828</v>
      </c>
      <c r="L673">
        <f xml:space="preserve"> [1]Coibion_update!Z679</f>
        <v>4.7030044503364463</v>
      </c>
      <c r="M673">
        <f xml:space="preserve"> [1]Coibion_update!AA679</f>
        <v>4.6930345324291594</v>
      </c>
      <c r="X673" s="5">
        <f xml:space="preserve"> [1]misc!N756</f>
        <v>0.21</v>
      </c>
      <c r="AK673" s="5">
        <v>-2.4207480028736268</v>
      </c>
      <c r="AL673">
        <f xml:space="preserve"> LN([1]misc!B692)</f>
        <v>7.9787565339420645</v>
      </c>
      <c r="AM673">
        <f xml:space="preserve"> LN([1]misc!D692)</f>
        <v>9.3615839731992754</v>
      </c>
      <c r="AN673">
        <f xml:space="preserve"> LN([1]misc!G797)</f>
        <v>7.8658403325132698</v>
      </c>
    </row>
    <row r="674" spans="1:40" x14ac:dyDescent="0.25">
      <c r="A674">
        <f t="shared" si="51"/>
        <v>2014.9999999999545</v>
      </c>
      <c r="B674" s="1">
        <v>42005</v>
      </c>
      <c r="C674" s="7">
        <f t="shared" si="48"/>
        <v>2015</v>
      </c>
      <c r="D674" s="7">
        <f t="shared" si="49"/>
        <v>1</v>
      </c>
      <c r="E674" s="7">
        <f t="shared" si="50"/>
        <v>1</v>
      </c>
      <c r="F674">
        <f xml:space="preserve"> [1]Coibion_update!O680</f>
        <v>4.6784234358278862</v>
      </c>
      <c r="G674">
        <f xml:space="preserve"> [1]Coibion_update!P680</f>
        <v>5.7</v>
      </c>
      <c r="H674">
        <f xml:space="preserve"> [1]Coibion_update!Q680</f>
        <v>5.4582101006113692</v>
      </c>
      <c r="I674">
        <f xml:space="preserve"> [1]Coibion_update!W680</f>
        <v>0.11</v>
      </c>
      <c r="K674">
        <f xml:space="preserve"> [1]Coibion_update!Y680</f>
        <v>4.9378136737243912</v>
      </c>
      <c r="L674">
        <f xml:space="preserve"> [1]Coibion_update!Z680</f>
        <v>4.7016978062291575</v>
      </c>
      <c r="M674">
        <f xml:space="preserve"> [1]Coibion_update!AA680</f>
        <v>4.6944165635022861</v>
      </c>
      <c r="X674" s="5">
        <f xml:space="preserve"> [1]misc!N757</f>
        <v>0.2</v>
      </c>
      <c r="AK674" s="5">
        <v>-2.2687550625078954</v>
      </c>
      <c r="AL674">
        <f xml:space="preserve"> LN([1]misc!B693)</f>
        <v>7.9847352675231331</v>
      </c>
      <c r="AM674">
        <f xml:space="preserve"> LN([1]misc!D693)</f>
        <v>9.3680532709887956</v>
      </c>
      <c r="AN674">
        <f xml:space="preserve"> LN([1]misc!G798)</f>
        <v>7.8949550719454136</v>
      </c>
    </row>
    <row r="675" spans="1:40" x14ac:dyDescent="0.25">
      <c r="A675">
        <f t="shared" si="51"/>
        <v>2015.0833333332878</v>
      </c>
      <c r="B675" s="1">
        <v>42036</v>
      </c>
      <c r="C675" s="7">
        <f t="shared" si="48"/>
        <v>2015</v>
      </c>
      <c r="D675" s="7">
        <f t="shared" si="49"/>
        <v>2</v>
      </c>
      <c r="E675" s="7">
        <f t="shared" si="50"/>
        <v>1</v>
      </c>
      <c r="F675">
        <f xml:space="preserve"> [1]Coibion_update!O681</f>
        <v>4.6769027677059034</v>
      </c>
      <c r="G675">
        <f xml:space="preserve"> [1]Coibion_update!P681</f>
        <v>5.5</v>
      </c>
      <c r="H675">
        <f xml:space="preserve"> [1]Coibion_update!Q681</f>
        <v>5.4603766904433355</v>
      </c>
      <c r="I675">
        <f xml:space="preserve"> [1]Coibion_update!W681</f>
        <v>0.11</v>
      </c>
      <c r="K675">
        <f xml:space="preserve"> [1]Coibion_update!Y681</f>
        <v>4.9316930917556361</v>
      </c>
      <c r="L675">
        <f xml:space="preserve"> [1]Coibion_update!Z681</f>
        <v>4.6986787438457878</v>
      </c>
      <c r="M675">
        <f xml:space="preserve"> [1]Coibion_update!AA681</f>
        <v>4.6968556225226017</v>
      </c>
      <c r="X675" s="5">
        <f xml:space="preserve"> [1]misc!N758</f>
        <v>0.22</v>
      </c>
      <c r="AK675" s="5">
        <v>-1.9736478336880323</v>
      </c>
      <c r="AL675">
        <f xml:space="preserve"> LN([1]misc!B694)</f>
        <v>8.0056339652964947</v>
      </c>
      <c r="AM675">
        <f xml:space="preserve"> LN([1]misc!D694)</f>
        <v>9.3781995171065748</v>
      </c>
      <c r="AN675">
        <f xml:space="preserve"> LN([1]misc!G799)</f>
        <v>7.8227924254463295</v>
      </c>
    </row>
    <row r="676" spans="1:40" x14ac:dyDescent="0.25">
      <c r="A676">
        <f t="shared" si="51"/>
        <v>2015.166666666621</v>
      </c>
      <c r="B676" s="1">
        <v>42064</v>
      </c>
      <c r="C676" s="7">
        <f t="shared" si="48"/>
        <v>2015</v>
      </c>
      <c r="D676" s="7">
        <f t="shared" si="49"/>
        <v>3</v>
      </c>
      <c r="E676" s="7">
        <f t="shared" si="50"/>
        <v>1</v>
      </c>
      <c r="F676">
        <f xml:space="preserve"> [1]Coibion_update!O682</f>
        <v>4.6750450683890321</v>
      </c>
      <c r="G676">
        <f xml:space="preserve"> [1]Coibion_update!P682</f>
        <v>5.5</v>
      </c>
      <c r="H676">
        <f xml:space="preserve"> [1]Coibion_update!Q682</f>
        <v>5.4627295027984237</v>
      </c>
      <c r="I676">
        <f xml:space="preserve"> [1]Coibion_update!W682</f>
        <v>0.11</v>
      </c>
      <c r="K676">
        <f xml:space="preserve"> [1]Coibion_update!Y682</f>
        <v>4.9507012670976502</v>
      </c>
      <c r="L676">
        <f xml:space="preserve"> [1]Coibion_update!Z682</f>
        <v>4.7075281986416613</v>
      </c>
      <c r="M676">
        <f xml:space="preserve"> [1]Coibion_update!AA682</f>
        <v>4.69537645387424</v>
      </c>
      <c r="X676" s="5">
        <f xml:space="preserve"> [1]misc!N759</f>
        <v>0.25</v>
      </c>
      <c r="AK676" s="5">
        <v>-1.808445105124542</v>
      </c>
      <c r="AL676">
        <f xml:space="preserve"> LN([1]misc!B695)</f>
        <v>8.0039646830339368</v>
      </c>
      <c r="AM676">
        <f xml:space="preserve"> LN([1]misc!D695)</f>
        <v>9.3800240730885154</v>
      </c>
      <c r="AN676">
        <f xml:space="preserve"> LN([1]misc!G800)</f>
        <v>7.8917801704977588</v>
      </c>
    </row>
    <row r="677" spans="1:40" x14ac:dyDescent="0.25">
      <c r="A677">
        <f t="shared" si="51"/>
        <v>2015.2499999999543</v>
      </c>
      <c r="B677" s="1">
        <v>42095</v>
      </c>
      <c r="C677" s="7">
        <f t="shared" si="48"/>
        <v>2015</v>
      </c>
      <c r="D677" s="7">
        <f t="shared" si="49"/>
        <v>4</v>
      </c>
      <c r="E677" s="7">
        <f t="shared" si="50"/>
        <v>2</v>
      </c>
      <c r="F677">
        <f xml:space="preserve"> [1]Coibion_update!O683</f>
        <v>4.6733884909091294</v>
      </c>
      <c r="G677">
        <f xml:space="preserve"> [1]Coibion_update!P683</f>
        <v>5.4</v>
      </c>
      <c r="H677">
        <f xml:space="preserve"> [1]Coibion_update!Q683</f>
        <v>5.4637555309303742</v>
      </c>
      <c r="I677">
        <f xml:space="preserve"> [1]Coibion_update!W683</f>
        <v>0.12</v>
      </c>
      <c r="K677">
        <f xml:space="preserve"> [1]Coibion_update!Y683</f>
        <v>4.9531897802235072</v>
      </c>
      <c r="L677">
        <f xml:space="preserve"> [1]Coibion_update!Z683</f>
        <v>4.7055764495807786</v>
      </c>
      <c r="M677">
        <f xml:space="preserve"> [1]Coibion_update!AA683</f>
        <v>4.6996982418313769</v>
      </c>
      <c r="X677" s="5">
        <f xml:space="preserve"> [1]misc!N760</f>
        <v>0.23</v>
      </c>
      <c r="AK677" s="5">
        <v>-1.5949531795239589</v>
      </c>
      <c r="AL677">
        <f xml:space="preserve"> LN([1]misc!B696)</f>
        <v>8.0065675476529137</v>
      </c>
      <c r="AM677">
        <f xml:space="preserve"> LN([1]misc!D696)</f>
        <v>9.3843188888658862</v>
      </c>
      <c r="AN677">
        <f xml:space="preserve"> LN([1]misc!G801)</f>
        <v>7.9006217926043663</v>
      </c>
    </row>
    <row r="678" spans="1:40" x14ac:dyDescent="0.25">
      <c r="A678">
        <f t="shared" si="51"/>
        <v>2015.3333333332876</v>
      </c>
      <c r="B678" s="1">
        <v>42125</v>
      </c>
      <c r="C678" s="7">
        <f t="shared" si="48"/>
        <v>2015</v>
      </c>
      <c r="D678" s="7">
        <f t="shared" si="49"/>
        <v>5</v>
      </c>
      <c r="E678" s="7">
        <f t="shared" si="50"/>
        <v>2</v>
      </c>
      <c r="F678">
        <f xml:space="preserve"> [1]Coibion_update!O684</f>
        <v>4.6696949570311306</v>
      </c>
      <c r="G678">
        <f xml:space="preserve"> [1]Coibion_update!P684</f>
        <v>5.5</v>
      </c>
      <c r="H678">
        <f xml:space="preserve"> [1]Coibion_update!Q684</f>
        <v>5.4681909342691002</v>
      </c>
      <c r="I678">
        <f xml:space="preserve"> [1]Coibion_update!W684</f>
        <v>0.12</v>
      </c>
      <c r="K678">
        <f xml:space="preserve"> [1]Coibion_update!Y684</f>
        <v>4.9674702790681824</v>
      </c>
      <c r="L678">
        <f xml:space="preserve"> [1]Coibion_update!Z684</f>
        <v>4.715736129865685</v>
      </c>
      <c r="M678">
        <f xml:space="preserve"> [1]Coibion_update!AA684</f>
        <v>4.7022878222674782</v>
      </c>
      <c r="X678" s="5">
        <f xml:space="preserve"> [1]misc!N761</f>
        <v>0.24</v>
      </c>
      <c r="AK678" s="5">
        <v>-1.433637128784105</v>
      </c>
      <c r="AL678">
        <f xml:space="preserve"> LN([1]misc!B697)</f>
        <v>8.0015895041971472</v>
      </c>
      <c r="AM678">
        <f xml:space="preserve"> LN([1]misc!D697)</f>
        <v>9.3869204781410236</v>
      </c>
      <c r="AN678">
        <f xml:space="preserve"> LN([1]misc!G802)</f>
        <v>7.8572327871408962</v>
      </c>
    </row>
    <row r="679" spans="1:40" x14ac:dyDescent="0.25">
      <c r="A679">
        <f t="shared" si="51"/>
        <v>2015.4166666666208</v>
      </c>
      <c r="B679" s="1">
        <v>42156</v>
      </c>
      <c r="C679" s="7">
        <f t="shared" si="48"/>
        <v>2015</v>
      </c>
      <c r="D679" s="7">
        <f t="shared" si="49"/>
        <v>6</v>
      </c>
      <c r="E679" s="7">
        <f t="shared" si="50"/>
        <v>2</v>
      </c>
      <c r="F679">
        <f xml:space="preserve"> [1]Coibion_update!O685</f>
        <v>4.6694014724339175</v>
      </c>
      <c r="G679">
        <f xml:space="preserve"> [1]Coibion_update!P685</f>
        <v>5.3</v>
      </c>
      <c r="H679">
        <f xml:space="preserve"> [1]Coibion_update!Q685</f>
        <v>5.4713711095210753</v>
      </c>
      <c r="I679">
        <f xml:space="preserve"> [1]Coibion_update!W685</f>
        <v>0.13</v>
      </c>
      <c r="K679">
        <f xml:space="preserve"> [1]Coibion_update!Y685</f>
        <v>4.957361091636761</v>
      </c>
      <c r="L679">
        <f xml:space="preserve"> [1]Coibion_update!Z685</f>
        <v>4.717909411883741</v>
      </c>
      <c r="M679">
        <f xml:space="preserve"> [1]Coibion_update!AA685</f>
        <v>4.7043456133618937</v>
      </c>
      <c r="X679" s="5">
        <f xml:space="preserve"> [1]misc!N762</f>
        <v>0.28000000000000003</v>
      </c>
      <c r="AK679" s="5">
        <v>-1.3878834770410342</v>
      </c>
      <c r="AL679">
        <f xml:space="preserve"> LN([1]misc!B698)</f>
        <v>8.0095624585467657</v>
      </c>
      <c r="AM679">
        <f xml:space="preserve"> LN([1]misc!D698)</f>
        <v>9.3903592797074609</v>
      </c>
      <c r="AN679">
        <f xml:space="preserve"> LN([1]misc!G803)</f>
        <v>7.8450784698346698</v>
      </c>
    </row>
    <row r="680" spans="1:40" x14ac:dyDescent="0.25">
      <c r="A680">
        <f t="shared" si="51"/>
        <v>2015.4999999999541</v>
      </c>
      <c r="B680" s="1">
        <v>42186</v>
      </c>
      <c r="C680" s="7">
        <f t="shared" si="48"/>
        <v>2015</v>
      </c>
      <c r="D680" s="7">
        <f t="shared" si="49"/>
        <v>7</v>
      </c>
      <c r="E680" s="7">
        <f t="shared" si="50"/>
        <v>3</v>
      </c>
      <c r="F680">
        <f xml:space="preserve"> [1]Coibion_update!O686</f>
        <v>4.6770098016511232</v>
      </c>
      <c r="G680">
        <f xml:space="preserve"> [1]Coibion_update!P686</f>
        <v>5.3</v>
      </c>
      <c r="H680">
        <f xml:space="preserve"> [1]Coibion_update!Q686</f>
        <v>5.4726865535679954</v>
      </c>
      <c r="I680">
        <f xml:space="preserve"> [1]Coibion_update!W686</f>
        <v>0.13</v>
      </c>
      <c r="K680">
        <f xml:space="preserve"> [1]Coibion_update!Y686</f>
        <v>4.9699591222766868</v>
      </c>
      <c r="L680">
        <f xml:space="preserve"> [1]Coibion_update!Z686</f>
        <v>4.7203097306990571</v>
      </c>
      <c r="M680">
        <f xml:space="preserve"> [1]Coibion_update!AA686</f>
        <v>4.7052326919446177</v>
      </c>
      <c r="X680" s="5">
        <f xml:space="preserve"> [1]misc!N763</f>
        <v>0.3</v>
      </c>
      <c r="AK680" s="5">
        <v>-1.2799435565376225</v>
      </c>
      <c r="AL680">
        <f xml:space="preserve"> LN([1]misc!B699)</f>
        <v>8.0203690872860598</v>
      </c>
      <c r="AM680">
        <f xml:space="preserve"> LN([1]misc!D699)</f>
        <v>9.3964547270088339</v>
      </c>
      <c r="AN680">
        <f xml:space="preserve"> LN([1]misc!G804)</f>
        <v>7.8597378124112733</v>
      </c>
    </row>
    <row r="681" spans="1:40" x14ac:dyDescent="0.25">
      <c r="A681">
        <f t="shared" si="51"/>
        <v>2015.5833333332873</v>
      </c>
      <c r="B681" s="1">
        <v>42217</v>
      </c>
      <c r="C681" s="7">
        <f t="shared" si="48"/>
        <v>2015</v>
      </c>
      <c r="D681" s="7">
        <f t="shared" si="49"/>
        <v>8</v>
      </c>
      <c r="E681" s="7">
        <f t="shared" si="50"/>
        <v>3</v>
      </c>
      <c r="F681">
        <f xml:space="preserve"> [1]Coibion_update!O687</f>
        <v>4.6755401089043627</v>
      </c>
      <c r="G681">
        <f xml:space="preserve"> [1]Coibion_update!P687</f>
        <v>5.0999999999999996</v>
      </c>
      <c r="H681">
        <f xml:space="preserve"> [1]Coibion_update!Q687</f>
        <v>5.4719807156713296</v>
      </c>
      <c r="I681">
        <f xml:space="preserve"> [1]Coibion_update!W687</f>
        <v>0.14000000000000001</v>
      </c>
      <c r="K681">
        <f xml:space="preserve"> [1]Coibion_update!Y687</f>
        <v>4.9754639710848148</v>
      </c>
      <c r="L681">
        <f xml:space="preserve"> [1]Coibion_update!Z687</f>
        <v>4.7237617835590582</v>
      </c>
      <c r="M681">
        <f xml:space="preserve"> [1]Coibion_update!AA687</f>
        <v>4.7087551262444673</v>
      </c>
      <c r="X681" s="5">
        <f xml:space="preserve"> [1]misc!N764</f>
        <v>0.38</v>
      </c>
      <c r="AK681" s="5">
        <v>-0.91556597816121155</v>
      </c>
      <c r="AL681">
        <f xml:space="preserve"> LN([1]misc!B700)</f>
        <v>8.0262355522877122</v>
      </c>
      <c r="AM681">
        <f xml:space="preserve"> LN([1]misc!D700)</f>
        <v>9.4026370117922156</v>
      </c>
      <c r="AN681">
        <f xml:space="preserve"> LN([1]misc!G805)</f>
        <v>7.8664397615204562</v>
      </c>
    </row>
    <row r="682" spans="1:40" x14ac:dyDescent="0.25">
      <c r="A682">
        <f t="shared" si="51"/>
        <v>2015.6666666666206</v>
      </c>
      <c r="B682" s="1">
        <v>42248</v>
      </c>
      <c r="C682" s="7">
        <f t="shared" si="48"/>
        <v>2015</v>
      </c>
      <c r="D682" s="7">
        <f t="shared" si="49"/>
        <v>9</v>
      </c>
      <c r="E682" s="7">
        <f t="shared" si="50"/>
        <v>3</v>
      </c>
      <c r="F682">
        <f xml:space="preserve"> [1]Coibion_update!O688</f>
        <v>4.673685476784871</v>
      </c>
      <c r="G682">
        <f xml:space="preserve"> [1]Coibion_update!P688</f>
        <v>5.0999999999999996</v>
      </c>
      <c r="H682">
        <f xml:space="preserve"> [1]Coibion_update!Q688</f>
        <v>5.4704454796059476</v>
      </c>
      <c r="I682">
        <f xml:space="preserve"> [1]Coibion_update!W688</f>
        <v>0.14000000000000001</v>
      </c>
      <c r="K682">
        <f xml:space="preserve"> [1]Coibion_update!Y688</f>
        <v>4.9815085318453258</v>
      </c>
      <c r="L682">
        <f xml:space="preserve"> [1]Coibion_update!Z688</f>
        <v>4.7207463438355735</v>
      </c>
      <c r="M682">
        <f xml:space="preserve"> [1]Coibion_update!AA688</f>
        <v>4.7117889097699956</v>
      </c>
      <c r="X682" s="5">
        <f xml:space="preserve"> [1]misc!N765</f>
        <v>0.37</v>
      </c>
      <c r="AK682" s="5">
        <v>-0.7392731258776446</v>
      </c>
      <c r="AL682">
        <f xml:space="preserve"> LN([1]misc!B701)</f>
        <v>8.02319190804055</v>
      </c>
      <c r="AM682">
        <f xml:space="preserve"> LN([1]misc!D701)</f>
        <v>9.4081579101442347</v>
      </c>
      <c r="AN682">
        <f xml:space="preserve"> LN([1]misc!G806)</f>
        <v>7.8800323158227155</v>
      </c>
    </row>
    <row r="683" spans="1:40" x14ac:dyDescent="0.25">
      <c r="A683">
        <f t="shared" si="51"/>
        <v>2015.7499999999538</v>
      </c>
      <c r="B683" s="1">
        <v>42278</v>
      </c>
      <c r="C683" s="7">
        <f t="shared" si="48"/>
        <v>2015</v>
      </c>
      <c r="D683" s="7">
        <f t="shared" si="49"/>
        <v>10</v>
      </c>
      <c r="E683" s="7">
        <f t="shared" si="50"/>
        <v>4</v>
      </c>
      <c r="X683" s="5">
        <f xml:space="preserve"> [1]misc!N766</f>
        <v>0.26</v>
      </c>
      <c r="AK683" s="5">
        <v>-0.53065731410348427</v>
      </c>
      <c r="AL683">
        <f xml:space="preserve"> LN([1]misc!B702)</f>
        <v>8.0181314345704884</v>
      </c>
      <c r="AM683">
        <f xml:space="preserve"> LN([1]misc!D702)</f>
        <v>9.4092240170691159</v>
      </c>
      <c r="AN683">
        <f xml:space="preserve"> LN([1]misc!G807)</f>
        <v>7.8891567432497718</v>
      </c>
    </row>
    <row r="684" spans="1:40" x14ac:dyDescent="0.25">
      <c r="A684">
        <f t="shared" si="51"/>
        <v>2015.8333333332871</v>
      </c>
      <c r="B684" s="1">
        <v>42309</v>
      </c>
      <c r="C684" s="7">
        <f t="shared" si="48"/>
        <v>2015</v>
      </c>
      <c r="D684" s="7">
        <f t="shared" si="49"/>
        <v>11</v>
      </c>
      <c r="E684" s="7">
        <f t="shared" si="50"/>
        <v>4</v>
      </c>
      <c r="X684" s="5">
        <f xml:space="preserve"> [1]misc!N767</f>
        <v>0</v>
      </c>
    </row>
    <row r="685" spans="1:40" x14ac:dyDescent="0.25">
      <c r="A685">
        <f t="shared" si="51"/>
        <v>2015.9166666666204</v>
      </c>
      <c r="B685" s="1">
        <v>42339</v>
      </c>
      <c r="C685" s="7">
        <f t="shared" si="48"/>
        <v>2015</v>
      </c>
      <c r="D685" s="7">
        <f t="shared" si="49"/>
        <v>12</v>
      </c>
      <c r="E685" s="7">
        <f t="shared" si="50"/>
        <v>4</v>
      </c>
      <c r="X685" s="5">
        <f xml:space="preserve"> [1]misc!N768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Tech</vt:lpstr>
      <vt:lpstr>Tax</vt:lpstr>
      <vt:lpstr>TD MP</vt:lpstr>
      <vt:lpstr>MP </vt:lpstr>
    </vt:vector>
  </TitlesOfParts>
  <Company>Banco de la Republica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Jaulín Méndez Oscar Fernando</dc:creator>
  <cp:lastModifiedBy>Jaulín Méndez Oscar Fernando</cp:lastModifiedBy>
  <dcterms:created xsi:type="dcterms:W3CDTF">2025-12-12T13:47:35Z</dcterms:created>
  <dcterms:modified xsi:type="dcterms:W3CDTF">2025-12-16T21:12:19Z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2025-12-12T14:05:55Z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59949cbf-fa13-4b4f-bfb1-290151b11a5b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